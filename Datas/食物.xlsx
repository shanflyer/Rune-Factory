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 activeTab="2"/>
  </bookViews>
  <sheets>
    <sheet name="Sheet6" sheetId="6" r:id="rId1"/>
    <sheet name="Sheet1" sheetId="1" r:id="rId2"/>
    <sheet name="Sheet2" sheetId="7" r:id="rId3"/>
  </sheets>
  <externalReferences>
    <externalReference r:id="rId4"/>
  </externalReferences>
  <definedNames>
    <definedName name="_xlnm._FilterDatabase" localSheetId="1" hidden="1">Sheet1!$D$4:$J$84</definedName>
  </definedName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28" i="1" l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N4" i="1"/>
  <c r="S4" i="1" s="1"/>
  <c r="O4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O2" i="1"/>
  <c r="P2" i="1"/>
  <c r="Q2" i="1"/>
  <c r="O3" i="1"/>
  <c r="P3" i="1"/>
  <c r="Q3" i="1"/>
  <c r="N3" i="1"/>
  <c r="N2" i="1"/>
  <c r="S56" i="1" l="1"/>
  <c r="S52" i="1"/>
  <c r="S64" i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<sst xmlns="http://schemas.openxmlformats.org/spreadsheetml/2006/main" count="1141" uniqueCount="574">
  <si>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</si>
  <si>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</si>
  <si>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</si>
  <si>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</si>
  <si>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</si>
  <si>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</si>
  <si>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</si>
  <si>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</si>
  <si>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</si>
  <si>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</si>
  <si>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</si>
  <si>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</si>
  <si>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</si>
  <si>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</si>
  <si>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</si>
  <si>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</si>
  <si>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</si>
  <si>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</si>
  <si>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</si>
  <si>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</si>
  <si>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</si>
  <si>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</si>
  <si>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</si>
  <si>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</si>
  <si>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</si>
  <si>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</si>
  <si>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</si>
  <si>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</si>
  <si>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</si>
  <si>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</si>
  <si>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</si>
  <si>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</si>
  <si>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</si>
  <si>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</si>
  <si>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</si>
  <si>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</si>
  <si>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</si>
  <si>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</si>
  <si>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</si>
  <si>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</si>
  <si>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</si>
  <si>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</si>
  <si>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</si>
  <si>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</si>
  <si>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</si>
  <si>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</si>
  <si>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</si>
  <si>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</si>
  <si>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</si>
  <si>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</si>
  <si>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</si>
  <si>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</si>
  <si>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</si>
  <si>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</si>
  <si>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</si>
  <si>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</si>
  <si>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</si>
  <si>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</si>
  <si>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</si>
  <si>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</si>
  <si>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</si>
  <si>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</si>
  <si>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</si>
  <si>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</si>
  <si>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</si>
  <si>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</si>
  <si>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</si>
  <si>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</si>
  <si>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</si>
  <si>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</si>
  <si>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</si>
  <si>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</si>
  <si>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</si>
  <si>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</si>
  <si>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</si>
  <si>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</si>
  <si>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</si>
  <si>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</si>
  <si>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</si>
  <si>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</si>
  <si>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</si>
  <si>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</si>
  <si>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</si>
  <si>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</si>
  <si>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</si>
  <si>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</si>
  <si>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</si>
  <si>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</si>
  <si>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</si>
  <si>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</si>
  <si>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</si>
  <si>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</si>
  <si>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</si>
  <si>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</si>
  <si>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</si>
  <si>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</si>
  <si>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</si>
  <si>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</si>
  <si>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</si>
  <si>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</si>
  <si>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</si>
  <si>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</si>
  <si>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</si>
  <si>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</si>
  <si>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</si>
  <si>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</si>
  <si>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</si>
  <si>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</si>
  <si>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</si>
  <si>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</si>
  <si>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</si>
  <si>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</si>
  <si>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</si>
  <si>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</si>
  <si>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</si>
  <si>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</si>
  <si>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</si>
  <si>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</si>
  <si>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</si>
  <si>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</si>
  <si>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</si>
  <si>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</si>
  <si>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</si>
  <si>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</si>
  <si>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</si>
  <si>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</si>
  <si>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</si>
  <si>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</si>
  <si>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</si>
  <si>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</si>
  <si>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</si>
  <si>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</si>
  <si>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</si>
  <si>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</si>
  <si>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</si>
  <si>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</si>
  <si>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</si>
  <si>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</si>
  <si>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</si>
  <si>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</si>
  <si>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</si>
  <si>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</si>
  <si>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</si>
  <si>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</si>
  <si>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</si>
  <si>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</si>
  <si>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</si>
  <si>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</si>
  <si>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</si>
  <si>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</si>
  <si>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</si>
  <si>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</si>
  <si>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</si>
  <si>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</si>
  <si>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</si>
  <si>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</si>
  <si>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</si>
  <si>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</si>
  <si>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</si>
  <si>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</si>
  <si>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</si>
  <si>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</si>
  <si>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</si>
  <si>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</si>
  <si>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</si>
  <si>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</si>
  <si>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</si>
  <si>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</si>
  <si>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</si>
  <si>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</si>
  <si>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</si>
  <si>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</si>
  <si>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</si>
  <si>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</si>
  <si>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</si>
  <si>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</si>
  <si>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</si>
  <si>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</si>
  <si>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</si>
  <si>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</si>
  <si>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</si>
  <si>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</si>
  <si>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</si>
  <si>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</si>
  <si>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</si>
  <si>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</si>
  <si>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</si>
  <si>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</si>
  <si>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</si>
  <si>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</si>
  <si>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</si>
  <si>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</si>
  <si>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</si>
  <si>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</si>
  <si>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</si>
  <si>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</si>
  <si>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</si>
  <si>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</si>
  <si>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</si>
  <si>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</si>
  <si>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</si>
  <si>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</si>
  <si>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</si>
  <si>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</si>
  <si>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</si>
  <si>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</si>
  <si>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</si>
  <si>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</si>
  <si>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</si>
  <si>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</si>
  <si>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</si>
  <si>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</si>
  <si>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</si>
  <si>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</si>
  <si>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</si>
  <si>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</si>
  <si>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</si>
  <si>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</si>
  <si>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</si>
  <si>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</si>
  <si>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</si>
  <si>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</si>
  <si>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</si>
  <si>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</si>
  <si>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</si>
  <si>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</si>
  <si>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</si>
  <si>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</si>
  <si>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</si>
  <si>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</si>
  <si>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</si>
  <si>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</si>
  <si>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</si>
  <si>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</si>
  <si>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</si>
  <si>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</si>
  <si>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</si>
  <si>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</si>
  <si>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</si>
  <si>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</si>
  <si>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</si>
  <si>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</si>
  <si>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</si>
  <si>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</si>
  <si>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</si>
  <si>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</si>
  <si>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</si>
  <si>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</si>
  <si>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</si>
  <si>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</si>
  <si>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</si>
  <si>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</si>
  <si>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</si>
  <si>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</si>
  <si>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</si>
  <si>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</si>
  <si>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</si>
  <si>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</si>
  <si>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</si>
  <si>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</si>
  <si>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</si>
  <si>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</si>
  <si>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</si>
  <si>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</si>
  <si>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</si>
  <si>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</si>
  <si>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</si>
  <si>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</si>
  <si>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</si>
  <si>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</si>
  <si>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</si>
  <si>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</si>
  <si>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</si>
  <si>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</si>
  <si>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</si>
  <si>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</si>
  <si>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</si>
  <si>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</si>
  <si>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</si>
  <si>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</si>
  <si>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</si>
  <si>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</si>
  <si>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</si>
  <si>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</si>
  <si>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</si>
  <si>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</si>
  <si>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</si>
  <si>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</si>
  <si>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</si>
  <si>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</si>
  <si>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</si>
  <si>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</si>
  <si>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</si>
  <si>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</si>
  <si>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</si>
  <si>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</si>
  <si>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</si>
  <si>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</si>
  <si>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</si>
  <si>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</si>
  <si>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</si>
  <si>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</si>
  <si>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</si>
  <si>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</si>
  <si>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</si>
  <si>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</si>
  <si>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</si>
  <si>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</si>
  <si>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</si>
  <si>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</si>
  <si>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</si>
  <si>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</si>
  <si>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</si>
  <si>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</si>
  <si>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</si>
  <si>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</si>
  <si>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</si>
  <si>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</si>
  <si>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</si>
  <si>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</si>
  <si>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</si>
  <si>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</si>
  <si>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</si>
  <si>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</si>
  <si>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</si>
  <si>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</si>
  <si>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</si>
  <si>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</si>
  <si>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</si>
  <si>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</si>
  <si>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</si>
  <si>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</si>
  <si>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</si>
  <si>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</si>
  <si>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</si>
  <si>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</si>
  <si>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</si>
  <si>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</si>
  <si>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</si>
  <si>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</si>
  <si>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</si>
  <si>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</si>
  <si>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</si>
  <si>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</si>
  <si>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</si>
  <si>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</si>
  <si>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</si>
  <si>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</si>
  <si>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</si>
  <si>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</si>
  <si>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</si>
  <si>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</si>
  <si>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</si>
  <si>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</si>
  <si>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</si>
  <si>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</si>
  <si>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</si>
  <si>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</si>
  <si>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</si>
  <si>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</si>
  <si>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</si>
  <si>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</si>
  <si>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</si>
  <si>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</si>
  <si>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</si>
  <si>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</si>
  <si>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</si>
  <si>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</si>
  <si>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</si>
  <si>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</si>
  <si>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</si>
  <si>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</si>
  <si>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</si>
  <si>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</si>
  <si>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</si>
  <si>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</si>
  <si>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</si>
  <si>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</si>
  <si>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</si>
  <si>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</si>
  <si>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</si>
  <si>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</si>
  <si>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</si>
  <si>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</si>
  <si>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</si>
  <si>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</si>
  <si>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</si>
  <si>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</si>
  <si>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</si>
  <si>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</si>
  <si>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</si>
  <si>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</si>
  <si>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</si>
  <si>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</si>
  <si>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</si>
  <si>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</si>
  <si>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</si>
  <si>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</si>
  <si>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</si>
  <si>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</si>
  <si>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</si>
  <si>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</si>
  <si>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</si>
  <si>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</si>
  <si>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</si>
  <si>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</si>
  <si>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</si>
  <si>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</si>
  <si>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</si>
  <si>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</si>
  <si>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</si>
  <si>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</si>
  <si>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</si>
  <si>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</si>
  <si>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</si>
  <si>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</si>
  <si>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</si>
  <si>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</si>
  <si>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</si>
  <si>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</si>
  <si>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</si>
  <si>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</si>
  <si>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</si>
  <si>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</si>
  <si>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</si>
  <si>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</si>
  <si>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</si>
  <si>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</si>
  <si>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</si>
  <si>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</si>
  <si>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</si>
  <si>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</si>
  <si>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</si>
  <si>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</si>
  <si>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</si>
  <si>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</si>
  <si>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</si>
  <si>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</si>
  <si>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</si>
  <si>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</si>
  <si>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</si>
  <si>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</si>
  <si>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</si>
  <si>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</si>
  <si>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</si>
  <si>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</si>
  <si>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</si>
  <si>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</si>
  <si>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</si>
  <si>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</si>
  <si>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</si>
  <si>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</si>
  <si>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</si>
  <si>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</si>
  <si>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</si>
  <si>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</si>
  <si>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</si>
  <si>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</si>
  <si>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</si>
  <si>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</si>
  <si>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</si>
  <si>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</si>
  <si>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</si>
  <si>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</si>
  <si>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</si>
  <si>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</si>
  <si>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</si>
  <si>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</si>
  <si>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</si>
  <si>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</si>
  <si>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</si>
  <si>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</si>
  <si>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</si>
  <si>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</si>
  <si>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</si>
  <si>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</si>
  <si>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</si>
  <si>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</si>
  <si>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凉茶</t>
    <phoneticPr fontId="2" type="noConversion"/>
  </si>
  <si>
    <t>搅拌</t>
    <phoneticPr fontId="2" type="noConversion"/>
  </si>
  <si>
    <t>纯净水</t>
    <phoneticPr fontId="2" type="noConversion"/>
  </si>
  <si>
    <t>草药茶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</si>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</sst>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3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回春卷轴</v>
          </cell>
          <cell r="B384">
            <v>4000</v>
          </cell>
        </row>
        <row r="385">
          <cell r="A385" t="str">
            <v>振奋卷轴</v>
          </cell>
          <cell r="B385">
            <v>4001</v>
          </cell>
        </row>
        <row r="386">
          <cell r="A386" t="str">
            <v>昏睡卷轴</v>
          </cell>
          <cell r="B386">
            <v>4002</v>
          </cell>
        </row>
        <row r="387">
          <cell r="A387" t="str">
            <v>感电卷轴</v>
          </cell>
          <cell r="B387">
            <v>4003</v>
          </cell>
        </row>
        <row r="388">
          <cell r="A388" t="str">
            <v>冰氛卷轴</v>
          </cell>
          <cell r="B388">
            <v>4004</v>
          </cell>
        </row>
        <row r="389">
          <cell r="A389" t="str">
            <v>火氛卷轴</v>
          </cell>
          <cell r="B389">
            <v>4005</v>
          </cell>
        </row>
        <row r="390">
          <cell r="A390" t="str">
            <v>沉默卷轴</v>
          </cell>
          <cell r="B390">
            <v>4006</v>
          </cell>
        </row>
        <row r="391">
          <cell r="A391" t="str">
            <v>减速卷轴</v>
          </cell>
          <cell r="B391">
            <v>4007</v>
          </cell>
        </row>
        <row r="392">
          <cell r="A392" t="str">
            <v>闪避卷轴</v>
          </cell>
          <cell r="B392">
            <v>4008</v>
          </cell>
        </row>
        <row r="393">
          <cell r="A393" t="str">
            <v>力量卷轴</v>
          </cell>
          <cell r="B393">
            <v>4009</v>
          </cell>
        </row>
        <row r="394">
          <cell r="A394" t="str">
            <v>魅惑卷轴</v>
          </cell>
          <cell r="B394">
            <v>4010</v>
          </cell>
        </row>
      </sheetData>
      <sheetData sheetId="1" refreshError="1"/>
      <sheetData sheetId="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109" workbookViewId="0">
      <selection activeCell="M135" sqref="M135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184</v>
      </c>
    </row>
    <row r="4" spans="1:14" x14ac:dyDescent="0.2">
      <c r="A4" s="10" t="s">
        <v>86</v>
      </c>
    </row>
    <row r="5" spans="1:14" x14ac:dyDescent="0.2">
      <c r="A5" s="11" t="s">
        <v>21</v>
      </c>
    </row>
    <row r="6" spans="1:14" x14ac:dyDescent="0.2">
      <c r="A6" s="10" t="s">
        <v>185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224</v>
      </c>
      <c r="K8">
        <v>20</v>
      </c>
      <c r="L8" t="s">
        <v>26</v>
      </c>
      <c r="M8" t="s">
        <v>200</v>
      </c>
    </row>
    <row r="9" spans="1:14" x14ac:dyDescent="0.2">
      <c r="J9" t="s">
        <v>225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226</v>
      </c>
      <c r="K11">
        <v>35</v>
      </c>
      <c r="L11" t="s">
        <v>58</v>
      </c>
      <c r="M11" t="s">
        <v>22</v>
      </c>
    </row>
    <row r="12" spans="1:14" x14ac:dyDescent="0.2">
      <c r="J12" t="s">
        <v>227</v>
      </c>
      <c r="K12">
        <v>4</v>
      </c>
      <c r="L12" t="s">
        <v>0</v>
      </c>
    </row>
    <row r="13" spans="1:14" x14ac:dyDescent="0.2">
      <c r="J13" t="s">
        <v>227</v>
      </c>
      <c r="K13">
        <v>12</v>
      </c>
      <c r="L13" t="s">
        <v>228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229</v>
      </c>
      <c r="K15">
        <v>48</v>
      </c>
      <c r="L15" t="s">
        <v>0</v>
      </c>
      <c r="M15" t="s">
        <v>228</v>
      </c>
    </row>
    <row r="16" spans="1:14" x14ac:dyDescent="0.2">
      <c r="J16" t="s">
        <v>230</v>
      </c>
      <c r="K16">
        <v>96</v>
      </c>
      <c r="L16" t="s">
        <v>0</v>
      </c>
      <c r="M16" t="s">
        <v>228</v>
      </c>
      <c r="N16" t="s">
        <v>231</v>
      </c>
    </row>
    <row r="17" spans="10:17" x14ac:dyDescent="0.2">
      <c r="J17" t="s">
        <v>232</v>
      </c>
      <c r="K17">
        <v>67</v>
      </c>
      <c r="L17" t="s">
        <v>233</v>
      </c>
      <c r="M17" t="s">
        <v>5</v>
      </c>
      <c r="N17" t="s">
        <v>7</v>
      </c>
      <c r="O17" t="s">
        <v>234</v>
      </c>
    </row>
    <row r="18" spans="10:17" x14ac:dyDescent="0.2">
      <c r="J18" t="s">
        <v>235</v>
      </c>
      <c r="K18">
        <v>22</v>
      </c>
      <c r="L18" t="s">
        <v>153</v>
      </c>
      <c r="M18" t="s">
        <v>29</v>
      </c>
    </row>
    <row r="19" spans="10:17" x14ac:dyDescent="0.2">
      <c r="J19" t="s">
        <v>236</v>
      </c>
      <c r="K19">
        <v>50</v>
      </c>
      <c r="L19" t="s">
        <v>237</v>
      </c>
      <c r="M19" t="s">
        <v>238</v>
      </c>
      <c r="N19" t="s">
        <v>239</v>
      </c>
      <c r="O19" t="s">
        <v>240</v>
      </c>
      <c r="P19" t="s">
        <v>241</v>
      </c>
      <c r="Q19" t="s">
        <v>242</v>
      </c>
    </row>
    <row r="24" spans="10:17" x14ac:dyDescent="0.2">
      <c r="J24" t="s">
        <v>243</v>
      </c>
      <c r="K24">
        <v>1</v>
      </c>
      <c r="L24" t="s">
        <v>244</v>
      </c>
    </row>
    <row r="25" spans="10:17" x14ac:dyDescent="0.2">
      <c r="J25" t="s">
        <v>245</v>
      </c>
      <c r="K25">
        <v>2</v>
      </c>
      <c r="L25" t="s">
        <v>246</v>
      </c>
    </row>
    <row r="26" spans="10:17" x14ac:dyDescent="0.2">
      <c r="J26" t="s">
        <v>247</v>
      </c>
      <c r="K26">
        <v>3</v>
      </c>
      <c r="L26" t="s">
        <v>248</v>
      </c>
    </row>
    <row r="27" spans="10:17" x14ac:dyDescent="0.2">
      <c r="J27" t="s">
        <v>249</v>
      </c>
      <c r="K27">
        <v>4</v>
      </c>
      <c r="L27" t="s">
        <v>250</v>
      </c>
    </row>
    <row r="28" spans="10:17" x14ac:dyDescent="0.2">
      <c r="J28" t="s">
        <v>251</v>
      </c>
      <c r="K28">
        <v>6</v>
      </c>
      <c r="L28" t="s">
        <v>252</v>
      </c>
    </row>
    <row r="29" spans="10:17" x14ac:dyDescent="0.2">
      <c r="J29" t="s">
        <v>253</v>
      </c>
      <c r="K29">
        <v>8</v>
      </c>
      <c r="L29" t="s">
        <v>111</v>
      </c>
    </row>
    <row r="30" spans="10:17" x14ac:dyDescent="0.2">
      <c r="J30" t="s">
        <v>254</v>
      </c>
      <c r="K30">
        <v>12</v>
      </c>
      <c r="L30" t="s">
        <v>255</v>
      </c>
    </row>
    <row r="31" spans="10:17" x14ac:dyDescent="0.2">
      <c r="J31" t="s">
        <v>256</v>
      </c>
      <c r="K31">
        <v>15</v>
      </c>
      <c r="L31" t="s">
        <v>257</v>
      </c>
    </row>
    <row r="32" spans="10:17" x14ac:dyDescent="0.2">
      <c r="J32" t="s">
        <v>258</v>
      </c>
      <c r="K32">
        <v>26</v>
      </c>
      <c r="L32" t="s">
        <v>259</v>
      </c>
    </row>
    <row r="33" spans="10:12" x14ac:dyDescent="0.2">
      <c r="J33" t="s">
        <v>260</v>
      </c>
      <c r="K33">
        <v>37</v>
      </c>
      <c r="L33" t="s">
        <v>261</v>
      </c>
    </row>
    <row r="34" spans="10:12" x14ac:dyDescent="0.2">
      <c r="J34" t="s">
        <v>262</v>
      </c>
      <c r="K34">
        <v>68</v>
      </c>
      <c r="L34" t="s">
        <v>263</v>
      </c>
    </row>
    <row r="35" spans="10:12" x14ac:dyDescent="0.2">
      <c r="J35" t="s">
        <v>264</v>
      </c>
      <c r="K35">
        <v>71</v>
      </c>
      <c r="L35" t="s">
        <v>158</v>
      </c>
    </row>
    <row r="36" spans="10:12" x14ac:dyDescent="0.2">
      <c r="J36" t="s">
        <v>265</v>
      </c>
      <c r="K36">
        <v>74</v>
      </c>
      <c r="L36" t="s">
        <v>266</v>
      </c>
    </row>
    <row r="37" spans="10:12" x14ac:dyDescent="0.2">
      <c r="J37" t="s">
        <v>267</v>
      </c>
      <c r="K37">
        <v>79</v>
      </c>
      <c r="L37" t="s">
        <v>268</v>
      </c>
    </row>
    <row r="38" spans="10:12" x14ac:dyDescent="0.2">
      <c r="J38" t="s">
        <v>269</v>
      </c>
      <c r="K38">
        <v>30</v>
      </c>
      <c r="L38" t="s">
        <v>114</v>
      </c>
    </row>
    <row r="39" spans="10:12" x14ac:dyDescent="0.2">
      <c r="J39" t="s">
        <v>270</v>
      </c>
      <c r="K39">
        <v>21</v>
      </c>
      <c r="L39" t="s">
        <v>271</v>
      </c>
    </row>
    <row r="40" spans="10:12" x14ac:dyDescent="0.2">
      <c r="J40" t="s">
        <v>272</v>
      </c>
      <c r="K40">
        <v>58</v>
      </c>
      <c r="L40" t="s">
        <v>273</v>
      </c>
    </row>
    <row r="41" spans="10:12" x14ac:dyDescent="0.2">
      <c r="J41" t="s">
        <v>274</v>
      </c>
      <c r="K41">
        <v>4</v>
      </c>
      <c r="L41" t="s">
        <v>275</v>
      </c>
    </row>
    <row r="42" spans="10:12" x14ac:dyDescent="0.2">
      <c r="J42" t="s">
        <v>276</v>
      </c>
      <c r="K42">
        <v>77</v>
      </c>
      <c r="L42" t="s">
        <v>277</v>
      </c>
    </row>
    <row r="43" spans="10:12" x14ac:dyDescent="0.2">
      <c r="J43" t="s">
        <v>278</v>
      </c>
      <c r="K43">
        <v>53</v>
      </c>
      <c r="L43" t="s">
        <v>279</v>
      </c>
    </row>
    <row r="44" spans="10:12" x14ac:dyDescent="0.2">
      <c r="J44" t="s">
        <v>280</v>
      </c>
      <c r="K44">
        <v>14</v>
      </c>
      <c r="L44" t="s">
        <v>281</v>
      </c>
    </row>
    <row r="45" spans="10:12" x14ac:dyDescent="0.2">
      <c r="J45" t="s">
        <v>282</v>
      </c>
      <c r="K45">
        <v>40</v>
      </c>
      <c r="L45" t="s">
        <v>283</v>
      </c>
    </row>
    <row r="46" spans="10:12" x14ac:dyDescent="0.2">
      <c r="J46" t="s">
        <v>284</v>
      </c>
      <c r="K46">
        <v>50</v>
      </c>
      <c r="L46" t="s">
        <v>108</v>
      </c>
    </row>
    <row r="47" spans="10:12" x14ac:dyDescent="0.2">
      <c r="J47" t="s">
        <v>285</v>
      </c>
      <c r="K47">
        <v>63</v>
      </c>
      <c r="L47" t="s">
        <v>286</v>
      </c>
    </row>
    <row r="48" spans="10:12" x14ac:dyDescent="0.2">
      <c r="J48" t="s">
        <v>287</v>
      </c>
      <c r="K48">
        <v>92</v>
      </c>
      <c r="L48" t="s">
        <v>288</v>
      </c>
    </row>
    <row r="51" spans="10:15" x14ac:dyDescent="0.2">
      <c r="J51" t="s">
        <v>289</v>
      </c>
      <c r="K51">
        <v>9</v>
      </c>
      <c r="L51" t="s">
        <v>42</v>
      </c>
    </row>
    <row r="52" spans="10:15" x14ac:dyDescent="0.2">
      <c r="J52" t="s">
        <v>290</v>
      </c>
      <c r="K52">
        <v>20</v>
      </c>
      <c r="L52" t="s">
        <v>40</v>
      </c>
    </row>
    <row r="53" spans="10:15" x14ac:dyDescent="0.2">
      <c r="J53" t="s">
        <v>291</v>
      </c>
      <c r="K53">
        <v>24</v>
      </c>
      <c r="L53" t="s">
        <v>292</v>
      </c>
      <c r="M53" t="s">
        <v>293</v>
      </c>
    </row>
    <row r="54" spans="10:15" x14ac:dyDescent="0.2">
      <c r="J54" t="s">
        <v>294</v>
      </c>
      <c r="K54">
        <v>28</v>
      </c>
      <c r="L54" t="s">
        <v>29</v>
      </c>
      <c r="M54" t="s">
        <v>40</v>
      </c>
    </row>
    <row r="55" spans="10:15" x14ac:dyDescent="0.2">
      <c r="J55" t="s">
        <v>295</v>
      </c>
      <c r="K55">
        <v>30</v>
      </c>
      <c r="L55" t="s">
        <v>26</v>
      </c>
      <c r="M55" t="s">
        <v>292</v>
      </c>
      <c r="N55" t="s">
        <v>40</v>
      </c>
    </row>
    <row r="56" spans="10:15" x14ac:dyDescent="0.2">
      <c r="J56" t="s">
        <v>296</v>
      </c>
      <c r="K56">
        <v>31</v>
      </c>
      <c r="L56" t="s">
        <v>11</v>
      </c>
    </row>
    <row r="57" spans="10:15" x14ac:dyDescent="0.2">
      <c r="J57" t="s">
        <v>297</v>
      </c>
      <c r="K57">
        <v>31</v>
      </c>
      <c r="L57" t="s">
        <v>58</v>
      </c>
      <c r="M57" t="s">
        <v>40</v>
      </c>
    </row>
    <row r="58" spans="10:15" x14ac:dyDescent="0.2">
      <c r="J58" t="s">
        <v>298</v>
      </c>
      <c r="K58">
        <v>33</v>
      </c>
      <c r="L58" t="s">
        <v>292</v>
      </c>
      <c r="M58" t="s">
        <v>293</v>
      </c>
      <c r="N58" t="s">
        <v>40</v>
      </c>
    </row>
    <row r="59" spans="10:15" x14ac:dyDescent="0.2">
      <c r="J59" t="s">
        <v>299</v>
      </c>
      <c r="K59">
        <v>36</v>
      </c>
      <c r="L59" t="s">
        <v>292</v>
      </c>
      <c r="M59" t="s">
        <v>163</v>
      </c>
      <c r="N59" t="s">
        <v>281</v>
      </c>
      <c r="O59" t="s">
        <v>40</v>
      </c>
    </row>
    <row r="60" spans="10:15" x14ac:dyDescent="0.2">
      <c r="J60" t="s">
        <v>300</v>
      </c>
      <c r="K60">
        <v>46</v>
      </c>
      <c r="L60" t="s">
        <v>292</v>
      </c>
      <c r="M60" t="s">
        <v>163</v>
      </c>
      <c r="N60" t="s">
        <v>31</v>
      </c>
      <c r="O60" t="s">
        <v>301</v>
      </c>
    </row>
    <row r="61" spans="10:15" x14ac:dyDescent="0.2">
      <c r="J61" t="s">
        <v>302</v>
      </c>
      <c r="K61">
        <v>48</v>
      </c>
      <c r="L61" t="s">
        <v>26</v>
      </c>
      <c r="M61" t="s">
        <v>303</v>
      </c>
      <c r="N61" t="s">
        <v>31</v>
      </c>
    </row>
    <row r="62" spans="10:15" x14ac:dyDescent="0.2">
      <c r="J62" t="s">
        <v>304</v>
      </c>
      <c r="K62">
        <v>49</v>
      </c>
      <c r="L62" t="s">
        <v>163</v>
      </c>
      <c r="M62" t="s">
        <v>44</v>
      </c>
      <c r="N62" t="s">
        <v>29</v>
      </c>
      <c r="O62" t="s">
        <v>40</v>
      </c>
    </row>
    <row r="63" spans="10:15" x14ac:dyDescent="0.2">
      <c r="J63" t="s">
        <v>305</v>
      </c>
      <c r="K63">
        <v>51</v>
      </c>
      <c r="L63" t="s">
        <v>16</v>
      </c>
    </row>
    <row r="64" spans="10:15" x14ac:dyDescent="0.2">
      <c r="J64" t="s">
        <v>306</v>
      </c>
      <c r="K64">
        <v>53</v>
      </c>
      <c r="L64" t="s">
        <v>16</v>
      </c>
      <c r="M64" t="s">
        <v>29</v>
      </c>
    </row>
    <row r="65" spans="10:15" x14ac:dyDescent="0.2">
      <c r="J65" t="s">
        <v>307</v>
      </c>
      <c r="K65">
        <v>59</v>
      </c>
      <c r="L65" t="s">
        <v>292</v>
      </c>
      <c r="M65" t="s">
        <v>163</v>
      </c>
      <c r="N65" t="s">
        <v>159</v>
      </c>
    </row>
    <row r="66" spans="10:15" x14ac:dyDescent="0.2">
      <c r="J66" t="s">
        <v>308</v>
      </c>
      <c r="K66">
        <v>60</v>
      </c>
      <c r="L66" t="s">
        <v>294</v>
      </c>
      <c r="M66" t="s">
        <v>26</v>
      </c>
      <c r="N66" t="s">
        <v>309</v>
      </c>
    </row>
    <row r="67" spans="10:15" x14ac:dyDescent="0.2">
      <c r="J67" t="s">
        <v>310</v>
      </c>
      <c r="K67">
        <v>62</v>
      </c>
      <c r="L67" t="s">
        <v>234</v>
      </c>
    </row>
    <row r="68" spans="10:15" x14ac:dyDescent="0.2">
      <c r="J68" t="s">
        <v>311</v>
      </c>
      <c r="K68">
        <v>64</v>
      </c>
      <c r="L68" t="s">
        <v>163</v>
      </c>
      <c r="M68" t="s">
        <v>234</v>
      </c>
      <c r="N68" t="s">
        <v>40</v>
      </c>
      <c r="O68" t="s">
        <v>2</v>
      </c>
    </row>
    <row r="69" spans="10:15" x14ac:dyDescent="0.2">
      <c r="J69" t="s">
        <v>312</v>
      </c>
      <c r="K69">
        <v>86</v>
      </c>
      <c r="L69" t="s">
        <v>26</v>
      </c>
      <c r="M69" t="s">
        <v>313</v>
      </c>
      <c r="N69" t="s">
        <v>314</v>
      </c>
      <c r="O69" t="s">
        <v>315</v>
      </c>
    </row>
    <row r="70" spans="10:15" x14ac:dyDescent="0.2">
      <c r="J70" t="s">
        <v>316</v>
      </c>
      <c r="K70">
        <v>88</v>
      </c>
      <c r="L70" t="s">
        <v>163</v>
      </c>
      <c r="M70" t="s">
        <v>315</v>
      </c>
      <c r="N70" t="s">
        <v>234</v>
      </c>
    </row>
    <row r="71" spans="10:15" x14ac:dyDescent="0.2">
      <c r="J71" t="s">
        <v>317</v>
      </c>
      <c r="K71">
        <v>95</v>
      </c>
      <c r="L71" t="s">
        <v>163</v>
      </c>
      <c r="M71" t="s">
        <v>315</v>
      </c>
      <c r="N71" t="s">
        <v>314</v>
      </c>
      <c r="O71" t="s">
        <v>234</v>
      </c>
    </row>
    <row r="72" spans="10:15" x14ac:dyDescent="0.2">
      <c r="J72" t="s">
        <v>318</v>
      </c>
      <c r="K72">
        <v>6</v>
      </c>
      <c r="L72" t="s">
        <v>319</v>
      </c>
      <c r="M72" t="s">
        <v>153</v>
      </c>
    </row>
    <row r="73" spans="10:15" x14ac:dyDescent="0.2">
      <c r="J73" t="s">
        <v>320</v>
      </c>
      <c r="K73">
        <v>8</v>
      </c>
      <c r="L73" t="s">
        <v>244</v>
      </c>
      <c r="M73" t="s">
        <v>153</v>
      </c>
    </row>
    <row r="74" spans="10:15" x14ac:dyDescent="0.2">
      <c r="J74" t="s">
        <v>321</v>
      </c>
      <c r="K74">
        <v>9</v>
      </c>
      <c r="L74" t="s">
        <v>246</v>
      </c>
      <c r="M74" t="s">
        <v>153</v>
      </c>
    </row>
    <row r="75" spans="10:15" x14ac:dyDescent="0.2">
      <c r="J75" t="s">
        <v>322</v>
      </c>
      <c r="K75">
        <v>12</v>
      </c>
      <c r="L75" t="s">
        <v>248</v>
      </c>
      <c r="M75" t="s">
        <v>153</v>
      </c>
    </row>
    <row r="76" spans="10:15" x14ac:dyDescent="0.2">
      <c r="J76" t="s">
        <v>323</v>
      </c>
      <c r="K76">
        <v>12</v>
      </c>
      <c r="L76" t="s">
        <v>250</v>
      </c>
      <c r="M76" t="s">
        <v>153</v>
      </c>
    </row>
    <row r="77" spans="10:15" x14ac:dyDescent="0.2">
      <c r="J77" t="s">
        <v>324</v>
      </c>
      <c r="K77">
        <v>13</v>
      </c>
      <c r="L77" t="s">
        <v>275</v>
      </c>
      <c r="M77" t="s">
        <v>153</v>
      </c>
    </row>
    <row r="78" spans="10:15" x14ac:dyDescent="0.2">
      <c r="J78" t="s">
        <v>325</v>
      </c>
      <c r="K78">
        <v>14</v>
      </c>
      <c r="L78" t="s">
        <v>325</v>
      </c>
      <c r="M78" t="s">
        <v>153</v>
      </c>
    </row>
    <row r="79" spans="10:15" x14ac:dyDescent="0.2">
      <c r="J79" t="s">
        <v>326</v>
      </c>
      <c r="K79">
        <v>15</v>
      </c>
      <c r="L79" t="s">
        <v>327</v>
      </c>
      <c r="M79" t="s">
        <v>153</v>
      </c>
    </row>
    <row r="80" spans="10:15" x14ac:dyDescent="0.2">
      <c r="J80" t="s">
        <v>328</v>
      </c>
      <c r="K80">
        <v>16</v>
      </c>
      <c r="L80" t="s">
        <v>252</v>
      </c>
      <c r="M80" t="s">
        <v>153</v>
      </c>
    </row>
    <row r="81" spans="10:14" x14ac:dyDescent="0.2">
      <c r="J81" t="s">
        <v>329</v>
      </c>
      <c r="K81">
        <v>16</v>
      </c>
      <c r="L81" t="s">
        <v>330</v>
      </c>
      <c r="M81" t="s">
        <v>153</v>
      </c>
    </row>
    <row r="82" spans="10:14" x14ac:dyDescent="0.2">
      <c r="J82" t="s">
        <v>200</v>
      </c>
      <c r="K82">
        <v>17</v>
      </c>
      <c r="L82" t="s">
        <v>255</v>
      </c>
      <c r="M82" t="s">
        <v>153</v>
      </c>
    </row>
    <row r="83" spans="10:14" x14ac:dyDescent="0.2">
      <c r="J83" t="s">
        <v>331</v>
      </c>
      <c r="K83">
        <v>18</v>
      </c>
      <c r="L83" t="s">
        <v>281</v>
      </c>
      <c r="M83" t="s">
        <v>153</v>
      </c>
    </row>
    <row r="84" spans="10:14" x14ac:dyDescent="0.2">
      <c r="J84" t="s">
        <v>332</v>
      </c>
      <c r="K84">
        <v>19</v>
      </c>
      <c r="L84" t="s">
        <v>257</v>
      </c>
      <c r="M84" t="s">
        <v>153</v>
      </c>
    </row>
    <row r="85" spans="10:14" x14ac:dyDescent="0.2">
      <c r="J85" t="s">
        <v>333</v>
      </c>
      <c r="K85">
        <v>19</v>
      </c>
      <c r="L85" t="s">
        <v>334</v>
      </c>
      <c r="M85" t="s">
        <v>153</v>
      </c>
    </row>
    <row r="86" spans="10:14" x14ac:dyDescent="0.2">
      <c r="J86" t="s">
        <v>335</v>
      </c>
      <c r="K86">
        <v>21</v>
      </c>
      <c r="L86" t="s">
        <v>271</v>
      </c>
      <c r="M86" t="s">
        <v>153</v>
      </c>
    </row>
    <row r="87" spans="10:14" x14ac:dyDescent="0.2">
      <c r="J87" t="s">
        <v>336</v>
      </c>
      <c r="K87">
        <v>23</v>
      </c>
      <c r="L87" t="s">
        <v>337</v>
      </c>
      <c r="M87" t="s">
        <v>153</v>
      </c>
    </row>
    <row r="88" spans="10:14" x14ac:dyDescent="0.2">
      <c r="J88" t="s">
        <v>155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338</v>
      </c>
      <c r="K89">
        <v>27</v>
      </c>
      <c r="L89" t="s">
        <v>259</v>
      </c>
      <c r="M89" t="s">
        <v>153</v>
      </c>
    </row>
    <row r="90" spans="10:14" x14ac:dyDescent="0.2">
      <c r="J90" t="s">
        <v>136</v>
      </c>
      <c r="K90">
        <v>31</v>
      </c>
      <c r="L90" t="s">
        <v>114</v>
      </c>
      <c r="M90" t="s">
        <v>153</v>
      </c>
    </row>
    <row r="91" spans="10:14" x14ac:dyDescent="0.2">
      <c r="J91" t="s">
        <v>339</v>
      </c>
      <c r="K91">
        <v>37</v>
      </c>
      <c r="L91" t="s">
        <v>261</v>
      </c>
      <c r="M91" t="s">
        <v>153</v>
      </c>
    </row>
    <row r="92" spans="10:14" x14ac:dyDescent="0.2">
      <c r="J92" t="s">
        <v>340</v>
      </c>
      <c r="K92">
        <v>41</v>
      </c>
      <c r="L92" t="s">
        <v>283</v>
      </c>
      <c r="M92" t="s">
        <v>153</v>
      </c>
    </row>
    <row r="93" spans="10:14" x14ac:dyDescent="0.2">
      <c r="J93" t="s">
        <v>341</v>
      </c>
      <c r="K93">
        <v>51</v>
      </c>
      <c r="L93" t="s">
        <v>108</v>
      </c>
      <c r="M93" t="s">
        <v>153</v>
      </c>
    </row>
    <row r="94" spans="10:14" x14ac:dyDescent="0.2">
      <c r="J94" t="s">
        <v>342</v>
      </c>
      <c r="K94">
        <v>54</v>
      </c>
      <c r="L94" t="s">
        <v>279</v>
      </c>
      <c r="M94" t="s">
        <v>153</v>
      </c>
    </row>
    <row r="95" spans="10:14" x14ac:dyDescent="0.2">
      <c r="J95" t="s">
        <v>343</v>
      </c>
      <c r="K95">
        <v>58</v>
      </c>
      <c r="L95" t="s">
        <v>273</v>
      </c>
      <c r="M95" t="s">
        <v>153</v>
      </c>
    </row>
    <row r="96" spans="10:14" x14ac:dyDescent="0.2">
      <c r="J96" t="s">
        <v>344</v>
      </c>
      <c r="K96">
        <v>66</v>
      </c>
      <c r="L96" t="s">
        <v>286</v>
      </c>
      <c r="M96" t="s">
        <v>153</v>
      </c>
    </row>
    <row r="97" spans="10:13" x14ac:dyDescent="0.2">
      <c r="J97" t="s">
        <v>345</v>
      </c>
      <c r="K97">
        <v>69</v>
      </c>
      <c r="L97" t="s">
        <v>263</v>
      </c>
      <c r="M97" t="s">
        <v>153</v>
      </c>
    </row>
    <row r="98" spans="10:13" x14ac:dyDescent="0.2">
      <c r="J98" t="s">
        <v>346</v>
      </c>
      <c r="K98">
        <v>72</v>
      </c>
      <c r="L98" t="s">
        <v>158</v>
      </c>
      <c r="M98" t="s">
        <v>153</v>
      </c>
    </row>
    <row r="99" spans="10:13" x14ac:dyDescent="0.2">
      <c r="J99" t="s">
        <v>347</v>
      </c>
      <c r="K99">
        <v>75</v>
      </c>
      <c r="L99" t="s">
        <v>266</v>
      </c>
      <c r="M99" t="s">
        <v>153</v>
      </c>
    </row>
    <row r="100" spans="10:13" x14ac:dyDescent="0.2">
      <c r="J100" t="s">
        <v>348</v>
      </c>
      <c r="K100">
        <v>78</v>
      </c>
      <c r="L100" t="s">
        <v>277</v>
      </c>
      <c r="M100" t="s">
        <v>153</v>
      </c>
    </row>
    <row r="101" spans="10:13" x14ac:dyDescent="0.2">
      <c r="J101" t="s">
        <v>349</v>
      </c>
      <c r="K101">
        <v>80</v>
      </c>
      <c r="L101" t="s">
        <v>268</v>
      </c>
      <c r="M101" t="s">
        <v>153</v>
      </c>
    </row>
    <row r="102" spans="10:13" x14ac:dyDescent="0.2">
      <c r="J102" t="s">
        <v>350</v>
      </c>
      <c r="K102">
        <v>93</v>
      </c>
      <c r="L102" t="s">
        <v>288</v>
      </c>
      <c r="M102" t="s">
        <v>153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233</v>
      </c>
      <c r="K108">
        <v>28</v>
      </c>
      <c r="L108" t="s">
        <v>292</v>
      </c>
      <c r="M108" t="s">
        <v>40</v>
      </c>
    </row>
    <row r="109" spans="10:13" x14ac:dyDescent="0.2">
      <c r="J109" t="s">
        <v>309</v>
      </c>
      <c r="K109">
        <v>38</v>
      </c>
      <c r="L109" t="s">
        <v>153</v>
      </c>
      <c r="M109" t="s">
        <v>7</v>
      </c>
    </row>
    <row r="110" spans="10:13" x14ac:dyDescent="0.2">
      <c r="J110" t="s">
        <v>351</v>
      </c>
      <c r="K110">
        <v>25</v>
      </c>
      <c r="L110" t="s">
        <v>352</v>
      </c>
      <c r="M110" t="s">
        <v>29</v>
      </c>
    </row>
    <row r="111" spans="10:13" x14ac:dyDescent="0.2">
      <c r="J111" t="s">
        <v>353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354</v>
      </c>
      <c r="K113">
        <v>11</v>
      </c>
      <c r="L113" t="s">
        <v>42</v>
      </c>
    </row>
    <row r="114" spans="10:17" x14ac:dyDescent="0.2">
      <c r="J114" t="s">
        <v>355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356</v>
      </c>
      <c r="K116">
        <v>35</v>
      </c>
      <c r="L116" t="s">
        <v>7</v>
      </c>
    </row>
    <row r="117" spans="10:17" x14ac:dyDescent="0.2">
      <c r="J117" t="s">
        <v>357</v>
      </c>
      <c r="K117">
        <v>37</v>
      </c>
      <c r="L117" t="s">
        <v>355</v>
      </c>
      <c r="M117" t="s">
        <v>29</v>
      </c>
    </row>
    <row r="118" spans="10:17" x14ac:dyDescent="0.2">
      <c r="J118" t="s">
        <v>215</v>
      </c>
      <c r="K118">
        <v>59</v>
      </c>
      <c r="L118" t="s">
        <v>15</v>
      </c>
      <c r="M118" t="s">
        <v>0</v>
      </c>
      <c r="N118" t="s">
        <v>314</v>
      </c>
      <c r="O118" t="s">
        <v>358</v>
      </c>
    </row>
    <row r="119" spans="10:17" x14ac:dyDescent="0.2">
      <c r="J119" t="s">
        <v>359</v>
      </c>
      <c r="K119">
        <v>61</v>
      </c>
      <c r="L119" t="s">
        <v>360</v>
      </c>
      <c r="M119" t="s">
        <v>22</v>
      </c>
    </row>
    <row r="120" spans="10:17" x14ac:dyDescent="0.2">
      <c r="J120" t="s">
        <v>361</v>
      </c>
      <c r="K120">
        <v>65</v>
      </c>
      <c r="L120" t="s">
        <v>215</v>
      </c>
      <c r="M120" t="s">
        <v>29</v>
      </c>
    </row>
    <row r="121" spans="10:17" x14ac:dyDescent="0.2">
      <c r="J121" t="s">
        <v>362</v>
      </c>
      <c r="K121">
        <v>76</v>
      </c>
      <c r="L121" t="s">
        <v>363</v>
      </c>
      <c r="M121" t="s">
        <v>364</v>
      </c>
    </row>
    <row r="122" spans="10:17" x14ac:dyDescent="0.2">
      <c r="J122" t="s">
        <v>365</v>
      </c>
      <c r="K122">
        <v>81</v>
      </c>
      <c r="L122" t="s">
        <v>366</v>
      </c>
    </row>
    <row r="123" spans="10:17" x14ac:dyDescent="0.2">
      <c r="J123" t="s">
        <v>367</v>
      </c>
      <c r="K123">
        <v>83</v>
      </c>
      <c r="L123" t="s">
        <v>42</v>
      </c>
      <c r="M123" t="s">
        <v>19</v>
      </c>
      <c r="N123" t="s">
        <v>47</v>
      </c>
      <c r="O123" t="s">
        <v>366</v>
      </c>
      <c r="P123" t="s">
        <v>22</v>
      </c>
      <c r="Q123" t="s">
        <v>29</v>
      </c>
    </row>
    <row r="124" spans="10:17" x14ac:dyDescent="0.2">
      <c r="J124" t="s">
        <v>368</v>
      </c>
      <c r="K124">
        <v>91</v>
      </c>
      <c r="L124" t="s">
        <v>367</v>
      </c>
      <c r="M124" t="s">
        <v>44</v>
      </c>
    </row>
    <row r="125" spans="10:17" x14ac:dyDescent="0.2">
      <c r="J125" t="s">
        <v>369</v>
      </c>
      <c r="K125">
        <v>99</v>
      </c>
      <c r="L125" t="s">
        <v>370</v>
      </c>
      <c r="M125" t="s">
        <v>371</v>
      </c>
      <c r="N125" t="s">
        <v>372</v>
      </c>
      <c r="O125" t="s">
        <v>231</v>
      </c>
      <c r="P125" t="s">
        <v>373</v>
      </c>
    </row>
    <row r="130" spans="10:15" x14ac:dyDescent="0.2">
      <c r="J130" t="s">
        <v>374</v>
      </c>
      <c r="K130">
        <v>13</v>
      </c>
      <c r="L130" t="s">
        <v>358</v>
      </c>
    </row>
    <row r="131" spans="10:15" x14ac:dyDescent="0.2">
      <c r="J131" t="s">
        <v>375</v>
      </c>
      <c r="K131">
        <v>18</v>
      </c>
      <c r="L131" t="s">
        <v>40</v>
      </c>
    </row>
    <row r="132" spans="10:15" x14ac:dyDescent="0.2">
      <c r="J132" t="s">
        <v>376</v>
      </c>
      <c r="K132">
        <v>19</v>
      </c>
      <c r="L132" t="s">
        <v>352</v>
      </c>
      <c r="M132" t="s">
        <v>29</v>
      </c>
    </row>
    <row r="133" spans="10:15" x14ac:dyDescent="0.2">
      <c r="J133" t="s">
        <v>377</v>
      </c>
      <c r="K133">
        <v>28</v>
      </c>
      <c r="L133" t="s">
        <v>352</v>
      </c>
      <c r="M133" t="s">
        <v>144</v>
      </c>
    </row>
    <row r="134" spans="10:15" x14ac:dyDescent="0.2">
      <c r="J134" t="s">
        <v>378</v>
      </c>
      <c r="K134">
        <v>29</v>
      </c>
      <c r="L134" t="s">
        <v>379</v>
      </c>
    </row>
    <row r="135" spans="10:15" x14ac:dyDescent="0.2">
      <c r="J135" t="s">
        <v>380</v>
      </c>
      <c r="K135">
        <v>5</v>
      </c>
      <c r="L135" t="s">
        <v>47</v>
      </c>
    </row>
    <row r="136" spans="10:15" x14ac:dyDescent="0.2">
      <c r="J136" t="s">
        <v>381</v>
      </c>
      <c r="K136">
        <v>9</v>
      </c>
      <c r="L136" t="s">
        <v>19</v>
      </c>
    </row>
    <row r="137" spans="10:15" x14ac:dyDescent="0.2">
      <c r="J137" t="s">
        <v>382</v>
      </c>
      <c r="K137">
        <v>10</v>
      </c>
      <c r="L137" t="s">
        <v>42</v>
      </c>
    </row>
    <row r="138" spans="10:15" x14ac:dyDescent="0.2">
      <c r="J138" t="s">
        <v>383</v>
      </c>
      <c r="K138">
        <v>27</v>
      </c>
      <c r="L138" t="s">
        <v>22</v>
      </c>
    </row>
    <row r="139" spans="10:15" x14ac:dyDescent="0.2">
      <c r="J139" t="s">
        <v>384</v>
      </c>
      <c r="K139">
        <v>11</v>
      </c>
      <c r="L139" t="s">
        <v>385</v>
      </c>
    </row>
    <row r="140" spans="10:15" x14ac:dyDescent="0.2">
      <c r="J140" t="s">
        <v>386</v>
      </c>
      <c r="K140">
        <v>17</v>
      </c>
      <c r="L140" t="s">
        <v>29</v>
      </c>
    </row>
    <row r="141" spans="10:15" x14ac:dyDescent="0.2">
      <c r="J141" t="s">
        <v>172</v>
      </c>
      <c r="K141">
        <v>39</v>
      </c>
      <c r="L141" t="s">
        <v>19</v>
      </c>
      <c r="M141" t="s">
        <v>303</v>
      </c>
    </row>
    <row r="142" spans="10:15" x14ac:dyDescent="0.2">
      <c r="J142" t="s">
        <v>387</v>
      </c>
      <c r="K142">
        <v>73</v>
      </c>
      <c r="L142" t="s">
        <v>236</v>
      </c>
      <c r="M142" t="s">
        <v>44</v>
      </c>
      <c r="N142" t="s">
        <v>360</v>
      </c>
      <c r="O142" t="s">
        <v>2</v>
      </c>
    </row>
    <row r="143" spans="10:15" x14ac:dyDescent="0.2">
      <c r="J143" t="s">
        <v>388</v>
      </c>
      <c r="K143">
        <v>25</v>
      </c>
      <c r="L143" t="s">
        <v>15</v>
      </c>
    </row>
    <row r="144" spans="10:15" x14ac:dyDescent="0.2">
      <c r="J144" t="s">
        <v>148</v>
      </c>
      <c r="K144">
        <v>45</v>
      </c>
      <c r="L144" t="s">
        <v>389</v>
      </c>
    </row>
    <row r="145" spans="10:17" x14ac:dyDescent="0.2">
      <c r="J145" t="s">
        <v>390</v>
      </c>
      <c r="K145">
        <v>7</v>
      </c>
      <c r="L145" t="s">
        <v>163</v>
      </c>
    </row>
    <row r="146" spans="10:17" x14ac:dyDescent="0.2">
      <c r="J146" t="s">
        <v>391</v>
      </c>
      <c r="K146">
        <v>56</v>
      </c>
      <c r="L146" t="s">
        <v>163</v>
      </c>
      <c r="M146" t="s">
        <v>159</v>
      </c>
    </row>
    <row r="147" spans="10:17" x14ac:dyDescent="0.2">
      <c r="J147" t="s">
        <v>392</v>
      </c>
      <c r="K147">
        <v>54</v>
      </c>
      <c r="L147" t="s">
        <v>299</v>
      </c>
      <c r="M147" t="s">
        <v>390</v>
      </c>
    </row>
    <row r="148" spans="10:17" x14ac:dyDescent="0.2">
      <c r="J148" t="s">
        <v>393</v>
      </c>
      <c r="K148">
        <v>2</v>
      </c>
      <c r="L148" t="s">
        <v>26</v>
      </c>
    </row>
    <row r="149" spans="10:17" x14ac:dyDescent="0.2">
      <c r="J149" t="s">
        <v>394</v>
      </c>
      <c r="K149">
        <v>20</v>
      </c>
      <c r="L149" t="s">
        <v>26</v>
      </c>
      <c r="M149" t="s">
        <v>29</v>
      </c>
    </row>
    <row r="150" spans="10:17" x14ac:dyDescent="0.2">
      <c r="J150" t="s">
        <v>395</v>
      </c>
      <c r="K150">
        <v>70</v>
      </c>
      <c r="L150" t="s">
        <v>26</v>
      </c>
      <c r="M150" t="s">
        <v>299</v>
      </c>
    </row>
    <row r="151" spans="10:17" x14ac:dyDescent="0.2">
      <c r="J151" t="s">
        <v>396</v>
      </c>
      <c r="K151">
        <v>21</v>
      </c>
      <c r="L151" t="s">
        <v>26</v>
      </c>
      <c r="M151" t="s">
        <v>40</v>
      </c>
    </row>
    <row r="152" spans="10:17" x14ac:dyDescent="0.2">
      <c r="J152" t="s">
        <v>397</v>
      </c>
      <c r="K152">
        <v>32</v>
      </c>
      <c r="L152" t="s">
        <v>58</v>
      </c>
      <c r="M152" t="s">
        <v>235</v>
      </c>
    </row>
    <row r="153" spans="10:17" x14ac:dyDescent="0.2">
      <c r="J153" t="s">
        <v>91</v>
      </c>
      <c r="K153">
        <v>87</v>
      </c>
      <c r="L153" t="s">
        <v>163</v>
      </c>
      <c r="M153" t="s">
        <v>398</v>
      </c>
      <c r="N153" t="s">
        <v>293</v>
      </c>
      <c r="O153" t="s">
        <v>314</v>
      </c>
      <c r="P153" t="s">
        <v>315</v>
      </c>
    </row>
    <row r="154" spans="10:17" x14ac:dyDescent="0.2">
      <c r="J154" t="s">
        <v>67</v>
      </c>
      <c r="K154">
        <v>55</v>
      </c>
      <c r="L154" t="s">
        <v>26</v>
      </c>
      <c r="M154" t="s">
        <v>313</v>
      </c>
      <c r="N154" t="s">
        <v>314</v>
      </c>
      <c r="O154" t="s">
        <v>293</v>
      </c>
    </row>
    <row r="155" spans="10:17" x14ac:dyDescent="0.2">
      <c r="J155" t="s">
        <v>399</v>
      </c>
      <c r="K155">
        <v>97</v>
      </c>
      <c r="L155" t="s">
        <v>313</v>
      </c>
      <c r="M155" t="s">
        <v>303</v>
      </c>
      <c r="N155" t="s">
        <v>400</v>
      </c>
      <c r="O155" t="s">
        <v>363</v>
      </c>
      <c r="P155" t="s">
        <v>315</v>
      </c>
      <c r="Q155" t="s">
        <v>231</v>
      </c>
    </row>
    <row r="156" spans="10:17" x14ac:dyDescent="0.2">
      <c r="J156" t="s">
        <v>401</v>
      </c>
      <c r="K156">
        <v>98</v>
      </c>
      <c r="L156" t="s">
        <v>313</v>
      </c>
      <c r="M156" t="s">
        <v>42</v>
      </c>
      <c r="N156" t="s">
        <v>44</v>
      </c>
      <c r="O156" t="s">
        <v>402</v>
      </c>
      <c r="P156" t="s">
        <v>315</v>
      </c>
      <c r="Q156" t="s">
        <v>371</v>
      </c>
    </row>
    <row r="157" spans="10:17" x14ac:dyDescent="0.2">
      <c r="J157" t="s">
        <v>403</v>
      </c>
      <c r="K157">
        <v>89</v>
      </c>
      <c r="L157" t="s">
        <v>163</v>
      </c>
      <c r="M157" t="s">
        <v>315</v>
      </c>
      <c r="N157" t="s">
        <v>234</v>
      </c>
    </row>
    <row r="158" spans="10:17" x14ac:dyDescent="0.2">
      <c r="J158" t="s">
        <v>404</v>
      </c>
      <c r="K158">
        <v>94</v>
      </c>
      <c r="L158" t="s">
        <v>379</v>
      </c>
      <c r="M158" t="s">
        <v>2</v>
      </c>
      <c r="N158" t="s">
        <v>405</v>
      </c>
      <c r="O158" t="s">
        <v>406</v>
      </c>
      <c r="P158" t="s">
        <v>364</v>
      </c>
    </row>
    <row r="163" spans="10:15" x14ac:dyDescent="0.2">
      <c r="J163" t="s">
        <v>407</v>
      </c>
      <c r="K163">
        <v>2</v>
      </c>
      <c r="L163" t="s">
        <v>408</v>
      </c>
    </row>
    <row r="164" spans="10:15" x14ac:dyDescent="0.2">
      <c r="J164" t="s">
        <v>409</v>
      </c>
      <c r="K164">
        <v>29</v>
      </c>
      <c r="L164" t="s">
        <v>40</v>
      </c>
      <c r="M164" t="s">
        <v>29</v>
      </c>
    </row>
    <row r="165" spans="10:15" x14ac:dyDescent="0.2">
      <c r="J165" t="s">
        <v>410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411</v>
      </c>
      <c r="K166">
        <v>32</v>
      </c>
      <c r="L166" t="s">
        <v>163</v>
      </c>
      <c r="M166" t="s">
        <v>40</v>
      </c>
      <c r="N166" t="s">
        <v>29</v>
      </c>
    </row>
    <row r="167" spans="10:15" x14ac:dyDescent="0.2">
      <c r="J167" t="s">
        <v>412</v>
      </c>
      <c r="K167">
        <v>44</v>
      </c>
      <c r="L167" t="s">
        <v>163</v>
      </c>
      <c r="M167" t="s">
        <v>235</v>
      </c>
      <c r="N167" t="s">
        <v>40</v>
      </c>
      <c r="O167" t="s">
        <v>29</v>
      </c>
    </row>
    <row r="168" spans="10:15" x14ac:dyDescent="0.2">
      <c r="J168" t="s">
        <v>413</v>
      </c>
      <c r="K168">
        <v>15</v>
      </c>
      <c r="L168" t="s">
        <v>163</v>
      </c>
      <c r="M168" t="s">
        <v>41</v>
      </c>
    </row>
    <row r="169" spans="10:15" x14ac:dyDescent="0.2">
      <c r="J169" t="s">
        <v>414</v>
      </c>
      <c r="K169">
        <v>57</v>
      </c>
      <c r="L169" t="s">
        <v>163</v>
      </c>
      <c r="M169" t="s">
        <v>159</v>
      </c>
    </row>
    <row r="170" spans="10:15" x14ac:dyDescent="0.2">
      <c r="J170" t="s">
        <v>415</v>
      </c>
      <c r="K170">
        <v>23</v>
      </c>
      <c r="L170" t="s">
        <v>163</v>
      </c>
      <c r="M170" t="s">
        <v>40</v>
      </c>
    </row>
    <row r="171" spans="10:15" x14ac:dyDescent="0.2">
      <c r="J171" t="s">
        <v>416</v>
      </c>
      <c r="K171">
        <v>35</v>
      </c>
      <c r="L171" t="s">
        <v>163</v>
      </c>
      <c r="M171" t="s">
        <v>385</v>
      </c>
      <c r="N171" t="s">
        <v>40</v>
      </c>
      <c r="O171" t="s">
        <v>29</v>
      </c>
    </row>
    <row r="172" spans="10:15" x14ac:dyDescent="0.2">
      <c r="J172" t="s">
        <v>417</v>
      </c>
      <c r="K172">
        <v>82</v>
      </c>
      <c r="L172" t="s">
        <v>163</v>
      </c>
      <c r="M172" t="s">
        <v>281</v>
      </c>
      <c r="N172" t="s">
        <v>315</v>
      </c>
    </row>
    <row r="173" spans="10:15" x14ac:dyDescent="0.2">
      <c r="J173" t="s">
        <v>418</v>
      </c>
      <c r="K173">
        <v>90</v>
      </c>
      <c r="L173" t="s">
        <v>163</v>
      </c>
      <c r="M173" t="s">
        <v>315</v>
      </c>
      <c r="N173" t="s">
        <v>234</v>
      </c>
    </row>
    <row r="178" spans="10:16" x14ac:dyDescent="0.2">
      <c r="J178" t="s">
        <v>419</v>
      </c>
      <c r="K178">
        <v>10</v>
      </c>
      <c r="L178" t="s">
        <v>68</v>
      </c>
    </row>
    <row r="179" spans="10:16" x14ac:dyDescent="0.2">
      <c r="J179" t="s">
        <v>420</v>
      </c>
      <c r="K179">
        <v>20</v>
      </c>
      <c r="L179" t="s">
        <v>144</v>
      </c>
    </row>
    <row r="180" spans="10:16" x14ac:dyDescent="0.2">
      <c r="J180" t="s">
        <v>205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163</v>
      </c>
    </row>
    <row r="182" spans="10:16" x14ac:dyDescent="0.2">
      <c r="J182" t="s">
        <v>421</v>
      </c>
      <c r="K182">
        <v>27</v>
      </c>
      <c r="L182" t="s">
        <v>163</v>
      </c>
      <c r="M182" t="s">
        <v>19</v>
      </c>
    </row>
    <row r="183" spans="10:16" x14ac:dyDescent="0.2">
      <c r="J183" t="s">
        <v>422</v>
      </c>
      <c r="K183">
        <v>21</v>
      </c>
      <c r="L183" t="s">
        <v>58</v>
      </c>
    </row>
    <row r="184" spans="10:16" x14ac:dyDescent="0.2">
      <c r="J184" t="s">
        <v>423</v>
      </c>
      <c r="K184">
        <v>34</v>
      </c>
      <c r="L184" t="s">
        <v>163</v>
      </c>
      <c r="M184" t="s">
        <v>424</v>
      </c>
      <c r="N184" t="s">
        <v>40</v>
      </c>
      <c r="O184" t="s">
        <v>29</v>
      </c>
    </row>
    <row r="185" spans="10:16" x14ac:dyDescent="0.2">
      <c r="J185" t="s">
        <v>425</v>
      </c>
      <c r="K185">
        <v>43</v>
      </c>
      <c r="L185" t="s">
        <v>163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426</v>
      </c>
      <c r="K186">
        <v>36</v>
      </c>
      <c r="L186" t="s">
        <v>163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427</v>
      </c>
      <c r="K187">
        <v>47</v>
      </c>
      <c r="L187" t="s">
        <v>352</v>
      </c>
      <c r="M187" t="s">
        <v>31</v>
      </c>
      <c r="N187" t="s">
        <v>29</v>
      </c>
      <c r="O187" t="s">
        <v>144</v>
      </c>
    </row>
    <row r="188" spans="10:16" x14ac:dyDescent="0.2">
      <c r="J188" t="s">
        <v>213</v>
      </c>
      <c r="K188">
        <v>60</v>
      </c>
      <c r="L188" t="s">
        <v>163</v>
      </c>
      <c r="M188" t="s">
        <v>235</v>
      </c>
      <c r="N188" t="s">
        <v>309</v>
      </c>
      <c r="O188" t="s">
        <v>428</v>
      </c>
      <c r="P188" t="s">
        <v>11</v>
      </c>
    </row>
    <row r="189" spans="10:16" x14ac:dyDescent="0.2">
      <c r="J189" t="s">
        <v>149</v>
      </c>
      <c r="K189">
        <v>56</v>
      </c>
      <c r="L189" t="s">
        <v>163</v>
      </c>
      <c r="M189" t="s">
        <v>235</v>
      </c>
      <c r="N189" t="s">
        <v>309</v>
      </c>
      <c r="O189" t="s">
        <v>281</v>
      </c>
      <c r="P189" t="s">
        <v>275</v>
      </c>
    </row>
    <row r="190" spans="10:16" x14ac:dyDescent="0.2">
      <c r="J190" t="s">
        <v>429</v>
      </c>
      <c r="K190">
        <v>84</v>
      </c>
      <c r="L190" t="s">
        <v>26</v>
      </c>
      <c r="M190" t="s">
        <v>235</v>
      </c>
      <c r="N190" t="s">
        <v>29</v>
      </c>
      <c r="O190" t="s">
        <v>315</v>
      </c>
    </row>
    <row r="191" spans="10:16" x14ac:dyDescent="0.2">
      <c r="J191" t="s">
        <v>221</v>
      </c>
      <c r="K191">
        <v>39</v>
      </c>
      <c r="L191" t="s">
        <v>26</v>
      </c>
      <c r="M191" t="s">
        <v>281</v>
      </c>
      <c r="N191" t="s">
        <v>235</v>
      </c>
      <c r="O191" t="s">
        <v>275</v>
      </c>
      <c r="P191" t="s">
        <v>29</v>
      </c>
    </row>
    <row r="192" spans="10:16" x14ac:dyDescent="0.2">
      <c r="J192" t="s">
        <v>430</v>
      </c>
      <c r="K192">
        <v>85</v>
      </c>
      <c r="L192" t="s">
        <v>163</v>
      </c>
      <c r="M192" t="s">
        <v>235</v>
      </c>
      <c r="N192" t="s">
        <v>29</v>
      </c>
      <c r="O192" t="s">
        <v>315</v>
      </c>
    </row>
    <row r="193" spans="10:17" x14ac:dyDescent="0.2">
      <c r="J193" t="s">
        <v>431</v>
      </c>
      <c r="K193">
        <v>42</v>
      </c>
      <c r="L193" t="s">
        <v>163</v>
      </c>
      <c r="M193" t="s">
        <v>281</v>
      </c>
      <c r="N193" t="s">
        <v>235</v>
      </c>
      <c r="O193" t="s">
        <v>275</v>
      </c>
      <c r="P193" t="s">
        <v>29</v>
      </c>
    </row>
    <row r="194" spans="10:17" x14ac:dyDescent="0.2">
      <c r="J194" t="s">
        <v>432</v>
      </c>
      <c r="K194">
        <v>38</v>
      </c>
      <c r="L194" t="s">
        <v>163</v>
      </c>
      <c r="M194" t="s">
        <v>352</v>
      </c>
      <c r="N194" t="s">
        <v>40</v>
      </c>
      <c r="O194" t="s">
        <v>31</v>
      </c>
    </row>
    <row r="195" spans="10:17" x14ac:dyDescent="0.2">
      <c r="J195" t="s">
        <v>433</v>
      </c>
      <c r="K195">
        <v>45</v>
      </c>
      <c r="L195" t="s">
        <v>163</v>
      </c>
      <c r="M195" t="s">
        <v>31</v>
      </c>
      <c r="N195" t="s">
        <v>352</v>
      </c>
      <c r="O195" t="s">
        <v>385</v>
      </c>
      <c r="P195" t="s">
        <v>40</v>
      </c>
    </row>
    <row r="196" spans="10:17" x14ac:dyDescent="0.2">
      <c r="J196" t="s">
        <v>434</v>
      </c>
      <c r="K196">
        <v>54</v>
      </c>
      <c r="L196" t="s">
        <v>163</v>
      </c>
      <c r="M196" t="s">
        <v>31</v>
      </c>
      <c r="N196" t="s">
        <v>352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435</v>
      </c>
      <c r="K197">
        <v>46</v>
      </c>
      <c r="L197" t="s">
        <v>235</v>
      </c>
      <c r="M197" t="s">
        <v>40</v>
      </c>
      <c r="N197" t="s">
        <v>29</v>
      </c>
      <c r="O197" t="s">
        <v>352</v>
      </c>
    </row>
    <row r="198" spans="10:17" x14ac:dyDescent="0.2">
      <c r="J198" t="s">
        <v>436</v>
      </c>
      <c r="K198">
        <v>48</v>
      </c>
      <c r="L198" t="s">
        <v>163</v>
      </c>
      <c r="M198" t="s">
        <v>385</v>
      </c>
      <c r="N198" t="s">
        <v>31</v>
      </c>
      <c r="O198" t="s">
        <v>352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3"/>
  <sheetViews>
    <sheetView workbookViewId="0">
      <selection activeCell="I82" sqref="I82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1" spans="2:19" x14ac:dyDescent="0.2">
      <c r="G1" s="3" t="s">
        <v>483</v>
      </c>
      <c r="H1" s="1" t="s">
        <v>482</v>
      </c>
    </row>
    <row r="2" spans="2:19" x14ac:dyDescent="0.2">
      <c r="B2" s="7" t="s">
        <v>217</v>
      </c>
      <c r="C2" s="7">
        <v>3</v>
      </c>
      <c r="G2" s="2" t="s">
        <v>62</v>
      </c>
      <c r="H2" s="1" t="s">
        <v>88</v>
      </c>
      <c r="J2" s="6"/>
      <c r="K2" s="6"/>
      <c r="N2" s="1" t="e">
        <f>IF(H2&lt;&gt;"",VLOOKUP(H2,[1]ItemData!$A$4:$B$336,2,FALSE),"")</f>
        <v>#N/A</v>
      </c>
      <c r="O2" s="7" t="str">
        <f>IF(I2&lt;&gt;"",VLOOKUP(I2,[1]ItemData!$A$4:$B$336,2,FALSE),"")</f>
        <v/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S2" s="1" t="e">
        <f>IF(N2&lt;&gt;"",N2&amp;IF(O2&lt;&gt;"",","&amp;O2,"")&amp;IF(P2&lt;&gt;"",","&amp;P2,"")&amp;IF(Q2&lt;&gt;"",","&amp;Q2,""),"")</f>
        <v>#N/A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IF(H3&lt;&gt;"",VLOOKUP(H3,[1]ItemData!$A$4:$B$336,2,FALSE),"")</f>
        <v>1024</v>
      </c>
      <c r="O3" s="7" t="str">
        <f>IF(I3&lt;&gt;"",VLOOKUP(I3,[1]ItemData!$A$4:$B$336,2,FALSE),"")</f>
        <v/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IF(H4&lt;&gt;"",VLOOKUP(H4,[1]ItemData!$A$4:$B$336,2,FALSE),"")</f>
        <v/>
      </c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S4" s="7" t="str">
        <f t="shared" si="0"/>
        <v/>
      </c>
    </row>
    <row r="5" spans="2:19" x14ac:dyDescent="0.2">
      <c r="B5" s="7" t="s">
        <v>219</v>
      </c>
      <c r="C5" s="7">
        <v>3</v>
      </c>
      <c r="E5" s="1" t="s">
        <v>179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IF(H5&lt;&gt;"",VLOOKUP(H5,[1]ItemData!$A$4:$B$536,2,FALSE),"")</f>
        <v>1001</v>
      </c>
      <c r="O5" s="7">
        <f>IF(I5&lt;&gt;"",VLOOKUP(I5,[1]ItemData!$A$4:$B$536,2,FALSE),"")</f>
        <v>3002</v>
      </c>
      <c r="P5" s="7" t="str">
        <f>IF(J5&lt;&gt;"",VLOOKUP(J5,[1]ItemData!$A$4:$B$336,2,FALSE),"")</f>
        <v/>
      </c>
      <c r="Q5" s="7" t="str">
        <f>IF(K5&lt;&gt;"",VLOOKUP(K5,[1]ItemData!$A$4:$B$336,2,FALSE),"")</f>
        <v/>
      </c>
      <c r="S5" s="7" t="str">
        <f t="shared" si="0"/>
        <v>1001,3002</v>
      </c>
    </row>
    <row r="6" spans="2:19" x14ac:dyDescent="0.2">
      <c r="B6" s="7" t="s">
        <v>220</v>
      </c>
      <c r="C6" s="7">
        <v>3</v>
      </c>
      <c r="E6" s="7" t="s">
        <v>179</v>
      </c>
      <c r="G6" s="4" t="s">
        <v>52</v>
      </c>
      <c r="H6" s="6" t="s">
        <v>1</v>
      </c>
      <c r="I6" s="7" t="s">
        <v>4</v>
      </c>
      <c r="J6" s="5" t="s">
        <v>209</v>
      </c>
      <c r="K6" s="1" t="s">
        <v>218</v>
      </c>
      <c r="L6" s="8">
        <f t="shared" si="1"/>
        <v>4</v>
      </c>
      <c r="M6" s="7"/>
      <c r="N6" s="7">
        <f>IF(H6&lt;&gt;"",VLOOKUP(H6,[1]ItemData!$A$4:$B$536,2,FALSE),"")</f>
        <v>1002</v>
      </c>
      <c r="O6" s="7">
        <f>IF(I6&lt;&gt;"",VLOOKUP(I6,[1]ItemData!$A$4:$B$536,2,FALSE),"")</f>
        <v>1005</v>
      </c>
      <c r="P6" s="7">
        <f>IF(J6&lt;&gt;"",VLOOKUP(J6,[1]ItemData!$A$4:$B$336,2,FALSE),"")</f>
        <v>1009</v>
      </c>
      <c r="Q6" s="7">
        <f>IF(K6&lt;&gt;"",VLOOKUP(K6,[1]ItemData!$A$4:$B$336,2,FALSE),"")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179</v>
      </c>
      <c r="F7" s="14"/>
      <c r="G7" s="4" t="s">
        <v>57</v>
      </c>
      <c r="H7" s="1" t="s">
        <v>223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IF(H7&lt;&gt;"",VLOOKUP(H7,[1]ItemData!$A$4:$B$536,2,FALSE),"")</f>
        <v>3112</v>
      </c>
      <c r="O7" s="7">
        <f>IF(I7&lt;&gt;"",VLOOKUP(I7,[1]ItemData!$A$4:$B$536,2,FALSE),"")</f>
        <v>1002</v>
      </c>
      <c r="P7" s="7">
        <f>IF(J7&lt;&gt;"",VLOOKUP(J7,[1]ItemData!$A$4:$B$336,2,FALSE),"")</f>
        <v>1006</v>
      </c>
      <c r="Q7" s="7">
        <f>IF(K7&lt;&gt;"",VLOOKUP(K7,[1]ItemData!$A$4:$B$336,2,FALSE),"")</f>
        <v>1008</v>
      </c>
      <c r="S7" s="7" t="str">
        <f t="shared" si="0"/>
        <v>3112,1002,1006,1008</v>
      </c>
    </row>
    <row r="8" spans="2:19" x14ac:dyDescent="0.2">
      <c r="B8" s="7" t="s">
        <v>211</v>
      </c>
      <c r="C8" s="7">
        <v>2</v>
      </c>
      <c r="E8" s="7" t="s">
        <v>179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IF(H8&lt;&gt;"",VLOOKUP(H8,[1]ItemData!$A$4:$B$536,2,FALSE),"")</f>
        <v>1004</v>
      </c>
      <c r="O8" s="7">
        <f>IF(I8&lt;&gt;"",VLOOKUP(I8,[1]ItemData!$A$4:$B$536,2,FALSE),"")</f>
        <v>3002</v>
      </c>
      <c r="P8" s="7" t="str">
        <f>IF(J8&lt;&gt;"",VLOOKUP(J8,[1]ItemData!$A$4:$B$336,2,FALSE),"")</f>
        <v/>
      </c>
      <c r="Q8" s="7" t="str">
        <f>IF(K8&lt;&gt;"",VLOOKUP(K8,[1]ItemData!$A$4:$B$336,2,FALSE),"")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180</v>
      </c>
      <c r="F9" s="1" t="s">
        <v>486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IF(H9&lt;&gt;"",VLOOKUP(H9,[1]ItemData!$A$4:$B$536,2,FALSE),"")</f>
        <v>3009</v>
      </c>
      <c r="O9" s="7">
        <f>IF(I9&lt;&gt;"",VLOOKUP(I9,[1]ItemData!$A$4:$B$536,2,FALSE),"")</f>
        <v>3008</v>
      </c>
      <c r="P9" s="7">
        <f>IF(J9&lt;&gt;"",VLOOKUP(J9,[1]ItemData!$A$4:$B$336,2,FALSE),"")</f>
        <v>1003</v>
      </c>
      <c r="Q9" s="7">
        <f>IF(K9&lt;&gt;"",VLOOKUP(K9,[1]ItemData!$A$4:$B$336,2,FALSE),"")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210</v>
      </c>
      <c r="F10" s="7" t="s">
        <v>486</v>
      </c>
      <c r="G10" s="4" t="s">
        <v>475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IF(H10&lt;&gt;"",VLOOKUP(H10,[1]ItemData!$A$4:$B$536,2,FALSE),"")</f>
        <v>3009</v>
      </c>
      <c r="O10" s="7">
        <f>IF(I10&lt;&gt;"",VLOOKUP(I10,[1]ItemData!$A$4:$B$536,2,FALSE),"")</f>
        <v>3007</v>
      </c>
      <c r="P10" s="7">
        <f>IF(J10&lt;&gt;"",VLOOKUP(J10,[1]ItemData!$A$4:$B$336,2,FALSE),"")</f>
        <v>3005</v>
      </c>
      <c r="Q10" s="7" t="str">
        <f>IF(K10&lt;&gt;"",VLOOKUP(K10,[1]ItemData!$A$4:$B$336,2,FALSE),"")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210</v>
      </c>
      <c r="F11" s="7" t="s">
        <v>486</v>
      </c>
      <c r="G11" s="4" t="s">
        <v>474</v>
      </c>
      <c r="H11" s="5" t="s">
        <v>62</v>
      </c>
      <c r="I11" s="7" t="s">
        <v>38</v>
      </c>
      <c r="J11" s="7" t="s">
        <v>11</v>
      </c>
      <c r="K11" s="7" t="s">
        <v>442</v>
      </c>
      <c r="L11" s="8"/>
      <c r="M11" s="7"/>
      <c r="N11" s="7">
        <f>IF(H11&lt;&gt;"",VLOOKUP(H11,[1]ItemData!$A$4:$B$536,2,FALSE),"")</f>
        <v>3009</v>
      </c>
      <c r="O11" s="7">
        <f>IF(I11&lt;&gt;"",VLOOKUP(I11,[1]ItemData!$A$4:$B$536,2,FALSE),"")</f>
        <v>3130</v>
      </c>
      <c r="P11" s="7">
        <f>IF(J11&lt;&gt;"",VLOOKUP(J11,[1]ItemData!$A$4:$B$336,2,FALSE),"")</f>
        <v>1013</v>
      </c>
      <c r="Q11" s="7">
        <f>IF(K11&lt;&gt;"",VLOOKUP(K11,[1]ItemData!$A$4:$B$336,2,FALSE),"")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179</v>
      </c>
      <c r="G12" s="4" t="s">
        <v>443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IF(H12&lt;&gt;"",VLOOKUP(H12,[1]ItemData!$A$4:$B$536,2,FALSE),"")</f>
        <v>1006</v>
      </c>
      <c r="O12" s="7">
        <f>IF(I12&lt;&gt;"",VLOOKUP(I12,[1]ItemData!$A$4:$B$536,2,FALSE),"")</f>
        <v>3002</v>
      </c>
      <c r="P12" s="7" t="str">
        <f>IF(J12&lt;&gt;"",VLOOKUP(J12,[1]ItemData!$A$4:$B$336,2,FALSE),"")</f>
        <v/>
      </c>
      <c r="Q12" s="7" t="str">
        <f>IF(K12&lt;&gt;"",VLOOKUP(K12,[1]ItemData!$A$4:$B$336,2,FALSE),"")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181</v>
      </c>
      <c r="F13" s="7" t="s">
        <v>486</v>
      </c>
      <c r="G13" s="4" t="s">
        <v>444</v>
      </c>
      <c r="H13" s="1" t="s">
        <v>6</v>
      </c>
      <c r="L13" s="8">
        <f t="shared" si="1"/>
        <v>1</v>
      </c>
      <c r="N13" s="7">
        <f>IF(H13&lt;&gt;"",VLOOKUP(H13,[1]ItemData!$A$4:$B$536,2,FALSE),"")</f>
        <v>1007</v>
      </c>
      <c r="O13" s="7" t="str">
        <f>IF(I13&lt;&gt;"",VLOOKUP(I13,[1]ItemData!$A$4:$B$536,2,FALSE),"")</f>
        <v/>
      </c>
      <c r="P13" s="7" t="str">
        <f>IF(J13&lt;&gt;"",VLOOKUP(J13,[1]ItemData!$A$4:$B$336,2,FALSE),"")</f>
        <v/>
      </c>
      <c r="Q13" s="7" t="str">
        <f>IF(K13&lt;&gt;"",VLOOKUP(K13,[1]ItemData!$A$4:$B$336,2,FALSE),"")</f>
        <v/>
      </c>
      <c r="S13" s="7" t="str">
        <f t="shared" si="0"/>
        <v>1007</v>
      </c>
    </row>
    <row r="14" spans="2:19" x14ac:dyDescent="0.2">
      <c r="B14" s="7" t="s">
        <v>214</v>
      </c>
      <c r="C14" s="7">
        <v>2</v>
      </c>
      <c r="E14" s="7" t="s">
        <v>180</v>
      </c>
      <c r="F14" s="7" t="s">
        <v>486</v>
      </c>
      <c r="G14" s="4" t="s">
        <v>445</v>
      </c>
      <c r="H14" s="1" t="s">
        <v>64</v>
      </c>
      <c r="L14" s="8">
        <f t="shared" si="1"/>
        <v>1</v>
      </c>
      <c r="N14" s="7">
        <f>IF(H14&lt;&gt;"",VLOOKUP(H14,[1]ItemData!$A$4:$B$536,2,FALSE),"")</f>
        <v>3007</v>
      </c>
      <c r="O14" s="7" t="str">
        <f>IF(I14&lt;&gt;"",VLOOKUP(I14,[1]ItemData!$A$4:$B$536,2,FALSE),"")</f>
        <v/>
      </c>
      <c r="P14" s="7" t="str">
        <f>IF(J14&lt;&gt;"",VLOOKUP(J14,[1]ItemData!$A$4:$B$336,2,FALSE),"")</f>
        <v/>
      </c>
      <c r="Q14" s="7" t="str">
        <f>IF(K14&lt;&gt;"",VLOOKUP(K14,[1]ItemData!$A$4:$B$336,2,FALSE),"")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181</v>
      </c>
      <c r="F15" s="7" t="s">
        <v>487</v>
      </c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IF(H15&lt;&gt;"",VLOOKUP(H15,[1]ItemData!$A$4:$B$536,2,FALSE),"")</f>
        <v>1003</v>
      </c>
      <c r="O15" s="7">
        <f>IF(I15&lt;&gt;"",VLOOKUP(I15,[1]ItemData!$A$4:$B$536,2,FALSE),"")</f>
        <v>3008</v>
      </c>
      <c r="P15" s="7">
        <f>IF(J15&lt;&gt;"",VLOOKUP(J15,[1]ItemData!$A$4:$B$336,2,FALSE),"")</f>
        <v>1011</v>
      </c>
      <c r="Q15" s="7" t="str">
        <f>IF(K15&lt;&gt;"",VLOOKUP(K15,[1]ItemData!$A$4:$B$336,2,FALSE),"")</f>
        <v/>
      </c>
      <c r="S15" s="7" t="str">
        <f t="shared" si="0"/>
        <v>1003,3008,1011</v>
      </c>
    </row>
    <row r="16" spans="2:19" x14ac:dyDescent="0.2">
      <c r="B16" s="7" t="s">
        <v>208</v>
      </c>
      <c r="C16" s="7">
        <v>2</v>
      </c>
      <c r="E16" s="7" t="s">
        <v>179</v>
      </c>
      <c r="F16" s="14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IF(H16&lt;&gt;"",VLOOKUP(H16,[1]ItemData!$A$4:$B$536,2,FALSE),"")</f>
        <v>3113</v>
      </c>
      <c r="O16" s="7">
        <f>IF(I16&lt;&gt;"",VLOOKUP(I16,[1]ItemData!$A$4:$B$536,2,FALSE),"")</f>
        <v>3000</v>
      </c>
      <c r="P16" s="7" t="str">
        <f>IF(J16&lt;&gt;"",VLOOKUP(J16,[1]ItemData!$A$4:$B$336,2,FALSE),"")</f>
        <v/>
      </c>
      <c r="Q16" s="7" t="str">
        <f>IF(K16&lt;&gt;"",VLOOKUP(K16,[1]ItemData!$A$4:$B$336,2,FALSE),"")</f>
        <v/>
      </c>
      <c r="S16" s="7" t="str">
        <f t="shared" si="0"/>
        <v>3113,3000</v>
      </c>
    </row>
    <row r="17" spans="2:19" x14ac:dyDescent="0.2">
      <c r="B17" s="7" t="s">
        <v>206</v>
      </c>
      <c r="C17" s="7">
        <v>3</v>
      </c>
      <c r="E17" s="7" t="s">
        <v>181</v>
      </c>
      <c r="F17" s="14" t="s">
        <v>485</v>
      </c>
      <c r="G17" s="4" t="s">
        <v>437</v>
      </c>
      <c r="H17" s="5" t="s">
        <v>61</v>
      </c>
      <c r="I17" s="5" t="s">
        <v>170</v>
      </c>
      <c r="J17" s="7"/>
      <c r="K17" s="7"/>
      <c r="L17" s="8"/>
      <c r="N17" s="7">
        <f>IF(H17&lt;&gt;"",VLOOKUP(H17,[1]ItemData!$A$4:$B$536,2,FALSE),"")</f>
        <v>3009</v>
      </c>
      <c r="O17" s="7">
        <f>IF(I17&lt;&gt;"",VLOOKUP(I17,[1]ItemData!$A$4:$B$536,2,FALSE),"")</f>
        <v>200</v>
      </c>
      <c r="P17" s="7" t="str">
        <f>IF(J17&lt;&gt;"",VLOOKUP(J17,[1]ItemData!$A$4:$B$336,2,FALSE),"")</f>
        <v/>
      </c>
      <c r="Q17" s="7" t="str">
        <f>IF(K17&lt;&gt;"",VLOOKUP(K17,[1]ItemData!$A$4:$B$336,2,FALSE),"")</f>
        <v/>
      </c>
      <c r="S17" s="7" t="str">
        <f t="shared" si="0"/>
        <v>3009,200</v>
      </c>
    </row>
    <row r="18" spans="2:19" x14ac:dyDescent="0.2">
      <c r="B18" s="7" t="s">
        <v>164</v>
      </c>
      <c r="C18" s="7">
        <v>2</v>
      </c>
      <c r="E18" s="7" t="s">
        <v>181</v>
      </c>
      <c r="F18" s="14" t="s">
        <v>485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IF(H18&lt;&gt;"",VLOOKUP(H18,[1]ItemData!$A$4:$B$536,2,FALSE),"")</f>
        <v>3011</v>
      </c>
      <c r="O18" s="7" t="str">
        <f>IF(I18&lt;&gt;"",VLOOKUP(I18,[1]ItemData!$A$4:$B$536,2,FALSE),"")</f>
        <v/>
      </c>
      <c r="P18" s="7" t="str">
        <f>IF(J18&lt;&gt;"",VLOOKUP(J18,[1]ItemData!$A$4:$B$336,2,FALSE),"")</f>
        <v/>
      </c>
      <c r="Q18" s="7" t="str">
        <f>IF(K18&lt;&gt;"",VLOOKUP(K18,[1]ItemData!$A$4:$B$336,2,FALSE),"")</f>
        <v/>
      </c>
      <c r="S18" s="7" t="str">
        <f t="shared" si="0"/>
        <v>3011</v>
      </c>
    </row>
    <row r="19" spans="2:19" x14ac:dyDescent="0.2">
      <c r="B19" s="7" t="s">
        <v>196</v>
      </c>
      <c r="C19" s="7">
        <v>2</v>
      </c>
      <c r="E19" s="7" t="s">
        <v>181</v>
      </c>
      <c r="F19" s="14" t="s">
        <v>485</v>
      </c>
      <c r="G19" s="4" t="s">
        <v>75</v>
      </c>
      <c r="H19" s="5" t="s">
        <v>77</v>
      </c>
      <c r="I19" s="7" t="s">
        <v>63</v>
      </c>
      <c r="J19" s="7" t="s">
        <v>195</v>
      </c>
      <c r="L19" s="8">
        <f t="shared" si="1"/>
        <v>3</v>
      </c>
      <c r="N19" s="7">
        <f>IF(H19&lt;&gt;"",VLOOKUP(H19,[1]ItemData!$A$4:$B$536,2,FALSE),"")</f>
        <v>1016</v>
      </c>
      <c r="O19" s="7">
        <f>IF(I19&lt;&gt;"",VLOOKUP(I19,[1]ItemData!$A$4:$B$536,2,FALSE),"")</f>
        <v>3008</v>
      </c>
      <c r="P19" s="7">
        <f>IF(J19&lt;&gt;"",VLOOKUP(J19,[1]ItemData!$A$4:$B$336,2,FALSE),"")</f>
        <v>3002</v>
      </c>
      <c r="Q19" s="7" t="str">
        <f>IF(K19&lt;&gt;"",VLOOKUP(K19,[1]ItemData!$A$4:$B$336,2,FALSE),"")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179</v>
      </c>
      <c r="F20" s="14"/>
      <c r="G20" s="4" t="s">
        <v>473</v>
      </c>
      <c r="H20" s="5" t="s">
        <v>438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IF(H20&lt;&gt;"",VLOOKUP(H20,[1]ItemData!$A$4:$B$536,2,FALSE),"")</f>
        <v>3112</v>
      </c>
      <c r="O20" s="7">
        <f>IF(I20&lt;&gt;"",VLOOKUP(I20,[1]ItemData!$A$4:$B$536,2,FALSE),"")</f>
        <v>1008</v>
      </c>
      <c r="P20" s="7">
        <f>IF(J20&lt;&gt;"",VLOOKUP(J20,[1]ItemData!$A$4:$B$336,2,FALSE),"")</f>
        <v>3114</v>
      </c>
      <c r="Q20" s="7">
        <f>IF(K20&lt;&gt;"",VLOOKUP(K20,[1]ItemData!$A$4:$B$336,2,FALSE),"")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179</v>
      </c>
      <c r="F21" s="7"/>
      <c r="G21" s="4" t="s">
        <v>446</v>
      </c>
      <c r="H21" s="5" t="s">
        <v>439</v>
      </c>
      <c r="I21" s="7" t="s">
        <v>186</v>
      </c>
      <c r="J21" s="7" t="s">
        <v>9</v>
      </c>
      <c r="K21" s="7" t="s">
        <v>38</v>
      </c>
      <c r="L21" s="8"/>
      <c r="M21" s="7"/>
      <c r="N21" s="7">
        <f>IF(H21&lt;&gt;"",VLOOKUP(H21,[1]ItemData!$A$4:$B$536,2,FALSE),"")</f>
        <v>3112</v>
      </c>
      <c r="O21" s="7">
        <f>IF(I21&lt;&gt;"",VLOOKUP(I21,[1]ItemData!$A$4:$B$536,2,FALSE),"")</f>
        <v>3166</v>
      </c>
      <c r="P21" s="7">
        <f>IF(J21&lt;&gt;"",VLOOKUP(J21,[1]ItemData!$A$4:$B$336,2,FALSE),"")</f>
        <v>1011</v>
      </c>
      <c r="Q21" s="7">
        <f>IF(K21&lt;&gt;"",VLOOKUP(K21,[1]ItemData!$A$4:$B$336,2,FALSE),"")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180</v>
      </c>
      <c r="F22" s="1" t="s">
        <v>485</v>
      </c>
      <c r="G22" s="4" t="s">
        <v>447</v>
      </c>
      <c r="H22" s="6" t="s">
        <v>176</v>
      </c>
      <c r="I22" s="7" t="s">
        <v>78</v>
      </c>
      <c r="L22" s="8">
        <v>3</v>
      </c>
      <c r="N22" s="7">
        <f>IF(H22&lt;&gt;"",VLOOKUP(H22,[1]ItemData!$A$4:$B$536,2,FALSE),"")</f>
        <v>1015</v>
      </c>
      <c r="O22" s="7">
        <f>IF(I22&lt;&gt;"",VLOOKUP(I22,[1]ItemData!$A$4:$B$536,2,FALSE),"")</f>
        <v>3011</v>
      </c>
      <c r="P22" s="7" t="str">
        <f>IF(J22&lt;&gt;"",VLOOKUP(J22,[1]ItemData!$A$4:$B$336,2,FALSE),"")</f>
        <v/>
      </c>
      <c r="Q22" s="7" t="str">
        <f>IF(K22&lt;&gt;"",VLOOKUP(K22,[1]ItemData!$A$4:$B$336,2,FALSE),"")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180</v>
      </c>
      <c r="F23" s="7" t="s">
        <v>485</v>
      </c>
      <c r="G23" s="4" t="s">
        <v>222</v>
      </c>
      <c r="H23" s="7" t="s">
        <v>71</v>
      </c>
      <c r="I23" s="7" t="s">
        <v>147</v>
      </c>
      <c r="J23" s="7" t="s">
        <v>140</v>
      </c>
      <c r="K23" s="5" t="s">
        <v>30</v>
      </c>
      <c r="L23" s="8"/>
      <c r="M23" s="7"/>
      <c r="N23" s="7">
        <f>IF(H23&lt;&gt;"",VLOOKUP(H23,[1]ItemData!$A$4:$B$536,2,FALSE),"")</f>
        <v>3000</v>
      </c>
      <c r="O23" s="7">
        <f>IF(I23&lt;&gt;"",VLOOKUP(I23,[1]ItemData!$A$4:$B$536,2,FALSE),"")</f>
        <v>4105</v>
      </c>
      <c r="P23" s="7">
        <f>IF(J23&lt;&gt;"",VLOOKUP(J23,[1]ItemData!$A$4:$B$336,2,FALSE),"")</f>
        <v>4115</v>
      </c>
      <c r="Q23" s="7">
        <f>IF(K23&lt;&gt;"",VLOOKUP(K23,[1]ItemData!$A$4:$B$336,2,FALSE),"")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181</v>
      </c>
      <c r="F24" s="7" t="s">
        <v>485</v>
      </c>
      <c r="G24" s="4" t="s">
        <v>448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IF(H24&lt;&gt;"",VLOOKUP(H24,[1]ItemData!$A$4:$B$536,2,FALSE),"")</f>
        <v>1019</v>
      </c>
      <c r="O24" s="7">
        <f>IF(I24&lt;&gt;"",VLOOKUP(I24,[1]ItemData!$A$4:$B$536,2,FALSE),"")</f>
        <v>3011</v>
      </c>
      <c r="P24" s="7" t="str">
        <f>IF(J24&lt;&gt;"",VLOOKUP(J24,[1]ItemData!$A$4:$B$336,2,FALSE),"")</f>
        <v/>
      </c>
      <c r="Q24" s="7" t="str">
        <f>IF(K24&lt;&gt;"",VLOOKUP(K24,[1]ItemData!$A$4:$B$336,2,FALSE),"")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182</v>
      </c>
      <c r="F25" s="7"/>
      <c r="G25" s="4" t="s">
        <v>216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IF(H25&lt;&gt;"",VLOOKUP(H25,[1]ItemData!$A$4:$B$536,2,FALSE),"")</f>
        <v>1001</v>
      </c>
      <c r="O25" s="7">
        <f>IF(I25&lt;&gt;"",VLOOKUP(I25,[1]ItemData!$A$4:$B$536,2,FALSE),"")</f>
        <v>1006</v>
      </c>
      <c r="P25" s="7">
        <f>IF(J25&lt;&gt;"",VLOOKUP(J25,[1]ItemData!$A$4:$B$336,2,FALSE),"")</f>
        <v>1004</v>
      </c>
      <c r="Q25" s="7">
        <f>IF(K25&lt;&gt;"",VLOOKUP(K25,[1]ItemData!$A$4:$B$336,2,FALSE),"")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182</v>
      </c>
      <c r="G26" s="4" t="s">
        <v>174</v>
      </c>
      <c r="H26" s="6" t="s">
        <v>449</v>
      </c>
      <c r="L26" s="8">
        <f t="shared" si="1"/>
        <v>1</v>
      </c>
      <c r="N26" s="7">
        <f>IF(H26&lt;&gt;"",VLOOKUP(H26,[1]ItemData!$A$4:$B$536,2,FALSE),"")</f>
        <v>1010</v>
      </c>
      <c r="O26" s="7" t="str">
        <f>IF(I26&lt;&gt;"",VLOOKUP(I26,[1]ItemData!$A$4:$B$536,2,FALSE),"")</f>
        <v/>
      </c>
      <c r="P26" s="7" t="str">
        <f>IF(J26&lt;&gt;"",VLOOKUP(J26,[1]ItemData!$A$4:$B$336,2,FALSE),"")</f>
        <v/>
      </c>
      <c r="Q26" s="7" t="str">
        <f>IF(K26&lt;&gt;"",VLOOKUP(K26,[1]ItemData!$A$4:$B$336,2,FALSE),"")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182</v>
      </c>
      <c r="G27" s="4" t="s">
        <v>450</v>
      </c>
      <c r="H27" s="6" t="s">
        <v>10</v>
      </c>
      <c r="L27" s="8">
        <f t="shared" si="1"/>
        <v>1</v>
      </c>
      <c r="M27" s="7"/>
      <c r="N27" s="7">
        <f>IF(H27&lt;&gt;"",VLOOKUP(H27,[1]ItemData!$A$4:$B$536,2,FALSE),"")</f>
        <v>1012</v>
      </c>
      <c r="O27" s="7" t="str">
        <f>IF(I27&lt;&gt;"",VLOOKUP(I27,[1]ItemData!$A$4:$B$536,2,FALSE),"")</f>
        <v/>
      </c>
      <c r="P27" s="7" t="str">
        <f>IF(J27&lt;&gt;"",VLOOKUP(J27,[1]ItemData!$A$4:$B$336,2,FALSE),"")</f>
        <v/>
      </c>
      <c r="Q27" s="7" t="str">
        <f>IF(K27&lt;&gt;"",VLOOKUP(K27,[1]ItemData!$A$4:$B$336,2,FALSE),"")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182</v>
      </c>
      <c r="G28" s="4" t="s">
        <v>451</v>
      </c>
      <c r="H28" s="6" t="s">
        <v>19</v>
      </c>
      <c r="L28" s="8">
        <f t="shared" si="1"/>
        <v>1</v>
      </c>
      <c r="N28" s="7">
        <f>IF(H28&lt;&gt;"",VLOOKUP(H28,[1]ItemData!$A$4:$B$536,2,FALSE),"")</f>
        <v>1022</v>
      </c>
      <c r="O28" s="7" t="str">
        <f>IF(I28&lt;&gt;"",VLOOKUP(I28,[1]ItemData!$A$4:$B$536,2,FALSE),"")</f>
        <v/>
      </c>
      <c r="P28" s="7" t="str">
        <f>IF(J28&lt;&gt;"",VLOOKUP(J28,[1]ItemData!$A$4:$B$336,2,FALSE),"")</f>
        <v/>
      </c>
      <c r="Q28" s="7" t="str">
        <f>IF(K28&lt;&gt;"",VLOOKUP(K28,[1]ItemData!$A$4:$B$336,2,FALSE),"")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182</v>
      </c>
      <c r="G29" s="4" t="s">
        <v>173</v>
      </c>
      <c r="H29" s="6" t="s">
        <v>20</v>
      </c>
      <c r="L29" s="8">
        <f t="shared" si="1"/>
        <v>1</v>
      </c>
      <c r="N29" s="7">
        <f>IF(H29&lt;&gt;"",VLOOKUP(H29,[1]ItemData!$A$4:$B$536,2,FALSE),"")</f>
        <v>1023</v>
      </c>
      <c r="O29" s="7" t="str">
        <f>IF(I29&lt;&gt;"",VLOOKUP(I29,[1]ItemData!$A$4:$B$536,2,FALSE),"")</f>
        <v/>
      </c>
      <c r="P29" s="7" t="str">
        <f>IF(J29&lt;&gt;"",VLOOKUP(J29,[1]ItemData!$A$4:$B$336,2,FALSE),"")</f>
        <v/>
      </c>
      <c r="Q29" s="7" t="str">
        <f>IF(K29&lt;&gt;"",VLOOKUP(K29,[1]ItemData!$A$4:$B$336,2,FALSE),"")</f>
        <v/>
      </c>
      <c r="S29" s="7" t="str">
        <f t="shared" si="0"/>
        <v>1023</v>
      </c>
    </row>
    <row r="30" spans="2:19" x14ac:dyDescent="0.2">
      <c r="E30" s="7" t="s">
        <v>182</v>
      </c>
      <c r="G30" s="4" t="s">
        <v>452</v>
      </c>
      <c r="H30" s="1" t="s">
        <v>22</v>
      </c>
      <c r="L30" s="8">
        <f t="shared" si="1"/>
        <v>1</v>
      </c>
      <c r="N30" s="7">
        <f>IF(H30&lt;&gt;"",VLOOKUP(H30,[1]ItemData!$A$4:$B$536,2,FALSE),"")</f>
        <v>1025</v>
      </c>
      <c r="O30" s="7" t="str">
        <f>IF(I30&lt;&gt;"",VLOOKUP(I30,[1]ItemData!$A$4:$B$536,2,FALSE),"")</f>
        <v/>
      </c>
      <c r="P30" s="7" t="str">
        <f>IF(J30&lt;&gt;"",VLOOKUP(J30,[1]ItemData!$A$4:$B$336,2,FALSE),"")</f>
        <v/>
      </c>
      <c r="Q30" s="7" t="str">
        <f>IF(K30&lt;&gt;"",VLOOKUP(K30,[1]ItemData!$A$4:$B$336,2,FALSE),"")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182</v>
      </c>
      <c r="G31" s="4" t="s">
        <v>453</v>
      </c>
      <c r="H31" s="1" t="s">
        <v>23</v>
      </c>
      <c r="L31" s="8">
        <f t="shared" si="1"/>
        <v>1</v>
      </c>
      <c r="N31" s="7">
        <f>IF(H31&lt;&gt;"",VLOOKUP(H31,[1]ItemData!$A$4:$B$536,2,FALSE),"")</f>
        <v>1026</v>
      </c>
      <c r="O31" s="7" t="str">
        <f>IF(I31&lt;&gt;"",VLOOKUP(I31,[1]ItemData!$A$4:$B$536,2,FALSE),"")</f>
        <v/>
      </c>
      <c r="P31" s="7" t="str">
        <f>IF(J31&lt;&gt;"",VLOOKUP(J31,[1]ItemData!$A$4:$B$336,2,FALSE),"")</f>
        <v/>
      </c>
      <c r="Q31" s="7" t="str">
        <f>IF(K31&lt;&gt;"",VLOOKUP(K31,[1]ItemData!$A$4:$B$336,2,FALSE),"")</f>
        <v/>
      </c>
      <c r="S31" s="7" t="str">
        <f t="shared" si="0"/>
        <v>1026</v>
      </c>
    </row>
    <row r="32" spans="2:19" x14ac:dyDescent="0.2">
      <c r="B32" s="7" t="s">
        <v>194</v>
      </c>
      <c r="C32" s="7">
        <v>9</v>
      </c>
      <c r="E32" s="7" t="s">
        <v>182</v>
      </c>
      <c r="F32" s="7"/>
      <c r="G32" s="4" t="s">
        <v>192</v>
      </c>
      <c r="H32" s="7" t="s">
        <v>16</v>
      </c>
      <c r="J32" s="7"/>
      <c r="K32" s="7"/>
      <c r="L32" s="8"/>
      <c r="N32" s="7">
        <f>IF(H32&lt;&gt;"",VLOOKUP(H32,[1]ItemData!$A$4:$B$536,2,FALSE),"")</f>
        <v>1019</v>
      </c>
      <c r="O32" s="7" t="str">
        <f>IF(I32&lt;&gt;"",VLOOKUP(I32,[1]ItemData!$A$4:$B$536,2,FALSE),"")</f>
        <v/>
      </c>
      <c r="P32" s="7" t="str">
        <f>IF(J32&lt;&gt;"",VLOOKUP(J32,[1]ItemData!$A$4:$B$336,2,FALSE),"")</f>
        <v/>
      </c>
      <c r="Q32" s="7" t="str">
        <f>IF(K32&lt;&gt;"",VLOOKUP(K32,[1]ItemData!$A$4:$B$336,2,FALSE),"")</f>
        <v/>
      </c>
      <c r="S32" s="7" t="str">
        <f t="shared" si="0"/>
        <v>1019</v>
      </c>
    </row>
    <row r="33" spans="1:19" x14ac:dyDescent="0.2">
      <c r="B33" s="7" t="s">
        <v>195</v>
      </c>
      <c r="C33" s="7">
        <v>9</v>
      </c>
      <c r="E33" s="7" t="s">
        <v>181</v>
      </c>
      <c r="F33" s="1" t="s">
        <v>487</v>
      </c>
      <c r="G33" s="4" t="s">
        <v>454</v>
      </c>
      <c r="H33" s="1" t="s">
        <v>204</v>
      </c>
      <c r="I33" s="7" t="s">
        <v>45</v>
      </c>
      <c r="L33" s="8">
        <f t="shared" si="1"/>
        <v>2</v>
      </c>
      <c r="N33" s="7">
        <f>IF(H33&lt;&gt;"",VLOOKUP(H33,[1]ItemData!$A$4:$B$536,2,FALSE),"")</f>
        <v>1027</v>
      </c>
      <c r="O33" s="7">
        <f>IF(I33&lt;&gt;"",VLOOKUP(I33,[1]ItemData!$A$4:$B$536,2,FALSE),"")</f>
        <v>3005</v>
      </c>
      <c r="P33" s="7" t="str">
        <f>IF(J33&lt;&gt;"",VLOOKUP(J33,[1]ItemData!$A$4:$B$336,2,FALSE),"")</f>
        <v/>
      </c>
      <c r="Q33" s="7" t="str">
        <f>IF(K33&lt;&gt;"",VLOOKUP(K33,[1]ItemData!$A$4:$B$336,2,FALSE),"")</f>
        <v/>
      </c>
      <c r="S33" s="7" t="str">
        <f t="shared" si="0"/>
        <v>1027,3005</v>
      </c>
    </row>
    <row r="34" spans="1:19" x14ac:dyDescent="0.2">
      <c r="B34" s="7" t="s">
        <v>166</v>
      </c>
      <c r="C34" s="7">
        <v>11</v>
      </c>
      <c r="E34" s="7" t="s">
        <v>182</v>
      </c>
      <c r="G34" s="4" t="s">
        <v>455</v>
      </c>
      <c r="H34" s="1" t="s">
        <v>25</v>
      </c>
      <c r="L34" s="8">
        <f t="shared" si="1"/>
        <v>1</v>
      </c>
      <c r="N34" s="7">
        <f>IF(H34&lt;&gt;"",VLOOKUP(H34,[1]ItemData!$A$4:$B$536,2,FALSE),"")</f>
        <v>1028</v>
      </c>
      <c r="O34" s="7" t="str">
        <f>IF(I34&lt;&gt;"",VLOOKUP(I34,[1]ItemData!$A$4:$B$536,2,FALSE),"")</f>
        <v/>
      </c>
      <c r="P34" s="7" t="str">
        <f>IF(J34&lt;&gt;"",VLOOKUP(J34,[1]ItemData!$A$4:$B$336,2,FALSE),"")</f>
        <v/>
      </c>
      <c r="Q34" s="7" t="str">
        <f>IF(K34&lt;&gt;"",VLOOKUP(K34,[1]ItemData!$A$4:$B$336,2,FALSE),"")</f>
        <v/>
      </c>
      <c r="S34" s="7" t="str">
        <f t="shared" si="0"/>
        <v>1028</v>
      </c>
    </row>
    <row r="35" spans="1:19" x14ac:dyDescent="0.2">
      <c r="A35" s="7"/>
      <c r="B35" s="7" t="s">
        <v>171</v>
      </c>
      <c r="C35" s="7">
        <v>9</v>
      </c>
      <c r="D35" s="7"/>
      <c r="E35" s="7" t="s">
        <v>182</v>
      </c>
      <c r="F35" s="14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IF(H35&lt;&gt;"",VLOOKUP(H35,[1]ItemData!$A$4:$B$536,2,FALSE),"")</f>
        <v>3006</v>
      </c>
      <c r="O35" s="7" t="str">
        <f>IF(I35&lt;&gt;"",VLOOKUP(I35,[1]ItemData!$A$4:$B$536,2,FALSE),"")</f>
        <v/>
      </c>
      <c r="P35" s="7" t="str">
        <f>IF(J35&lt;&gt;"",VLOOKUP(J35,[1]ItemData!$A$4:$B$336,2,FALSE),"")</f>
        <v/>
      </c>
      <c r="Q35" s="7" t="str">
        <f>IF(K35&lt;&gt;"",VLOOKUP(K35,[1]ItemData!$A$4:$B$336,2,FALSE),"")</f>
        <v/>
      </c>
      <c r="S35" s="7" t="str">
        <f t="shared" si="0"/>
        <v>3006</v>
      </c>
    </row>
    <row r="36" spans="1:19" x14ac:dyDescent="0.2">
      <c r="E36" s="6" t="s">
        <v>183</v>
      </c>
      <c r="F36" s="14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IF(H36&lt;&gt;"",VLOOKUP(H36,[1]ItemData!$A$4:$B$536,2,FALSE),"")</f>
        <v>3006</v>
      </c>
      <c r="O36" s="7">
        <f>IF(I36&lt;&gt;"",VLOOKUP(I36,[1]ItemData!$A$4:$B$536,2,FALSE),"")</f>
        <v>3001</v>
      </c>
      <c r="P36" s="7" t="str">
        <f>IF(J36&lt;&gt;"",VLOOKUP(J36,[1]ItemData!$A$4:$B$336,2,FALSE),"")</f>
        <v/>
      </c>
      <c r="Q36" s="7" t="str">
        <f>IF(K36&lt;&gt;"",VLOOKUP(K36,[1]ItemData!$A$4:$B$336,2,FALSE),"")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181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IF(H37&lt;&gt;"",VLOOKUP(H37,[1]ItemData!$A$4:$B$536,2,FALSE),"")</f>
        <v>1013</v>
      </c>
      <c r="O37" s="7">
        <f>IF(I37&lt;&gt;"",VLOOKUP(I37,[1]ItemData!$A$4:$B$536,2,FALSE),"")</f>
        <v>1016</v>
      </c>
      <c r="P37" s="7">
        <f>IF(J37&lt;&gt;"",VLOOKUP(J37,[1]ItemData!$A$4:$B$336,2,FALSE),"")</f>
        <v>1003</v>
      </c>
      <c r="Q37" s="7">
        <f>IF(K37&lt;&gt;"",VLOOKUP(K37,[1]ItemData!$A$4:$B$336,2,FALSE),"")</f>
        <v>3002</v>
      </c>
      <c r="S37" s="7" t="str">
        <f t="shared" si="0"/>
        <v>1013,1016,1003,3002</v>
      </c>
    </row>
    <row r="38" spans="1:19" x14ac:dyDescent="0.2">
      <c r="B38" s="7" t="s">
        <v>198</v>
      </c>
      <c r="C38" s="7">
        <v>5</v>
      </c>
      <c r="E38" s="7" t="s">
        <v>180</v>
      </c>
      <c r="F38" s="1" t="s">
        <v>485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IF(H38&lt;&gt;"",VLOOKUP(H38,[1]ItemData!$A$4:$B$536,2,FALSE),"")</f>
        <v>3009</v>
      </c>
      <c r="O38" s="7">
        <f>IF(I38&lt;&gt;"",VLOOKUP(I38,[1]ItemData!$A$4:$B$536,2,FALSE),"")</f>
        <v>3008</v>
      </c>
      <c r="P38" s="7">
        <f>IF(J38&lt;&gt;"",VLOOKUP(J38,[1]ItemData!$A$4:$B$336,2,FALSE),"")</f>
        <v>1002</v>
      </c>
      <c r="Q38" s="7">
        <f>IF(K38&lt;&gt;"",VLOOKUP(K38,[1]ItemData!$A$4:$B$336,2,FALSE),"")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180</v>
      </c>
      <c r="F39" s="1" t="s">
        <v>485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IF(H39&lt;&gt;"",VLOOKUP(H39,[1]ItemData!$A$4:$B$536,2,FALSE),"")</f>
        <v>1005</v>
      </c>
      <c r="O39" s="7">
        <f>IF(I39&lt;&gt;"",VLOOKUP(I39,[1]ItemData!$A$4:$B$536,2,FALSE),"")</f>
        <v>1018</v>
      </c>
      <c r="P39" s="7">
        <f>IF(J39&lt;&gt;"",VLOOKUP(J39,[1]ItemData!$A$4:$B$336,2,FALSE),"")</f>
        <v>1028</v>
      </c>
      <c r="Q39" s="7">
        <f>IF(K39&lt;&gt;"",VLOOKUP(K39,[1]ItemData!$A$4:$B$336,2,FALSE),"")</f>
        <v>3011</v>
      </c>
      <c r="S39" s="7" t="str">
        <f t="shared" si="0"/>
        <v>1005,1018,1028,3011</v>
      </c>
    </row>
    <row r="40" spans="1:19" x14ac:dyDescent="0.2">
      <c r="B40" s="7" t="s">
        <v>199</v>
      </c>
      <c r="C40" s="7">
        <v>6</v>
      </c>
      <c r="E40" s="7" t="s">
        <v>181</v>
      </c>
      <c r="F40" s="7" t="s">
        <v>485</v>
      </c>
      <c r="G40" s="4" t="s">
        <v>456</v>
      </c>
      <c r="H40" s="1" t="s">
        <v>164</v>
      </c>
      <c r="L40" s="8">
        <f t="shared" si="1"/>
        <v>1</v>
      </c>
      <c r="N40" s="7">
        <f>IF(H40&lt;&gt;"",VLOOKUP(H40,[1]ItemData!$A$4:$B$536,2,FALSE),"")</f>
        <v>1017</v>
      </c>
      <c r="O40" s="7" t="str">
        <f>IF(I40&lt;&gt;"",VLOOKUP(I40,[1]ItemData!$A$4:$B$536,2,FALSE),"")</f>
        <v/>
      </c>
      <c r="P40" s="7" t="str">
        <f>IF(J40&lt;&gt;"",VLOOKUP(J40,[1]ItemData!$A$4:$B$336,2,FALSE),"")</f>
        <v/>
      </c>
      <c r="Q40" s="7" t="str">
        <f>IF(K40&lt;&gt;"",VLOOKUP(K40,[1]ItemData!$A$4:$B$336,2,FALSE),"")</f>
        <v/>
      </c>
      <c r="S40" s="7" t="str">
        <f t="shared" si="0"/>
        <v>1017</v>
      </c>
    </row>
    <row r="41" spans="1:19" x14ac:dyDescent="0.2">
      <c r="E41" s="7" t="s">
        <v>180</v>
      </c>
      <c r="F41" s="7" t="s">
        <v>485</v>
      </c>
      <c r="G41" s="4" t="s">
        <v>94</v>
      </c>
      <c r="H41" s="5" t="s">
        <v>25</v>
      </c>
      <c r="I41" s="7" t="s">
        <v>4</v>
      </c>
      <c r="J41" s="6" t="s">
        <v>55</v>
      </c>
      <c r="K41" s="12" t="s">
        <v>490</v>
      </c>
      <c r="L41" s="8">
        <f t="shared" si="1"/>
        <v>4</v>
      </c>
      <c r="N41" s="7">
        <f>IF(H41&lt;&gt;"",VLOOKUP(H41,[1]ItemData!$A$4:$B$536,2,FALSE),"")</f>
        <v>1028</v>
      </c>
      <c r="O41" s="7">
        <f>IF(I41&lt;&gt;"",VLOOKUP(I41,[1]ItemData!$A$4:$B$536,2,FALSE),"")</f>
        <v>1005</v>
      </c>
      <c r="P41" s="7">
        <f>IF(J41&lt;&gt;"",VLOOKUP(J41,[1]ItemData!$A$4:$B$336,2,FALSE),"")</f>
        <v>1008</v>
      </c>
      <c r="Q41" s="7">
        <f>IF(K41&lt;&gt;"",VLOOKUP(K41,[1]ItemData!$A$4:$B$336,2,FALSE),"")</f>
        <v>200</v>
      </c>
      <c r="S41" s="7" t="str">
        <f t="shared" si="0"/>
        <v>1028,1005,1008,200</v>
      </c>
    </row>
    <row r="42" spans="1:19" x14ac:dyDescent="0.2">
      <c r="B42" s="1" t="s">
        <v>41</v>
      </c>
      <c r="E42" s="7" t="s">
        <v>180</v>
      </c>
      <c r="F42" s="7" t="s">
        <v>485</v>
      </c>
      <c r="G42" s="4" t="s">
        <v>97</v>
      </c>
      <c r="H42" s="1" t="s">
        <v>12</v>
      </c>
      <c r="I42" s="7" t="s">
        <v>98</v>
      </c>
      <c r="J42" s="5" t="s">
        <v>209</v>
      </c>
      <c r="K42" s="12" t="s">
        <v>170</v>
      </c>
      <c r="L42" s="8">
        <f t="shared" si="1"/>
        <v>4</v>
      </c>
      <c r="N42" s="7">
        <f>IF(H42&lt;&gt;"",VLOOKUP(H42,[1]ItemData!$A$4:$B$536,2,FALSE),"")</f>
        <v>1014</v>
      </c>
      <c r="O42" s="7">
        <f>IF(I42&lt;&gt;"",VLOOKUP(I42,[1]ItemData!$A$4:$B$536,2,FALSE),"")</f>
        <v>3008</v>
      </c>
      <c r="P42" s="7">
        <f>IF(J42&lt;&gt;"",VLOOKUP(J42,[1]ItemData!$A$4:$B$336,2,FALSE),"")</f>
        <v>1009</v>
      </c>
      <c r="Q42" s="7">
        <f>IF(K42&lt;&gt;"",VLOOKUP(K42,[1]ItemData!$A$4:$B$336,2,FALSE),"")</f>
        <v>200</v>
      </c>
      <c r="S42" s="7" t="str">
        <f t="shared" si="0"/>
        <v>1014,3008,1009,200</v>
      </c>
    </row>
    <row r="43" spans="1:19" x14ac:dyDescent="0.2">
      <c r="B43" s="7" t="s">
        <v>42</v>
      </c>
      <c r="E43" s="7" t="s">
        <v>182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IF(H43&lt;&gt;"",VLOOKUP(H43,[1]ItemData!$A$4:$B$536,2,FALSE),"")</f>
        <v>3006</v>
      </c>
      <c r="O43" s="7">
        <f>IF(I43&lt;&gt;"",VLOOKUP(I43,[1]ItemData!$A$4:$B$536,2,FALSE),"")</f>
        <v>3125</v>
      </c>
      <c r="P43" s="7" t="str">
        <f>IF(J43&lt;&gt;"",VLOOKUP(J43,[1]ItemData!$A$4:$B$336,2,FALSE),"")</f>
        <v/>
      </c>
      <c r="Q43" s="7" t="str">
        <f>IF(K43&lt;&gt;"",VLOOKUP(K43,[1]ItemData!$A$4:$B$336,2,FALSE),"")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182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IF(H44&lt;&gt;"",VLOOKUP(H44,[1]ItemData!$A$4:$B$536,2,FALSE),"")</f>
        <v>1026</v>
      </c>
      <c r="O44" s="7">
        <f>IF(I44&lt;&gt;"",VLOOKUP(I44,[1]ItemData!$A$4:$B$536,2,FALSE),"")</f>
        <v>1025</v>
      </c>
      <c r="P44" s="7">
        <f>IF(J44&lt;&gt;"",VLOOKUP(J44,[1]ItemData!$A$4:$B$336,2,FALSE),"")</f>
        <v>3005</v>
      </c>
      <c r="Q44" s="7" t="str">
        <f>IF(K44&lt;&gt;"",VLOOKUP(K44,[1]ItemData!$A$4:$B$336,2,FALSE),"")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179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IF(H45&lt;&gt;"",VLOOKUP(H45,[1]ItemData!$A$4:$B$536,2,FALSE),"")</f>
        <v>3000</v>
      </c>
      <c r="O45" s="7">
        <f>IF(I45&lt;&gt;"",VLOOKUP(I45,[1]ItemData!$A$4:$B$536,2,FALSE),"")</f>
        <v>4021</v>
      </c>
      <c r="P45" s="7">
        <f>IF(J45&lt;&gt;"",VLOOKUP(J45,[1]ItemData!$A$4:$B$336,2,FALSE),"")</f>
        <v>3113</v>
      </c>
      <c r="Q45" s="7" t="str">
        <f>IF(K45&lt;&gt;"",VLOOKUP(K45,[1]ItemData!$A$4:$B$336,2,FALSE),"")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182</v>
      </c>
      <c r="G46" s="4" t="s">
        <v>167</v>
      </c>
      <c r="H46" s="1" t="s">
        <v>87</v>
      </c>
      <c r="I46" s="7" t="s">
        <v>169</v>
      </c>
      <c r="J46" s="7" t="s">
        <v>171</v>
      </c>
      <c r="L46" s="8">
        <v>4</v>
      </c>
      <c r="N46" s="7">
        <f>IF(H46&lt;&gt;"",VLOOKUP(H46,[1]ItemData!$A$4:$B$536,2,FALSE),"")</f>
        <v>3010</v>
      </c>
      <c r="O46" s="7">
        <f>IF(I46&lt;&gt;"",VLOOKUP(I46,[1]ItemData!$A$4:$B$536,2,FALSE),"")</f>
        <v>3006</v>
      </c>
      <c r="P46" s="7">
        <f>IF(J46&lt;&gt;"",VLOOKUP(J46,[1]ItemData!$A$4:$B$336,2,FALSE),"")</f>
        <v>200</v>
      </c>
      <c r="Q46" s="7" t="str">
        <f>IF(K46&lt;&gt;"",VLOOKUP(K46,[1]ItemData!$A$4:$B$336,2,FALSE),"")</f>
        <v/>
      </c>
      <c r="S46" s="7" t="str">
        <f t="shared" si="0"/>
        <v>3010,3006,200</v>
      </c>
    </row>
    <row r="47" spans="1:19" x14ac:dyDescent="0.2">
      <c r="B47" s="7" t="s">
        <v>70</v>
      </c>
      <c r="C47" s="7">
        <v>1</v>
      </c>
      <c r="E47" s="7" t="s">
        <v>182</v>
      </c>
      <c r="G47" s="4" t="s">
        <v>168</v>
      </c>
      <c r="H47" s="7" t="s">
        <v>87</v>
      </c>
      <c r="I47" s="7" t="s">
        <v>197</v>
      </c>
      <c r="L47" s="8">
        <v>4</v>
      </c>
      <c r="N47" s="7">
        <f>IF(H47&lt;&gt;"",VLOOKUP(H47,[1]ItemData!$A$4:$B$536,2,FALSE),"")</f>
        <v>3010</v>
      </c>
      <c r="O47" s="7">
        <f>IF(I47&lt;&gt;"",VLOOKUP(I47,[1]ItemData!$A$4:$B$536,2,FALSE),"")</f>
        <v>200</v>
      </c>
      <c r="P47" s="7" t="str">
        <f>IF(J47&lt;&gt;"",VLOOKUP(J47,[1]ItemData!$A$4:$B$336,2,FALSE),"")</f>
        <v/>
      </c>
      <c r="Q47" s="7" t="str">
        <f>IF(K47&lt;&gt;"",VLOOKUP(K47,[1]ItemData!$A$4:$B$336,2,FALSE),"")</f>
        <v/>
      </c>
      <c r="S47" s="7" t="str">
        <f t="shared" si="0"/>
        <v>3010,200</v>
      </c>
    </row>
    <row r="48" spans="1:19" x14ac:dyDescent="0.2">
      <c r="B48" s="7" t="s">
        <v>126</v>
      </c>
      <c r="C48" s="7">
        <v>1</v>
      </c>
      <c r="E48" s="7" t="s">
        <v>183</v>
      </c>
      <c r="F48" s="1" t="s">
        <v>484</v>
      </c>
      <c r="G48" s="4" t="s">
        <v>457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IF(H48&lt;&gt;"",VLOOKUP(H48,[1]ItemData!$A$4:$B$536,2,FALSE),"")</f>
        <v>3123</v>
      </c>
      <c r="O48" s="7">
        <f>IF(I48&lt;&gt;"",VLOOKUP(I48,[1]ItemData!$A$4:$B$536,2,FALSE),"")</f>
        <v>3001</v>
      </c>
      <c r="P48" s="7" t="str">
        <f>IF(J48&lt;&gt;"",VLOOKUP(J48,[1]ItemData!$A$4:$B$336,2,FALSE),"")</f>
        <v/>
      </c>
      <c r="Q48" s="7" t="str">
        <f>IF(K48&lt;&gt;"",VLOOKUP(K48,[1]ItemData!$A$4:$B$336,2,FALSE),"")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183</v>
      </c>
      <c r="F49" s="7" t="s">
        <v>484</v>
      </c>
      <c r="G49" s="4" t="s">
        <v>458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IF(H49&lt;&gt;"",VLOOKUP(H49,[1]ItemData!$A$4:$B$536,2,FALSE),"")</f>
        <v>1015</v>
      </c>
      <c r="O49" s="7">
        <f>IF(I49&lt;&gt;"",VLOOKUP(I49,[1]ItemData!$A$4:$B$536,2,FALSE),"")</f>
        <v>3001</v>
      </c>
      <c r="P49" s="7" t="str">
        <f>IF(J49&lt;&gt;"",VLOOKUP(J49,[1]ItemData!$A$4:$B$336,2,FALSE),"")</f>
        <v/>
      </c>
      <c r="Q49" s="7" t="str">
        <f>IF(K49&lt;&gt;"",VLOOKUP(K49,[1]ItemData!$A$4:$B$336,2,FALSE),"")</f>
        <v/>
      </c>
      <c r="S49" s="7" t="str">
        <f t="shared" si="0"/>
        <v>1015,3001</v>
      </c>
    </row>
    <row r="50" spans="2:19" x14ac:dyDescent="0.2">
      <c r="B50" s="7" t="s">
        <v>187</v>
      </c>
      <c r="C50" s="7">
        <v>1</v>
      </c>
      <c r="E50" s="7" t="s">
        <v>183</v>
      </c>
      <c r="F50" s="7" t="s">
        <v>484</v>
      </c>
      <c r="G50" s="4" t="s">
        <v>459</v>
      </c>
      <c r="H50" s="1" t="s">
        <v>177</v>
      </c>
      <c r="I50" s="7" t="s">
        <v>178</v>
      </c>
      <c r="J50" s="7" t="s">
        <v>27</v>
      </c>
      <c r="L50" s="8">
        <f t="shared" si="2"/>
        <v>3</v>
      </c>
      <c r="N50" s="7" t="e">
        <f>IF(H50&lt;&gt;"",VLOOKUP(H50,[1]ItemData!$A$4:$B$536,2,FALSE),"")</f>
        <v>#N/A</v>
      </c>
      <c r="O50" s="7">
        <f>IF(I50&lt;&gt;"",VLOOKUP(I50,[1]ItemData!$A$4:$B$536,2,FALSE),"")</f>
        <v>1021</v>
      </c>
      <c r="P50" s="7">
        <f>IF(J50&lt;&gt;"",VLOOKUP(J50,[1]ItemData!$A$4:$B$336,2,FALSE),"")</f>
        <v>3001</v>
      </c>
      <c r="Q50" s="7" t="str">
        <f>IF(K50&lt;&gt;"",VLOOKUP(K50,[1]ItemData!$A$4:$B$336,2,FALSE),"")</f>
        <v/>
      </c>
      <c r="S50" s="7" t="e">
        <f t="shared" si="0"/>
        <v>#N/A</v>
      </c>
    </row>
    <row r="51" spans="2:19" x14ac:dyDescent="0.2">
      <c r="B51" s="7" t="s">
        <v>128</v>
      </c>
      <c r="C51" s="7">
        <v>1</v>
      </c>
      <c r="E51" s="7" t="s">
        <v>183</v>
      </c>
      <c r="F51" s="7" t="s">
        <v>484</v>
      </c>
      <c r="G51" s="4" t="s">
        <v>175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IF(H51&lt;&gt;"",VLOOKUP(H51,[1]ItemData!$A$4:$B$536,2,FALSE),"")</f>
        <v>3129</v>
      </c>
      <c r="O51" s="7">
        <f>IF(I51&lt;&gt;"",VLOOKUP(I51,[1]ItemData!$A$4:$B$536,2,FALSE),"")</f>
        <v>3001</v>
      </c>
      <c r="P51" s="7" t="str">
        <f>IF(J51&lt;&gt;"",VLOOKUP(J51,[1]ItemData!$A$4:$B$336,2,FALSE),"")</f>
        <v/>
      </c>
      <c r="Q51" s="7" t="str">
        <f>IF(K51&lt;&gt;"",VLOOKUP(K51,[1]ItemData!$A$4:$B$336,2,FALSE),"")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183</v>
      </c>
      <c r="F52" s="7" t="s">
        <v>484</v>
      </c>
      <c r="G52" s="4" t="s">
        <v>207</v>
      </c>
      <c r="H52" s="1" t="s">
        <v>45</v>
      </c>
      <c r="I52" s="7" t="s">
        <v>178</v>
      </c>
      <c r="J52" s="7" t="s">
        <v>27</v>
      </c>
      <c r="K52" s="7"/>
      <c r="L52" s="8"/>
      <c r="N52" s="7">
        <f>IF(H52&lt;&gt;"",VLOOKUP(H52,[1]ItemData!$A$4:$B$536,2,FALSE),"")</f>
        <v>3005</v>
      </c>
      <c r="O52" s="7">
        <f>IF(I52&lt;&gt;"",VLOOKUP(I52,[1]ItemData!$A$4:$B$536,2,FALSE),"")</f>
        <v>1021</v>
      </c>
      <c r="P52" s="7">
        <f>IF(J52&lt;&gt;"",VLOOKUP(J52,[1]ItemData!$A$4:$B$336,2,FALSE),"")</f>
        <v>3001</v>
      </c>
      <c r="Q52" s="7" t="str">
        <f>IF(K52&lt;&gt;"",VLOOKUP(K52,[1]ItemData!$A$4:$B$336,2,FALSE),"")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183</v>
      </c>
      <c r="F53" s="7" t="s">
        <v>484</v>
      </c>
      <c r="G53" s="4" t="s">
        <v>212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IF(H53&lt;&gt;"",VLOOKUP(H53,[1]ItemData!$A$4:$B$536,2,FALSE),"")</f>
        <v>3126</v>
      </c>
      <c r="O53" s="7">
        <f>IF(I53&lt;&gt;"",VLOOKUP(I53,[1]ItemData!$A$4:$B$536,2,FALSE),"")</f>
        <v>3125</v>
      </c>
      <c r="P53" s="7">
        <f>IF(J53&lt;&gt;"",VLOOKUP(J53,[1]ItemData!$A$4:$B$336,2,FALSE),"")</f>
        <v>3001</v>
      </c>
      <c r="Q53" s="7" t="str">
        <f>IF(K53&lt;&gt;"",VLOOKUP(K53,[1]ItemData!$A$4:$B$336,2,FALSE),"")</f>
        <v/>
      </c>
      <c r="S53" s="7" t="str">
        <f t="shared" si="0"/>
        <v>3126,3125,3001</v>
      </c>
    </row>
    <row r="54" spans="2:19" x14ac:dyDescent="0.2">
      <c r="B54" s="7" t="s">
        <v>130</v>
      </c>
      <c r="C54" s="7">
        <v>1</v>
      </c>
      <c r="E54" s="7" t="s">
        <v>183</v>
      </c>
      <c r="F54" s="7" t="s">
        <v>484</v>
      </c>
      <c r="G54" s="4" t="s">
        <v>193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IF(H54&lt;&gt;"",VLOOKUP(H54,[1]ItemData!$A$4:$B$536,2,FALSE),"")</f>
        <v>3125</v>
      </c>
      <c r="O54" s="7">
        <f>IF(I54&lt;&gt;"",VLOOKUP(I54,[1]ItemData!$A$4:$B$536,2,FALSE),"")</f>
        <v>3123</v>
      </c>
      <c r="P54" s="7">
        <f>IF(J54&lt;&gt;"",VLOOKUP(J54,[1]ItemData!$A$4:$B$336,2,FALSE),"")</f>
        <v>3121</v>
      </c>
      <c r="Q54" s="7">
        <f>IF(K54&lt;&gt;"",VLOOKUP(K54,[1]ItemData!$A$4:$B$336,2,FALSE),"")</f>
        <v>3001</v>
      </c>
      <c r="S54" s="7" t="str">
        <f t="shared" si="0"/>
        <v>3125,3123,3121,3001</v>
      </c>
    </row>
    <row r="55" spans="2:19" x14ac:dyDescent="0.2">
      <c r="B55" s="7" t="s">
        <v>131</v>
      </c>
      <c r="C55" s="7">
        <v>2</v>
      </c>
      <c r="E55" s="7" t="s">
        <v>183</v>
      </c>
      <c r="F55" s="7" t="s">
        <v>484</v>
      </c>
      <c r="G55" s="4" t="s">
        <v>460</v>
      </c>
      <c r="H55" s="1" t="s">
        <v>37</v>
      </c>
      <c r="I55" s="7" t="s">
        <v>33</v>
      </c>
      <c r="J55" s="1" t="s">
        <v>191</v>
      </c>
      <c r="K55" s="7" t="s">
        <v>27</v>
      </c>
      <c r="L55" s="8">
        <f t="shared" si="2"/>
        <v>4</v>
      </c>
      <c r="N55" s="7">
        <f>IF(H55&lt;&gt;"",VLOOKUP(H55,[1]ItemData!$A$4:$B$536,2,FALSE),"")</f>
        <v>3122</v>
      </c>
      <c r="O55" s="7">
        <f>IF(I55&lt;&gt;"",VLOOKUP(I55,[1]ItemData!$A$4:$B$536,2,FALSE),"")</f>
        <v>3124</v>
      </c>
      <c r="P55" s="7">
        <f>IF(J55&lt;&gt;"",VLOOKUP(J55,[1]ItemData!$A$4:$B$336,2,FALSE),"")</f>
        <v>3127</v>
      </c>
      <c r="Q55" s="7">
        <f>IF(K55&lt;&gt;"",VLOOKUP(K55,[1]ItemData!$A$4:$B$336,2,FALSE),"")</f>
        <v>3001</v>
      </c>
      <c r="S55" s="7" t="str">
        <f t="shared" si="0"/>
        <v>3122,3124,3127,3001</v>
      </c>
    </row>
    <row r="56" spans="2:19" x14ac:dyDescent="0.2">
      <c r="B56" s="7" t="s">
        <v>132</v>
      </c>
      <c r="C56" s="7">
        <v>1</v>
      </c>
      <c r="E56" s="7" t="s">
        <v>181</v>
      </c>
      <c r="F56" s="1" t="s">
        <v>485</v>
      </c>
      <c r="G56" s="4" t="s">
        <v>201</v>
      </c>
      <c r="H56" s="1" t="s">
        <v>154</v>
      </c>
      <c r="I56" s="7" t="s">
        <v>28</v>
      </c>
      <c r="L56" s="8">
        <f t="shared" si="2"/>
        <v>2</v>
      </c>
      <c r="N56" s="7">
        <f>IF(H56&lt;&gt;"",VLOOKUP(H56,[1]ItemData!$A$4:$B$536,2,FALSE),"")</f>
        <v>4006</v>
      </c>
      <c r="O56" s="7">
        <f>IF(I56&lt;&gt;"",VLOOKUP(I56,[1]ItemData!$A$4:$B$536,2,FALSE),"")</f>
        <v>3002</v>
      </c>
      <c r="P56" s="7" t="str">
        <f>IF(J56&lt;&gt;"",VLOOKUP(J56,[1]ItemData!$A$4:$B$336,2,FALSE),"")</f>
        <v/>
      </c>
      <c r="Q56" s="7" t="str">
        <f>IF(K56&lt;&gt;"",VLOOKUP(K56,[1]ItemData!$A$4:$B$336,2,FALSE),"")</f>
        <v/>
      </c>
      <c r="S56" s="7" t="str">
        <f t="shared" si="0"/>
        <v>4006,3002</v>
      </c>
    </row>
    <row r="57" spans="2:19" x14ac:dyDescent="0.2">
      <c r="B57" s="7" t="s">
        <v>133</v>
      </c>
      <c r="C57" s="7">
        <v>1</v>
      </c>
      <c r="E57" s="7" t="s">
        <v>181</v>
      </c>
      <c r="F57" s="7" t="s">
        <v>485</v>
      </c>
      <c r="G57" s="4" t="s">
        <v>461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IF(H57&lt;&gt;"",VLOOKUP(H57,[1]ItemData!$A$4:$B$536,2,FALSE),"")</f>
        <v>4009</v>
      </c>
      <c r="O57" s="7">
        <f>IF(I57&lt;&gt;"",VLOOKUP(I57,[1]ItemData!$A$4:$B$536,2,FALSE),"")</f>
        <v>3002</v>
      </c>
      <c r="P57" s="7" t="str">
        <f>IF(J57&lt;&gt;"",VLOOKUP(J57,[1]ItemData!$A$4:$B$336,2,FALSE),"")</f>
        <v/>
      </c>
      <c r="Q57" s="7" t="str">
        <f>IF(K57&lt;&gt;"",VLOOKUP(K57,[1]ItemData!$A$4:$B$336,2,FALSE),"")</f>
        <v/>
      </c>
      <c r="S57" s="7" t="str">
        <f t="shared" si="0"/>
        <v>4009,3002</v>
      </c>
    </row>
    <row r="58" spans="2:19" x14ac:dyDescent="0.2">
      <c r="B58" s="7" t="s">
        <v>134</v>
      </c>
      <c r="C58" s="7">
        <v>2</v>
      </c>
      <c r="E58" s="7" t="s">
        <v>181</v>
      </c>
      <c r="F58" s="7" t="s">
        <v>485</v>
      </c>
      <c r="G58" s="4" t="s">
        <v>202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IF(H58&lt;&gt;"",VLOOKUP(H58,[1]ItemData!$A$4:$B$536,2,FALSE),"")</f>
        <v>4015</v>
      </c>
      <c r="O58" s="7">
        <f>IF(I58&lt;&gt;"",VLOOKUP(I58,[1]ItemData!$A$4:$B$536,2,FALSE),"")</f>
        <v>3002</v>
      </c>
      <c r="P58" s="7" t="str">
        <f>IF(J58&lt;&gt;"",VLOOKUP(J58,[1]ItemData!$A$4:$B$336,2,FALSE),"")</f>
        <v/>
      </c>
      <c r="Q58" s="7" t="str">
        <f>IF(K58&lt;&gt;"",VLOOKUP(K58,[1]ItemData!$A$4:$B$336,2,FALSE),"")</f>
        <v/>
      </c>
      <c r="S58" s="7" t="str">
        <f t="shared" si="0"/>
        <v>4015,3002</v>
      </c>
    </row>
    <row r="59" spans="2:19" x14ac:dyDescent="0.2">
      <c r="B59" s="7" t="s">
        <v>147</v>
      </c>
      <c r="C59" s="7">
        <v>1</v>
      </c>
      <c r="E59" s="7" t="s">
        <v>181</v>
      </c>
      <c r="F59" s="7" t="s">
        <v>485</v>
      </c>
      <c r="G59" s="4" t="s">
        <v>129</v>
      </c>
      <c r="H59" s="1" t="s">
        <v>108</v>
      </c>
      <c r="I59" s="7" t="s">
        <v>153</v>
      </c>
      <c r="L59" s="8">
        <f t="shared" si="2"/>
        <v>2</v>
      </c>
      <c r="N59" s="7">
        <f>IF(H59&lt;&gt;"",VLOOKUP(H59,[1]ItemData!$A$4:$B$536,2,FALSE),"")</f>
        <v>4016</v>
      </c>
      <c r="O59" s="7">
        <f>IF(I59&lt;&gt;"",VLOOKUP(I59,[1]ItemData!$A$4:$B$536,2,FALSE),"")</f>
        <v>3003</v>
      </c>
      <c r="P59" s="7" t="str">
        <f>IF(J59&lt;&gt;"",VLOOKUP(J59,[1]ItemData!$A$4:$B$336,2,FALSE),"")</f>
        <v/>
      </c>
      <c r="Q59" s="7" t="str">
        <f>IF(K59&lt;&gt;"",VLOOKUP(K59,[1]ItemData!$A$4:$B$336,2,FALSE),"")</f>
        <v/>
      </c>
      <c r="S59" s="7" t="str">
        <f t="shared" si="0"/>
        <v>4016,3003</v>
      </c>
    </row>
    <row r="60" spans="2:19" x14ac:dyDescent="0.2">
      <c r="B60" s="7" t="s">
        <v>135</v>
      </c>
      <c r="C60" s="7">
        <v>1</v>
      </c>
      <c r="E60" s="7" t="s">
        <v>181</v>
      </c>
      <c r="F60" s="7" t="s">
        <v>485</v>
      </c>
      <c r="G60" s="4" t="s">
        <v>203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IF(H60&lt;&gt;"",VLOOKUP(H60,[1]ItemData!$A$4:$B$536,2,FALSE),"")</f>
        <v>4017</v>
      </c>
      <c r="O60" s="7">
        <f>IF(I60&lt;&gt;"",VLOOKUP(I60,[1]ItemData!$A$4:$B$536,2,FALSE),"")</f>
        <v>3002</v>
      </c>
      <c r="P60" s="7" t="str">
        <f>IF(J60&lt;&gt;"",VLOOKUP(J60,[1]ItemData!$A$4:$B$336,2,FALSE),"")</f>
        <v/>
      </c>
      <c r="Q60" s="7" t="str">
        <f>IF(K60&lt;&gt;"",VLOOKUP(K60,[1]ItemData!$A$4:$B$336,2,FALSE),"")</f>
        <v/>
      </c>
      <c r="S60" s="7" t="str">
        <f t="shared" si="0"/>
        <v>4017,3002</v>
      </c>
    </row>
    <row r="61" spans="2:19" x14ac:dyDescent="0.2">
      <c r="B61" s="7" t="s">
        <v>137</v>
      </c>
      <c r="C61" s="7">
        <v>2</v>
      </c>
      <c r="E61" s="7" t="s">
        <v>181</v>
      </c>
      <c r="F61" s="7" t="s">
        <v>485</v>
      </c>
      <c r="G61" s="4" t="s">
        <v>462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IF(H61&lt;&gt;"",VLOOKUP(H61,[1]ItemData!$A$4:$B$536,2,FALSE),"")</f>
        <v>4021</v>
      </c>
      <c r="O61" s="7">
        <f>IF(I61&lt;&gt;"",VLOOKUP(I61,[1]ItemData!$A$4:$B$536,2,FALSE),"")</f>
        <v>3002</v>
      </c>
      <c r="P61" s="7" t="str">
        <f>IF(J61&lt;&gt;"",VLOOKUP(J61,[1]ItemData!$A$4:$B$336,2,FALSE),"")</f>
        <v/>
      </c>
      <c r="Q61" s="7" t="str">
        <f>IF(K61&lt;&gt;"",VLOOKUP(K61,[1]ItemData!$A$4:$B$336,2,FALSE),"")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181</v>
      </c>
      <c r="F62" s="7" t="s">
        <v>485</v>
      </c>
      <c r="G62" s="4" t="s">
        <v>463</v>
      </c>
      <c r="H62" s="1" t="s">
        <v>440</v>
      </c>
      <c r="I62" s="7" t="s">
        <v>153</v>
      </c>
      <c r="L62" s="8">
        <f t="shared" si="2"/>
        <v>2</v>
      </c>
      <c r="N62" s="7">
        <f>IF(H62&lt;&gt;"",VLOOKUP(H62,[1]ItemData!$A$4:$B$536,2,FALSE),"")</f>
        <v>4100</v>
      </c>
      <c r="O62" s="7">
        <f>IF(I62&lt;&gt;"",VLOOKUP(I62,[1]ItemData!$A$4:$B$536,2,FALSE),"")</f>
        <v>3003</v>
      </c>
      <c r="P62" s="7" t="str">
        <f>IF(J62&lt;&gt;"",VLOOKUP(J62,[1]ItemData!$A$4:$B$336,2,FALSE),"")</f>
        <v/>
      </c>
      <c r="Q62" s="7" t="str">
        <f>IF(K62&lt;&gt;"",VLOOKUP(K62,[1]ItemData!$A$4:$B$336,2,FALSE),"")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181</v>
      </c>
      <c r="F63" s="7" t="s">
        <v>485</v>
      </c>
      <c r="G63" s="4" t="s">
        <v>150</v>
      </c>
      <c r="H63" s="1" t="s">
        <v>112</v>
      </c>
      <c r="I63" s="7" t="s">
        <v>153</v>
      </c>
      <c r="L63" s="8">
        <f t="shared" si="2"/>
        <v>2</v>
      </c>
      <c r="N63" s="7">
        <f>IF(H63&lt;&gt;"",VLOOKUP(H63,[1]ItemData!$A$4:$B$536,2,FALSE),"")</f>
        <v>4101</v>
      </c>
      <c r="O63" s="7">
        <f>IF(I63&lt;&gt;"",VLOOKUP(I63,[1]ItemData!$A$4:$B$536,2,FALSE),"")</f>
        <v>3003</v>
      </c>
      <c r="P63" s="7" t="str">
        <f>IF(J63&lt;&gt;"",VLOOKUP(J63,[1]ItemData!$A$4:$B$336,2,FALSE),"")</f>
        <v/>
      </c>
      <c r="Q63" s="7" t="str">
        <f>IF(K63&lt;&gt;"",VLOOKUP(K63,[1]ItemData!$A$4:$B$336,2,FALSE),"")</f>
        <v/>
      </c>
      <c r="S63" s="7" t="str">
        <f t="shared" si="0"/>
        <v>4101,3003</v>
      </c>
    </row>
    <row r="64" spans="2:19" x14ac:dyDescent="0.2">
      <c r="B64" s="7" t="s">
        <v>139</v>
      </c>
      <c r="C64" s="7">
        <v>2</v>
      </c>
      <c r="E64" s="7" t="s">
        <v>181</v>
      </c>
      <c r="F64" s="7" t="s">
        <v>485</v>
      </c>
      <c r="G64" s="4" t="s">
        <v>477</v>
      </c>
      <c r="H64" s="1" t="s">
        <v>113</v>
      </c>
      <c r="I64" s="7" t="s">
        <v>153</v>
      </c>
      <c r="L64" s="8">
        <f t="shared" si="2"/>
        <v>2</v>
      </c>
      <c r="N64" s="7">
        <f>IF(H64&lt;&gt;"",VLOOKUP(H64,[1]ItemData!$A$4:$B$536,2,FALSE),"")</f>
        <v>4103</v>
      </c>
      <c r="O64" s="7">
        <f>IF(I64&lt;&gt;"",VLOOKUP(I64,[1]ItemData!$A$4:$B$536,2,FALSE),"")</f>
        <v>3003</v>
      </c>
      <c r="P64" s="7" t="str">
        <f>IF(J64&lt;&gt;"",VLOOKUP(J64,[1]ItemData!$A$4:$B$336,2,FALSE),"")</f>
        <v/>
      </c>
      <c r="Q64" s="7" t="str">
        <f>IF(K64&lt;&gt;"",VLOOKUP(K64,[1]ItemData!$A$4:$B$336,2,FALSE),"")</f>
        <v/>
      </c>
      <c r="S64" s="7" t="str">
        <f t="shared" si="0"/>
        <v>4103,3003</v>
      </c>
    </row>
    <row r="65" spans="1:19" x14ac:dyDescent="0.2">
      <c r="B65" s="7" t="s">
        <v>140</v>
      </c>
      <c r="C65" s="7">
        <v>2</v>
      </c>
      <c r="E65" s="7" t="s">
        <v>181</v>
      </c>
      <c r="F65" s="7" t="s">
        <v>485</v>
      </c>
      <c r="G65" s="4" t="s">
        <v>464</v>
      </c>
      <c r="H65" s="1" t="s">
        <v>114</v>
      </c>
      <c r="I65" s="7" t="s">
        <v>153</v>
      </c>
      <c r="L65" s="8">
        <f t="shared" si="2"/>
        <v>2</v>
      </c>
      <c r="N65" s="7">
        <f>IF(H65&lt;&gt;"",VLOOKUP(H65,[1]ItemData!$A$4:$B$536,2,FALSE),"")</f>
        <v>4106</v>
      </c>
      <c r="O65" s="7">
        <f>IF(I65&lt;&gt;"",VLOOKUP(I65,[1]ItemData!$A$4:$B$536,2,FALSE),"")</f>
        <v>3003</v>
      </c>
      <c r="P65" s="7" t="str">
        <f>IF(J65&lt;&gt;"",VLOOKUP(J65,[1]ItemData!$A$4:$B$336,2,FALSE),"")</f>
        <v/>
      </c>
      <c r="Q65" s="7" t="str">
        <f>IF(K65&lt;&gt;"",VLOOKUP(K65,[1]ItemData!$A$4:$B$336,2,FALSE),"")</f>
        <v/>
      </c>
      <c r="S65" s="7" t="str">
        <f t="shared" si="0"/>
        <v>4106,3003</v>
      </c>
    </row>
    <row r="66" spans="1:19" x14ac:dyDescent="0.2">
      <c r="B66" s="7" t="s">
        <v>142</v>
      </c>
      <c r="C66" s="7">
        <v>2</v>
      </c>
      <c r="E66" s="7" t="s">
        <v>181</v>
      </c>
      <c r="F66" s="7" t="s">
        <v>485</v>
      </c>
      <c r="G66" s="4" t="s">
        <v>145</v>
      </c>
      <c r="H66" s="1" t="s">
        <v>441</v>
      </c>
      <c r="I66" s="7" t="s">
        <v>153</v>
      </c>
      <c r="L66" s="8">
        <f t="shared" si="2"/>
        <v>2</v>
      </c>
      <c r="N66" s="7">
        <f>IF(H66&lt;&gt;"",VLOOKUP(H66,[1]ItemData!$A$4:$B$536,2,FALSE),"")</f>
        <v>4109</v>
      </c>
      <c r="O66" s="7">
        <f>IF(I66&lt;&gt;"",VLOOKUP(I66,[1]ItemData!$A$4:$B$536,2,FALSE),"")</f>
        <v>3003</v>
      </c>
      <c r="P66" s="7" t="str">
        <f>IF(J66&lt;&gt;"",VLOOKUP(J66,[1]ItemData!$A$4:$B$336,2,FALSE),"")</f>
        <v/>
      </c>
      <c r="Q66" s="7" t="str">
        <f>IF(K66&lt;&gt;"",VLOOKUP(K66,[1]ItemData!$A$4:$B$336,2,FALSE),"")</f>
        <v/>
      </c>
      <c r="S66" s="7" t="str">
        <f t="shared" si="0"/>
        <v>4109,3003</v>
      </c>
    </row>
    <row r="67" spans="1:19" x14ac:dyDescent="0.2">
      <c r="E67" s="7" t="s">
        <v>181</v>
      </c>
      <c r="F67" s="7" t="s">
        <v>485</v>
      </c>
      <c r="G67" s="4" t="s">
        <v>138</v>
      </c>
      <c r="H67" s="1" t="s">
        <v>115</v>
      </c>
      <c r="I67" s="7" t="s">
        <v>153</v>
      </c>
      <c r="L67" s="8">
        <f t="shared" si="2"/>
        <v>2</v>
      </c>
      <c r="N67" s="7">
        <f>IF(H67&lt;&gt;"",VLOOKUP(H67,[1]ItemData!$A$4:$B$536,2,FALSE),"")</f>
        <v>4111</v>
      </c>
      <c r="O67" s="7">
        <f>IF(I67&lt;&gt;"",VLOOKUP(I67,[1]ItemData!$A$4:$B$536,2,FALSE),"")</f>
        <v>3003</v>
      </c>
      <c r="P67" s="7" t="str">
        <f>IF(J67&lt;&gt;"",VLOOKUP(J67,[1]ItemData!$A$4:$B$336,2,FALSE),"")</f>
        <v/>
      </c>
      <c r="Q67" s="7" t="str">
        <f>IF(K67&lt;&gt;"",VLOOKUP(K67,[1]ItemData!$A$4:$B$336,2,FALSE),"")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181</v>
      </c>
      <c r="F68" s="7" t="s">
        <v>485</v>
      </c>
      <c r="G68" s="4" t="s">
        <v>188</v>
      </c>
      <c r="H68" s="1" t="s">
        <v>116</v>
      </c>
      <c r="I68" s="7" t="s">
        <v>153</v>
      </c>
      <c r="L68" s="8">
        <f t="shared" si="2"/>
        <v>2</v>
      </c>
      <c r="M68" s="7"/>
      <c r="N68" s="7">
        <f>IF(H68&lt;&gt;"",VLOOKUP(H68,[1]ItemData!$A$4:$B$536,2,FALSE),"")</f>
        <v>4112</v>
      </c>
      <c r="O68" s="7">
        <f>IF(I68&lt;&gt;"",VLOOKUP(I68,[1]ItemData!$A$4:$B$536,2,FALSE),"")</f>
        <v>3003</v>
      </c>
      <c r="P68" s="7" t="str">
        <f>IF(J68&lt;&gt;"",VLOOKUP(J68,[1]ItemData!$A$4:$B$336,2,FALSE),"")</f>
        <v/>
      </c>
      <c r="Q68" s="7" t="str">
        <f>IF(K68&lt;&gt;"",VLOOKUP(K68,[1]ItemData!$A$4:$B$336,2,FALSE),"")</f>
        <v/>
      </c>
      <c r="S68" s="7" t="str">
        <f t="shared" si="3"/>
        <v>4112,3003</v>
      </c>
    </row>
    <row r="69" spans="1:19" x14ac:dyDescent="0.2">
      <c r="E69" s="7" t="s">
        <v>181</v>
      </c>
      <c r="F69" s="7" t="s">
        <v>485</v>
      </c>
      <c r="G69" s="4" t="s">
        <v>465</v>
      </c>
      <c r="H69" s="1" t="s">
        <v>117</v>
      </c>
      <c r="I69" s="7" t="s">
        <v>153</v>
      </c>
      <c r="L69" s="8">
        <f t="shared" si="2"/>
        <v>2</v>
      </c>
      <c r="N69" s="7">
        <f>IF(H69&lt;&gt;"",VLOOKUP(H69,[1]ItemData!$A$4:$B$536,2,FALSE),"")</f>
        <v>4113</v>
      </c>
      <c r="O69" s="7">
        <f>IF(I69&lt;&gt;"",VLOOKUP(I69,[1]ItemData!$A$4:$B$536,2,FALSE),"")</f>
        <v>3003</v>
      </c>
      <c r="P69" s="7" t="str">
        <f>IF(J69&lt;&gt;"",VLOOKUP(J69,[1]ItemData!$A$4:$B$336,2,FALSE),"")</f>
        <v/>
      </c>
      <c r="Q69" s="7" t="str">
        <f>IF(K69&lt;&gt;"",VLOOKUP(K69,[1]ItemData!$A$4:$B$336,2,FALSE),"")</f>
        <v/>
      </c>
      <c r="S69" s="7" t="str">
        <f t="shared" si="3"/>
        <v>4113,3003</v>
      </c>
    </row>
    <row r="70" spans="1:19" x14ac:dyDescent="0.2">
      <c r="E70" s="7" t="s">
        <v>181</v>
      </c>
      <c r="F70" s="7" t="s">
        <v>485</v>
      </c>
      <c r="G70" s="4" t="s">
        <v>141</v>
      </c>
      <c r="H70" s="1" t="s">
        <v>118</v>
      </c>
      <c r="I70" s="7" t="s">
        <v>153</v>
      </c>
      <c r="L70" s="8">
        <f t="shared" si="2"/>
        <v>2</v>
      </c>
      <c r="N70" s="7">
        <f>IF(H70&lt;&gt;"",VLOOKUP(H70,[1]ItemData!$A$4:$B$536,2,FALSE),"")</f>
        <v>4115</v>
      </c>
      <c r="O70" s="7">
        <f>IF(I70&lt;&gt;"",VLOOKUP(I70,[1]ItemData!$A$4:$B$536,2,FALSE),"")</f>
        <v>3003</v>
      </c>
      <c r="P70" s="7" t="str">
        <f>IF(J70&lt;&gt;"",VLOOKUP(J70,[1]ItemData!$A$4:$B$336,2,FALSE),"")</f>
        <v/>
      </c>
      <c r="Q70" s="7" t="str">
        <f>IF(K70&lt;&gt;"",VLOOKUP(K70,[1]ItemData!$A$4:$B$336,2,FALSE),"")</f>
        <v/>
      </c>
      <c r="S70" s="7" t="str">
        <f t="shared" si="3"/>
        <v>4115,3003</v>
      </c>
    </row>
    <row r="71" spans="1:19" x14ac:dyDescent="0.2">
      <c r="E71" s="7" t="s">
        <v>180</v>
      </c>
      <c r="F71" s="7" t="s">
        <v>485</v>
      </c>
      <c r="G71" s="4" t="s">
        <v>151</v>
      </c>
      <c r="H71" s="1" t="s">
        <v>119</v>
      </c>
      <c r="I71" s="7" t="s">
        <v>153</v>
      </c>
      <c r="L71" s="8">
        <f t="shared" si="2"/>
        <v>2</v>
      </c>
      <c r="N71" s="7">
        <f>IF(H71&lt;&gt;"",VLOOKUP(H71,[1]ItemData!$A$4:$B$536,2,FALSE),"")</f>
        <v>4116</v>
      </c>
      <c r="O71" s="7">
        <f>IF(I71&lt;&gt;"",VLOOKUP(I71,[1]ItemData!$A$4:$B$536,2,FALSE),"")</f>
        <v>3003</v>
      </c>
      <c r="P71" s="7" t="str">
        <f>IF(J71&lt;&gt;"",VLOOKUP(J71,[1]ItemData!$A$4:$B$336,2,FALSE),"")</f>
        <v/>
      </c>
      <c r="Q71" s="7" t="str">
        <f>IF(K71&lt;&gt;"",VLOOKUP(K71,[1]ItemData!$A$4:$B$336,2,FALSE),"")</f>
        <v/>
      </c>
      <c r="S71" s="7" t="str">
        <f t="shared" si="3"/>
        <v>4116,3003</v>
      </c>
    </row>
    <row r="72" spans="1:19" x14ac:dyDescent="0.2">
      <c r="E72" s="7" t="s">
        <v>180</v>
      </c>
      <c r="F72" s="7" t="s">
        <v>485</v>
      </c>
      <c r="G72" s="4" t="s">
        <v>466</v>
      </c>
      <c r="H72" s="7" t="s">
        <v>105</v>
      </c>
      <c r="I72" s="7" t="s">
        <v>171</v>
      </c>
      <c r="J72" s="7"/>
      <c r="K72" s="7"/>
      <c r="L72" s="8">
        <v>2</v>
      </c>
      <c r="N72" s="7">
        <f>IF(H72&lt;&gt;"",VLOOKUP(H72,[1]ItemData!$A$4:$B$536,2,FALSE),"")</f>
        <v>4007</v>
      </c>
      <c r="O72" s="7">
        <f>IF(I72&lt;&gt;"",VLOOKUP(I72,[1]ItemData!$A$4:$B$536,2,FALSE),"")</f>
        <v>200</v>
      </c>
      <c r="P72" s="7" t="str">
        <f>IF(J72&lt;&gt;"",VLOOKUP(J72,[1]ItemData!$A$4:$B$336,2,FALSE),"")</f>
        <v/>
      </c>
      <c r="Q72" s="7" t="str">
        <f>IF(K72&lt;&gt;"",VLOOKUP(K72,[1]ItemData!$A$4:$B$336,2,FALSE),"")</f>
        <v/>
      </c>
      <c r="S72" s="7" t="str">
        <f t="shared" si="3"/>
        <v>4007,200</v>
      </c>
    </row>
    <row r="73" spans="1:19" x14ac:dyDescent="0.2">
      <c r="E73" s="7" t="s">
        <v>180</v>
      </c>
      <c r="F73" s="7" t="s">
        <v>485</v>
      </c>
      <c r="G73" s="4" t="s">
        <v>467</v>
      </c>
      <c r="H73" s="7" t="s">
        <v>15</v>
      </c>
      <c r="I73" s="1" t="s">
        <v>170</v>
      </c>
      <c r="J73" s="7" t="s">
        <v>132</v>
      </c>
      <c r="K73" s="1" t="s">
        <v>117</v>
      </c>
      <c r="L73" s="8">
        <f>COUNTA(H73:J73)</f>
        <v>3</v>
      </c>
      <c r="N73" s="7">
        <f>IF(H73&lt;&gt;"",VLOOKUP(H73,[1]ItemData!$A$4:$B$536,2,FALSE),"")</f>
        <v>1018</v>
      </c>
      <c r="O73" s="7">
        <f>IF(I73&lt;&gt;"",VLOOKUP(I73,[1]ItemData!$A$4:$B$536,2,FALSE),"")</f>
        <v>200</v>
      </c>
      <c r="P73" s="7">
        <f>IF(J73&lt;&gt;"",VLOOKUP(J73,[1]ItemData!$A$4:$B$336,2,FALSE),"")</f>
        <v>4100</v>
      </c>
      <c r="Q73" s="7">
        <f>IF(K73&lt;&gt;"",VLOOKUP(K73,[1]ItemData!$A$4:$B$336,2,FALSE),"")</f>
        <v>4113</v>
      </c>
      <c r="S73" s="7" t="str">
        <f t="shared" si="3"/>
        <v>1018,200,4100,4113</v>
      </c>
    </row>
    <row r="74" spans="1:19" x14ac:dyDescent="0.2">
      <c r="E74" s="7" t="s">
        <v>179</v>
      </c>
      <c r="G74" s="4" t="s">
        <v>156</v>
      </c>
      <c r="H74" s="1" t="s">
        <v>476</v>
      </c>
      <c r="I74" s="7" t="s">
        <v>71</v>
      </c>
      <c r="L74" s="8">
        <f t="shared" si="2"/>
        <v>2</v>
      </c>
      <c r="N74" s="7">
        <f>IF(H74&lt;&gt;"",VLOOKUP(H74,[1]ItemData!$A$4:$B$536,2,FALSE),"")</f>
        <v>3158</v>
      </c>
      <c r="O74" s="7">
        <f>IF(I74&lt;&gt;"",VLOOKUP(I74,[1]ItemData!$A$4:$B$536,2,FALSE),"")</f>
        <v>3000</v>
      </c>
      <c r="P74" s="7" t="str">
        <f>IF(J74&lt;&gt;"",VLOOKUP(J74,[1]ItemData!$A$4:$B$336,2,FALSE),"")</f>
        <v/>
      </c>
      <c r="Q74" s="7" t="str">
        <f>IF(K74&lt;&gt;"",VLOOKUP(K74,[1]ItemData!$A$4:$B$336,2,FALSE),"")</f>
        <v/>
      </c>
      <c r="S74" s="7" t="str">
        <f t="shared" si="3"/>
        <v>3158,3000</v>
      </c>
    </row>
    <row r="75" spans="1:19" s="2" customFormat="1" x14ac:dyDescent="0.2">
      <c r="A75" s="1"/>
      <c r="D75" s="1"/>
      <c r="E75" s="7" t="s">
        <v>180</v>
      </c>
      <c r="F75" s="7" t="s">
        <v>485</v>
      </c>
      <c r="G75" s="4" t="s">
        <v>143</v>
      </c>
      <c r="H75" s="1" t="s">
        <v>157</v>
      </c>
      <c r="I75" s="1" t="s">
        <v>12</v>
      </c>
      <c r="J75" s="7" t="s">
        <v>171</v>
      </c>
      <c r="K75" s="1" t="s">
        <v>14</v>
      </c>
      <c r="L75" s="8">
        <f t="shared" si="2"/>
        <v>4</v>
      </c>
      <c r="M75" s="7"/>
      <c r="N75" s="7">
        <f>IF(H75&lt;&gt;"",VLOOKUP(H75,[1]ItemData!$A$4:$B$536,2,FALSE),"")</f>
        <v>4000</v>
      </c>
      <c r="O75" s="7">
        <f>IF(I75&lt;&gt;"",VLOOKUP(I75,[1]ItemData!$A$4:$B$536,2,FALSE),"")</f>
        <v>1014</v>
      </c>
      <c r="P75" s="7">
        <f>IF(J75&lt;&gt;"",VLOOKUP(J75,[1]ItemData!$A$4:$B$336,2,FALSE),"")</f>
        <v>200</v>
      </c>
      <c r="Q75" s="7">
        <f>IF(K75&lt;&gt;"",VLOOKUP(K75,[1]ItemData!$A$4:$B$336,2,FALSE),"")</f>
        <v>1017</v>
      </c>
      <c r="S75" s="7" t="str">
        <f t="shared" si="3"/>
        <v>4000,1014,200,1017</v>
      </c>
    </row>
    <row r="76" spans="1:19" x14ac:dyDescent="0.2">
      <c r="A76" s="2"/>
      <c r="E76" s="7" t="s">
        <v>180</v>
      </c>
      <c r="F76" s="7" t="s">
        <v>485</v>
      </c>
      <c r="G76" s="4" t="s">
        <v>468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IF(H76&lt;&gt;"",VLOOKUP(H76,[1]ItemData!$A$4:$B$536,2,FALSE),"")</f>
        <v>4006</v>
      </c>
      <c r="O76" s="7">
        <f>IF(I76&lt;&gt;"",VLOOKUP(I76,[1]ItemData!$A$4:$B$536,2,FALSE),"")</f>
        <v>1027</v>
      </c>
      <c r="P76" s="7" t="str">
        <f>IF(J76&lt;&gt;"",VLOOKUP(J76,[1]ItemData!$A$4:$B$336,2,FALSE),"")</f>
        <v/>
      </c>
      <c r="Q76" s="7" t="str">
        <f>IF(K76&lt;&gt;"",VLOOKUP(K76,[1]ItemData!$A$4:$B$336,2,FALSE),"")</f>
        <v/>
      </c>
      <c r="S76" s="7" t="str">
        <f t="shared" si="3"/>
        <v>4006,1027</v>
      </c>
    </row>
    <row r="77" spans="1:19" x14ac:dyDescent="0.2">
      <c r="E77" s="7" t="s">
        <v>179</v>
      </c>
      <c r="G77" s="4" t="s">
        <v>152</v>
      </c>
      <c r="H77" s="1" t="s">
        <v>165</v>
      </c>
      <c r="L77" s="8">
        <f t="shared" si="2"/>
        <v>1</v>
      </c>
      <c r="N77" s="7">
        <f>IF(H77&lt;&gt;"",VLOOKUP(H77,[1]ItemData!$A$4:$B$536,2,FALSE),"")</f>
        <v>4021</v>
      </c>
      <c r="O77" s="7" t="str">
        <f>IF(I77&lt;&gt;"",VLOOKUP(I77,[1]ItemData!$A$4:$B$536,2,FALSE),"")</f>
        <v/>
      </c>
      <c r="P77" s="7" t="str">
        <f>IF(J77&lt;&gt;"",VLOOKUP(J77,[1]ItemData!$A$4:$B$336,2,FALSE),"")</f>
        <v/>
      </c>
      <c r="Q77" s="7" t="str">
        <f>IF(K77&lt;&gt;"",VLOOKUP(K77,[1]ItemData!$A$4:$B$336,2,FALSE),"")</f>
        <v/>
      </c>
      <c r="S77" s="7" t="str">
        <f t="shared" si="3"/>
        <v>4021</v>
      </c>
    </row>
    <row r="78" spans="1:19" x14ac:dyDescent="0.2">
      <c r="E78" s="7" t="s">
        <v>180</v>
      </c>
      <c r="F78" s="7" t="s">
        <v>485</v>
      </c>
      <c r="G78" s="4" t="s">
        <v>160</v>
      </c>
      <c r="H78" s="1" t="s">
        <v>146</v>
      </c>
      <c r="I78" s="7" t="s">
        <v>161</v>
      </c>
      <c r="J78" s="5" t="s">
        <v>73</v>
      </c>
      <c r="L78" s="8">
        <f t="shared" si="2"/>
        <v>3</v>
      </c>
      <c r="N78" s="7">
        <f>IF(H78&lt;&gt;"",VLOOKUP(H78,[1]ItemData!$A$4:$B$536,2,FALSE),"")</f>
        <v>4105</v>
      </c>
      <c r="O78" s="7">
        <f>IF(I78&lt;&gt;"",VLOOKUP(I78,[1]ItemData!$A$4:$B$536,2,FALSE),"")</f>
        <v>3007</v>
      </c>
      <c r="P78" s="7">
        <f>IF(J78&lt;&gt;"",VLOOKUP(J78,[1]ItemData!$A$4:$B$336,2,FALSE),"")</f>
        <v>3011</v>
      </c>
      <c r="Q78" s="7" t="str">
        <f>IF(K78&lt;&gt;"",VLOOKUP(K78,[1]ItemData!$A$4:$B$336,2,FALSE),"")</f>
        <v/>
      </c>
      <c r="S78" s="7" t="str">
        <f t="shared" si="3"/>
        <v>4105,3007,3011</v>
      </c>
    </row>
    <row r="79" spans="1:19" x14ac:dyDescent="0.2">
      <c r="E79" s="7" t="s">
        <v>180</v>
      </c>
      <c r="F79" s="7" t="s">
        <v>485</v>
      </c>
      <c r="G79" s="4" t="s">
        <v>469</v>
      </c>
      <c r="H79" s="1" t="s">
        <v>115</v>
      </c>
      <c r="I79" s="7" t="s">
        <v>162</v>
      </c>
      <c r="L79" s="8">
        <f t="shared" ref="L79:L85" si="4">COUNTA(H79:K79)</f>
        <v>2</v>
      </c>
      <c r="N79" s="7">
        <f>IF(H79&lt;&gt;"",VLOOKUP(H79,[1]ItemData!$A$4:$B$536,2,FALSE),"")</f>
        <v>4111</v>
      </c>
      <c r="O79" s="7">
        <f>IF(I79&lt;&gt;"",VLOOKUP(I79,[1]ItemData!$A$4:$B$536,2,FALSE),"")</f>
        <v>1004</v>
      </c>
      <c r="P79" s="7" t="str">
        <f>IF(J79&lt;&gt;"",VLOOKUP(J79,[1]ItemData!$A$4:$B$336,2,FALSE),"")</f>
        <v/>
      </c>
      <c r="Q79" s="7" t="str">
        <f>IF(K79&lt;&gt;"",VLOOKUP(K79,[1]ItemData!$A$4:$B$336,2,FALSE),"")</f>
        <v/>
      </c>
      <c r="S79" s="7" t="str">
        <f t="shared" si="3"/>
        <v>4111,1004</v>
      </c>
    </row>
    <row r="80" spans="1:19" x14ac:dyDescent="0.2">
      <c r="E80" s="7" t="s">
        <v>179</v>
      </c>
      <c r="G80" s="4" t="s">
        <v>470</v>
      </c>
      <c r="H80" s="7" t="s">
        <v>116</v>
      </c>
      <c r="J80" s="7"/>
      <c r="K80" s="7"/>
      <c r="L80" s="8"/>
      <c r="N80" s="7">
        <f>IF(H80&lt;&gt;"",VLOOKUP(H80,[1]ItemData!$A$4:$B$536,2,FALSE),"")</f>
        <v>4112</v>
      </c>
      <c r="O80" s="7" t="str">
        <f>IF(I80&lt;&gt;"",VLOOKUP(I80,[1]ItemData!$A$4:$B$536,2,FALSE),"")</f>
        <v/>
      </c>
      <c r="P80" s="7" t="str">
        <f>IF(J80&lt;&gt;"",VLOOKUP(J80,[1]ItemData!$A$4:$B$336,2,FALSE),"")</f>
        <v/>
      </c>
      <c r="Q80" s="7" t="str">
        <f>IF(K80&lt;&gt;"",VLOOKUP(K80,[1]ItemData!$A$4:$B$336,2,FALSE),"")</f>
        <v/>
      </c>
      <c r="S80" s="7" t="str">
        <f t="shared" si="3"/>
        <v>4112</v>
      </c>
    </row>
    <row r="81" spans="5:19" x14ac:dyDescent="0.2">
      <c r="E81" s="7" t="s">
        <v>179</v>
      </c>
      <c r="G81" s="4" t="s">
        <v>189</v>
      </c>
      <c r="H81" s="1" t="s">
        <v>441</v>
      </c>
      <c r="L81" s="8">
        <f t="shared" si="4"/>
        <v>1</v>
      </c>
      <c r="N81" s="7">
        <f>IF(H81&lt;&gt;"",VLOOKUP(H81,[1]ItemData!$A$4:$B$536,2,FALSE),"")</f>
        <v>4109</v>
      </c>
      <c r="O81" s="7" t="str">
        <f>IF(I81&lt;&gt;"",VLOOKUP(I81,[1]ItemData!$A$4:$B$536,2,FALSE),"")</f>
        <v/>
      </c>
      <c r="P81" s="7" t="str">
        <f>IF(J81&lt;&gt;"",VLOOKUP(J81,[1]ItemData!$A$4:$B$336,2,FALSE),"")</f>
        <v/>
      </c>
      <c r="Q81" s="7" t="str">
        <f>IF(K81&lt;&gt;"",VLOOKUP(K81,[1]ItemData!$A$4:$B$336,2,FALSE),"")</f>
        <v/>
      </c>
      <c r="S81" s="7" t="str">
        <f t="shared" si="3"/>
        <v>4109</v>
      </c>
    </row>
    <row r="82" spans="5:19" x14ac:dyDescent="0.2">
      <c r="E82" s="7" t="s">
        <v>180</v>
      </c>
      <c r="F82" s="7" t="s">
        <v>488</v>
      </c>
      <c r="G82" s="4" t="s">
        <v>471</v>
      </c>
      <c r="H82" s="13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IF(H82&lt;&gt;"",VLOOKUP(H82,[1]ItemData!$A$4:$B$536,2,FALSE),"")</f>
        <v>4113</v>
      </c>
      <c r="O82" s="7">
        <f>IF(I82&lt;&gt;"",VLOOKUP(I82,[1]ItemData!$A$4:$B$536,2,FALSE),"")</f>
        <v>1011</v>
      </c>
      <c r="P82" s="7">
        <f>IF(J82&lt;&gt;"",VLOOKUP(J82,[1]ItemData!$A$4:$B$336,2,FALSE),"")</f>
        <v>1009</v>
      </c>
      <c r="Q82" s="7">
        <f>IF(K82&lt;&gt;"",VLOOKUP(K82,[1]ItemData!$A$4:$B$336,2,FALSE),"")</f>
        <v>1007</v>
      </c>
      <c r="S82" s="7" t="str">
        <f t="shared" si="3"/>
        <v>4113,1011,1009,1007</v>
      </c>
    </row>
    <row r="83" spans="5:19" x14ac:dyDescent="0.2">
      <c r="E83" s="7" t="s">
        <v>179</v>
      </c>
      <c r="G83" s="4" t="s">
        <v>489</v>
      </c>
      <c r="H83" s="1" t="s">
        <v>119</v>
      </c>
      <c r="L83" s="8">
        <f t="shared" si="4"/>
        <v>1</v>
      </c>
      <c r="N83" s="7">
        <f>IF(H83&lt;&gt;"",VLOOKUP(H83,[1]ItemData!$A$4:$B$536,2,FALSE),"")</f>
        <v>4116</v>
      </c>
      <c r="O83" s="7" t="str">
        <f>IF(I83&lt;&gt;"",VLOOKUP(I83,[1]ItemData!$A$4:$B$536,2,FALSE),"")</f>
        <v/>
      </c>
      <c r="P83" s="7" t="str">
        <f>IF(J83&lt;&gt;"",VLOOKUP(J83,[1]ItemData!$A$4:$B$336,2,FALSE),"")</f>
        <v/>
      </c>
      <c r="Q83" s="7" t="str">
        <f>IF(K83&lt;&gt;"",VLOOKUP(K83,[1]ItemData!$A$4:$B$336,2,FALSE),"")</f>
        <v/>
      </c>
      <c r="S83" s="7" t="str">
        <f t="shared" si="3"/>
        <v>4116</v>
      </c>
    </row>
    <row r="84" spans="5:19" x14ac:dyDescent="0.2">
      <c r="E84" s="7" t="s">
        <v>179</v>
      </c>
      <c r="G84" s="4" t="s">
        <v>472</v>
      </c>
      <c r="H84" s="7" t="s">
        <v>141</v>
      </c>
      <c r="I84" s="7" t="s">
        <v>190</v>
      </c>
      <c r="J84" s="5" t="s">
        <v>51</v>
      </c>
      <c r="K84" s="1" t="s">
        <v>110</v>
      </c>
      <c r="L84" s="8">
        <f t="shared" si="4"/>
        <v>4</v>
      </c>
      <c r="N84" s="7">
        <f>IF(H84&lt;&gt;"",VLOOKUP(H84,[1]ItemData!$A$4:$B$536,2,FALSE),"")</f>
        <v>3164</v>
      </c>
      <c r="O84" s="7">
        <f>IF(I84&lt;&gt;"",VLOOKUP(I84,[1]ItemData!$A$4:$B$536,2,FALSE),"")</f>
        <v>3134</v>
      </c>
      <c r="P84" s="7">
        <f>IF(J84&lt;&gt;"",VLOOKUP(J84,[1]ItemData!$A$4:$B$336,2,FALSE),"")</f>
        <v>1006</v>
      </c>
      <c r="Q84" s="7">
        <f>IF(K84&lt;&gt;"",VLOOKUP(K84,[1]ItemData!$A$4:$B$336,2,FALSE),"")</f>
        <v>4021</v>
      </c>
      <c r="S84" s="7" t="str">
        <f t="shared" si="3"/>
        <v>3164,3134,1006,4021</v>
      </c>
    </row>
    <row r="85" spans="5:19" x14ac:dyDescent="0.2">
      <c r="E85" s="1" t="s">
        <v>479</v>
      </c>
      <c r="G85" s="15" t="s">
        <v>478</v>
      </c>
      <c r="H85" s="1" t="s">
        <v>480</v>
      </c>
      <c r="I85" s="5" t="s">
        <v>481</v>
      </c>
      <c r="L85" s="8">
        <f t="shared" si="4"/>
        <v>2</v>
      </c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D83"/>
  <sheetViews>
    <sheetView tabSelected="1" workbookViewId="0">
      <selection activeCell="G11" sqref="G11"/>
    </sheetView>
  </sheetViews>
  <sheetFormatPr defaultRowHeight="14.25" x14ac:dyDescent="0.2"/>
  <cols>
    <col min="5" max="5" width="9" style="7"/>
    <col min="7" max="7" width="9" style="7"/>
    <col min="9" max="9" width="9" style="7"/>
    <col min="11" max="19" width="9" style="7"/>
    <col min="20" max="22" width="9.125" style="7" customWidth="1"/>
    <col min="23" max="28" width="9" style="7"/>
  </cols>
  <sheetData>
    <row r="2" spans="3:30" x14ac:dyDescent="0.2">
      <c r="D2" t="s">
        <v>558</v>
      </c>
      <c r="F2" t="s">
        <v>549</v>
      </c>
      <c r="H2" t="s">
        <v>559</v>
      </c>
      <c r="J2" t="s">
        <v>560</v>
      </c>
      <c r="L2" s="7" t="s">
        <v>570</v>
      </c>
      <c r="N2" s="7" t="s">
        <v>561</v>
      </c>
      <c r="P2" s="7" t="s">
        <v>562</v>
      </c>
      <c r="R2" s="7" t="s">
        <v>568</v>
      </c>
      <c r="S2" s="7" t="s">
        <v>569</v>
      </c>
      <c r="T2" s="7" t="s">
        <v>572</v>
      </c>
      <c r="U2" s="7" t="s">
        <v>573</v>
      </c>
      <c r="W2" s="7" t="s">
        <v>563</v>
      </c>
      <c r="X2" s="7" t="s">
        <v>566</v>
      </c>
      <c r="Y2" s="7" t="s">
        <v>567</v>
      </c>
      <c r="Z2" s="7" t="s">
        <v>564</v>
      </c>
      <c r="AA2" s="7" t="s">
        <v>565</v>
      </c>
    </row>
    <row r="3" spans="3:30" x14ac:dyDescent="0.2">
      <c r="C3" t="s">
        <v>48</v>
      </c>
      <c r="D3">
        <v>1</v>
      </c>
      <c r="E3" s="7">
        <v>15</v>
      </c>
      <c r="AC3" t="s">
        <v>544</v>
      </c>
      <c r="AD3" t="s">
        <v>546</v>
      </c>
    </row>
    <row r="4" spans="3:30" x14ac:dyDescent="0.2">
      <c r="C4" t="s">
        <v>491</v>
      </c>
      <c r="D4">
        <v>1</v>
      </c>
      <c r="E4" s="7">
        <v>15</v>
      </c>
      <c r="U4" s="7">
        <v>1</v>
      </c>
      <c r="AC4" t="s">
        <v>545</v>
      </c>
      <c r="AD4" t="s">
        <v>547</v>
      </c>
    </row>
    <row r="5" spans="3:30" x14ac:dyDescent="0.2">
      <c r="C5" t="s">
        <v>56</v>
      </c>
      <c r="H5">
        <v>1</v>
      </c>
      <c r="I5" s="7">
        <v>10</v>
      </c>
      <c r="N5" s="7">
        <v>1</v>
      </c>
      <c r="O5" s="7">
        <v>7</v>
      </c>
      <c r="AC5" t="s">
        <v>548</v>
      </c>
      <c r="AD5" t="s">
        <v>549</v>
      </c>
    </row>
    <row r="6" spans="3:30" x14ac:dyDescent="0.2">
      <c r="C6" t="s">
        <v>49</v>
      </c>
      <c r="D6">
        <v>1</v>
      </c>
      <c r="E6" s="7">
        <v>20</v>
      </c>
      <c r="AC6" t="s">
        <v>550</v>
      </c>
      <c r="AD6" t="s">
        <v>551</v>
      </c>
    </row>
    <row r="7" spans="3:30" x14ac:dyDescent="0.2">
      <c r="C7" t="s">
        <v>492</v>
      </c>
      <c r="H7">
        <v>1</v>
      </c>
      <c r="I7" s="7">
        <v>20</v>
      </c>
      <c r="AC7" t="s">
        <v>552</v>
      </c>
      <c r="AD7" t="s">
        <v>555</v>
      </c>
    </row>
    <row r="8" spans="3:30" x14ac:dyDescent="0.2">
      <c r="C8" t="s">
        <v>493</v>
      </c>
      <c r="H8">
        <v>1</v>
      </c>
      <c r="I8" s="7">
        <v>20</v>
      </c>
      <c r="AC8" t="s">
        <v>556</v>
      </c>
      <c r="AD8" t="s">
        <v>557</v>
      </c>
    </row>
    <row r="9" spans="3:30" x14ac:dyDescent="0.2">
      <c r="C9" t="s">
        <v>213</v>
      </c>
      <c r="H9">
        <v>1</v>
      </c>
      <c r="I9" s="7">
        <v>30</v>
      </c>
      <c r="AC9" t="s">
        <v>553</v>
      </c>
      <c r="AD9" t="s">
        <v>554</v>
      </c>
    </row>
    <row r="10" spans="3:30" x14ac:dyDescent="0.2">
      <c r="C10" t="s">
        <v>50</v>
      </c>
      <c r="D10">
        <v>1</v>
      </c>
      <c r="E10" s="7">
        <v>25</v>
      </c>
    </row>
    <row r="11" spans="3:30" x14ac:dyDescent="0.2">
      <c r="C11" t="s">
        <v>494</v>
      </c>
      <c r="D11">
        <v>1</v>
      </c>
      <c r="E11" s="7">
        <v>35</v>
      </c>
    </row>
    <row r="12" spans="3:30" x14ac:dyDescent="0.2">
      <c r="C12" t="s">
        <v>59</v>
      </c>
      <c r="F12">
        <v>1</v>
      </c>
      <c r="G12" s="7">
        <v>10</v>
      </c>
    </row>
    <row r="13" spans="3:30" x14ac:dyDescent="0.2">
      <c r="C13" t="s">
        <v>495</v>
      </c>
      <c r="L13" s="7">
        <v>1</v>
      </c>
      <c r="M13" s="7">
        <v>10</v>
      </c>
    </row>
    <row r="14" spans="3:30" x14ac:dyDescent="0.2">
      <c r="C14" t="s">
        <v>68</v>
      </c>
      <c r="H14">
        <v>1</v>
      </c>
      <c r="I14" s="7">
        <v>30</v>
      </c>
    </row>
    <row r="15" spans="3:30" x14ac:dyDescent="0.2">
      <c r="C15" t="s">
        <v>58</v>
      </c>
      <c r="H15">
        <v>1</v>
      </c>
      <c r="I15" s="7">
        <v>40</v>
      </c>
    </row>
    <row r="16" spans="3:30" x14ac:dyDescent="0.2">
      <c r="C16" t="s">
        <v>496</v>
      </c>
      <c r="N16" s="7">
        <v>1</v>
      </c>
      <c r="O16" s="7">
        <v>10</v>
      </c>
    </row>
    <row r="17" spans="3:18" x14ac:dyDescent="0.2">
      <c r="C17" t="s">
        <v>74</v>
      </c>
      <c r="H17" s="7"/>
      <c r="L17" s="7">
        <v>1</v>
      </c>
      <c r="M17" s="7">
        <v>15</v>
      </c>
    </row>
    <row r="18" spans="3:18" x14ac:dyDescent="0.2">
      <c r="C18" t="s">
        <v>497</v>
      </c>
      <c r="H18" s="7">
        <v>1</v>
      </c>
      <c r="I18" s="7">
        <v>60</v>
      </c>
    </row>
    <row r="19" spans="3:18" x14ac:dyDescent="0.2">
      <c r="C19" t="s">
        <v>498</v>
      </c>
      <c r="F19">
        <v>1</v>
      </c>
      <c r="G19" s="7">
        <v>20</v>
      </c>
      <c r="R19" s="7">
        <v>1</v>
      </c>
    </row>
    <row r="20" spans="3:18" x14ac:dyDescent="0.2">
      <c r="C20" t="s">
        <v>499</v>
      </c>
      <c r="D20">
        <v>1</v>
      </c>
      <c r="E20" s="7">
        <v>40</v>
      </c>
    </row>
    <row r="21" spans="3:18" x14ac:dyDescent="0.2">
      <c r="C21" t="s">
        <v>222</v>
      </c>
      <c r="H21">
        <v>1</v>
      </c>
      <c r="I21" s="7">
        <v>80</v>
      </c>
    </row>
    <row r="22" spans="3:18" x14ac:dyDescent="0.2">
      <c r="C22" t="s">
        <v>205</v>
      </c>
      <c r="D22">
        <v>1</v>
      </c>
      <c r="E22" s="7">
        <v>50</v>
      </c>
    </row>
    <row r="23" spans="3:18" x14ac:dyDescent="0.2">
      <c r="C23" t="s">
        <v>215</v>
      </c>
      <c r="N23" s="7">
        <v>1</v>
      </c>
      <c r="O23" s="7">
        <v>15</v>
      </c>
    </row>
    <row r="24" spans="3:18" x14ac:dyDescent="0.2">
      <c r="C24" t="s">
        <v>500</v>
      </c>
      <c r="P24" s="7">
        <v>1</v>
      </c>
      <c r="Q24" s="7">
        <v>15</v>
      </c>
    </row>
    <row r="25" spans="3:18" x14ac:dyDescent="0.2">
      <c r="C25" t="s">
        <v>37</v>
      </c>
      <c r="P25" s="7">
        <v>1</v>
      </c>
      <c r="Q25" s="7">
        <v>15</v>
      </c>
    </row>
    <row r="26" spans="3:18" x14ac:dyDescent="0.2">
      <c r="C26" t="s">
        <v>32</v>
      </c>
      <c r="P26" s="7">
        <v>1</v>
      </c>
      <c r="Q26" s="7">
        <v>20</v>
      </c>
    </row>
    <row r="27" spans="3:18" x14ac:dyDescent="0.2">
      <c r="C27" t="s">
        <v>33</v>
      </c>
      <c r="P27" s="7">
        <v>1</v>
      </c>
      <c r="Q27" s="7">
        <v>20</v>
      </c>
    </row>
    <row r="28" spans="3:18" x14ac:dyDescent="0.2">
      <c r="C28" t="s">
        <v>34</v>
      </c>
      <c r="P28" s="7">
        <v>1</v>
      </c>
      <c r="Q28" s="7">
        <v>20</v>
      </c>
    </row>
    <row r="29" spans="3:18" x14ac:dyDescent="0.2">
      <c r="C29" t="s">
        <v>35</v>
      </c>
      <c r="P29" s="7">
        <v>1</v>
      </c>
      <c r="Q29" s="7">
        <v>20</v>
      </c>
    </row>
    <row r="30" spans="3:18" x14ac:dyDescent="0.2">
      <c r="C30" t="s">
        <v>191</v>
      </c>
      <c r="N30" s="7">
        <v>1</v>
      </c>
      <c r="O30" s="7">
        <v>15</v>
      </c>
    </row>
    <row r="31" spans="3:18" x14ac:dyDescent="0.2">
      <c r="C31" t="s">
        <v>501</v>
      </c>
      <c r="D31">
        <v>1</v>
      </c>
      <c r="E31" s="7">
        <v>60</v>
      </c>
    </row>
    <row r="32" spans="3:18" x14ac:dyDescent="0.2">
      <c r="C32" t="s">
        <v>36</v>
      </c>
      <c r="N32" s="7">
        <v>1</v>
      </c>
      <c r="O32" s="7">
        <v>20</v>
      </c>
    </row>
    <row r="33" spans="3:19" x14ac:dyDescent="0.2">
      <c r="C33" s="14" t="s">
        <v>39</v>
      </c>
    </row>
    <row r="34" spans="3:19" x14ac:dyDescent="0.2">
      <c r="C34" s="14" t="s">
        <v>38</v>
      </c>
    </row>
    <row r="35" spans="3:19" x14ac:dyDescent="0.2">
      <c r="C35" t="s">
        <v>502</v>
      </c>
      <c r="D35">
        <v>1</v>
      </c>
      <c r="E35" s="7">
        <v>70</v>
      </c>
    </row>
    <row r="36" spans="3:19" x14ac:dyDescent="0.2">
      <c r="C36" t="s">
        <v>503</v>
      </c>
      <c r="D36">
        <v>1</v>
      </c>
      <c r="E36" s="7">
        <v>80</v>
      </c>
      <c r="F36">
        <v>1</v>
      </c>
      <c r="G36" s="7">
        <v>30</v>
      </c>
      <c r="H36">
        <v>1</v>
      </c>
      <c r="I36" s="7">
        <v>70</v>
      </c>
    </row>
    <row r="37" spans="3:19" x14ac:dyDescent="0.2">
      <c r="C37" t="s">
        <v>504</v>
      </c>
      <c r="D37">
        <v>1</v>
      </c>
      <c r="E37" s="7">
        <v>100</v>
      </c>
      <c r="F37" s="7">
        <v>1</v>
      </c>
      <c r="G37" s="7">
        <v>40</v>
      </c>
    </row>
    <row r="38" spans="3:19" x14ac:dyDescent="0.2">
      <c r="C38" t="s">
        <v>505</v>
      </c>
      <c r="D38">
        <v>1</v>
      </c>
      <c r="E38" s="7">
        <v>100</v>
      </c>
    </row>
    <row r="39" spans="3:19" x14ac:dyDescent="0.2">
      <c r="C39" t="s">
        <v>506</v>
      </c>
      <c r="F39">
        <v>1</v>
      </c>
      <c r="G39" s="7">
        <v>50</v>
      </c>
    </row>
    <row r="40" spans="3:19" x14ac:dyDescent="0.2">
      <c r="C40" t="s">
        <v>507</v>
      </c>
      <c r="F40">
        <v>1</v>
      </c>
      <c r="G40" s="7">
        <v>60</v>
      </c>
    </row>
    <row r="41" spans="3:19" x14ac:dyDescent="0.2">
      <c r="C41" t="s">
        <v>101</v>
      </c>
      <c r="F41">
        <v>1</v>
      </c>
      <c r="G41" s="7">
        <v>70</v>
      </c>
      <c r="P41" s="7">
        <v>1</v>
      </c>
      <c r="Q41" s="7">
        <v>30</v>
      </c>
    </row>
    <row r="42" spans="3:19" x14ac:dyDescent="0.2">
      <c r="C42" t="s">
        <v>508</v>
      </c>
      <c r="N42" s="7">
        <v>1</v>
      </c>
      <c r="O42" s="7">
        <v>20</v>
      </c>
      <c r="P42" s="7">
        <v>1</v>
      </c>
      <c r="Q42" s="7">
        <v>30</v>
      </c>
    </row>
    <row r="43" spans="3:19" x14ac:dyDescent="0.2">
      <c r="C43" t="s">
        <v>509</v>
      </c>
      <c r="H43">
        <v>1</v>
      </c>
      <c r="I43" s="7">
        <v>100</v>
      </c>
    </row>
    <row r="44" spans="3:19" x14ac:dyDescent="0.2">
      <c r="C44" t="s">
        <v>510</v>
      </c>
      <c r="F44">
        <v>1</v>
      </c>
      <c r="G44" s="7">
        <v>80</v>
      </c>
      <c r="P44" s="7">
        <v>1</v>
      </c>
      <c r="Q44" s="7">
        <v>40</v>
      </c>
      <c r="S44" s="7">
        <v>1</v>
      </c>
    </row>
    <row r="45" spans="3:19" x14ac:dyDescent="0.2">
      <c r="C45" t="s">
        <v>511</v>
      </c>
      <c r="N45" s="7">
        <v>1</v>
      </c>
      <c r="O45" s="7">
        <v>30</v>
      </c>
      <c r="S45" s="7">
        <v>1</v>
      </c>
    </row>
    <row r="46" spans="3:19" x14ac:dyDescent="0.2">
      <c r="C46" t="s">
        <v>172</v>
      </c>
      <c r="J46">
        <v>1</v>
      </c>
      <c r="K46" s="7">
        <v>10</v>
      </c>
    </row>
    <row r="47" spans="3:19" x14ac:dyDescent="0.2">
      <c r="C47" t="s">
        <v>512</v>
      </c>
      <c r="J47">
        <v>1</v>
      </c>
      <c r="K47" s="7">
        <v>20</v>
      </c>
    </row>
    <row r="48" spans="3:19" x14ac:dyDescent="0.2">
      <c r="C48" t="s">
        <v>513</v>
      </c>
      <c r="J48">
        <v>1</v>
      </c>
      <c r="K48" s="7">
        <v>15</v>
      </c>
    </row>
    <row r="49" spans="3:13" x14ac:dyDescent="0.2">
      <c r="C49" t="s">
        <v>514</v>
      </c>
      <c r="J49">
        <v>1</v>
      </c>
      <c r="K49" s="7">
        <v>25</v>
      </c>
    </row>
    <row r="50" spans="3:13" x14ac:dyDescent="0.2">
      <c r="C50" t="s">
        <v>515</v>
      </c>
      <c r="J50">
        <v>1</v>
      </c>
      <c r="K50" s="7">
        <v>30</v>
      </c>
    </row>
    <row r="51" spans="3:13" x14ac:dyDescent="0.2">
      <c r="C51" t="s">
        <v>516</v>
      </c>
      <c r="J51">
        <v>1</v>
      </c>
      <c r="K51" s="7">
        <v>40</v>
      </c>
    </row>
    <row r="52" spans="3:13" x14ac:dyDescent="0.2">
      <c r="C52" t="s">
        <v>517</v>
      </c>
      <c r="J52" s="7">
        <v>1</v>
      </c>
      <c r="K52" s="7">
        <v>40</v>
      </c>
    </row>
    <row r="53" spans="3:13" x14ac:dyDescent="0.2">
      <c r="C53" t="s">
        <v>518</v>
      </c>
      <c r="J53" s="7">
        <v>1</v>
      </c>
      <c r="K53" s="7">
        <v>35</v>
      </c>
    </row>
    <row r="54" spans="3:13" x14ac:dyDescent="0.2">
      <c r="C54" t="s">
        <v>519</v>
      </c>
      <c r="L54" s="7">
        <v>1</v>
      </c>
      <c r="M54" s="7">
        <v>20</v>
      </c>
    </row>
    <row r="55" spans="3:13" x14ac:dyDescent="0.2">
      <c r="C55" t="s">
        <v>520</v>
      </c>
      <c r="L55" s="7">
        <v>1</v>
      </c>
      <c r="M55" s="7">
        <v>25</v>
      </c>
    </row>
    <row r="56" spans="3:13" x14ac:dyDescent="0.2">
      <c r="C56" t="s">
        <v>521</v>
      </c>
      <c r="L56" s="7">
        <v>1</v>
      </c>
      <c r="M56" s="7">
        <v>30</v>
      </c>
    </row>
    <row r="57" spans="3:13" x14ac:dyDescent="0.2">
      <c r="C57" t="s">
        <v>522</v>
      </c>
      <c r="F57">
        <v>1</v>
      </c>
      <c r="G57" s="7">
        <v>100</v>
      </c>
    </row>
    <row r="58" spans="3:13" x14ac:dyDescent="0.2">
      <c r="C58" t="s">
        <v>523</v>
      </c>
      <c r="L58" s="7">
        <v>1</v>
      </c>
      <c r="M58" s="7">
        <v>40</v>
      </c>
    </row>
    <row r="59" spans="3:13" x14ac:dyDescent="0.2">
      <c r="C59" t="s">
        <v>200</v>
      </c>
      <c r="L59" s="7">
        <v>1</v>
      </c>
      <c r="M59" s="7">
        <v>40</v>
      </c>
    </row>
    <row r="60" spans="3:13" x14ac:dyDescent="0.2">
      <c r="C60" t="s">
        <v>524</v>
      </c>
      <c r="H60">
        <v>1</v>
      </c>
      <c r="I60" s="7">
        <v>130</v>
      </c>
    </row>
    <row r="61" spans="3:13" x14ac:dyDescent="0.2">
      <c r="C61" t="s">
        <v>525</v>
      </c>
      <c r="H61">
        <v>1</v>
      </c>
      <c r="I61" s="7">
        <v>140</v>
      </c>
    </row>
    <row r="62" spans="3:13" x14ac:dyDescent="0.2">
      <c r="C62" t="s">
        <v>476</v>
      </c>
      <c r="F62">
        <v>1</v>
      </c>
      <c r="G62" s="7">
        <v>120</v>
      </c>
    </row>
    <row r="63" spans="3:13" x14ac:dyDescent="0.2">
      <c r="C63" t="s">
        <v>136</v>
      </c>
      <c r="D63">
        <v>1</v>
      </c>
      <c r="E63" s="7">
        <v>160</v>
      </c>
    </row>
    <row r="64" spans="3:13" x14ac:dyDescent="0.2">
      <c r="C64" t="s">
        <v>526</v>
      </c>
      <c r="D64" s="7">
        <v>1</v>
      </c>
      <c r="E64" s="7">
        <v>180</v>
      </c>
    </row>
    <row r="65" spans="3:15" x14ac:dyDescent="0.2">
      <c r="C65" t="s">
        <v>527</v>
      </c>
      <c r="D65" s="7">
        <v>1</v>
      </c>
      <c r="E65" s="7">
        <v>180</v>
      </c>
    </row>
    <row r="66" spans="3:15" x14ac:dyDescent="0.2">
      <c r="C66" t="s">
        <v>528</v>
      </c>
      <c r="D66" s="7">
        <v>1</v>
      </c>
      <c r="E66" s="7">
        <v>200</v>
      </c>
      <c r="J66" s="7"/>
    </row>
    <row r="67" spans="3:15" x14ac:dyDescent="0.2">
      <c r="C67" t="s">
        <v>529</v>
      </c>
      <c r="J67">
        <v>1</v>
      </c>
      <c r="K67" s="7">
        <v>50</v>
      </c>
    </row>
    <row r="68" spans="3:15" x14ac:dyDescent="0.2">
      <c r="C68" t="s">
        <v>530</v>
      </c>
      <c r="J68" s="7">
        <v>1</v>
      </c>
      <c r="K68" s="7">
        <v>50</v>
      </c>
    </row>
    <row r="69" spans="3:15" x14ac:dyDescent="0.2">
      <c r="C69" t="s">
        <v>531</v>
      </c>
      <c r="J69">
        <v>1</v>
      </c>
      <c r="K69" s="7">
        <v>60</v>
      </c>
    </row>
    <row r="70" spans="3:15" x14ac:dyDescent="0.2">
      <c r="C70" t="s">
        <v>186</v>
      </c>
      <c r="F70">
        <v>1</v>
      </c>
      <c r="G70" s="7">
        <v>150</v>
      </c>
      <c r="L70" s="7">
        <v>1</v>
      </c>
      <c r="M70" s="7">
        <v>45</v>
      </c>
    </row>
    <row r="71" spans="3:15" x14ac:dyDescent="0.2">
      <c r="C71" t="s">
        <v>532</v>
      </c>
      <c r="F71">
        <v>1</v>
      </c>
      <c r="G71" s="7">
        <v>160</v>
      </c>
    </row>
    <row r="72" spans="3:15" x14ac:dyDescent="0.2">
      <c r="C72" t="s">
        <v>533</v>
      </c>
      <c r="H72">
        <v>1</v>
      </c>
      <c r="I72" s="7">
        <v>150</v>
      </c>
      <c r="L72" s="7">
        <v>1</v>
      </c>
      <c r="M72" s="7">
        <v>45</v>
      </c>
    </row>
    <row r="73" spans="3:15" x14ac:dyDescent="0.2">
      <c r="C73" t="s">
        <v>534</v>
      </c>
      <c r="D73">
        <v>1</v>
      </c>
      <c r="E73" s="7">
        <v>140</v>
      </c>
      <c r="F73">
        <v>1</v>
      </c>
      <c r="G73" s="7">
        <v>100</v>
      </c>
    </row>
    <row r="74" spans="3:15" x14ac:dyDescent="0.2">
      <c r="C74" t="s">
        <v>535</v>
      </c>
      <c r="L74" s="7">
        <v>1</v>
      </c>
      <c r="M74" s="7">
        <v>50</v>
      </c>
    </row>
    <row r="75" spans="3:15" x14ac:dyDescent="0.2">
      <c r="C75" t="s">
        <v>536</v>
      </c>
      <c r="N75" s="7">
        <v>1</v>
      </c>
      <c r="O75" s="7">
        <v>32</v>
      </c>
    </row>
    <row r="76" spans="3:15" x14ac:dyDescent="0.2">
      <c r="C76" t="s">
        <v>537</v>
      </c>
      <c r="L76" s="7">
        <v>1</v>
      </c>
      <c r="M76" s="7">
        <v>55</v>
      </c>
    </row>
    <row r="77" spans="3:15" x14ac:dyDescent="0.2">
      <c r="C77" t="s">
        <v>538</v>
      </c>
      <c r="F77">
        <v>1</v>
      </c>
      <c r="G77" s="7">
        <v>180</v>
      </c>
    </row>
    <row r="78" spans="3:15" x14ac:dyDescent="0.2">
      <c r="C78" t="s">
        <v>539</v>
      </c>
      <c r="N78" s="7">
        <v>1</v>
      </c>
      <c r="O78" s="7">
        <v>35</v>
      </c>
    </row>
    <row r="79" spans="3:15" x14ac:dyDescent="0.2">
      <c r="C79" t="s">
        <v>540</v>
      </c>
      <c r="N79" s="7">
        <v>1</v>
      </c>
      <c r="O79" s="7">
        <v>40</v>
      </c>
    </row>
    <row r="80" spans="3:15" x14ac:dyDescent="0.2">
      <c r="C80" t="s">
        <v>571</v>
      </c>
      <c r="D80">
        <v>1</v>
      </c>
      <c r="E80" s="7">
        <v>170</v>
      </c>
      <c r="F80">
        <v>1</v>
      </c>
      <c r="G80" s="7">
        <v>130</v>
      </c>
    </row>
    <row r="81" spans="3:20" x14ac:dyDescent="0.2">
      <c r="C81" t="s">
        <v>541</v>
      </c>
      <c r="N81" s="7">
        <v>1</v>
      </c>
      <c r="O81" s="7">
        <v>45</v>
      </c>
    </row>
    <row r="82" spans="3:20" x14ac:dyDescent="0.2">
      <c r="C82" t="s">
        <v>542</v>
      </c>
      <c r="F82">
        <v>1</v>
      </c>
      <c r="G82" s="7">
        <v>200</v>
      </c>
    </row>
    <row r="83" spans="3:20" x14ac:dyDescent="0.2">
      <c r="C83" t="s">
        <v>543</v>
      </c>
      <c r="N83" s="7">
        <v>1</v>
      </c>
      <c r="O83" s="7">
        <v>50</v>
      </c>
      <c r="P83" s="7">
        <v>1</v>
      </c>
      <c r="Q83" s="7">
        <v>50</v>
      </c>
      <c r="T83" s="7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Sheet6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2024-12-09T05:05:00Z</dcterms:modified>
</cp:coreProperties>
</file>