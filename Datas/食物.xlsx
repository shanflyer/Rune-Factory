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D:\MyGame\Rune Factory\Datas\"/>
    </mc:Choice>
  </mc:AlternateContent>
  <bookViews>
    <workbookView minimized="1" xWindow="0" yWindow="0" windowWidth="28800" windowHeight="12120" activeTab="1"/>
  </bookViews>
  <sheets>
    <sheet name="Sheet6" sheetId="6" r:id="rId1"/>
    <sheet name="Sheet1" sheetId="1" r:id="rId2"/>
  </sheets>
  <externalReferences>
    <externalReference r:id="rId3"/>
  </externalReferences>
  <definedNames>
    <definedName name="_xlnm._FilterDatabase" localSheetId="1" hidden="1">Sheet1!$D$4:$J$84</definedName>
  </definedName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85" i="1" l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5" i="1"/>
  <c r="P28" i="1" l="1"/>
  <c r="Q28" i="1"/>
  <c r="P29" i="1"/>
  <c r="Q29" i="1"/>
  <c r="P30" i="1"/>
  <c r="Q30" i="1"/>
  <c r="P31" i="1"/>
  <c r="Q31" i="1"/>
  <c r="P32" i="1"/>
  <c r="Q32" i="1"/>
  <c r="P33" i="1"/>
  <c r="Q33" i="1"/>
  <c r="P34" i="1"/>
  <c r="Q34" i="1"/>
  <c r="P35" i="1"/>
  <c r="Q35" i="1"/>
  <c r="P36" i="1"/>
  <c r="Q36" i="1"/>
  <c r="P37" i="1"/>
  <c r="Q37" i="1"/>
  <c r="P38" i="1"/>
  <c r="Q38" i="1"/>
  <c r="P39" i="1"/>
  <c r="Q39" i="1"/>
  <c r="P40" i="1"/>
  <c r="Q40" i="1"/>
  <c r="P41" i="1"/>
  <c r="Q41" i="1"/>
  <c r="P42" i="1"/>
  <c r="Q42" i="1"/>
  <c r="P43" i="1"/>
  <c r="Q43" i="1"/>
  <c r="P44" i="1"/>
  <c r="Q44" i="1"/>
  <c r="P45" i="1"/>
  <c r="Q45" i="1"/>
  <c r="P46" i="1"/>
  <c r="Q46" i="1"/>
  <c r="P47" i="1"/>
  <c r="Q47" i="1"/>
  <c r="P48" i="1"/>
  <c r="Q48" i="1"/>
  <c r="P49" i="1"/>
  <c r="Q49" i="1"/>
  <c r="P50" i="1"/>
  <c r="Q50" i="1"/>
  <c r="P51" i="1"/>
  <c r="Q51" i="1"/>
  <c r="P52" i="1"/>
  <c r="Q52" i="1"/>
  <c r="P53" i="1"/>
  <c r="Q53" i="1"/>
  <c r="P54" i="1"/>
  <c r="Q54" i="1"/>
  <c r="P55" i="1"/>
  <c r="Q55" i="1"/>
  <c r="P56" i="1"/>
  <c r="Q56" i="1"/>
  <c r="P57" i="1"/>
  <c r="Q57" i="1"/>
  <c r="P58" i="1"/>
  <c r="Q58" i="1"/>
  <c r="P59" i="1"/>
  <c r="Q59" i="1"/>
  <c r="P60" i="1"/>
  <c r="Q60" i="1"/>
  <c r="P61" i="1"/>
  <c r="Q61" i="1"/>
  <c r="P62" i="1"/>
  <c r="Q62" i="1"/>
  <c r="P63" i="1"/>
  <c r="Q63" i="1"/>
  <c r="P64" i="1"/>
  <c r="Q64" i="1"/>
  <c r="P65" i="1"/>
  <c r="Q65" i="1"/>
  <c r="P66" i="1"/>
  <c r="Q66" i="1"/>
  <c r="P67" i="1"/>
  <c r="Q67" i="1"/>
  <c r="P68" i="1"/>
  <c r="Q68" i="1"/>
  <c r="P69" i="1"/>
  <c r="Q69" i="1"/>
  <c r="P70" i="1"/>
  <c r="Q70" i="1"/>
  <c r="P71" i="1"/>
  <c r="Q71" i="1"/>
  <c r="P72" i="1"/>
  <c r="Q72" i="1"/>
  <c r="P73" i="1"/>
  <c r="Q73" i="1"/>
  <c r="P74" i="1"/>
  <c r="Q74" i="1"/>
  <c r="P75" i="1"/>
  <c r="Q75" i="1"/>
  <c r="P76" i="1"/>
  <c r="Q76" i="1"/>
  <c r="P77" i="1"/>
  <c r="Q77" i="1"/>
  <c r="P78" i="1"/>
  <c r="Q78" i="1"/>
  <c r="P79" i="1"/>
  <c r="Q79" i="1"/>
  <c r="P80" i="1"/>
  <c r="Q80" i="1"/>
  <c r="P81" i="1"/>
  <c r="Q81" i="1"/>
  <c r="P82" i="1"/>
  <c r="Q82" i="1"/>
  <c r="P83" i="1"/>
  <c r="Q83" i="1"/>
  <c r="P84" i="1"/>
  <c r="Q84" i="1"/>
  <c r="N4" i="1"/>
  <c r="S4" i="1" s="1"/>
  <c r="O4" i="1"/>
  <c r="P4" i="1"/>
  <c r="Q4" i="1"/>
  <c r="P5" i="1"/>
  <c r="Q5" i="1"/>
  <c r="P6" i="1"/>
  <c r="Q6" i="1"/>
  <c r="P7" i="1"/>
  <c r="Q7" i="1"/>
  <c r="P8" i="1"/>
  <c r="Q8" i="1"/>
  <c r="P9" i="1"/>
  <c r="Q9" i="1"/>
  <c r="P10" i="1"/>
  <c r="Q10" i="1"/>
  <c r="P11" i="1"/>
  <c r="Q11" i="1"/>
  <c r="P12" i="1"/>
  <c r="Q12" i="1"/>
  <c r="P13" i="1"/>
  <c r="Q13" i="1"/>
  <c r="P14" i="1"/>
  <c r="Q14" i="1"/>
  <c r="P15" i="1"/>
  <c r="Q15" i="1"/>
  <c r="P16" i="1"/>
  <c r="Q16" i="1"/>
  <c r="P17" i="1"/>
  <c r="Q17" i="1"/>
  <c r="P18" i="1"/>
  <c r="Q18" i="1"/>
  <c r="P19" i="1"/>
  <c r="Q19" i="1"/>
  <c r="P20" i="1"/>
  <c r="Q20" i="1"/>
  <c r="P21" i="1"/>
  <c r="Q21" i="1"/>
  <c r="P22" i="1"/>
  <c r="Q22" i="1"/>
  <c r="P23" i="1"/>
  <c r="Q23" i="1"/>
  <c r="P24" i="1"/>
  <c r="Q24" i="1"/>
  <c r="P25" i="1"/>
  <c r="Q25" i="1"/>
  <c r="P26" i="1"/>
  <c r="Q26" i="1"/>
  <c r="P27" i="1"/>
  <c r="Q27" i="1"/>
  <c r="O2" i="1"/>
  <c r="P2" i="1"/>
  <c r="Q2" i="1"/>
  <c r="O3" i="1"/>
  <c r="P3" i="1"/>
  <c r="Q3" i="1"/>
  <c r="N3" i="1"/>
  <c r="N2" i="1"/>
  <c r="S56" i="1" l="1"/>
  <c r="S52" i="1"/>
  <c r="S64" i="1"/>
  <c r="S60" i="1"/>
  <c r="S48" i="1"/>
  <c r="S44" i="1"/>
  <c r="S40" i="1"/>
  <c r="S36" i="1"/>
  <c r="S38" i="1"/>
  <c r="S34" i="1"/>
  <c r="S30" i="1"/>
  <c r="S10" i="1"/>
  <c r="S6" i="1"/>
  <c r="S75" i="1"/>
  <c r="S59" i="1"/>
  <c r="S51" i="1"/>
  <c r="S47" i="1"/>
  <c r="S43" i="1"/>
  <c r="S39" i="1"/>
  <c r="S35" i="1"/>
  <c r="S31" i="1"/>
  <c r="S18" i="1"/>
  <c r="S83" i="1"/>
  <c r="S71" i="1"/>
  <c r="S63" i="1"/>
  <c r="S26" i="1"/>
  <c r="S14" i="1"/>
  <c r="S79" i="1"/>
  <c r="S67" i="1"/>
  <c r="S55" i="1"/>
  <c r="S82" i="1"/>
  <c r="S70" i="1"/>
  <c r="S7" i="1"/>
  <c r="S80" i="1"/>
  <c r="S84" i="1"/>
  <c r="S76" i="1"/>
  <c r="S68" i="1"/>
  <c r="S23" i="1"/>
  <c r="S66" i="1"/>
  <c r="S54" i="1"/>
  <c r="S50" i="1"/>
  <c r="S42" i="1"/>
  <c r="S29" i="1"/>
  <c r="S74" i="1"/>
  <c r="S32" i="1"/>
  <c r="S28" i="1"/>
  <c r="S72" i="1"/>
  <c r="S21" i="1"/>
  <c r="S13" i="1"/>
  <c r="S22" i="1"/>
  <c r="S2" i="1"/>
  <c r="S25" i="1"/>
  <c r="S3" i="1"/>
  <c r="S78" i="1"/>
  <c r="S62" i="1"/>
  <c r="S58" i="1"/>
  <c r="S46" i="1"/>
  <c r="S17" i="1"/>
  <c r="S5" i="1"/>
  <c r="S20" i="1"/>
  <c r="S12" i="1"/>
  <c r="S8" i="1"/>
  <c r="S69" i="1"/>
  <c r="S61" i="1"/>
  <c r="S53" i="1"/>
  <c r="S49" i="1"/>
  <c r="S45" i="1"/>
  <c r="S41" i="1"/>
  <c r="S37" i="1"/>
  <c r="S33" i="1"/>
  <c r="S16" i="1"/>
  <c r="S77" i="1"/>
  <c r="S65" i="1"/>
  <c r="S57" i="1"/>
  <c r="S9" i="1"/>
  <c r="S81" i="1"/>
  <c r="S73" i="1"/>
  <c r="S27" i="1"/>
  <c r="S19" i="1"/>
  <c r="S15" i="1"/>
  <c r="S24" i="1"/>
  <c r="S11" i="1"/>
  <c r="L54" i="1"/>
  <c r="L18" i="1"/>
  <c r="L5" i="1"/>
  <c r="L6" i="1"/>
  <c r="L8" i="1"/>
  <c r="L9" i="1"/>
  <c r="L12" i="1"/>
  <c r="L13" i="1"/>
  <c r="L14" i="1"/>
  <c r="L15" i="1"/>
  <c r="L19" i="1"/>
  <c r="L26" i="1"/>
  <c r="L27" i="1"/>
  <c r="L28" i="1"/>
  <c r="L29" i="1"/>
  <c r="L30" i="1"/>
  <c r="L31" i="1"/>
  <c r="L33" i="1"/>
  <c r="L34" i="1"/>
  <c r="L35" i="1"/>
  <c r="L36" i="1"/>
  <c r="L37" i="1"/>
  <c r="L40" i="1"/>
  <c r="L41" i="1"/>
  <c r="L42" i="1"/>
  <c r="L44" i="1"/>
  <c r="L48" i="1"/>
  <c r="L49" i="1"/>
  <c r="L50" i="1"/>
  <c r="L51" i="1"/>
  <c r="L53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3" i="1"/>
  <c r="L74" i="1"/>
  <c r="L75" i="1"/>
  <c r="L76" i="1"/>
  <c r="L77" i="1"/>
  <c r="L78" i="1"/>
  <c r="L79" i="1"/>
  <c r="L81" i="1"/>
  <c r="L82" i="1"/>
  <c r="L83" i="1"/>
  <c r="L84" i="1"/>
</calcChain>
</file>

<file path=xl/sharedStrings.xml><?xml version="1.0" encoding="utf-8"?>
<sst xmlns="http://schemas.openxmlformats.org/spreadsheetml/2006/main" count="1030" uniqueCount="491">
  <si>
    <t>芜菁</t>
  </si>
  <si>
    <t>卷心菜</t>
  </si>
  <si>
    <t>葱</t>
  </si>
  <si>
    <t>萝卜</t>
  </si>
  <si>
    <t>紫甘蓝</t>
  </si>
  <si>
    <t>黄瓜</t>
  </si>
  <si>
    <t>西兰花</t>
  </si>
  <si>
    <t>番茄</t>
  </si>
  <si>
    <t>西瓜</t>
  </si>
  <si>
    <t>辣椒</t>
  </si>
  <si>
    <t>奇异果</t>
  </si>
  <si>
    <t>茄子</t>
  </si>
  <si>
    <t>豌豆</t>
  </si>
  <si>
    <t>土豆</t>
  </si>
  <si>
    <t>芦笋</t>
  </si>
  <si>
    <t>南瓜</t>
  </si>
  <si>
    <t>玉米</t>
  </si>
  <si>
    <t>小麦</t>
  </si>
  <si>
    <t>啤酒花</t>
  </si>
  <si>
    <t>葡萄</t>
  </si>
  <si>
    <t>菠萝</t>
  </si>
  <si>
    <t>咖啡</t>
  </si>
  <si>
    <t>草莓</t>
  </si>
  <si>
    <t>蓝莓</t>
  </si>
  <si>
    <t>红薯</t>
  </si>
  <si>
    <t>甜菜</t>
  </si>
  <si>
    <t>米饭</t>
  </si>
  <si>
    <t>发酵粉</t>
  </si>
  <si>
    <t>盐</t>
  </si>
  <si>
    <t>牛奶</t>
  </si>
  <si>
    <t>牛奶</t>
    <phoneticPr fontId="2" type="noConversion"/>
  </si>
  <si>
    <t>奶油</t>
  </si>
  <si>
    <t>葡萄汁</t>
  </si>
  <si>
    <t>菠萝汁</t>
  </si>
  <si>
    <t>草莓汁</t>
  </si>
  <si>
    <t>蓝莓汁</t>
  </si>
  <si>
    <t>甜菜汁</t>
  </si>
  <si>
    <t>奇异果汁</t>
  </si>
  <si>
    <t>奶酪</t>
  </si>
  <si>
    <t>黄油</t>
  </si>
  <si>
    <t>鸡蛋</t>
  </si>
  <si>
    <t>竹笋</t>
  </si>
  <si>
    <t>苹果</t>
  </si>
  <si>
    <t>椰子</t>
    <phoneticPr fontId="2" type="noConversion"/>
  </si>
  <si>
    <t>蜂蜜</t>
  </si>
  <si>
    <t>蜂蜜</t>
    <phoneticPr fontId="2" type="noConversion"/>
  </si>
  <si>
    <t>香蕉</t>
    <phoneticPr fontId="2" type="noConversion"/>
  </si>
  <si>
    <t>橘子</t>
  </si>
  <si>
    <t>腌芜菁</t>
  </si>
  <si>
    <t>腌萝卜</t>
  </si>
  <si>
    <t>腌黄瓜</t>
  </si>
  <si>
    <t>黄瓜</t>
    <phoneticPr fontId="2" type="noConversion"/>
  </si>
  <si>
    <t>蔬菜沙拉</t>
    <phoneticPr fontId="2" type="noConversion"/>
  </si>
  <si>
    <t>胡萝卜</t>
    <phoneticPr fontId="2" type="noConversion"/>
  </si>
  <si>
    <t>黄瓜</t>
    <phoneticPr fontId="2" type="noConversion"/>
  </si>
  <si>
    <t>番茄</t>
    <phoneticPr fontId="2" type="noConversion"/>
  </si>
  <si>
    <t>三明治</t>
  </si>
  <si>
    <t>三明治</t>
    <phoneticPr fontId="2" type="noConversion"/>
  </si>
  <si>
    <t>面包</t>
  </si>
  <si>
    <t>水煮蛋</t>
  </si>
  <si>
    <t>拉面</t>
    <phoneticPr fontId="2" type="noConversion"/>
  </si>
  <si>
    <t>面粉</t>
  </si>
  <si>
    <t>面粉</t>
    <phoneticPr fontId="2" type="noConversion"/>
  </si>
  <si>
    <t>猪肉</t>
    <phoneticPr fontId="2" type="noConversion"/>
  </si>
  <si>
    <t>鸡蛋</t>
    <phoneticPr fontId="2" type="noConversion"/>
  </si>
  <si>
    <t>烤肉串</t>
    <phoneticPr fontId="2" type="noConversion"/>
  </si>
  <si>
    <t>辣椒</t>
    <phoneticPr fontId="2" type="noConversion"/>
  </si>
  <si>
    <t>咖喱饭</t>
  </si>
  <si>
    <t>饭团</t>
  </si>
  <si>
    <t>饭团</t>
    <phoneticPr fontId="2" type="noConversion"/>
  </si>
  <si>
    <t>海苔</t>
  </si>
  <si>
    <t>米饭</t>
    <phoneticPr fontId="2" type="noConversion"/>
  </si>
  <si>
    <t>烤海苔</t>
    <phoneticPr fontId="2" type="noConversion"/>
  </si>
  <si>
    <t>海苔</t>
    <phoneticPr fontId="2" type="noConversion"/>
  </si>
  <si>
    <t>烤肉饼</t>
  </si>
  <si>
    <t>烤肉饼</t>
    <phoneticPr fontId="2" type="noConversion"/>
  </si>
  <si>
    <t>葱</t>
    <phoneticPr fontId="2" type="noConversion"/>
  </si>
  <si>
    <t>大蒜</t>
    <phoneticPr fontId="2" type="noConversion"/>
  </si>
  <si>
    <t>黄油</t>
    <phoneticPr fontId="2" type="noConversion"/>
  </si>
  <si>
    <t>西瓜果汁</t>
    <phoneticPr fontId="2" type="noConversion"/>
  </si>
  <si>
    <t>草莓</t>
    <phoneticPr fontId="2" type="noConversion"/>
  </si>
  <si>
    <t>蓝莓</t>
    <phoneticPr fontId="2" type="noConversion"/>
  </si>
  <si>
    <t>红薯</t>
    <phoneticPr fontId="2" type="noConversion"/>
  </si>
  <si>
    <t>奶酪</t>
    <phoneticPr fontId="2" type="noConversion"/>
  </si>
  <si>
    <t>发酵粉</t>
    <phoneticPr fontId="2" type="noConversion"/>
  </si>
  <si>
    <t>大蒜</t>
    <phoneticPr fontId="2" type="noConversion"/>
  </si>
  <si>
    <t>咖啡粉</t>
  </si>
  <si>
    <t>咖啡粉</t>
    <phoneticPr fontId="2" type="noConversion"/>
  </si>
  <si>
    <t>小麦</t>
    <phoneticPr fontId="2" type="noConversion"/>
  </si>
  <si>
    <t>饺子</t>
    <phoneticPr fontId="2" type="noConversion"/>
  </si>
  <si>
    <t>烤茄子</t>
    <phoneticPr fontId="2" type="noConversion"/>
  </si>
  <si>
    <t>西式炖菜</t>
  </si>
  <si>
    <t>甜菜</t>
    <phoneticPr fontId="2" type="noConversion"/>
  </si>
  <si>
    <t>炖菜</t>
    <phoneticPr fontId="2" type="noConversion"/>
  </si>
  <si>
    <t>红菜汤</t>
    <phoneticPr fontId="2" type="noConversion"/>
  </si>
  <si>
    <t>黄油</t>
    <phoneticPr fontId="2" type="noConversion"/>
  </si>
  <si>
    <t>豌豆</t>
    <phoneticPr fontId="2" type="noConversion"/>
  </si>
  <si>
    <t>豌豆汤</t>
    <phoneticPr fontId="2" type="noConversion"/>
  </si>
  <si>
    <t>猪肉</t>
    <phoneticPr fontId="2" type="noConversion"/>
  </si>
  <si>
    <t>莓莓果汁</t>
    <phoneticPr fontId="2" type="noConversion"/>
  </si>
  <si>
    <t>牛奶</t>
    <phoneticPr fontId="2" type="noConversion"/>
  </si>
  <si>
    <t>草莓牛奶</t>
  </si>
  <si>
    <t>草莓牛奶</t>
    <phoneticPr fontId="2" type="noConversion"/>
  </si>
  <si>
    <t>草莓汁</t>
    <phoneticPr fontId="2" type="noConversion"/>
  </si>
  <si>
    <t>鲮鱼</t>
  </si>
  <si>
    <t>手套蟹</t>
  </si>
  <si>
    <t>丁鱼</t>
  </si>
  <si>
    <t>虹鳟鱼</t>
  </si>
  <si>
    <t>鲷鱼</t>
  </si>
  <si>
    <t>金鳟鱼</t>
  </si>
  <si>
    <t>鲑鱼</t>
  </si>
  <si>
    <t>沙丁鱼</t>
  </si>
  <si>
    <t>竹荚鱼</t>
  </si>
  <si>
    <t>海鳗</t>
  </si>
  <si>
    <t>比目鱼</t>
  </si>
  <si>
    <t>条石鲷</t>
  </si>
  <si>
    <t>红鲷鱼</t>
  </si>
  <si>
    <t>蓝蟹</t>
  </si>
  <si>
    <t>龙虾</t>
  </si>
  <si>
    <t>金枪鱼</t>
  </si>
  <si>
    <t>鲑鱼饭团</t>
    <phoneticPr fontId="2" type="noConversion"/>
  </si>
  <si>
    <t>鲑鱼</t>
    <phoneticPr fontId="2" type="noConversion"/>
  </si>
  <si>
    <t>鲷鱼</t>
    <phoneticPr fontId="2" type="noConversion"/>
  </si>
  <si>
    <t>虹鳟鱼</t>
    <phoneticPr fontId="2" type="noConversion"/>
  </si>
  <si>
    <t>条石鲷</t>
    <phoneticPr fontId="2" type="noConversion"/>
  </si>
  <si>
    <t>红鲷鱼</t>
    <phoneticPr fontId="2" type="noConversion"/>
  </si>
  <si>
    <t>鲫鱼</t>
    <phoneticPr fontId="2" type="noConversion"/>
  </si>
  <si>
    <t>鲮鱼</t>
    <phoneticPr fontId="2" type="noConversion"/>
  </si>
  <si>
    <t>丁鱼</t>
    <phoneticPr fontId="2" type="noConversion"/>
  </si>
  <si>
    <t>烤鲷鱼</t>
    <phoneticPr fontId="2" type="noConversion"/>
  </si>
  <si>
    <t>金鳟鱼</t>
    <phoneticPr fontId="2" type="noConversion"/>
  </si>
  <si>
    <t>鲑鱼</t>
    <phoneticPr fontId="2" type="noConversion"/>
  </si>
  <si>
    <t>沙丁鱼</t>
    <phoneticPr fontId="2" type="noConversion"/>
  </si>
  <si>
    <t>竹荚鱼</t>
    <phoneticPr fontId="2" type="noConversion"/>
  </si>
  <si>
    <t>海鳗</t>
    <phoneticPr fontId="2" type="noConversion"/>
  </si>
  <si>
    <t>比目鱼</t>
    <phoneticPr fontId="2" type="noConversion"/>
  </si>
  <si>
    <t>烤比目鱼</t>
  </si>
  <si>
    <t>河豚鱼</t>
    <phoneticPr fontId="2" type="noConversion"/>
  </si>
  <si>
    <t>烤条石鲷</t>
    <phoneticPr fontId="2" type="noConversion"/>
  </si>
  <si>
    <t>蓝蟹</t>
    <phoneticPr fontId="2" type="noConversion"/>
  </si>
  <si>
    <t>龙虾</t>
    <phoneticPr fontId="2" type="noConversion"/>
  </si>
  <si>
    <t>烤龙虾</t>
    <phoneticPr fontId="2" type="noConversion"/>
  </si>
  <si>
    <t>金枪鱼</t>
    <phoneticPr fontId="2" type="noConversion"/>
  </si>
  <si>
    <t>鲫鱼蔬菜汤</t>
    <phoneticPr fontId="2" type="noConversion"/>
  </si>
  <si>
    <t>番薯</t>
  </si>
  <si>
    <t>烤河豚鱼</t>
    <phoneticPr fontId="2" type="noConversion"/>
  </si>
  <si>
    <t>章鱼</t>
  </si>
  <si>
    <t>章鱼</t>
    <phoneticPr fontId="2" type="noConversion"/>
  </si>
  <si>
    <t>炖煮岩石鱼</t>
  </si>
  <si>
    <t>海鲜披萨</t>
  </si>
  <si>
    <t>烤竹荚鱼</t>
    <phoneticPr fontId="2" type="noConversion"/>
  </si>
  <si>
    <t>烤金枪鱼</t>
    <phoneticPr fontId="2" type="noConversion"/>
  </si>
  <si>
    <t>鲑鱼刺身</t>
    <phoneticPr fontId="2" type="noConversion"/>
  </si>
  <si>
    <t>酸味香料</t>
  </si>
  <si>
    <t>鲮鱼</t>
    <phoneticPr fontId="2" type="noConversion"/>
  </si>
  <si>
    <t>沙丁鱼串</t>
  </si>
  <si>
    <t>鳗鱼饭</t>
    <phoneticPr fontId="2" type="noConversion"/>
  </si>
  <si>
    <t>鲫鱼</t>
    <phoneticPr fontId="2" type="noConversion"/>
  </si>
  <si>
    <t>河豚</t>
  </si>
  <si>
    <t>咖喱</t>
  </si>
  <si>
    <t>章鱼小丸子</t>
    <phoneticPr fontId="2" type="noConversion"/>
  </si>
  <si>
    <t>鸡蛋</t>
    <phoneticPr fontId="2" type="noConversion"/>
  </si>
  <si>
    <t>萝卜</t>
    <phoneticPr fontId="2" type="noConversion"/>
  </si>
  <si>
    <t>小麦粉</t>
  </si>
  <si>
    <t>芦笋</t>
    <phoneticPr fontId="2" type="noConversion"/>
  </si>
  <si>
    <t>鲑鱼</t>
    <phoneticPr fontId="2" type="noConversion"/>
  </si>
  <si>
    <t>酸味香料</t>
    <phoneticPr fontId="2" type="noConversion"/>
  </si>
  <si>
    <t>拿铁</t>
    <phoneticPr fontId="2" type="noConversion"/>
  </si>
  <si>
    <t>黑咖啡</t>
    <phoneticPr fontId="2" type="noConversion"/>
  </si>
  <si>
    <t>牛奶</t>
    <phoneticPr fontId="2" type="noConversion"/>
  </si>
  <si>
    <t>纯净水</t>
  </si>
  <si>
    <t>纯净水</t>
    <phoneticPr fontId="2" type="noConversion"/>
  </si>
  <si>
    <t>葡萄酒</t>
  </si>
  <si>
    <t>菠萝汁</t>
    <phoneticPr fontId="2" type="noConversion"/>
  </si>
  <si>
    <t>西瓜果汁</t>
    <phoneticPr fontId="2" type="noConversion"/>
  </si>
  <si>
    <t>朗姆</t>
    <phoneticPr fontId="2" type="noConversion"/>
  </si>
  <si>
    <t>土豆</t>
    <phoneticPr fontId="2" type="noConversion"/>
  </si>
  <si>
    <t>小麦</t>
    <phoneticPr fontId="2" type="noConversion"/>
  </si>
  <si>
    <t>啤酒花</t>
    <phoneticPr fontId="2" type="noConversion"/>
  </si>
  <si>
    <t>徒手</t>
    <phoneticPr fontId="2" type="noConversion"/>
  </si>
  <si>
    <t>炖煮</t>
    <phoneticPr fontId="2" type="noConversion"/>
  </si>
  <si>
    <t>烤</t>
    <phoneticPr fontId="2" type="noConversion"/>
  </si>
  <si>
    <t>搅拌</t>
    <phoneticPr fontId="2" type="noConversion"/>
  </si>
  <si>
    <t>发酵</t>
    <phoneticPr fontId="2" type="noConversion"/>
  </si>
  <si>
    <t>行标签</t>
  </si>
  <si>
    <t>总计</t>
  </si>
  <si>
    <t>煮蟹肉</t>
  </si>
  <si>
    <t>手套蟹</t>
    <phoneticPr fontId="2" type="noConversion"/>
  </si>
  <si>
    <t>烤红鲷鱼</t>
    <phoneticPr fontId="2" type="noConversion"/>
  </si>
  <si>
    <t>河豚刺身</t>
    <phoneticPr fontId="2" type="noConversion"/>
  </si>
  <si>
    <t>烤芦笋</t>
    <phoneticPr fontId="2" type="noConversion"/>
  </si>
  <si>
    <t>玉米汁</t>
  </si>
  <si>
    <t>玉米汁</t>
    <phoneticPr fontId="2" type="noConversion"/>
  </si>
  <si>
    <t>绯红之吻</t>
    <phoneticPr fontId="2" type="noConversion"/>
  </si>
  <si>
    <t>发酵粉</t>
    <phoneticPr fontId="2" type="noConversion"/>
  </si>
  <si>
    <t>盐</t>
    <phoneticPr fontId="2" type="noConversion"/>
  </si>
  <si>
    <t>南瓜</t>
    <phoneticPr fontId="2" type="noConversion"/>
  </si>
  <si>
    <t>纯净水</t>
    <phoneticPr fontId="2" type="noConversion"/>
  </si>
  <si>
    <t>牛奶</t>
    <phoneticPr fontId="2" type="noConversion"/>
  </si>
  <si>
    <t>猪肉</t>
    <phoneticPr fontId="2" type="noConversion"/>
  </si>
  <si>
    <t>盐烤鲑鱼</t>
  </si>
  <si>
    <t>盐烤鲮鱼</t>
    <phoneticPr fontId="2" type="noConversion"/>
  </si>
  <si>
    <t>盐烤虹鳟鱼</t>
    <phoneticPr fontId="2" type="noConversion"/>
  </si>
  <si>
    <t>盐烤金鳟鱼</t>
    <phoneticPr fontId="2" type="noConversion"/>
  </si>
  <si>
    <t>红薯</t>
    <phoneticPr fontId="2" type="noConversion"/>
  </si>
  <si>
    <t>烤玉米</t>
  </si>
  <si>
    <t>大蒜</t>
    <phoneticPr fontId="2" type="noConversion"/>
  </si>
  <si>
    <t>野蜂拉格</t>
    <phoneticPr fontId="2" type="noConversion"/>
  </si>
  <si>
    <t>土豆</t>
    <phoneticPr fontId="2" type="noConversion"/>
  </si>
  <si>
    <t>胡萝卜</t>
    <phoneticPr fontId="2" type="noConversion"/>
  </si>
  <si>
    <t>烤</t>
    <phoneticPr fontId="2" type="noConversion"/>
  </si>
  <si>
    <t>西兰花</t>
    <phoneticPr fontId="2" type="noConversion"/>
  </si>
  <si>
    <t>双莓白兰地</t>
    <phoneticPr fontId="2" type="noConversion"/>
  </si>
  <si>
    <t>披萨</t>
  </si>
  <si>
    <t>茄子</t>
    <phoneticPr fontId="2" type="noConversion"/>
  </si>
  <si>
    <t>蔬菜汁</t>
  </si>
  <si>
    <t>蔬菜汁</t>
    <phoneticPr fontId="2" type="noConversion"/>
  </si>
  <si>
    <t>芜菁</t>
    <phoneticPr fontId="2" type="noConversion"/>
  </si>
  <si>
    <t>黄瓜</t>
    <phoneticPr fontId="2" type="noConversion"/>
  </si>
  <si>
    <t>萝卜</t>
    <phoneticPr fontId="2" type="noConversion"/>
  </si>
  <si>
    <t>紫甘蓝</t>
    <phoneticPr fontId="2" type="noConversion"/>
  </si>
  <si>
    <t>海鲜多利亚焗饭</t>
  </si>
  <si>
    <t>海鲜饭</t>
  </si>
  <si>
    <t>面包</t>
    <phoneticPr fontId="2" type="noConversion"/>
  </si>
  <si>
    <t>钩吻鲑饭团</t>
  </si>
  <si>
    <t>竹笋饭</t>
  </si>
  <si>
    <t>水果三明治</t>
  </si>
  <si>
    <t>芜菁酸菜</t>
  </si>
  <si>
    <t>樱芜菁</t>
  </si>
  <si>
    <t>腌红白芜菁</t>
  </si>
  <si>
    <t>芜菁天堂</t>
  </si>
  <si>
    <t>金芜菁</t>
  </si>
  <si>
    <t>沙拉</t>
  </si>
  <si>
    <t>鸡蛋黄酱</t>
  </si>
  <si>
    <t>高丽菜</t>
  </si>
  <si>
    <t>起司</t>
  </si>
  <si>
    <t>放松茶的茶叶</t>
  </si>
  <si>
    <t>白草</t>
  </si>
  <si>
    <t>苦橙草</t>
  </si>
  <si>
    <t>绿草</t>
  </si>
  <si>
    <t>黄草</t>
  </si>
  <si>
    <t>蓝草</t>
  </si>
  <si>
    <t>紫草</t>
  </si>
  <si>
    <t>秋刀鱼生鱼片</t>
  </si>
  <si>
    <t>秋刀鱼</t>
  </si>
  <si>
    <t>石川鲑鱼生鱼片</t>
  </si>
  <si>
    <t>石川鲑鱼</t>
  </si>
  <si>
    <t>山女鳟生鱼片</t>
  </si>
  <si>
    <t>山女鳟</t>
  </si>
  <si>
    <t>针鱼生鱼片</t>
  </si>
  <si>
    <t>针鱼</t>
  </si>
  <si>
    <t>斑魢生鱼片</t>
  </si>
  <si>
    <t>斑魢</t>
  </si>
  <si>
    <t>沙丁鱼生鱼片</t>
  </si>
  <si>
    <t>钩吻鲑生鱼片</t>
  </si>
  <si>
    <t>钩吻鲑</t>
  </si>
  <si>
    <t>红点鲑生鱼片</t>
  </si>
  <si>
    <t>红点鲑</t>
  </si>
  <si>
    <t>剧毒虹鳟生鱼片</t>
  </si>
  <si>
    <t>剧毒虹鳟</t>
  </si>
  <si>
    <t>鲣生鱼片</t>
  </si>
  <si>
    <t>鲣</t>
  </si>
  <si>
    <t>鰤鱼生鱼片</t>
  </si>
  <si>
    <t>鰤鱼</t>
  </si>
  <si>
    <t>河豚生鱼片</t>
  </si>
  <si>
    <t>鲔鱼大腹肉</t>
  </si>
  <si>
    <t>鲔鱼</t>
  </si>
  <si>
    <t>伊富鱼生鱼片</t>
  </si>
  <si>
    <t>伊富鱼</t>
  </si>
  <si>
    <t>比目鱼生鱼片</t>
  </si>
  <si>
    <t>鲽生鱼片</t>
  </si>
  <si>
    <t>鲽</t>
  </si>
  <si>
    <t>红叶鱼生鱼片</t>
  </si>
  <si>
    <t>红叶比目鱼</t>
  </si>
  <si>
    <t>乌贼生鱼片</t>
  </si>
  <si>
    <t>乌贼</t>
  </si>
  <si>
    <t>斑乌贼生鱼片</t>
  </si>
  <si>
    <t>斑乌贼</t>
  </si>
  <si>
    <t>萤乌贼生鱼片</t>
  </si>
  <si>
    <t>萤乌贼</t>
  </si>
  <si>
    <t>虾的生鱼片</t>
  </si>
  <si>
    <t>虾</t>
  </si>
  <si>
    <t>螯龙虾生鱼片</t>
  </si>
  <si>
    <t>螯龙虾</t>
  </si>
  <si>
    <t>鲷鱼生鱼片</t>
  </si>
  <si>
    <t>心动鲷生鱼片</t>
  </si>
  <si>
    <t>心动鲷鱼</t>
  </si>
  <si>
    <t>闪光鲷生鱼片</t>
  </si>
  <si>
    <t>闪光鲷鱼</t>
  </si>
  <si>
    <t>烤苹果</t>
  </si>
  <si>
    <t>玉子烧</t>
  </si>
  <si>
    <t>炸薯条</t>
  </si>
  <si>
    <t>调理油</t>
  </si>
  <si>
    <t>马铃薯</t>
  </si>
  <si>
    <t>欧姆蛋</t>
  </si>
  <si>
    <t>炒饭</t>
  </si>
  <si>
    <t>茄子田乐烧</t>
  </si>
  <si>
    <t>法式吐司</t>
  </si>
  <si>
    <t>炸薯条球</t>
  </si>
  <si>
    <t>天妇罗</t>
  </si>
  <si>
    <t>甜甜圈</t>
  </si>
  <si>
    <t>好鸡蛋</t>
  </si>
  <si>
    <t>义大利炖饭</t>
  </si>
  <si>
    <t>红酒</t>
  </si>
  <si>
    <t>美式松饼</t>
  </si>
  <si>
    <t>爆米花</t>
  </si>
  <si>
    <t>玉米片</t>
  </si>
  <si>
    <t>咖喱面包</t>
  </si>
  <si>
    <t>鸡蛋包饭</t>
  </si>
  <si>
    <t>番茄酱</t>
  </si>
  <si>
    <t>炒蔬菜</t>
  </si>
  <si>
    <t>什锦烧</t>
  </si>
  <si>
    <t>咖喱炒饭</t>
  </si>
  <si>
    <t>咖喱粉</t>
  </si>
  <si>
    <t>红萝卜</t>
  </si>
  <si>
    <t>洋葱</t>
  </si>
  <si>
    <t>煎饺</t>
  </si>
  <si>
    <t>炒乌龙面</t>
  </si>
  <si>
    <t>盐烤西太公鱼</t>
  </si>
  <si>
    <t>西太公鱼</t>
  </si>
  <si>
    <t>盐烤秋刀鱼</t>
  </si>
  <si>
    <t>盐烤石川鲑鱼</t>
  </si>
  <si>
    <t>盐烤山女鳟</t>
  </si>
  <si>
    <t>盐烤针鱼</t>
  </si>
  <si>
    <t>烤乌贼</t>
  </si>
  <si>
    <t>高身鲫</t>
  </si>
  <si>
    <t>烤砂比目鱼</t>
  </si>
  <si>
    <t>砂比目鱼</t>
  </si>
  <si>
    <t>盐烧斑魢</t>
  </si>
  <si>
    <t>烤青花鱼</t>
  </si>
  <si>
    <t>青花鱼</t>
  </si>
  <si>
    <t>烤全虾</t>
  </si>
  <si>
    <t>盐烤红点鲑</t>
  </si>
  <si>
    <t>鲋鱼烤全鱼</t>
  </si>
  <si>
    <t>鲋鱼</t>
  </si>
  <si>
    <t>烤鲽</t>
  </si>
  <si>
    <t>盐烤珠星鱼</t>
  </si>
  <si>
    <t>珠星鱼</t>
  </si>
  <si>
    <t>烤剧毒虹鳟</t>
  </si>
  <si>
    <t>土佐风鲣生鱼片</t>
  </si>
  <si>
    <t>烤全螯龙虾</t>
  </si>
  <si>
    <t>烤鲷鱼料理</t>
  </si>
  <si>
    <t>烤萤乌贼</t>
  </si>
  <si>
    <t>烤红叶比目鱼</t>
  </si>
  <si>
    <t>烤心动鲷鱼</t>
  </si>
  <si>
    <t>照烧鰤鱼</t>
  </si>
  <si>
    <t>烤河豚</t>
  </si>
  <si>
    <t>照烧鲔鱼</t>
  </si>
  <si>
    <t>烤斑乌贼</t>
  </si>
  <si>
    <t>伊富鱼烤全鱼</t>
  </si>
  <si>
    <t>烤闪光鲷鱼</t>
  </si>
  <si>
    <t>冰淇淋</t>
  </si>
  <si>
    <t>甘甜粉</t>
  </si>
  <si>
    <t>橘子汁</t>
  </si>
  <si>
    <t>苹果汁</t>
  </si>
  <si>
    <t>综合果汁</t>
  </si>
  <si>
    <t>番茄汁</t>
  </si>
  <si>
    <t>水果欧蕾</t>
  </si>
  <si>
    <t>菠菜</t>
  </si>
  <si>
    <t>恋爱的预感</t>
  </si>
  <si>
    <t>少女哈密瓜</t>
  </si>
  <si>
    <t>蔬菜欧蕾</t>
  </si>
  <si>
    <t>热果汁</t>
  </si>
  <si>
    <t>地狱辣椒</t>
  </si>
  <si>
    <t>火热果实</t>
  </si>
  <si>
    <t>凤梨汁</t>
  </si>
  <si>
    <t>凤梨</t>
  </si>
  <si>
    <t>混和蔬果汁</t>
  </si>
  <si>
    <t>混和蔬果欧蕾</t>
  </si>
  <si>
    <t>黄金果汁</t>
  </si>
  <si>
    <t>金南瓜</t>
  </si>
  <si>
    <t>金刚花</t>
  </si>
  <si>
    <t>金马铃薯</t>
  </si>
  <si>
    <t>金高丽菜</t>
  </si>
  <si>
    <t>烫青菜</t>
  </si>
  <si>
    <t>水煮鸡蛋</t>
  </si>
  <si>
    <t>优格</t>
  </si>
  <si>
    <t>拔丝番薯</t>
  </si>
  <si>
    <t>味增田乐烧</t>
  </si>
  <si>
    <t>白萝卜</t>
  </si>
  <si>
    <t>柑橘酱</t>
  </si>
  <si>
    <t>葡萄果酱</t>
  </si>
  <si>
    <t>苹果果酱</t>
  </si>
  <si>
    <t>草莓果酱</t>
  </si>
  <si>
    <t>热可可</t>
  </si>
  <si>
    <t>巧克力</t>
  </si>
  <si>
    <t>热牛奶</t>
  </si>
  <si>
    <t>放松茶</t>
  </si>
  <si>
    <t>炖南瓜</t>
  </si>
  <si>
    <t>岩石鱼</t>
  </si>
  <si>
    <t>乌龙面</t>
  </si>
  <si>
    <t>咖喱乌龙面</t>
  </si>
  <si>
    <t>天妇罗乌龙面</t>
  </si>
  <si>
    <t>粥</t>
  </si>
  <si>
    <t>牛奶粥</t>
  </si>
  <si>
    <t>天妇罗盖饭</t>
  </si>
  <si>
    <t>鸡鸡蛋盖饭</t>
  </si>
  <si>
    <t>起司火锅</t>
  </si>
  <si>
    <t>优质牛奶</t>
  </si>
  <si>
    <t>究极咖喱</t>
  </si>
  <si>
    <t>恶魔之血</t>
  </si>
  <si>
    <t>至高咖喱</t>
  </si>
  <si>
    <t>混合香料</t>
  </si>
  <si>
    <t>水饺</t>
  </si>
  <si>
    <t>火锅</t>
  </si>
  <si>
    <t>白菜</t>
  </si>
  <si>
    <t>菇</t>
  </si>
  <si>
    <t>团子</t>
  </si>
  <si>
    <t>团子粉</t>
  </si>
  <si>
    <t>布丁</t>
  </si>
  <si>
    <t>南瓜布丁</t>
  </si>
  <si>
    <t>蒸面包</t>
  </si>
  <si>
    <t>起司蒸面包</t>
  </si>
  <si>
    <t>肉包</t>
  </si>
  <si>
    <t>咖喱肉包</t>
  </si>
  <si>
    <t>蒸长崎蛋糕</t>
  </si>
  <si>
    <t>蒸巧克力蛋糕</t>
  </si>
  <si>
    <t>烧卖</t>
  </si>
  <si>
    <t>蒸饺</t>
  </si>
  <si>
    <t>烤饭团</t>
  </si>
  <si>
    <t>烤番薯</t>
  </si>
  <si>
    <t>葡萄面包</t>
  </si>
  <si>
    <t>吐司</t>
  </si>
  <si>
    <t>果酱面包</t>
  </si>
  <si>
    <t>果酱</t>
  </si>
  <si>
    <t>奶油面包卷</t>
  </si>
  <si>
    <t>苹果派</t>
  </si>
  <si>
    <t>蜜番薯</t>
  </si>
  <si>
    <t>青椒</t>
  </si>
  <si>
    <t>多利亚焗饭</t>
  </si>
  <si>
    <t>焗烤</t>
  </si>
  <si>
    <t>海鲜焗烤</t>
  </si>
  <si>
    <t>饼干</t>
  </si>
  <si>
    <t>巧克力饼干</t>
  </si>
  <si>
    <t>鸡蛋糕</t>
  </si>
  <si>
    <t>起司蛋糕</t>
  </si>
  <si>
    <t>巧克力鸡蛋糕</t>
  </si>
  <si>
    <t>面包</t>
    <phoneticPr fontId="2" type="noConversion"/>
  </si>
  <si>
    <t>面包</t>
    <phoneticPr fontId="2" type="noConversion"/>
  </si>
  <si>
    <t>面包</t>
    <phoneticPr fontId="2" type="noConversion"/>
  </si>
  <si>
    <t>沙丁鱼</t>
    <phoneticPr fontId="2" type="noConversion"/>
  </si>
  <si>
    <t>河豚</t>
    <phoneticPr fontId="2" type="noConversion"/>
  </si>
  <si>
    <t>猪肉</t>
    <phoneticPr fontId="2" type="noConversion"/>
  </si>
  <si>
    <t>腌黄瓜</t>
    <phoneticPr fontId="2" type="noConversion"/>
  </si>
  <si>
    <t>烤西兰花</t>
    <phoneticPr fontId="2" type="noConversion"/>
  </si>
  <si>
    <t>水煮蛋</t>
    <phoneticPr fontId="2" type="noConversion"/>
  </si>
  <si>
    <t>辣蟹堡</t>
    <phoneticPr fontId="2" type="noConversion"/>
  </si>
  <si>
    <t>土豆泥</t>
    <phoneticPr fontId="2" type="noConversion"/>
  </si>
  <si>
    <t>烤玉米</t>
    <phoneticPr fontId="2" type="noConversion"/>
  </si>
  <si>
    <t>西瓜</t>
    <phoneticPr fontId="2" type="noConversion"/>
  </si>
  <si>
    <t>奇异果汁</t>
    <phoneticPr fontId="2" type="noConversion"/>
  </si>
  <si>
    <t>葡萄汁</t>
    <phoneticPr fontId="2" type="noConversion"/>
  </si>
  <si>
    <t>草莓汁</t>
    <phoneticPr fontId="2" type="noConversion"/>
  </si>
  <si>
    <t>蓝莓汁</t>
    <phoneticPr fontId="2" type="noConversion"/>
  </si>
  <si>
    <t>烤蜜薯</t>
    <phoneticPr fontId="2" type="noConversion"/>
  </si>
  <si>
    <t>甜菜汁</t>
    <phoneticPr fontId="2" type="noConversion"/>
  </si>
  <si>
    <t>烤芦笋</t>
    <phoneticPr fontId="2" type="noConversion"/>
  </si>
  <si>
    <t>葡萄酒</t>
    <phoneticPr fontId="2" type="noConversion"/>
  </si>
  <si>
    <t>伏特加</t>
    <phoneticPr fontId="2" type="noConversion"/>
  </si>
  <si>
    <t>啤酒</t>
    <phoneticPr fontId="2" type="noConversion"/>
  </si>
  <si>
    <t>阳光男孩</t>
    <phoneticPr fontId="2" type="noConversion"/>
  </si>
  <si>
    <t>盐烤丁鱼</t>
    <phoneticPr fontId="2" type="noConversion"/>
  </si>
  <si>
    <t>盐烤鲑鱼</t>
    <phoneticPr fontId="2" type="noConversion"/>
  </si>
  <si>
    <t>烤沙丁鱼串</t>
    <phoneticPr fontId="2" type="noConversion"/>
  </si>
  <si>
    <t>烤比目鱼</t>
    <phoneticPr fontId="2" type="noConversion"/>
  </si>
  <si>
    <t>烤蓝蟹</t>
    <phoneticPr fontId="2" type="noConversion"/>
  </si>
  <si>
    <t>煮蟹肉</t>
    <phoneticPr fontId="2" type="noConversion"/>
  </si>
  <si>
    <t>海鲜浓汤</t>
    <phoneticPr fontId="2" type="noConversion"/>
  </si>
  <si>
    <t>鲮鱼丸</t>
    <phoneticPr fontId="2" type="noConversion"/>
  </si>
  <si>
    <t>炖煮条石鲷</t>
    <phoneticPr fontId="2" type="noConversion"/>
  </si>
  <si>
    <t>红鲷刺身</t>
    <phoneticPr fontId="2" type="noConversion"/>
  </si>
  <si>
    <t>螃蟹煲</t>
    <phoneticPr fontId="2" type="noConversion"/>
  </si>
  <si>
    <t>龙虾鱼子酱</t>
    <phoneticPr fontId="2" type="noConversion"/>
  </si>
  <si>
    <t>汉堡</t>
    <phoneticPr fontId="2" type="noConversion"/>
  </si>
  <si>
    <t>披萨</t>
    <phoneticPr fontId="2" type="noConversion"/>
  </si>
  <si>
    <t>蜂蜜蛋糕</t>
    <phoneticPr fontId="2" type="noConversion"/>
  </si>
  <si>
    <t>烤海鳗</t>
  </si>
  <si>
    <t>烤海鳗</t>
    <phoneticPr fontId="2" type="noConversion"/>
  </si>
  <si>
    <t>凉茶</t>
    <phoneticPr fontId="2" type="noConversion"/>
  </si>
  <si>
    <t>搅拌</t>
    <phoneticPr fontId="2" type="noConversion"/>
  </si>
  <si>
    <t>纯净水</t>
    <phoneticPr fontId="2" type="noConversion"/>
  </si>
  <si>
    <t>草药茶</t>
    <phoneticPr fontId="2" type="noConversion"/>
  </si>
  <si>
    <t>盐矿</t>
  </si>
  <si>
    <t>盐</t>
    <phoneticPr fontId="2" type="noConversion"/>
  </si>
  <si>
    <t>玻璃瓶</t>
    <phoneticPr fontId="2" type="noConversion"/>
  </si>
  <si>
    <t>木柴</t>
  </si>
  <si>
    <t>木柴</t>
    <phoneticPr fontId="2" type="noConversion"/>
  </si>
  <si>
    <t>木柴</t>
    <phoneticPr fontId="2" type="noConversion"/>
  </si>
  <si>
    <t>木柴</t>
    <phoneticPr fontId="2" type="noConversion"/>
  </si>
  <si>
    <t>金枪鱼刺身</t>
    <phoneticPr fontId="2" type="noConversion"/>
  </si>
  <si>
    <t>纯净水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</si>
</sst>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333333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3" borderId="1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1" fillId="0" borderId="0" xfId="0" applyNumberFormat="1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3" fillId="0" borderId="0" xfId="0" applyFont="1">
      <alignment vertical="center"/>
    </xf>
    <xf numFmtId="0" fontId="0" fillId="0" borderId="0" xfId="0" applyAlignment="1">
      <alignment wrapText="1"/>
    </xf>
    <xf numFmtId="0" fontId="0" fillId="4" borderId="0" xfId="0" applyFill="1">
      <alignment vertical="center"/>
    </xf>
    <xf numFmtId="0" fontId="0" fillId="4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tem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temData"/>
      <sheetName val="Sheet2"/>
      <sheetName val="Sheet3"/>
    </sheetNames>
    <sheetDataSet>
      <sheetData sheetId="0">
        <row r="4">
          <cell r="A4" t="str">
            <v>未知的物品</v>
          </cell>
          <cell r="B4">
            <v>1</v>
          </cell>
        </row>
        <row r="5">
          <cell r="A5" t="str">
            <v>失败的徒手</v>
          </cell>
          <cell r="B5">
            <v>20</v>
          </cell>
        </row>
        <row r="6">
          <cell r="A6" t="str">
            <v>失败的搅拌</v>
          </cell>
          <cell r="B6">
            <v>21</v>
          </cell>
        </row>
        <row r="7">
          <cell r="A7" t="str">
            <v>失败的烘烤</v>
          </cell>
          <cell r="B7">
            <v>22</v>
          </cell>
        </row>
        <row r="8">
          <cell r="A8" t="str">
            <v>失败的蒸煮</v>
          </cell>
          <cell r="B8">
            <v>23</v>
          </cell>
        </row>
        <row r="9">
          <cell r="A9" t="str">
            <v>失败的酿造</v>
          </cell>
          <cell r="B9">
            <v>24</v>
          </cell>
        </row>
        <row r="10">
          <cell r="A10" t="str">
            <v>失败的铸造</v>
          </cell>
          <cell r="B10">
            <v>25</v>
          </cell>
        </row>
        <row r="11">
          <cell r="A11" t="str">
            <v>失败的缝纫</v>
          </cell>
          <cell r="B11">
            <v>26</v>
          </cell>
        </row>
        <row r="12">
          <cell r="A12" t="str">
            <v>失败的绘写</v>
          </cell>
          <cell r="B12">
            <v>27</v>
          </cell>
        </row>
        <row r="13">
          <cell r="A13" t="str">
            <v>传送卷轴</v>
          </cell>
          <cell r="B13">
            <v>11</v>
          </cell>
        </row>
        <row r="14">
          <cell r="A14" t="str">
            <v>鱼饵</v>
          </cell>
          <cell r="B14">
            <v>12</v>
          </cell>
        </row>
        <row r="15">
          <cell r="A15" t="str">
            <v>食物配方</v>
          </cell>
          <cell r="B15">
            <v>20</v>
          </cell>
        </row>
        <row r="16">
          <cell r="A16" t="str">
            <v>酒水配方</v>
          </cell>
          <cell r="B16">
            <v>21</v>
          </cell>
        </row>
        <row r="17">
          <cell r="A17" t="str">
            <v>铸造配方</v>
          </cell>
          <cell r="B17">
            <v>22</v>
          </cell>
        </row>
        <row r="18">
          <cell r="A18" t="str">
            <v>缝纫配方</v>
          </cell>
          <cell r="B18">
            <v>23</v>
          </cell>
        </row>
        <row r="19">
          <cell r="A19" t="str">
            <v>书写配方</v>
          </cell>
          <cell r="B19">
            <v>24</v>
          </cell>
        </row>
        <row r="20">
          <cell r="A20" t="str">
            <v>牧草</v>
          </cell>
          <cell r="B20">
            <v>100</v>
          </cell>
        </row>
        <row r="21">
          <cell r="A21" t="str">
            <v>木材</v>
          </cell>
          <cell r="B21">
            <v>101</v>
          </cell>
        </row>
        <row r="22">
          <cell r="A22" t="str">
            <v>原木</v>
          </cell>
          <cell r="B22">
            <v>102</v>
          </cell>
        </row>
        <row r="23">
          <cell r="A23" t="str">
            <v>木柴</v>
          </cell>
          <cell r="B23">
            <v>103</v>
          </cell>
        </row>
        <row r="24">
          <cell r="A24" t="str">
            <v>木棒</v>
          </cell>
          <cell r="B24">
            <v>104</v>
          </cell>
        </row>
        <row r="25">
          <cell r="A25" t="str">
            <v>干草</v>
          </cell>
          <cell r="B25">
            <v>105</v>
          </cell>
        </row>
        <row r="26">
          <cell r="A26" t="str">
            <v>纯净水</v>
          </cell>
          <cell r="B26">
            <v>200</v>
          </cell>
        </row>
        <row r="27">
          <cell r="A27" t="str">
            <v>石块</v>
          </cell>
          <cell r="B27">
            <v>201</v>
          </cell>
        </row>
        <row r="28">
          <cell r="A28" t="str">
            <v>龟壳</v>
          </cell>
          <cell r="B28">
            <v>202</v>
          </cell>
        </row>
        <row r="29">
          <cell r="A29" t="str">
            <v>兽皮</v>
          </cell>
          <cell r="B29">
            <v>203</v>
          </cell>
        </row>
        <row r="30">
          <cell r="A30" t="str">
            <v>布片</v>
          </cell>
          <cell r="B30">
            <v>204</v>
          </cell>
        </row>
        <row r="31">
          <cell r="A31" t="str">
            <v>石英砂</v>
          </cell>
          <cell r="B31">
            <v>205</v>
          </cell>
        </row>
        <row r="32">
          <cell r="A32" t="str">
            <v>草药茶</v>
          </cell>
          <cell r="B32">
            <v>207</v>
          </cell>
        </row>
        <row r="33">
          <cell r="A33" t="str">
            <v>风晶石</v>
          </cell>
          <cell r="B33">
            <v>208</v>
          </cell>
        </row>
        <row r="34">
          <cell r="A34" t="str">
            <v>琥珀</v>
          </cell>
          <cell r="B34">
            <v>210</v>
          </cell>
        </row>
        <row r="35">
          <cell r="A35" t="str">
            <v>狼牙</v>
          </cell>
          <cell r="B35">
            <v>211</v>
          </cell>
        </row>
        <row r="36">
          <cell r="A36" t="str">
            <v>粘土</v>
          </cell>
          <cell r="B36">
            <v>212</v>
          </cell>
        </row>
        <row r="37">
          <cell r="A37" t="str">
            <v>尖刺</v>
          </cell>
          <cell r="B37">
            <v>213</v>
          </cell>
        </row>
        <row r="38">
          <cell r="A38" t="str">
            <v>蛛丝</v>
          </cell>
          <cell r="B38">
            <v>214</v>
          </cell>
        </row>
        <row r="39">
          <cell r="A39" t="str">
            <v>铁矿</v>
          </cell>
          <cell r="B39">
            <v>215</v>
          </cell>
        </row>
        <row r="40">
          <cell r="A40" t="str">
            <v>盐矿</v>
          </cell>
          <cell r="B40">
            <v>216</v>
          </cell>
        </row>
        <row r="41">
          <cell r="A41" t="str">
            <v>肥皂</v>
          </cell>
          <cell r="B41">
            <v>217</v>
          </cell>
        </row>
        <row r="42">
          <cell r="A42" t="str">
            <v>土晶石</v>
          </cell>
          <cell r="B42">
            <v>218</v>
          </cell>
        </row>
        <row r="43">
          <cell r="A43" t="str">
            <v>迷幻菇</v>
          </cell>
          <cell r="B43">
            <v>219</v>
          </cell>
        </row>
        <row r="44">
          <cell r="A44" t="str">
            <v>眼球</v>
          </cell>
          <cell r="B44">
            <v>220</v>
          </cell>
        </row>
        <row r="45">
          <cell r="A45" t="str">
            <v>植物的藤</v>
          </cell>
          <cell r="B45">
            <v>221</v>
          </cell>
        </row>
        <row r="46">
          <cell r="A46" t="str">
            <v>鹿角</v>
          </cell>
          <cell r="B46">
            <v>222</v>
          </cell>
        </row>
        <row r="47">
          <cell r="A47" t="str">
            <v>魔兽皮毛</v>
          </cell>
          <cell r="B47">
            <v>223</v>
          </cell>
        </row>
        <row r="48">
          <cell r="A48" t="str">
            <v>奇美拉之翼</v>
          </cell>
          <cell r="B48">
            <v>224</v>
          </cell>
        </row>
        <row r="49">
          <cell r="A49" t="str">
            <v>电偶瓶</v>
          </cell>
          <cell r="B49">
            <v>225</v>
          </cell>
        </row>
        <row r="50">
          <cell r="A50" t="str">
            <v>海胆</v>
          </cell>
          <cell r="B50">
            <v>226</v>
          </cell>
        </row>
        <row r="51">
          <cell r="A51" t="str">
            <v>珊瑚</v>
          </cell>
          <cell r="B51">
            <v>227</v>
          </cell>
        </row>
        <row r="52">
          <cell r="A52" t="str">
            <v>彩色羽毛</v>
          </cell>
          <cell r="B52">
            <v>228</v>
          </cell>
        </row>
        <row r="53">
          <cell r="A53" t="str">
            <v>火晶石</v>
          </cell>
          <cell r="B53">
            <v>229</v>
          </cell>
        </row>
        <row r="54">
          <cell r="A54" t="str">
            <v>玻璃瓶</v>
          </cell>
          <cell r="B54">
            <v>230</v>
          </cell>
        </row>
        <row r="55">
          <cell r="A55" t="str">
            <v>水晶石</v>
          </cell>
          <cell r="B55">
            <v>232</v>
          </cell>
        </row>
        <row r="56">
          <cell r="A56" t="str">
            <v>珍珠</v>
          </cell>
          <cell r="B56">
            <v>234</v>
          </cell>
        </row>
        <row r="57">
          <cell r="A57" t="str">
            <v>松果</v>
          </cell>
          <cell r="B57">
            <v>235</v>
          </cell>
        </row>
        <row r="58">
          <cell r="A58" t="str">
            <v>神奇泥浆</v>
          </cell>
          <cell r="B58">
            <v>236</v>
          </cell>
        </row>
        <row r="59">
          <cell r="A59" t="str">
            <v>银块</v>
          </cell>
          <cell r="B59">
            <v>237</v>
          </cell>
        </row>
        <row r="60">
          <cell r="A60" t="str">
            <v>蛇皮</v>
          </cell>
          <cell r="B60">
            <v>238</v>
          </cell>
        </row>
        <row r="61">
          <cell r="A61" t="str">
            <v>蜂刺</v>
          </cell>
          <cell r="B61">
            <v>239</v>
          </cell>
        </row>
        <row r="62">
          <cell r="A62" t="str">
            <v>象牙</v>
          </cell>
          <cell r="B62">
            <v>240</v>
          </cell>
        </row>
        <row r="63">
          <cell r="A63" t="str">
            <v>兽角</v>
          </cell>
          <cell r="B63">
            <v>241</v>
          </cell>
        </row>
        <row r="64">
          <cell r="A64" t="str">
            <v>水晶球</v>
          </cell>
          <cell r="B64">
            <v>242</v>
          </cell>
        </row>
        <row r="65">
          <cell r="A65" t="str">
            <v>蝎尾</v>
          </cell>
          <cell r="B65">
            <v>243</v>
          </cell>
        </row>
        <row r="66">
          <cell r="A66" t="str">
            <v>仙人掌</v>
          </cell>
          <cell r="B66">
            <v>244</v>
          </cell>
        </row>
        <row r="67">
          <cell r="A67" t="str">
            <v>脏绷带</v>
          </cell>
          <cell r="B67">
            <v>245</v>
          </cell>
        </row>
        <row r="68">
          <cell r="A68" t="str">
            <v>幽魂</v>
          </cell>
          <cell r="B68">
            <v>246</v>
          </cell>
        </row>
        <row r="69">
          <cell r="A69" t="str">
            <v>金块</v>
          </cell>
          <cell r="B69">
            <v>247</v>
          </cell>
        </row>
        <row r="70">
          <cell r="A70" t="str">
            <v>远古的硬币</v>
          </cell>
          <cell r="B70">
            <v>248</v>
          </cell>
        </row>
        <row r="71">
          <cell r="A71" t="str">
            <v>铁钉</v>
          </cell>
          <cell r="B71">
            <v>249</v>
          </cell>
        </row>
        <row r="72">
          <cell r="A72" t="str">
            <v>遗骨</v>
          </cell>
          <cell r="B72">
            <v>250</v>
          </cell>
        </row>
        <row r="73">
          <cell r="A73" t="str">
            <v>妖精粉</v>
          </cell>
          <cell r="B73">
            <v>251</v>
          </cell>
        </row>
        <row r="74">
          <cell r="A74" t="str">
            <v>雪球</v>
          </cell>
          <cell r="B74">
            <v>253</v>
          </cell>
        </row>
        <row r="75">
          <cell r="A75" t="str">
            <v>毒淤泥</v>
          </cell>
          <cell r="B75">
            <v>254</v>
          </cell>
        </row>
        <row r="76">
          <cell r="A76" t="str">
            <v>亡者之土</v>
          </cell>
          <cell r="B76">
            <v>255</v>
          </cell>
        </row>
        <row r="77">
          <cell r="A77" t="str">
            <v>咒术药水</v>
          </cell>
          <cell r="B77">
            <v>256</v>
          </cell>
        </row>
        <row r="78">
          <cell r="A78" t="str">
            <v>诅咒宝珠</v>
          </cell>
          <cell r="B78">
            <v>257</v>
          </cell>
        </row>
        <row r="79">
          <cell r="A79" t="str">
            <v>人狼之证</v>
          </cell>
          <cell r="B79">
            <v>258</v>
          </cell>
        </row>
        <row r="80">
          <cell r="A80" t="str">
            <v>魔族之血</v>
          </cell>
          <cell r="B80">
            <v>259</v>
          </cell>
        </row>
        <row r="81">
          <cell r="A81" t="str">
            <v>冰晶石</v>
          </cell>
          <cell r="B81">
            <v>260</v>
          </cell>
        </row>
        <row r="82">
          <cell r="A82" t="str">
            <v>冰的结晶</v>
          </cell>
          <cell r="B82">
            <v>261</v>
          </cell>
        </row>
        <row r="83">
          <cell r="A83" t="str">
            <v>石化之眼</v>
          </cell>
          <cell r="B83">
            <v>263</v>
          </cell>
        </row>
        <row r="84">
          <cell r="A84" t="str">
            <v>夜之幕</v>
          </cell>
          <cell r="B84">
            <v>264</v>
          </cell>
        </row>
        <row r="85">
          <cell r="A85" t="str">
            <v>星的眼泪</v>
          </cell>
          <cell r="B85">
            <v>265</v>
          </cell>
        </row>
        <row r="86">
          <cell r="A86" t="str">
            <v>冰牛角</v>
          </cell>
          <cell r="B86">
            <v>266</v>
          </cell>
        </row>
        <row r="87">
          <cell r="A87" t="str">
            <v>寒冰气息</v>
          </cell>
          <cell r="B87">
            <v>267</v>
          </cell>
        </row>
        <row r="88">
          <cell r="A88" t="str">
            <v>寒冰火种</v>
          </cell>
          <cell r="B88">
            <v>268</v>
          </cell>
        </row>
        <row r="89">
          <cell r="A89" t="str">
            <v>幻影水晶</v>
          </cell>
          <cell r="B89">
            <v>269</v>
          </cell>
        </row>
        <row r="90">
          <cell r="A90" t="str">
            <v>雷鸣宝珠</v>
          </cell>
          <cell r="B90">
            <v>270</v>
          </cell>
        </row>
        <row r="91">
          <cell r="A91" t="str">
            <v>皮革</v>
          </cell>
          <cell r="B91">
            <v>271</v>
          </cell>
        </row>
        <row r="92">
          <cell r="A92" t="str">
            <v>彩色的布</v>
          </cell>
          <cell r="B92">
            <v>272</v>
          </cell>
        </row>
        <row r="93">
          <cell r="A93" t="str">
            <v>鳞片</v>
          </cell>
          <cell r="B93">
            <v>273</v>
          </cell>
        </row>
        <row r="94">
          <cell r="A94" t="str">
            <v>刀刃</v>
          </cell>
          <cell r="B94">
            <v>274</v>
          </cell>
        </row>
        <row r="95">
          <cell r="A95" t="str">
            <v>骑士之证</v>
          </cell>
          <cell r="B95">
            <v>275</v>
          </cell>
        </row>
        <row r="96">
          <cell r="A96" t="str">
            <v>马尾</v>
          </cell>
          <cell r="B96">
            <v>276</v>
          </cell>
        </row>
        <row r="97">
          <cell r="A97" t="str">
            <v>毛线</v>
          </cell>
          <cell r="B97">
            <v>277</v>
          </cell>
        </row>
        <row r="98">
          <cell r="A98" t="str">
            <v>粘液</v>
          </cell>
          <cell r="B98">
            <v>278</v>
          </cell>
        </row>
        <row r="99">
          <cell r="A99" t="str">
            <v>贵族徽章</v>
          </cell>
          <cell r="B99">
            <v>279</v>
          </cell>
        </row>
        <row r="100">
          <cell r="A100" t="str">
            <v>武道精华</v>
          </cell>
          <cell r="B100">
            <v>280</v>
          </cell>
        </row>
        <row r="101">
          <cell r="A101" t="str">
            <v>贤者晶石</v>
          </cell>
          <cell r="B101">
            <v>281</v>
          </cell>
        </row>
        <row r="102">
          <cell r="A102" t="str">
            <v>防水皮革</v>
          </cell>
          <cell r="B102">
            <v>282</v>
          </cell>
        </row>
        <row r="103">
          <cell r="A103" t="str">
            <v>羊毛</v>
          </cell>
          <cell r="B103">
            <v>283</v>
          </cell>
        </row>
        <row r="104">
          <cell r="A104" t="str">
            <v>白磷粉末</v>
          </cell>
          <cell r="B104">
            <v>284</v>
          </cell>
        </row>
        <row r="105">
          <cell r="A105" t="str">
            <v>暮光结晶</v>
          </cell>
          <cell r="B105">
            <v>285</v>
          </cell>
        </row>
        <row r="106">
          <cell r="A106" t="str">
            <v>魔力之土</v>
          </cell>
          <cell r="B106">
            <v>286</v>
          </cell>
        </row>
        <row r="107">
          <cell r="A107" t="str">
            <v>迷幻孢子</v>
          </cell>
          <cell r="B107">
            <v>287</v>
          </cell>
        </row>
        <row r="108">
          <cell r="A108" t="str">
            <v>力量果实</v>
          </cell>
          <cell r="B108">
            <v>288</v>
          </cell>
        </row>
        <row r="109">
          <cell r="A109" t="str">
            <v>恶魔花瓣</v>
          </cell>
          <cell r="B109">
            <v>289</v>
          </cell>
        </row>
        <row r="110">
          <cell r="A110" t="str">
            <v>月之光华</v>
          </cell>
          <cell r="B110">
            <v>290</v>
          </cell>
        </row>
        <row r="111">
          <cell r="A111" t="str">
            <v>萤火树汁</v>
          </cell>
          <cell r="B111">
            <v>291</v>
          </cell>
        </row>
        <row r="112">
          <cell r="A112" t="str">
            <v>暗夜之露</v>
          </cell>
          <cell r="B112">
            <v>292</v>
          </cell>
        </row>
        <row r="113">
          <cell r="A113" t="str">
            <v>魅惑药水</v>
          </cell>
          <cell r="B113">
            <v>293</v>
          </cell>
        </row>
        <row r="114">
          <cell r="A114" t="str">
            <v>图腾号角</v>
          </cell>
          <cell r="B114">
            <v>294</v>
          </cell>
        </row>
        <row r="115">
          <cell r="A115" t="str">
            <v>空白卷轴</v>
          </cell>
          <cell r="B115">
            <v>295</v>
          </cell>
        </row>
        <row r="116">
          <cell r="A116" t="str">
            <v>废铁</v>
          </cell>
          <cell r="B116">
            <v>296</v>
          </cell>
        </row>
        <row r="117">
          <cell r="A117" t="str">
            <v>焦炭</v>
          </cell>
          <cell r="B117">
            <v>297</v>
          </cell>
        </row>
        <row r="118">
          <cell r="A118" t="str">
            <v>铁块</v>
          </cell>
          <cell r="B118">
            <v>298</v>
          </cell>
        </row>
        <row r="119">
          <cell r="A119" t="str">
            <v>钢</v>
          </cell>
          <cell r="B119">
            <v>299</v>
          </cell>
        </row>
        <row r="120">
          <cell r="A120" t="str">
            <v>猪粪</v>
          </cell>
          <cell r="B120">
            <v>300</v>
          </cell>
        </row>
        <row r="121">
          <cell r="A121" t="str">
            <v>鸭绒</v>
          </cell>
          <cell r="B121">
            <v>301</v>
          </cell>
        </row>
        <row r="122">
          <cell r="A122" t="str">
            <v>兔子脚</v>
          </cell>
          <cell r="B122">
            <v>302</v>
          </cell>
        </row>
        <row r="123">
          <cell r="A123" t="str">
            <v>芜菁</v>
          </cell>
          <cell r="B123">
            <v>1001</v>
          </cell>
        </row>
        <row r="124">
          <cell r="A124" t="str">
            <v>卷心菜</v>
          </cell>
          <cell r="B124">
            <v>1002</v>
          </cell>
        </row>
        <row r="125">
          <cell r="A125" t="str">
            <v>葱</v>
          </cell>
          <cell r="B125">
            <v>1003</v>
          </cell>
        </row>
        <row r="126">
          <cell r="A126" t="str">
            <v>萝卜</v>
          </cell>
          <cell r="B126">
            <v>1004</v>
          </cell>
        </row>
        <row r="127">
          <cell r="A127" t="str">
            <v>紫甘蓝</v>
          </cell>
          <cell r="B127">
            <v>1005</v>
          </cell>
        </row>
        <row r="128">
          <cell r="A128" t="str">
            <v>黄瓜</v>
          </cell>
          <cell r="B128">
            <v>1006</v>
          </cell>
        </row>
        <row r="129">
          <cell r="A129" t="str">
            <v>西兰花</v>
          </cell>
          <cell r="B129">
            <v>1007</v>
          </cell>
        </row>
        <row r="130">
          <cell r="A130" t="str">
            <v>番茄</v>
          </cell>
          <cell r="B130">
            <v>1008</v>
          </cell>
        </row>
        <row r="131">
          <cell r="A131" t="str">
            <v>胡萝卜</v>
          </cell>
          <cell r="B131">
            <v>1009</v>
          </cell>
        </row>
        <row r="132">
          <cell r="A132" t="str">
            <v>西瓜</v>
          </cell>
          <cell r="B132">
            <v>1010</v>
          </cell>
        </row>
        <row r="133">
          <cell r="A133" t="str">
            <v>辣椒</v>
          </cell>
          <cell r="B133">
            <v>1011</v>
          </cell>
        </row>
        <row r="134">
          <cell r="A134" t="str">
            <v>奇异果</v>
          </cell>
          <cell r="B134">
            <v>1012</v>
          </cell>
        </row>
        <row r="135">
          <cell r="A135" t="str">
            <v>茄子</v>
          </cell>
          <cell r="B135">
            <v>1013</v>
          </cell>
        </row>
        <row r="136">
          <cell r="A136" t="str">
            <v>豌豆</v>
          </cell>
          <cell r="B136">
            <v>1014</v>
          </cell>
        </row>
        <row r="137">
          <cell r="A137" t="str">
            <v>土豆</v>
          </cell>
          <cell r="B137">
            <v>1015</v>
          </cell>
        </row>
        <row r="138">
          <cell r="A138" t="str">
            <v>大蒜</v>
          </cell>
          <cell r="B138">
            <v>1016</v>
          </cell>
        </row>
        <row r="139">
          <cell r="A139" t="str">
            <v>芦笋</v>
          </cell>
          <cell r="B139">
            <v>1017</v>
          </cell>
        </row>
        <row r="140">
          <cell r="A140" t="str">
            <v>南瓜</v>
          </cell>
          <cell r="B140">
            <v>1018</v>
          </cell>
        </row>
        <row r="141">
          <cell r="A141" t="str">
            <v>玉米</v>
          </cell>
          <cell r="B141">
            <v>1019</v>
          </cell>
        </row>
        <row r="142">
          <cell r="A142" t="str">
            <v>大麦</v>
          </cell>
          <cell r="B142">
            <v>1020</v>
          </cell>
        </row>
        <row r="143">
          <cell r="A143" t="str">
            <v>啤酒花</v>
          </cell>
          <cell r="B143">
            <v>1021</v>
          </cell>
        </row>
        <row r="144">
          <cell r="A144" t="str">
            <v>葡萄</v>
          </cell>
          <cell r="B144">
            <v>1022</v>
          </cell>
        </row>
        <row r="145">
          <cell r="A145" t="str">
            <v>菠萝</v>
          </cell>
          <cell r="B145">
            <v>1023</v>
          </cell>
        </row>
        <row r="146">
          <cell r="A146" t="str">
            <v>咖啡</v>
          </cell>
          <cell r="B146">
            <v>1024</v>
          </cell>
        </row>
        <row r="147">
          <cell r="A147" t="str">
            <v>草莓</v>
          </cell>
          <cell r="B147">
            <v>1025</v>
          </cell>
        </row>
        <row r="148">
          <cell r="A148" t="str">
            <v>蓝莓</v>
          </cell>
          <cell r="B148">
            <v>1026</v>
          </cell>
        </row>
        <row r="149">
          <cell r="A149" t="str">
            <v>红薯</v>
          </cell>
          <cell r="B149">
            <v>1027</v>
          </cell>
        </row>
        <row r="150">
          <cell r="A150" t="str">
            <v>甜菜</v>
          </cell>
          <cell r="B150">
            <v>1028</v>
          </cell>
        </row>
        <row r="151">
          <cell r="A151" t="str">
            <v>芜菁种子</v>
          </cell>
          <cell r="B151">
            <v>1101</v>
          </cell>
        </row>
        <row r="152">
          <cell r="A152" t="str">
            <v>卷心菜种子</v>
          </cell>
          <cell r="B152">
            <v>1102</v>
          </cell>
        </row>
        <row r="153">
          <cell r="A153" t="str">
            <v>葱种子</v>
          </cell>
          <cell r="B153">
            <v>1103</v>
          </cell>
        </row>
        <row r="154">
          <cell r="A154" t="str">
            <v>萝卜种子</v>
          </cell>
          <cell r="B154">
            <v>1104</v>
          </cell>
        </row>
        <row r="155">
          <cell r="A155" t="str">
            <v>紫甘蓝种子</v>
          </cell>
          <cell r="B155">
            <v>1105</v>
          </cell>
        </row>
        <row r="156">
          <cell r="A156" t="str">
            <v>黄瓜种子</v>
          </cell>
          <cell r="B156">
            <v>1106</v>
          </cell>
        </row>
        <row r="157">
          <cell r="A157" t="str">
            <v>西兰花种子</v>
          </cell>
          <cell r="B157">
            <v>1107</v>
          </cell>
        </row>
        <row r="158">
          <cell r="A158" t="str">
            <v>番茄种子</v>
          </cell>
          <cell r="B158">
            <v>1108</v>
          </cell>
        </row>
        <row r="159">
          <cell r="A159" t="str">
            <v>胡萝卜种子</v>
          </cell>
          <cell r="B159">
            <v>1109</v>
          </cell>
        </row>
        <row r="160">
          <cell r="A160" t="str">
            <v>西瓜种子</v>
          </cell>
          <cell r="B160">
            <v>1110</v>
          </cell>
        </row>
        <row r="161">
          <cell r="A161" t="str">
            <v>辣椒种子</v>
          </cell>
          <cell r="B161">
            <v>1111</v>
          </cell>
        </row>
        <row r="162">
          <cell r="A162" t="str">
            <v>奇异果种子</v>
          </cell>
          <cell r="B162">
            <v>1112</v>
          </cell>
        </row>
        <row r="163">
          <cell r="A163" t="str">
            <v>茄子种子</v>
          </cell>
          <cell r="B163">
            <v>1113</v>
          </cell>
        </row>
        <row r="164">
          <cell r="A164" t="str">
            <v>豌豆种子</v>
          </cell>
          <cell r="B164">
            <v>1114</v>
          </cell>
        </row>
        <row r="165">
          <cell r="A165" t="str">
            <v>土豆种子</v>
          </cell>
          <cell r="B165">
            <v>1115</v>
          </cell>
        </row>
        <row r="166">
          <cell r="A166" t="str">
            <v>大蒜种子</v>
          </cell>
          <cell r="B166">
            <v>1116</v>
          </cell>
        </row>
        <row r="167">
          <cell r="A167" t="str">
            <v>芦笋种子</v>
          </cell>
          <cell r="B167">
            <v>1117</v>
          </cell>
        </row>
        <row r="168">
          <cell r="A168" t="str">
            <v>南瓜种子</v>
          </cell>
          <cell r="B168">
            <v>1118</v>
          </cell>
        </row>
        <row r="169">
          <cell r="A169" t="str">
            <v>玉米种子</v>
          </cell>
          <cell r="B169">
            <v>1119</v>
          </cell>
        </row>
        <row r="170">
          <cell r="A170" t="str">
            <v>大麦种子</v>
          </cell>
          <cell r="B170">
            <v>1120</v>
          </cell>
        </row>
        <row r="171">
          <cell r="A171" t="str">
            <v>啤酒花种子</v>
          </cell>
          <cell r="B171">
            <v>1121</v>
          </cell>
        </row>
        <row r="172">
          <cell r="A172" t="str">
            <v>葡萄种子</v>
          </cell>
          <cell r="B172">
            <v>1122</v>
          </cell>
        </row>
        <row r="173">
          <cell r="A173" t="str">
            <v>菠萝种子</v>
          </cell>
          <cell r="B173">
            <v>1123</v>
          </cell>
        </row>
        <row r="174">
          <cell r="A174" t="str">
            <v>咖啡种子</v>
          </cell>
          <cell r="B174">
            <v>1124</v>
          </cell>
        </row>
        <row r="175">
          <cell r="A175" t="str">
            <v>草莓种子</v>
          </cell>
          <cell r="B175">
            <v>1125</v>
          </cell>
        </row>
        <row r="176">
          <cell r="A176" t="str">
            <v>蓝莓种子</v>
          </cell>
          <cell r="B176">
            <v>1126</v>
          </cell>
        </row>
        <row r="177">
          <cell r="A177" t="str">
            <v>红薯种子</v>
          </cell>
          <cell r="B177">
            <v>1127</v>
          </cell>
        </row>
        <row r="178">
          <cell r="A178" t="str">
            <v>甜菜种子</v>
          </cell>
          <cell r="B178">
            <v>1128</v>
          </cell>
        </row>
        <row r="179">
          <cell r="A179" t="str">
            <v>长剑</v>
          </cell>
          <cell r="B179">
            <v>1600</v>
          </cell>
        </row>
        <row r="180">
          <cell r="A180" t="str">
            <v>诅咒之剑</v>
          </cell>
          <cell r="B180">
            <v>1601</v>
          </cell>
        </row>
        <row r="181">
          <cell r="A181" t="str">
            <v>烈焰之刃</v>
          </cell>
          <cell r="B181">
            <v>1602</v>
          </cell>
        </row>
        <row r="182">
          <cell r="A182" t="str">
            <v>大地之剑</v>
          </cell>
          <cell r="B182">
            <v>1603</v>
          </cell>
        </row>
        <row r="183">
          <cell r="A183" t="str">
            <v>冰之刃</v>
          </cell>
          <cell r="B183">
            <v>1604</v>
          </cell>
        </row>
        <row r="184">
          <cell r="A184" t="str">
            <v>铁枪</v>
          </cell>
          <cell r="B184">
            <v>1605</v>
          </cell>
        </row>
        <row r="185">
          <cell r="A185" t="str">
            <v>骑士长枪</v>
          </cell>
          <cell r="B185">
            <v>1606</v>
          </cell>
        </row>
        <row r="186">
          <cell r="A186" t="str">
            <v>血腥之矛</v>
          </cell>
          <cell r="B186">
            <v>1607</v>
          </cell>
        </row>
        <row r="187">
          <cell r="A187" t="str">
            <v>三叉戟</v>
          </cell>
          <cell r="B187">
            <v>1608</v>
          </cell>
        </row>
        <row r="188">
          <cell r="A188" t="str">
            <v>战斧</v>
          </cell>
          <cell r="B188">
            <v>1609</v>
          </cell>
        </row>
        <row r="189">
          <cell r="A189" t="str">
            <v>毒蜥之牙</v>
          </cell>
          <cell r="B189">
            <v>1610</v>
          </cell>
        </row>
        <row r="190">
          <cell r="A190" t="str">
            <v>恶魔之斧</v>
          </cell>
          <cell r="B190">
            <v>1611</v>
          </cell>
        </row>
        <row r="191">
          <cell r="A191" t="str">
            <v>蛇皮鞭</v>
          </cell>
          <cell r="B191">
            <v>1612</v>
          </cell>
        </row>
        <row r="192">
          <cell r="A192" t="str">
            <v>荆棘鞭</v>
          </cell>
          <cell r="B192">
            <v>1613</v>
          </cell>
        </row>
        <row r="193">
          <cell r="A193" t="str">
            <v>女王之鞭</v>
          </cell>
          <cell r="B193">
            <v>1614</v>
          </cell>
        </row>
        <row r="194">
          <cell r="A194" t="str">
            <v>蛇牙鞭</v>
          </cell>
          <cell r="B194">
            <v>1615</v>
          </cell>
        </row>
        <row r="195">
          <cell r="A195" t="str">
            <v>暴雪斧</v>
          </cell>
          <cell r="B195">
            <v>1616</v>
          </cell>
        </row>
        <row r="196">
          <cell r="A196" t="str">
            <v>秘银长剑</v>
          </cell>
          <cell r="B196">
            <v>1617</v>
          </cell>
        </row>
        <row r="197">
          <cell r="A197" t="str">
            <v>幻影长枪</v>
          </cell>
          <cell r="B197">
            <v>1618</v>
          </cell>
        </row>
        <row r="198">
          <cell r="A198" t="str">
            <v>雷神之鞭</v>
          </cell>
          <cell r="B198">
            <v>1619</v>
          </cell>
        </row>
        <row r="199">
          <cell r="A199" t="str">
            <v>死亡之鞭</v>
          </cell>
          <cell r="B199">
            <v>1620</v>
          </cell>
        </row>
        <row r="200">
          <cell r="A200" t="str">
            <v>布衣</v>
          </cell>
          <cell r="B200">
            <v>1650</v>
          </cell>
        </row>
        <row r="201">
          <cell r="A201" t="str">
            <v>皮铠</v>
          </cell>
          <cell r="B201">
            <v>1651</v>
          </cell>
        </row>
        <row r="202">
          <cell r="A202" t="str">
            <v>锁子甲</v>
          </cell>
          <cell r="B202">
            <v>1652</v>
          </cell>
        </row>
        <row r="203">
          <cell r="A203" t="str">
            <v>毛皮斗篷</v>
          </cell>
          <cell r="B203">
            <v>1653</v>
          </cell>
        </row>
        <row r="204">
          <cell r="A204" t="str">
            <v>铁铠甲</v>
          </cell>
          <cell r="B204">
            <v>1654</v>
          </cell>
        </row>
        <row r="205">
          <cell r="A205" t="str">
            <v>红莲之铠</v>
          </cell>
          <cell r="B205">
            <v>1655</v>
          </cell>
        </row>
        <row r="206">
          <cell r="A206" t="str">
            <v>铁龟铠</v>
          </cell>
          <cell r="B206">
            <v>1656</v>
          </cell>
        </row>
        <row r="207">
          <cell r="A207" t="str">
            <v>华丽背心</v>
          </cell>
          <cell r="B207">
            <v>1657</v>
          </cell>
        </row>
        <row r="208">
          <cell r="A208" t="str">
            <v>鳞铠</v>
          </cell>
          <cell r="B208">
            <v>1658</v>
          </cell>
        </row>
        <row r="209">
          <cell r="A209" t="str">
            <v>暗之袍</v>
          </cell>
          <cell r="B209">
            <v>1659</v>
          </cell>
        </row>
        <row r="210">
          <cell r="A210" t="str">
            <v>疾风背心</v>
          </cell>
          <cell r="B210">
            <v>1660</v>
          </cell>
        </row>
        <row r="211">
          <cell r="A211" t="str">
            <v>魔法铠甲</v>
          </cell>
          <cell r="B211">
            <v>1661</v>
          </cell>
        </row>
        <row r="212">
          <cell r="A212" t="str">
            <v>钢刃锁甲</v>
          </cell>
          <cell r="B212">
            <v>1662</v>
          </cell>
        </row>
        <row r="213">
          <cell r="A213" t="str">
            <v>丝织长袍</v>
          </cell>
          <cell r="B213">
            <v>1663</v>
          </cell>
        </row>
        <row r="214">
          <cell r="A214" t="str">
            <v>水之羽衣</v>
          </cell>
          <cell r="B214">
            <v>1664</v>
          </cell>
        </row>
        <row r="215">
          <cell r="A215" t="str">
            <v>贵族长裙</v>
          </cell>
          <cell r="B215">
            <v>1665</v>
          </cell>
        </row>
        <row r="216">
          <cell r="A216" t="str">
            <v>幸运之衣</v>
          </cell>
          <cell r="B216">
            <v>1666</v>
          </cell>
        </row>
        <row r="217">
          <cell r="A217" t="str">
            <v>布鞋</v>
          </cell>
          <cell r="B217">
            <v>1700</v>
          </cell>
        </row>
        <row r="218">
          <cell r="A218" t="str">
            <v>皮鞋</v>
          </cell>
          <cell r="B218">
            <v>1701</v>
          </cell>
        </row>
        <row r="219">
          <cell r="A219" t="str">
            <v>士兵长靴</v>
          </cell>
          <cell r="B219">
            <v>1702</v>
          </cell>
        </row>
        <row r="220">
          <cell r="A220" t="str">
            <v>登山者之靴</v>
          </cell>
          <cell r="B220">
            <v>1703</v>
          </cell>
        </row>
        <row r="221">
          <cell r="A221" t="str">
            <v>运动鞋</v>
          </cell>
          <cell r="B221">
            <v>1704</v>
          </cell>
        </row>
        <row r="222">
          <cell r="A222" t="str">
            <v>贵族长靴</v>
          </cell>
          <cell r="B222">
            <v>1705</v>
          </cell>
        </row>
        <row r="223">
          <cell r="A223" t="str">
            <v>武道鞋</v>
          </cell>
          <cell r="B223">
            <v>1706</v>
          </cell>
        </row>
        <row r="224">
          <cell r="A224" t="str">
            <v>骑士护胫</v>
          </cell>
          <cell r="B224">
            <v>1707</v>
          </cell>
        </row>
        <row r="225">
          <cell r="A225" t="str">
            <v>贤者之履</v>
          </cell>
          <cell r="B225">
            <v>1708</v>
          </cell>
        </row>
        <row r="226">
          <cell r="A226" t="str">
            <v>风神之履</v>
          </cell>
          <cell r="B226">
            <v>1709</v>
          </cell>
        </row>
        <row r="227">
          <cell r="A227" t="str">
            <v>踏浪长靴</v>
          </cell>
          <cell r="B227">
            <v>1710</v>
          </cell>
        </row>
        <row r="228">
          <cell r="A228" t="str">
            <v>草帽</v>
          </cell>
          <cell r="B228">
            <v>1800</v>
          </cell>
        </row>
        <row r="229">
          <cell r="A229" t="str">
            <v>阳光草帽</v>
          </cell>
          <cell r="B229">
            <v>1801</v>
          </cell>
        </row>
        <row r="230">
          <cell r="A230" t="str">
            <v>法师帽</v>
          </cell>
          <cell r="B230">
            <v>1802</v>
          </cell>
        </row>
        <row r="231">
          <cell r="A231" t="str">
            <v>士兵头盔</v>
          </cell>
          <cell r="B231">
            <v>1803</v>
          </cell>
        </row>
        <row r="232">
          <cell r="A232" t="str">
            <v>尖角头盔</v>
          </cell>
          <cell r="B232">
            <v>1804</v>
          </cell>
        </row>
        <row r="233">
          <cell r="A233" t="str">
            <v>幸运头巾</v>
          </cell>
          <cell r="B233">
            <v>1805</v>
          </cell>
        </row>
        <row r="234">
          <cell r="A234" t="str">
            <v>绅士礼帽</v>
          </cell>
          <cell r="B234">
            <v>1806</v>
          </cell>
        </row>
        <row r="235">
          <cell r="A235" t="str">
            <v>贵族头巾</v>
          </cell>
          <cell r="B235">
            <v>1807</v>
          </cell>
        </row>
        <row r="236">
          <cell r="A236" t="str">
            <v>战争头盔</v>
          </cell>
          <cell r="B236">
            <v>1808</v>
          </cell>
        </row>
        <row r="237">
          <cell r="A237" t="str">
            <v>锄头</v>
          </cell>
          <cell r="B237">
            <v>2000</v>
          </cell>
        </row>
        <row r="238">
          <cell r="A238" t="str">
            <v>洒水壶</v>
          </cell>
          <cell r="B238">
            <v>2001</v>
          </cell>
        </row>
        <row r="239">
          <cell r="A239" t="str">
            <v>斧头</v>
          </cell>
          <cell r="B239">
            <v>2002</v>
          </cell>
        </row>
        <row r="240">
          <cell r="A240" t="str">
            <v>镰刀</v>
          </cell>
          <cell r="B240">
            <v>2003</v>
          </cell>
        </row>
        <row r="241">
          <cell r="A241" t="str">
            <v>鱼竿</v>
          </cell>
          <cell r="B241">
            <v>2004</v>
          </cell>
        </row>
        <row r="242">
          <cell r="A242" t="str">
            <v>缝纫机</v>
          </cell>
          <cell r="B242">
            <v>2100</v>
          </cell>
        </row>
        <row r="243">
          <cell r="A243" t="str">
            <v>锻造炉</v>
          </cell>
          <cell r="B243">
            <v>2101</v>
          </cell>
        </row>
        <row r="244">
          <cell r="A244" t="str">
            <v>烘烤炉</v>
          </cell>
          <cell r="B244">
            <v>2102</v>
          </cell>
        </row>
        <row r="245">
          <cell r="A245" t="str">
            <v>炖煮锅</v>
          </cell>
          <cell r="B245">
            <v>2103</v>
          </cell>
        </row>
        <row r="246">
          <cell r="A246" t="str">
            <v>冷餐台</v>
          </cell>
          <cell r="B246">
            <v>2104</v>
          </cell>
        </row>
        <row r="247">
          <cell r="A247" t="str">
            <v>酿造桶</v>
          </cell>
          <cell r="B247">
            <v>2105</v>
          </cell>
        </row>
        <row r="248">
          <cell r="A248" t="str">
            <v>绘写台</v>
          </cell>
          <cell r="B248">
            <v>2106</v>
          </cell>
        </row>
        <row r="249">
          <cell r="A249" t="str">
            <v>冰箱</v>
          </cell>
          <cell r="B249">
            <v>2107</v>
          </cell>
        </row>
        <row r="250">
          <cell r="A250" t="str">
            <v>储物箱(木)</v>
          </cell>
          <cell r="B250">
            <v>2108</v>
          </cell>
        </row>
        <row r="251">
          <cell r="A251" t="str">
            <v>储物箱(银)</v>
          </cell>
          <cell r="B251">
            <v>2109</v>
          </cell>
        </row>
        <row r="252">
          <cell r="A252" t="str">
            <v>储物箱(金)</v>
          </cell>
          <cell r="B252">
            <v>2110</v>
          </cell>
        </row>
        <row r="253">
          <cell r="A253" t="str">
            <v>普通柜台</v>
          </cell>
          <cell r="B253">
            <v>2111</v>
          </cell>
        </row>
        <row r="254">
          <cell r="A254" t="str">
            <v>服饰架</v>
          </cell>
          <cell r="B254">
            <v>2113</v>
          </cell>
        </row>
        <row r="255">
          <cell r="A255" t="str">
            <v>沙发</v>
          </cell>
          <cell r="B255">
            <v>2200</v>
          </cell>
        </row>
        <row r="256">
          <cell r="A256" t="str">
            <v>搅拌器</v>
          </cell>
          <cell r="B256">
            <v>2114</v>
          </cell>
        </row>
        <row r="257">
          <cell r="A257" t="str">
            <v>双人床</v>
          </cell>
          <cell r="B257">
            <v>2201</v>
          </cell>
        </row>
        <row r="258">
          <cell r="A258" t="str">
            <v>鲫鱼</v>
          </cell>
          <cell r="B258">
            <v>4000</v>
          </cell>
        </row>
        <row r="259">
          <cell r="A259" t="str">
            <v>小龙虾</v>
          </cell>
          <cell r="B259">
            <v>4003</v>
          </cell>
        </row>
        <row r="260">
          <cell r="A260" t="str">
            <v>鲤鱼</v>
          </cell>
          <cell r="B260">
            <v>4004</v>
          </cell>
        </row>
        <row r="261">
          <cell r="A261" t="str">
            <v>鲮鱼</v>
          </cell>
          <cell r="B261">
            <v>4006</v>
          </cell>
        </row>
        <row r="262">
          <cell r="A262" t="str">
            <v>手套蟹</v>
          </cell>
          <cell r="B262">
            <v>4007</v>
          </cell>
        </row>
        <row r="263">
          <cell r="A263" t="str">
            <v>鲶鱼</v>
          </cell>
          <cell r="B263">
            <v>4008</v>
          </cell>
        </row>
        <row r="264">
          <cell r="A264" t="str">
            <v>丁鱼</v>
          </cell>
          <cell r="B264">
            <v>4009</v>
          </cell>
        </row>
        <row r="265">
          <cell r="A265" t="str">
            <v>锦鲤</v>
          </cell>
          <cell r="B265">
            <v>4010</v>
          </cell>
        </row>
        <row r="266">
          <cell r="A266" t="str">
            <v>线鱼</v>
          </cell>
          <cell r="B266">
            <v>4011</v>
          </cell>
        </row>
        <row r="267">
          <cell r="A267" t="str">
            <v>梭鲈</v>
          </cell>
          <cell r="B267">
            <v>4012</v>
          </cell>
        </row>
        <row r="268">
          <cell r="A268" t="str">
            <v>兰寿金鱼</v>
          </cell>
          <cell r="B268">
            <v>4013</v>
          </cell>
        </row>
        <row r="269">
          <cell r="A269" t="str">
            <v>樱桃鲑鱼</v>
          </cell>
          <cell r="B269">
            <v>4014</v>
          </cell>
        </row>
        <row r="270">
          <cell r="A270" t="str">
            <v>虹鳟鱼</v>
          </cell>
          <cell r="B270">
            <v>4015</v>
          </cell>
        </row>
        <row r="271">
          <cell r="A271" t="str">
            <v>鲷鱼</v>
          </cell>
          <cell r="B271">
            <v>4016</v>
          </cell>
        </row>
        <row r="272">
          <cell r="A272" t="str">
            <v>金鳟鱼</v>
          </cell>
          <cell r="B272">
            <v>4017</v>
          </cell>
        </row>
        <row r="273">
          <cell r="A273" t="str">
            <v>霓虹脂鲤</v>
          </cell>
          <cell r="B273">
            <v>4018</v>
          </cell>
        </row>
        <row r="274">
          <cell r="A274" t="str">
            <v>桃花鱼</v>
          </cell>
          <cell r="B274">
            <v>4020</v>
          </cell>
        </row>
        <row r="275">
          <cell r="A275" t="str">
            <v>鲑鱼</v>
          </cell>
          <cell r="B275">
            <v>4021</v>
          </cell>
        </row>
        <row r="276">
          <cell r="A276" t="str">
            <v>孔雀鱼</v>
          </cell>
          <cell r="B276">
            <v>4022</v>
          </cell>
        </row>
        <row r="277">
          <cell r="A277" t="str">
            <v>银龙鱼</v>
          </cell>
          <cell r="B277">
            <v>4023</v>
          </cell>
        </row>
        <row r="278">
          <cell r="A278" t="str">
            <v>洞穴天使鱼</v>
          </cell>
          <cell r="B278">
            <v>4024</v>
          </cell>
        </row>
        <row r="279">
          <cell r="A279" t="str">
            <v>沙丁鱼</v>
          </cell>
          <cell r="B279">
            <v>4100</v>
          </cell>
        </row>
        <row r="280">
          <cell r="A280" t="str">
            <v>竹荚鱼</v>
          </cell>
          <cell r="B280">
            <v>4101</v>
          </cell>
        </row>
        <row r="281">
          <cell r="A281" t="str">
            <v>海鳗</v>
          </cell>
          <cell r="B281">
            <v>4103</v>
          </cell>
        </row>
        <row r="282">
          <cell r="A282" t="str">
            <v>章鱼</v>
          </cell>
          <cell r="B282">
            <v>4105</v>
          </cell>
        </row>
        <row r="283">
          <cell r="A283" t="str">
            <v>比目鱼</v>
          </cell>
          <cell r="B283">
            <v>4106</v>
          </cell>
        </row>
        <row r="284">
          <cell r="A284" t="str">
            <v>河豚</v>
          </cell>
          <cell r="B284">
            <v>4109</v>
          </cell>
        </row>
        <row r="285">
          <cell r="A285" t="str">
            <v>水母</v>
          </cell>
          <cell r="B285">
            <v>4110</v>
          </cell>
        </row>
        <row r="286">
          <cell r="A286" t="str">
            <v>条石鲷</v>
          </cell>
          <cell r="B286">
            <v>4111</v>
          </cell>
        </row>
        <row r="287">
          <cell r="A287" t="str">
            <v>红鲷鱼</v>
          </cell>
          <cell r="B287">
            <v>4112</v>
          </cell>
        </row>
        <row r="288">
          <cell r="A288" t="str">
            <v>蓝蟹</v>
          </cell>
          <cell r="B288">
            <v>4113</v>
          </cell>
        </row>
        <row r="289">
          <cell r="A289" t="str">
            <v>鲯鳅鱼</v>
          </cell>
          <cell r="B289">
            <v>4114</v>
          </cell>
        </row>
        <row r="290">
          <cell r="A290" t="str">
            <v>龙虾</v>
          </cell>
          <cell r="B290">
            <v>4115</v>
          </cell>
        </row>
        <row r="291">
          <cell r="A291" t="str">
            <v>金枪鱼</v>
          </cell>
          <cell r="B291">
            <v>4116</v>
          </cell>
        </row>
        <row r="292">
          <cell r="A292" t="str">
            <v>斑马狮子鱼</v>
          </cell>
          <cell r="B292">
            <v>4117</v>
          </cell>
        </row>
        <row r="293">
          <cell r="A293" t="str">
            <v>米饭</v>
          </cell>
          <cell r="B293">
            <v>3000</v>
          </cell>
        </row>
        <row r="294">
          <cell r="A294" t="str">
            <v>发酵粉</v>
          </cell>
          <cell r="B294">
            <v>3001</v>
          </cell>
        </row>
        <row r="295">
          <cell r="A295" t="str">
            <v>盐</v>
          </cell>
          <cell r="B295">
            <v>3002</v>
          </cell>
        </row>
        <row r="296">
          <cell r="A296" t="str">
            <v>酸味香料</v>
          </cell>
          <cell r="B296">
            <v>3003</v>
          </cell>
        </row>
        <row r="297">
          <cell r="A297" t="str">
            <v>蜂蜜</v>
          </cell>
          <cell r="B297">
            <v>3005</v>
          </cell>
        </row>
        <row r="298">
          <cell r="A298" t="str">
            <v>牛奶</v>
          </cell>
          <cell r="B298">
            <v>3006</v>
          </cell>
        </row>
        <row r="299">
          <cell r="A299" t="str">
            <v>鸡蛋</v>
          </cell>
          <cell r="B299">
            <v>3007</v>
          </cell>
        </row>
        <row r="300">
          <cell r="A300" t="str">
            <v>猪肉</v>
          </cell>
          <cell r="B300">
            <v>3008</v>
          </cell>
        </row>
        <row r="301">
          <cell r="A301" t="str">
            <v>面粉</v>
          </cell>
          <cell r="B301">
            <v>3009</v>
          </cell>
        </row>
        <row r="302">
          <cell r="A302" t="str">
            <v>咖啡粉</v>
          </cell>
          <cell r="B302">
            <v>3010</v>
          </cell>
        </row>
        <row r="303">
          <cell r="A303" t="str">
            <v>海苔</v>
          </cell>
          <cell r="B303">
            <v>3011</v>
          </cell>
        </row>
        <row r="304">
          <cell r="A304" t="str">
            <v>黄油</v>
          </cell>
          <cell r="B304">
            <v>3011</v>
          </cell>
        </row>
        <row r="305">
          <cell r="A305" t="str">
            <v>腌芜菁</v>
          </cell>
          <cell r="B305">
            <v>3100</v>
          </cell>
        </row>
        <row r="306">
          <cell r="A306" t="str">
            <v>蔬菜沙拉</v>
          </cell>
          <cell r="B306">
            <v>3101</v>
          </cell>
        </row>
        <row r="307">
          <cell r="A307" t="str">
            <v>三明治</v>
          </cell>
          <cell r="B307">
            <v>3102</v>
          </cell>
        </row>
        <row r="308">
          <cell r="A308" t="str">
            <v>腌萝卜</v>
          </cell>
          <cell r="B308">
            <v>3103</v>
          </cell>
        </row>
        <row r="309">
          <cell r="A309" t="str">
            <v>拉面</v>
          </cell>
          <cell r="B309">
            <v>3104</v>
          </cell>
        </row>
        <row r="310">
          <cell r="A310" t="str">
            <v>蜂蜜蛋糕</v>
          </cell>
          <cell r="B310">
            <v>3105</v>
          </cell>
        </row>
        <row r="311">
          <cell r="A311" t="str">
            <v>披萨</v>
          </cell>
          <cell r="B311">
            <v>3106</v>
          </cell>
        </row>
        <row r="312">
          <cell r="A312" t="str">
            <v>腌黄瓜</v>
          </cell>
          <cell r="B312">
            <v>3107</v>
          </cell>
        </row>
        <row r="313">
          <cell r="A313" t="str">
            <v>烤西兰花</v>
          </cell>
          <cell r="B313">
            <v>3108</v>
          </cell>
        </row>
        <row r="314">
          <cell r="A314" t="str">
            <v>水煮蛋</v>
          </cell>
          <cell r="B314">
            <v>3109</v>
          </cell>
        </row>
        <row r="315">
          <cell r="A315" t="str">
            <v>烤肉串</v>
          </cell>
          <cell r="B315">
            <v>3110</v>
          </cell>
        </row>
        <row r="316">
          <cell r="A316" t="str">
            <v>饭团</v>
          </cell>
          <cell r="B316">
            <v>3111</v>
          </cell>
        </row>
        <row r="317">
          <cell r="A317" t="str">
            <v>面包</v>
          </cell>
          <cell r="B317">
            <v>3112</v>
          </cell>
        </row>
        <row r="318">
          <cell r="A318" t="str">
            <v>烤海苔</v>
          </cell>
          <cell r="B318">
            <v>3113</v>
          </cell>
        </row>
        <row r="319">
          <cell r="A319" t="str">
            <v>烤肉饼</v>
          </cell>
          <cell r="B319">
            <v>3114</v>
          </cell>
        </row>
        <row r="320">
          <cell r="A320" t="str">
            <v>汉堡</v>
          </cell>
          <cell r="B320">
            <v>3115</v>
          </cell>
        </row>
        <row r="321">
          <cell r="A321" t="str">
            <v>辣蟹堡</v>
          </cell>
          <cell r="B321">
            <v>3116</v>
          </cell>
        </row>
        <row r="322">
          <cell r="A322" t="str">
            <v>土豆泥</v>
          </cell>
          <cell r="B322">
            <v>3117</v>
          </cell>
        </row>
        <row r="323">
          <cell r="A323" t="str">
            <v>海鲜饭</v>
          </cell>
          <cell r="B323">
            <v>3118</v>
          </cell>
        </row>
        <row r="324">
          <cell r="A324" t="str">
            <v>烤玉米</v>
          </cell>
          <cell r="B324">
            <v>3119</v>
          </cell>
        </row>
        <row r="325">
          <cell r="A325" t="str">
            <v>蔬菜汁</v>
          </cell>
          <cell r="B325">
            <v>3120</v>
          </cell>
        </row>
        <row r="326">
          <cell r="A326" t="str">
            <v>西瓜果汁</v>
          </cell>
          <cell r="B326">
            <v>3121</v>
          </cell>
        </row>
        <row r="327">
          <cell r="A327" t="str">
            <v>奇异果汁</v>
          </cell>
          <cell r="B327">
            <v>3122</v>
          </cell>
        </row>
        <row r="328">
          <cell r="A328" t="str">
            <v>葡萄汁</v>
          </cell>
          <cell r="B328">
            <v>3123</v>
          </cell>
        </row>
        <row r="329">
          <cell r="A329" t="str">
            <v>菠萝汁</v>
          </cell>
          <cell r="B329">
            <v>3124</v>
          </cell>
        </row>
        <row r="330">
          <cell r="A330" t="str">
            <v>草莓汁</v>
          </cell>
          <cell r="B330">
            <v>3125</v>
          </cell>
        </row>
        <row r="331">
          <cell r="A331" t="str">
            <v>蓝莓汁</v>
          </cell>
          <cell r="B331">
            <v>3126</v>
          </cell>
        </row>
        <row r="332">
          <cell r="A332" t="str">
            <v>玉米汁</v>
          </cell>
          <cell r="B332">
            <v>3127</v>
          </cell>
        </row>
        <row r="333">
          <cell r="A333" t="str">
            <v>烤蜜薯</v>
          </cell>
          <cell r="B333">
            <v>3128</v>
          </cell>
        </row>
        <row r="334">
          <cell r="A334" t="str">
            <v>甜菜汁</v>
          </cell>
          <cell r="B334">
            <v>3129</v>
          </cell>
        </row>
        <row r="335">
          <cell r="A335" t="str">
            <v>奶酪</v>
          </cell>
          <cell r="B335">
            <v>3130</v>
          </cell>
        </row>
        <row r="336">
          <cell r="A336" t="str">
            <v>烤茄子</v>
          </cell>
          <cell r="B336">
            <v>3131</v>
          </cell>
        </row>
        <row r="337">
          <cell r="A337" t="str">
            <v>饺子</v>
          </cell>
          <cell r="B337">
            <v>3132</v>
          </cell>
        </row>
        <row r="338">
          <cell r="A338" t="str">
            <v>炖菜</v>
          </cell>
          <cell r="B338">
            <v>3133</v>
          </cell>
        </row>
        <row r="339">
          <cell r="A339" t="str">
            <v>烤芦笋</v>
          </cell>
          <cell r="B339">
            <v>3134</v>
          </cell>
        </row>
        <row r="340">
          <cell r="A340" t="str">
            <v>红菜汤</v>
          </cell>
          <cell r="B340">
            <v>3135</v>
          </cell>
        </row>
        <row r="341">
          <cell r="A341" t="str">
            <v>豌豆汤</v>
          </cell>
          <cell r="B341">
            <v>3136</v>
          </cell>
        </row>
        <row r="342">
          <cell r="A342" t="str">
            <v>草莓牛奶</v>
          </cell>
          <cell r="B342">
            <v>3137</v>
          </cell>
        </row>
        <row r="343">
          <cell r="A343" t="str">
            <v>莓莓果汁</v>
          </cell>
          <cell r="B343">
            <v>3138</v>
          </cell>
        </row>
        <row r="344">
          <cell r="A344" t="str">
            <v>鲑鱼饭团</v>
          </cell>
          <cell r="B344">
            <v>3139</v>
          </cell>
        </row>
        <row r="345">
          <cell r="A345" t="str">
            <v>拿铁</v>
          </cell>
          <cell r="B345">
            <v>3140</v>
          </cell>
        </row>
        <row r="346">
          <cell r="A346" t="str">
            <v>黑咖啡</v>
          </cell>
          <cell r="B346">
            <v>3141</v>
          </cell>
        </row>
        <row r="347">
          <cell r="A347" t="str">
            <v>葡萄酒</v>
          </cell>
          <cell r="B347">
            <v>3142</v>
          </cell>
        </row>
        <row r="348">
          <cell r="A348" t="str">
            <v>伏特加</v>
          </cell>
          <cell r="B348">
            <v>3143</v>
          </cell>
        </row>
        <row r="349">
          <cell r="A349" t="str">
            <v>啤酒</v>
          </cell>
          <cell r="B349">
            <v>3144</v>
          </cell>
        </row>
        <row r="350">
          <cell r="A350" t="str">
            <v>朗姆</v>
          </cell>
          <cell r="B350">
            <v>3145</v>
          </cell>
        </row>
        <row r="351">
          <cell r="A351" t="str">
            <v>野蜂拉格</v>
          </cell>
          <cell r="B351">
            <v>3146</v>
          </cell>
        </row>
        <row r="352">
          <cell r="A352" t="str">
            <v>双莓白兰地</v>
          </cell>
          <cell r="B352">
            <v>3147</v>
          </cell>
        </row>
        <row r="353">
          <cell r="A353" t="str">
            <v>绯红之吻</v>
          </cell>
          <cell r="B353">
            <v>3148</v>
          </cell>
        </row>
        <row r="354">
          <cell r="A354" t="str">
            <v>阳光男孩</v>
          </cell>
          <cell r="B354">
            <v>3149</v>
          </cell>
        </row>
        <row r="355">
          <cell r="A355" t="str">
            <v>盐烤鲮鱼</v>
          </cell>
          <cell r="B355">
            <v>3150</v>
          </cell>
        </row>
        <row r="356">
          <cell r="A356" t="str">
            <v>盐烤丁鱼</v>
          </cell>
          <cell r="B356">
            <v>3151</v>
          </cell>
        </row>
        <row r="357">
          <cell r="A357" t="str">
            <v>盐烤虹鳟鱼</v>
          </cell>
          <cell r="B357">
            <v>3152</v>
          </cell>
        </row>
        <row r="358">
          <cell r="A358" t="str">
            <v>烤鲷鱼</v>
          </cell>
          <cell r="B358">
            <v>3153</v>
          </cell>
        </row>
        <row r="359">
          <cell r="A359" t="str">
            <v>盐烤金鳟鱼</v>
          </cell>
          <cell r="B359">
            <v>3154</v>
          </cell>
        </row>
        <row r="360">
          <cell r="A360" t="str">
            <v>盐烤鲑鱼</v>
          </cell>
          <cell r="B360">
            <v>3155</v>
          </cell>
        </row>
        <row r="361">
          <cell r="A361" t="str">
            <v>烤沙丁鱼串</v>
          </cell>
          <cell r="B361">
            <v>3156</v>
          </cell>
        </row>
        <row r="362">
          <cell r="A362" t="str">
            <v>烤竹荚鱼</v>
          </cell>
          <cell r="B362">
            <v>3157</v>
          </cell>
        </row>
        <row r="363">
          <cell r="A363" t="str">
            <v>烤海鳗</v>
          </cell>
          <cell r="B363">
            <v>3158</v>
          </cell>
        </row>
        <row r="364">
          <cell r="A364" t="str">
            <v>烤比目鱼</v>
          </cell>
          <cell r="B364">
            <v>3159</v>
          </cell>
        </row>
        <row r="365">
          <cell r="A365" t="str">
            <v>烤河豚鱼</v>
          </cell>
          <cell r="B365">
            <v>3160</v>
          </cell>
        </row>
        <row r="366">
          <cell r="A366" t="str">
            <v>烤条石鲷</v>
          </cell>
          <cell r="B366">
            <v>3161</v>
          </cell>
        </row>
        <row r="367">
          <cell r="A367" t="str">
            <v>烤红鲷鱼</v>
          </cell>
          <cell r="B367">
            <v>3162</v>
          </cell>
        </row>
        <row r="368">
          <cell r="A368" t="str">
            <v>烤蓝蟹</v>
          </cell>
          <cell r="B368">
            <v>3163</v>
          </cell>
        </row>
        <row r="369">
          <cell r="A369" t="str">
            <v>烤龙虾</v>
          </cell>
          <cell r="B369">
            <v>3164</v>
          </cell>
        </row>
        <row r="370">
          <cell r="A370" t="str">
            <v>烤金枪鱼</v>
          </cell>
          <cell r="B370">
            <v>3165</v>
          </cell>
        </row>
        <row r="371">
          <cell r="A371" t="str">
            <v>煮蟹肉</v>
          </cell>
          <cell r="B371">
            <v>3166</v>
          </cell>
        </row>
        <row r="372">
          <cell r="A372" t="str">
            <v>海鲜浓汤</v>
          </cell>
          <cell r="B372">
            <v>3167</v>
          </cell>
        </row>
        <row r="373">
          <cell r="A373" t="str">
            <v>鳗鱼饭</v>
          </cell>
          <cell r="B373">
            <v>3168</v>
          </cell>
        </row>
        <row r="374">
          <cell r="A374" t="str">
            <v>鲫鱼蔬菜汤</v>
          </cell>
          <cell r="B374">
            <v>3169</v>
          </cell>
        </row>
        <row r="375">
          <cell r="A375" t="str">
            <v>鲮鱼丸</v>
          </cell>
          <cell r="B375">
            <v>3170</v>
          </cell>
        </row>
        <row r="376">
          <cell r="A376" t="str">
            <v>鲑鱼刺身</v>
          </cell>
          <cell r="B376">
            <v>3171</v>
          </cell>
        </row>
        <row r="377">
          <cell r="A377" t="str">
            <v>章鱼小丸子</v>
          </cell>
          <cell r="B377">
            <v>3172</v>
          </cell>
        </row>
        <row r="378">
          <cell r="A378" t="str">
            <v>炖煮条石鲷</v>
          </cell>
          <cell r="B378">
            <v>3173</v>
          </cell>
        </row>
        <row r="379">
          <cell r="A379" t="str">
            <v>红鲷刺身</v>
          </cell>
          <cell r="B379">
            <v>3174</v>
          </cell>
        </row>
        <row r="380">
          <cell r="A380" t="str">
            <v>河豚刺身</v>
          </cell>
          <cell r="B380">
            <v>3175</v>
          </cell>
        </row>
        <row r="381">
          <cell r="A381" t="str">
            <v>螃蟹煲</v>
          </cell>
          <cell r="B381">
            <v>3176</v>
          </cell>
        </row>
        <row r="382">
          <cell r="A382" t="str">
            <v>金枪鱼刺身</v>
          </cell>
          <cell r="B382">
            <v>3177</v>
          </cell>
        </row>
        <row r="383">
          <cell r="A383" t="str">
            <v>龙虾鱼子酱</v>
          </cell>
          <cell r="B383">
            <v>3178</v>
          </cell>
        </row>
        <row r="384">
          <cell r="A384" t="str">
            <v>回春卷轴</v>
          </cell>
          <cell r="B384">
            <v>4000</v>
          </cell>
        </row>
        <row r="385">
          <cell r="A385" t="str">
            <v>振奋卷轴</v>
          </cell>
          <cell r="B385">
            <v>4001</v>
          </cell>
        </row>
        <row r="386">
          <cell r="A386" t="str">
            <v>昏睡卷轴</v>
          </cell>
          <cell r="B386">
            <v>4002</v>
          </cell>
        </row>
        <row r="387">
          <cell r="A387" t="str">
            <v>感电卷轴</v>
          </cell>
          <cell r="B387">
            <v>4003</v>
          </cell>
        </row>
        <row r="388">
          <cell r="A388" t="str">
            <v>冰氛卷轴</v>
          </cell>
          <cell r="B388">
            <v>4004</v>
          </cell>
        </row>
        <row r="389">
          <cell r="A389" t="str">
            <v>火氛卷轴</v>
          </cell>
          <cell r="B389">
            <v>4005</v>
          </cell>
        </row>
        <row r="390">
          <cell r="A390" t="str">
            <v>沉默卷轴</v>
          </cell>
          <cell r="B390">
            <v>4006</v>
          </cell>
        </row>
        <row r="391">
          <cell r="A391" t="str">
            <v>减速卷轴</v>
          </cell>
          <cell r="B391">
            <v>4007</v>
          </cell>
        </row>
        <row r="392">
          <cell r="A392" t="str">
            <v>闪避卷轴</v>
          </cell>
          <cell r="B392">
            <v>4008</v>
          </cell>
        </row>
        <row r="393">
          <cell r="A393" t="str">
            <v>力量卷轴</v>
          </cell>
          <cell r="B393">
            <v>4009</v>
          </cell>
        </row>
        <row r="394">
          <cell r="A394" t="str">
            <v>魅惑卷轴</v>
          </cell>
          <cell r="B394">
            <v>4010</v>
          </cell>
        </row>
      </sheetData>
      <sheetData sheetId="1" refreshError="1"/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lyer" refreshedDate="45409.767090740737" createdVersion="6" refreshedVersion="6" minRefreshableVersion="3" recordCount="1">
  <cacheSource type="worksheet">
    <worksheetSource ref="G2:H3" sheet="Sheet1"/>
  </cacheSource>
  <cacheFields count="2">
    <cacheField name="面粉" numFmtId="0">
      <sharedItems count="1">
        <s v="咖啡粉"/>
      </sharedItems>
    </cacheField>
    <cacheField name="小麦" numFmtId="0">
      <sharedItems count="1">
        <s v="咖啡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0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A6" firstHeaderRow="1" firstDataRow="1" firstDataCol="1"/>
  <pivotFields count="2"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</pivotFields>
  <rowFields count="2">
    <field x="0"/>
    <field x="1"/>
  </rowFields>
  <rowItems count="3">
    <i>
      <x/>
    </i>
    <i r="1"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198"/>
  <sheetViews>
    <sheetView topLeftCell="A4" workbookViewId="0">
      <selection activeCell="J178" sqref="J178:J198"/>
    </sheetView>
  </sheetViews>
  <sheetFormatPr defaultRowHeight="14.25" x14ac:dyDescent="0.2"/>
  <cols>
    <col min="1" max="1" width="9.125" bestFit="1" customWidth="1"/>
  </cols>
  <sheetData>
    <row r="3" spans="1:14" x14ac:dyDescent="0.2">
      <c r="A3" s="9" t="s">
        <v>184</v>
      </c>
    </row>
    <row r="4" spans="1:14" x14ac:dyDescent="0.2">
      <c r="A4" s="10" t="s">
        <v>86</v>
      </c>
    </row>
    <row r="5" spans="1:14" x14ac:dyDescent="0.2">
      <c r="A5" s="11" t="s">
        <v>21</v>
      </c>
    </row>
    <row r="6" spans="1:14" x14ac:dyDescent="0.2">
      <c r="A6" s="10" t="s">
        <v>185</v>
      </c>
    </row>
    <row r="7" spans="1:14" x14ac:dyDescent="0.2">
      <c r="J7" t="s">
        <v>68</v>
      </c>
      <c r="K7">
        <v>2</v>
      </c>
      <c r="L7" t="s">
        <v>26</v>
      </c>
    </row>
    <row r="8" spans="1:14" x14ac:dyDescent="0.2">
      <c r="J8" t="s">
        <v>224</v>
      </c>
      <c r="K8">
        <v>20</v>
      </c>
      <c r="L8" t="s">
        <v>26</v>
      </c>
      <c r="M8" t="s">
        <v>200</v>
      </c>
    </row>
    <row r="9" spans="1:14" x14ac:dyDescent="0.2">
      <c r="J9" t="s">
        <v>225</v>
      </c>
      <c r="K9">
        <v>7</v>
      </c>
      <c r="L9" t="s">
        <v>26</v>
      </c>
      <c r="M9" t="s">
        <v>41</v>
      </c>
    </row>
    <row r="10" spans="1:14" x14ac:dyDescent="0.2">
      <c r="J10" t="s">
        <v>56</v>
      </c>
      <c r="K10">
        <v>34</v>
      </c>
      <c r="L10" t="s">
        <v>58</v>
      </c>
      <c r="M10" t="s">
        <v>40</v>
      </c>
      <c r="N10" t="s">
        <v>5</v>
      </c>
    </row>
    <row r="11" spans="1:14" x14ac:dyDescent="0.2">
      <c r="J11" t="s">
        <v>226</v>
      </c>
      <c r="K11">
        <v>35</v>
      </c>
      <c r="L11" t="s">
        <v>58</v>
      </c>
      <c r="M11" t="s">
        <v>22</v>
      </c>
    </row>
    <row r="12" spans="1:14" x14ac:dyDescent="0.2">
      <c r="J12" t="s">
        <v>227</v>
      </c>
      <c r="K12">
        <v>4</v>
      </c>
      <c r="L12" t="s">
        <v>0</v>
      </c>
    </row>
    <row r="13" spans="1:14" x14ac:dyDescent="0.2">
      <c r="J13" t="s">
        <v>227</v>
      </c>
      <c r="K13">
        <v>12</v>
      </c>
      <c r="L13" t="s">
        <v>228</v>
      </c>
    </row>
    <row r="14" spans="1:14" x14ac:dyDescent="0.2">
      <c r="J14" t="s">
        <v>50</v>
      </c>
      <c r="K14">
        <v>10</v>
      </c>
      <c r="L14" t="s">
        <v>5</v>
      </c>
    </row>
    <row r="15" spans="1:14" x14ac:dyDescent="0.2">
      <c r="J15" t="s">
        <v>229</v>
      </c>
      <c r="K15">
        <v>48</v>
      </c>
      <c r="L15" t="s">
        <v>0</v>
      </c>
      <c r="M15" t="s">
        <v>228</v>
      </c>
    </row>
    <row r="16" spans="1:14" x14ac:dyDescent="0.2">
      <c r="J16" t="s">
        <v>230</v>
      </c>
      <c r="K16">
        <v>96</v>
      </c>
      <c r="L16" t="s">
        <v>0</v>
      </c>
      <c r="M16" t="s">
        <v>228</v>
      </c>
      <c r="N16" t="s">
        <v>231</v>
      </c>
    </row>
    <row r="17" spans="10:17" x14ac:dyDescent="0.2">
      <c r="J17" t="s">
        <v>232</v>
      </c>
      <c r="K17">
        <v>67</v>
      </c>
      <c r="L17" t="s">
        <v>233</v>
      </c>
      <c r="M17" t="s">
        <v>5</v>
      </c>
      <c r="N17" t="s">
        <v>7</v>
      </c>
      <c r="O17" t="s">
        <v>234</v>
      </c>
    </row>
    <row r="18" spans="10:17" x14ac:dyDescent="0.2">
      <c r="J18" t="s">
        <v>235</v>
      </c>
      <c r="K18">
        <v>22</v>
      </c>
      <c r="L18" t="s">
        <v>153</v>
      </c>
      <c r="M18" t="s">
        <v>29</v>
      </c>
    </row>
    <row r="19" spans="10:17" x14ac:dyDescent="0.2">
      <c r="J19" t="s">
        <v>236</v>
      </c>
      <c r="K19">
        <v>50</v>
      </c>
      <c r="L19" t="s">
        <v>237</v>
      </c>
      <c r="M19" t="s">
        <v>238</v>
      </c>
      <c r="N19" t="s">
        <v>239</v>
      </c>
      <c r="O19" t="s">
        <v>240</v>
      </c>
      <c r="P19" t="s">
        <v>241</v>
      </c>
      <c r="Q19" t="s">
        <v>242</v>
      </c>
    </row>
    <row r="24" spans="10:17" x14ac:dyDescent="0.2">
      <c r="J24" t="s">
        <v>243</v>
      </c>
      <c r="K24">
        <v>1</v>
      </c>
      <c r="L24" t="s">
        <v>244</v>
      </c>
    </row>
    <row r="25" spans="10:17" x14ac:dyDescent="0.2">
      <c r="J25" t="s">
        <v>245</v>
      </c>
      <c r="K25">
        <v>2</v>
      </c>
      <c r="L25" t="s">
        <v>246</v>
      </c>
    </row>
    <row r="26" spans="10:17" x14ac:dyDescent="0.2">
      <c r="J26" t="s">
        <v>247</v>
      </c>
      <c r="K26">
        <v>3</v>
      </c>
      <c r="L26" t="s">
        <v>248</v>
      </c>
    </row>
    <row r="27" spans="10:17" x14ac:dyDescent="0.2">
      <c r="J27" t="s">
        <v>249</v>
      </c>
      <c r="K27">
        <v>4</v>
      </c>
      <c r="L27" t="s">
        <v>250</v>
      </c>
    </row>
    <row r="28" spans="10:17" x14ac:dyDescent="0.2">
      <c r="J28" t="s">
        <v>251</v>
      </c>
      <c r="K28">
        <v>6</v>
      </c>
      <c r="L28" t="s">
        <v>252</v>
      </c>
    </row>
    <row r="29" spans="10:17" x14ac:dyDescent="0.2">
      <c r="J29" t="s">
        <v>253</v>
      </c>
      <c r="K29">
        <v>8</v>
      </c>
      <c r="L29" t="s">
        <v>111</v>
      </c>
    </row>
    <row r="30" spans="10:17" x14ac:dyDescent="0.2">
      <c r="J30" t="s">
        <v>254</v>
      </c>
      <c r="K30">
        <v>12</v>
      </c>
      <c r="L30" t="s">
        <v>255</v>
      </c>
    </row>
    <row r="31" spans="10:17" x14ac:dyDescent="0.2">
      <c r="J31" t="s">
        <v>256</v>
      </c>
      <c r="K31">
        <v>15</v>
      </c>
      <c r="L31" t="s">
        <v>257</v>
      </c>
    </row>
    <row r="32" spans="10:17" x14ac:dyDescent="0.2">
      <c r="J32" t="s">
        <v>258</v>
      </c>
      <c r="K32">
        <v>26</v>
      </c>
      <c r="L32" t="s">
        <v>259</v>
      </c>
    </row>
    <row r="33" spans="10:12" x14ac:dyDescent="0.2">
      <c r="J33" t="s">
        <v>260</v>
      </c>
      <c r="K33">
        <v>37</v>
      </c>
      <c r="L33" t="s">
        <v>261</v>
      </c>
    </row>
    <row r="34" spans="10:12" x14ac:dyDescent="0.2">
      <c r="J34" t="s">
        <v>262</v>
      </c>
      <c r="K34">
        <v>68</v>
      </c>
      <c r="L34" t="s">
        <v>263</v>
      </c>
    </row>
    <row r="35" spans="10:12" x14ac:dyDescent="0.2">
      <c r="J35" t="s">
        <v>264</v>
      </c>
      <c r="K35">
        <v>71</v>
      </c>
      <c r="L35" t="s">
        <v>158</v>
      </c>
    </row>
    <row r="36" spans="10:12" x14ac:dyDescent="0.2">
      <c r="J36" t="s">
        <v>265</v>
      </c>
      <c r="K36">
        <v>74</v>
      </c>
      <c r="L36" t="s">
        <v>266</v>
      </c>
    </row>
    <row r="37" spans="10:12" x14ac:dyDescent="0.2">
      <c r="J37" t="s">
        <v>267</v>
      </c>
      <c r="K37">
        <v>79</v>
      </c>
      <c r="L37" t="s">
        <v>268</v>
      </c>
    </row>
    <row r="38" spans="10:12" x14ac:dyDescent="0.2">
      <c r="J38" t="s">
        <v>269</v>
      </c>
      <c r="K38">
        <v>30</v>
      </c>
      <c r="L38" t="s">
        <v>114</v>
      </c>
    </row>
    <row r="39" spans="10:12" x14ac:dyDescent="0.2">
      <c r="J39" t="s">
        <v>270</v>
      </c>
      <c r="K39">
        <v>21</v>
      </c>
      <c r="L39" t="s">
        <v>271</v>
      </c>
    </row>
    <row r="40" spans="10:12" x14ac:dyDescent="0.2">
      <c r="J40" t="s">
        <v>272</v>
      </c>
      <c r="K40">
        <v>58</v>
      </c>
      <c r="L40" t="s">
        <v>273</v>
      </c>
    </row>
    <row r="41" spans="10:12" x14ac:dyDescent="0.2">
      <c r="J41" t="s">
        <v>274</v>
      </c>
      <c r="K41">
        <v>4</v>
      </c>
      <c r="L41" t="s">
        <v>275</v>
      </c>
    </row>
    <row r="42" spans="10:12" x14ac:dyDescent="0.2">
      <c r="J42" t="s">
        <v>276</v>
      </c>
      <c r="K42">
        <v>77</v>
      </c>
      <c r="L42" t="s">
        <v>277</v>
      </c>
    </row>
    <row r="43" spans="10:12" x14ac:dyDescent="0.2">
      <c r="J43" t="s">
        <v>278</v>
      </c>
      <c r="K43">
        <v>53</v>
      </c>
      <c r="L43" t="s">
        <v>279</v>
      </c>
    </row>
    <row r="44" spans="10:12" x14ac:dyDescent="0.2">
      <c r="J44" t="s">
        <v>280</v>
      </c>
      <c r="K44">
        <v>14</v>
      </c>
      <c r="L44" t="s">
        <v>281</v>
      </c>
    </row>
    <row r="45" spans="10:12" x14ac:dyDescent="0.2">
      <c r="J45" t="s">
        <v>282</v>
      </c>
      <c r="K45">
        <v>40</v>
      </c>
      <c r="L45" t="s">
        <v>283</v>
      </c>
    </row>
    <row r="46" spans="10:12" x14ac:dyDescent="0.2">
      <c r="J46" t="s">
        <v>284</v>
      </c>
      <c r="K46">
        <v>50</v>
      </c>
      <c r="L46" t="s">
        <v>108</v>
      </c>
    </row>
    <row r="47" spans="10:12" x14ac:dyDescent="0.2">
      <c r="J47" t="s">
        <v>285</v>
      </c>
      <c r="K47">
        <v>63</v>
      </c>
      <c r="L47" t="s">
        <v>286</v>
      </c>
    </row>
    <row r="48" spans="10:12" x14ac:dyDescent="0.2">
      <c r="J48" t="s">
        <v>287</v>
      </c>
      <c r="K48">
        <v>92</v>
      </c>
      <c r="L48" t="s">
        <v>288</v>
      </c>
    </row>
    <row r="51" spans="10:15" x14ac:dyDescent="0.2">
      <c r="J51" t="s">
        <v>289</v>
      </c>
      <c r="K51">
        <v>9</v>
      </c>
      <c r="L51" t="s">
        <v>42</v>
      </c>
    </row>
    <row r="52" spans="10:15" x14ac:dyDescent="0.2">
      <c r="J52" t="s">
        <v>290</v>
      </c>
      <c r="K52">
        <v>20</v>
      </c>
      <c r="L52" t="s">
        <v>40</v>
      </c>
    </row>
    <row r="53" spans="10:15" x14ac:dyDescent="0.2">
      <c r="J53" t="s">
        <v>291</v>
      </c>
      <c r="K53">
        <v>24</v>
      </c>
      <c r="L53" t="s">
        <v>292</v>
      </c>
      <c r="M53" t="s">
        <v>293</v>
      </c>
    </row>
    <row r="54" spans="10:15" x14ac:dyDescent="0.2">
      <c r="J54" t="s">
        <v>294</v>
      </c>
      <c r="K54">
        <v>28</v>
      </c>
      <c r="L54" t="s">
        <v>29</v>
      </c>
      <c r="M54" t="s">
        <v>40</v>
      </c>
    </row>
    <row r="55" spans="10:15" x14ac:dyDescent="0.2">
      <c r="J55" t="s">
        <v>295</v>
      </c>
      <c r="K55">
        <v>30</v>
      </c>
      <c r="L55" t="s">
        <v>26</v>
      </c>
      <c r="M55" t="s">
        <v>292</v>
      </c>
      <c r="N55" t="s">
        <v>40</v>
      </c>
    </row>
    <row r="56" spans="10:15" x14ac:dyDescent="0.2">
      <c r="J56" t="s">
        <v>296</v>
      </c>
      <c r="K56">
        <v>31</v>
      </c>
      <c r="L56" t="s">
        <v>11</v>
      </c>
    </row>
    <row r="57" spans="10:15" x14ac:dyDescent="0.2">
      <c r="J57" t="s">
        <v>297</v>
      </c>
      <c r="K57">
        <v>31</v>
      </c>
      <c r="L57" t="s">
        <v>58</v>
      </c>
      <c r="M57" t="s">
        <v>40</v>
      </c>
    </row>
    <row r="58" spans="10:15" x14ac:dyDescent="0.2">
      <c r="J58" t="s">
        <v>298</v>
      </c>
      <c r="K58">
        <v>33</v>
      </c>
      <c r="L58" t="s">
        <v>292</v>
      </c>
      <c r="M58" t="s">
        <v>293</v>
      </c>
      <c r="N58" t="s">
        <v>40</v>
      </c>
    </row>
    <row r="59" spans="10:15" x14ac:dyDescent="0.2">
      <c r="J59" t="s">
        <v>299</v>
      </c>
      <c r="K59">
        <v>36</v>
      </c>
      <c r="L59" t="s">
        <v>292</v>
      </c>
      <c r="M59" t="s">
        <v>163</v>
      </c>
      <c r="N59" t="s">
        <v>281</v>
      </c>
      <c r="O59" t="s">
        <v>40</v>
      </c>
    </row>
    <row r="60" spans="10:15" x14ac:dyDescent="0.2">
      <c r="J60" t="s">
        <v>300</v>
      </c>
      <c r="K60">
        <v>46</v>
      </c>
      <c r="L60" t="s">
        <v>292</v>
      </c>
      <c r="M60" t="s">
        <v>163</v>
      </c>
      <c r="N60" t="s">
        <v>31</v>
      </c>
      <c r="O60" t="s">
        <v>301</v>
      </c>
    </row>
    <row r="61" spans="10:15" x14ac:dyDescent="0.2">
      <c r="J61" t="s">
        <v>302</v>
      </c>
      <c r="K61">
        <v>48</v>
      </c>
      <c r="L61" t="s">
        <v>26</v>
      </c>
      <c r="M61" t="s">
        <v>303</v>
      </c>
      <c r="N61" t="s">
        <v>31</v>
      </c>
    </row>
    <row r="62" spans="10:15" x14ac:dyDescent="0.2">
      <c r="J62" t="s">
        <v>304</v>
      </c>
      <c r="K62">
        <v>49</v>
      </c>
      <c r="L62" t="s">
        <v>163</v>
      </c>
      <c r="M62" t="s">
        <v>44</v>
      </c>
      <c r="N62" t="s">
        <v>29</v>
      </c>
      <c r="O62" t="s">
        <v>40</v>
      </c>
    </row>
    <row r="63" spans="10:15" x14ac:dyDescent="0.2">
      <c r="J63" t="s">
        <v>305</v>
      </c>
      <c r="K63">
        <v>51</v>
      </c>
      <c r="L63" t="s">
        <v>16</v>
      </c>
    </row>
    <row r="64" spans="10:15" x14ac:dyDescent="0.2">
      <c r="J64" t="s">
        <v>306</v>
      </c>
      <c r="K64">
        <v>53</v>
      </c>
      <c r="L64" t="s">
        <v>16</v>
      </c>
      <c r="M64" t="s">
        <v>29</v>
      </c>
    </row>
    <row r="65" spans="10:15" x14ac:dyDescent="0.2">
      <c r="J65" t="s">
        <v>307</v>
      </c>
      <c r="K65">
        <v>59</v>
      </c>
      <c r="L65" t="s">
        <v>292</v>
      </c>
      <c r="M65" t="s">
        <v>163</v>
      </c>
      <c r="N65" t="s">
        <v>159</v>
      </c>
    </row>
    <row r="66" spans="10:15" x14ac:dyDescent="0.2">
      <c r="J66" t="s">
        <v>308</v>
      </c>
      <c r="K66">
        <v>60</v>
      </c>
      <c r="L66" t="s">
        <v>294</v>
      </c>
      <c r="M66" t="s">
        <v>26</v>
      </c>
      <c r="N66" t="s">
        <v>309</v>
      </c>
    </row>
    <row r="67" spans="10:15" x14ac:dyDescent="0.2">
      <c r="J67" t="s">
        <v>310</v>
      </c>
      <c r="K67">
        <v>62</v>
      </c>
      <c r="L67" t="s">
        <v>234</v>
      </c>
    </row>
    <row r="68" spans="10:15" x14ac:dyDescent="0.2">
      <c r="J68" t="s">
        <v>311</v>
      </c>
      <c r="K68">
        <v>64</v>
      </c>
      <c r="L68" t="s">
        <v>163</v>
      </c>
      <c r="M68" t="s">
        <v>234</v>
      </c>
      <c r="N68" t="s">
        <v>40</v>
      </c>
      <c r="O68" t="s">
        <v>2</v>
      </c>
    </row>
    <row r="69" spans="10:15" x14ac:dyDescent="0.2">
      <c r="J69" t="s">
        <v>312</v>
      </c>
      <c r="K69">
        <v>86</v>
      </c>
      <c r="L69" t="s">
        <v>26</v>
      </c>
      <c r="M69" t="s">
        <v>313</v>
      </c>
      <c r="N69" t="s">
        <v>314</v>
      </c>
      <c r="O69" t="s">
        <v>315</v>
      </c>
    </row>
    <row r="70" spans="10:15" x14ac:dyDescent="0.2">
      <c r="J70" t="s">
        <v>316</v>
      </c>
      <c r="K70">
        <v>88</v>
      </c>
      <c r="L70" t="s">
        <v>163</v>
      </c>
      <c r="M70" t="s">
        <v>315</v>
      </c>
      <c r="N70" t="s">
        <v>234</v>
      </c>
    </row>
    <row r="71" spans="10:15" x14ac:dyDescent="0.2">
      <c r="J71" t="s">
        <v>317</v>
      </c>
      <c r="K71">
        <v>95</v>
      </c>
      <c r="L71" t="s">
        <v>163</v>
      </c>
      <c r="M71" t="s">
        <v>315</v>
      </c>
      <c r="N71" t="s">
        <v>314</v>
      </c>
      <c r="O71" t="s">
        <v>234</v>
      </c>
    </row>
    <row r="72" spans="10:15" x14ac:dyDescent="0.2">
      <c r="J72" t="s">
        <v>318</v>
      </c>
      <c r="K72">
        <v>6</v>
      </c>
      <c r="L72" t="s">
        <v>319</v>
      </c>
      <c r="M72" t="s">
        <v>153</v>
      </c>
    </row>
    <row r="73" spans="10:15" x14ac:dyDescent="0.2">
      <c r="J73" t="s">
        <v>320</v>
      </c>
      <c r="K73">
        <v>8</v>
      </c>
      <c r="L73" t="s">
        <v>244</v>
      </c>
      <c r="M73" t="s">
        <v>153</v>
      </c>
    </row>
    <row r="74" spans="10:15" x14ac:dyDescent="0.2">
      <c r="J74" t="s">
        <v>321</v>
      </c>
      <c r="K74">
        <v>9</v>
      </c>
      <c r="L74" t="s">
        <v>246</v>
      </c>
      <c r="M74" t="s">
        <v>153</v>
      </c>
    </row>
    <row r="75" spans="10:15" x14ac:dyDescent="0.2">
      <c r="J75" t="s">
        <v>322</v>
      </c>
      <c r="K75">
        <v>12</v>
      </c>
      <c r="L75" t="s">
        <v>248</v>
      </c>
      <c r="M75" t="s">
        <v>153</v>
      </c>
    </row>
    <row r="76" spans="10:15" x14ac:dyDescent="0.2">
      <c r="J76" t="s">
        <v>323</v>
      </c>
      <c r="K76">
        <v>12</v>
      </c>
      <c r="L76" t="s">
        <v>250</v>
      </c>
      <c r="M76" t="s">
        <v>153</v>
      </c>
    </row>
    <row r="77" spans="10:15" x14ac:dyDescent="0.2">
      <c r="J77" t="s">
        <v>324</v>
      </c>
      <c r="K77">
        <v>13</v>
      </c>
      <c r="L77" t="s">
        <v>275</v>
      </c>
      <c r="M77" t="s">
        <v>153</v>
      </c>
    </row>
    <row r="78" spans="10:15" x14ac:dyDescent="0.2">
      <c r="J78" t="s">
        <v>325</v>
      </c>
      <c r="K78">
        <v>14</v>
      </c>
      <c r="L78" t="s">
        <v>325</v>
      </c>
      <c r="M78" t="s">
        <v>153</v>
      </c>
    </row>
    <row r="79" spans="10:15" x14ac:dyDescent="0.2">
      <c r="J79" t="s">
        <v>326</v>
      </c>
      <c r="K79">
        <v>15</v>
      </c>
      <c r="L79" t="s">
        <v>327</v>
      </c>
      <c r="M79" t="s">
        <v>153</v>
      </c>
    </row>
    <row r="80" spans="10:15" x14ac:dyDescent="0.2">
      <c r="J80" t="s">
        <v>328</v>
      </c>
      <c r="K80">
        <v>16</v>
      </c>
      <c r="L80" t="s">
        <v>252</v>
      </c>
      <c r="M80" t="s">
        <v>153</v>
      </c>
    </row>
    <row r="81" spans="10:14" x14ac:dyDescent="0.2">
      <c r="J81" t="s">
        <v>329</v>
      </c>
      <c r="K81">
        <v>16</v>
      </c>
      <c r="L81" t="s">
        <v>330</v>
      </c>
      <c r="M81" t="s">
        <v>153</v>
      </c>
    </row>
    <row r="82" spans="10:14" x14ac:dyDescent="0.2">
      <c r="J82" t="s">
        <v>200</v>
      </c>
      <c r="K82">
        <v>17</v>
      </c>
      <c r="L82" t="s">
        <v>255</v>
      </c>
      <c r="M82" t="s">
        <v>153</v>
      </c>
    </row>
    <row r="83" spans="10:14" x14ac:dyDescent="0.2">
      <c r="J83" t="s">
        <v>331</v>
      </c>
      <c r="K83">
        <v>18</v>
      </c>
      <c r="L83" t="s">
        <v>281</v>
      </c>
      <c r="M83" t="s">
        <v>153</v>
      </c>
    </row>
    <row r="84" spans="10:14" x14ac:dyDescent="0.2">
      <c r="J84" t="s">
        <v>332</v>
      </c>
      <c r="K84">
        <v>19</v>
      </c>
      <c r="L84" t="s">
        <v>257</v>
      </c>
      <c r="M84" t="s">
        <v>153</v>
      </c>
    </row>
    <row r="85" spans="10:14" x14ac:dyDescent="0.2">
      <c r="J85" t="s">
        <v>333</v>
      </c>
      <c r="K85">
        <v>19</v>
      </c>
      <c r="L85" t="s">
        <v>334</v>
      </c>
      <c r="M85" t="s">
        <v>153</v>
      </c>
    </row>
    <row r="86" spans="10:14" x14ac:dyDescent="0.2">
      <c r="J86" t="s">
        <v>335</v>
      </c>
      <c r="K86">
        <v>21</v>
      </c>
      <c r="L86" t="s">
        <v>271</v>
      </c>
      <c r="M86" t="s">
        <v>153</v>
      </c>
    </row>
    <row r="87" spans="10:14" x14ac:dyDescent="0.2">
      <c r="J87" t="s">
        <v>336</v>
      </c>
      <c r="K87">
        <v>23</v>
      </c>
      <c r="L87" t="s">
        <v>337</v>
      </c>
      <c r="M87" t="s">
        <v>153</v>
      </c>
    </row>
    <row r="88" spans="10:14" x14ac:dyDescent="0.2">
      <c r="J88" t="s">
        <v>155</v>
      </c>
      <c r="K88">
        <v>24</v>
      </c>
      <c r="L88" t="s">
        <v>111</v>
      </c>
      <c r="M88" t="s">
        <v>111</v>
      </c>
      <c r="N88" t="s">
        <v>111</v>
      </c>
    </row>
    <row r="89" spans="10:14" x14ac:dyDescent="0.2">
      <c r="J89" t="s">
        <v>338</v>
      </c>
      <c r="K89">
        <v>27</v>
      </c>
      <c r="L89" t="s">
        <v>259</v>
      </c>
      <c r="M89" t="s">
        <v>153</v>
      </c>
    </row>
    <row r="90" spans="10:14" x14ac:dyDescent="0.2">
      <c r="J90" t="s">
        <v>136</v>
      </c>
      <c r="K90">
        <v>31</v>
      </c>
      <c r="L90" t="s">
        <v>114</v>
      </c>
      <c r="M90" t="s">
        <v>153</v>
      </c>
    </row>
    <row r="91" spans="10:14" x14ac:dyDescent="0.2">
      <c r="J91" t="s">
        <v>339</v>
      </c>
      <c r="K91">
        <v>37</v>
      </c>
      <c r="L91" t="s">
        <v>261</v>
      </c>
      <c r="M91" t="s">
        <v>153</v>
      </c>
    </row>
    <row r="92" spans="10:14" x14ac:dyDescent="0.2">
      <c r="J92" t="s">
        <v>340</v>
      </c>
      <c r="K92">
        <v>41</v>
      </c>
      <c r="L92" t="s">
        <v>283</v>
      </c>
      <c r="M92" t="s">
        <v>153</v>
      </c>
    </row>
    <row r="93" spans="10:14" x14ac:dyDescent="0.2">
      <c r="J93" t="s">
        <v>341</v>
      </c>
      <c r="K93">
        <v>51</v>
      </c>
      <c r="L93" t="s">
        <v>108</v>
      </c>
      <c r="M93" t="s">
        <v>153</v>
      </c>
    </row>
    <row r="94" spans="10:14" x14ac:dyDescent="0.2">
      <c r="J94" t="s">
        <v>342</v>
      </c>
      <c r="K94">
        <v>54</v>
      </c>
      <c r="L94" t="s">
        <v>279</v>
      </c>
      <c r="M94" t="s">
        <v>153</v>
      </c>
    </row>
    <row r="95" spans="10:14" x14ac:dyDescent="0.2">
      <c r="J95" t="s">
        <v>343</v>
      </c>
      <c r="K95">
        <v>58</v>
      </c>
      <c r="L95" t="s">
        <v>273</v>
      </c>
      <c r="M95" t="s">
        <v>153</v>
      </c>
    </row>
    <row r="96" spans="10:14" x14ac:dyDescent="0.2">
      <c r="J96" t="s">
        <v>344</v>
      </c>
      <c r="K96">
        <v>66</v>
      </c>
      <c r="L96" t="s">
        <v>286</v>
      </c>
      <c r="M96" t="s">
        <v>153</v>
      </c>
    </row>
    <row r="97" spans="10:13" x14ac:dyDescent="0.2">
      <c r="J97" t="s">
        <v>345</v>
      </c>
      <c r="K97">
        <v>69</v>
      </c>
      <c r="L97" t="s">
        <v>263</v>
      </c>
      <c r="M97" t="s">
        <v>153</v>
      </c>
    </row>
    <row r="98" spans="10:13" x14ac:dyDescent="0.2">
      <c r="J98" t="s">
        <v>346</v>
      </c>
      <c r="K98">
        <v>72</v>
      </c>
      <c r="L98" t="s">
        <v>158</v>
      </c>
      <c r="M98" t="s">
        <v>153</v>
      </c>
    </row>
    <row r="99" spans="10:13" x14ac:dyDescent="0.2">
      <c r="J99" t="s">
        <v>347</v>
      </c>
      <c r="K99">
        <v>75</v>
      </c>
      <c r="L99" t="s">
        <v>266</v>
      </c>
      <c r="M99" t="s">
        <v>153</v>
      </c>
    </row>
    <row r="100" spans="10:13" x14ac:dyDescent="0.2">
      <c r="J100" t="s">
        <v>348</v>
      </c>
      <c r="K100">
        <v>78</v>
      </c>
      <c r="L100" t="s">
        <v>277</v>
      </c>
      <c r="M100" t="s">
        <v>153</v>
      </c>
    </row>
    <row r="101" spans="10:13" x14ac:dyDescent="0.2">
      <c r="J101" t="s">
        <v>349</v>
      </c>
      <c r="K101">
        <v>80</v>
      </c>
      <c r="L101" t="s">
        <v>268</v>
      </c>
      <c r="M101" t="s">
        <v>153</v>
      </c>
    </row>
    <row r="102" spans="10:13" x14ac:dyDescent="0.2">
      <c r="J102" t="s">
        <v>350</v>
      </c>
      <c r="K102">
        <v>93</v>
      </c>
      <c r="L102" t="s">
        <v>288</v>
      </c>
      <c r="M102" t="s">
        <v>153</v>
      </c>
    </row>
    <row r="107" spans="10:13" x14ac:dyDescent="0.2">
      <c r="J107" t="s">
        <v>31</v>
      </c>
      <c r="K107">
        <v>15</v>
      </c>
      <c r="L107" t="s">
        <v>29</v>
      </c>
    </row>
    <row r="108" spans="10:13" x14ac:dyDescent="0.2">
      <c r="J108" t="s">
        <v>233</v>
      </c>
      <c r="K108">
        <v>28</v>
      </c>
      <c r="L108" t="s">
        <v>292</v>
      </c>
      <c r="M108" t="s">
        <v>40</v>
      </c>
    </row>
    <row r="109" spans="10:13" x14ac:dyDescent="0.2">
      <c r="J109" t="s">
        <v>309</v>
      </c>
      <c r="K109">
        <v>38</v>
      </c>
      <c r="L109" t="s">
        <v>153</v>
      </c>
      <c r="M109" t="s">
        <v>7</v>
      </c>
    </row>
    <row r="110" spans="10:13" x14ac:dyDescent="0.2">
      <c r="J110" t="s">
        <v>351</v>
      </c>
      <c r="K110">
        <v>25</v>
      </c>
      <c r="L110" t="s">
        <v>352</v>
      </c>
      <c r="M110" t="s">
        <v>29</v>
      </c>
    </row>
    <row r="111" spans="10:13" x14ac:dyDescent="0.2">
      <c r="J111" t="s">
        <v>353</v>
      </c>
      <c r="K111">
        <v>5</v>
      </c>
      <c r="L111" t="s">
        <v>47</v>
      </c>
    </row>
    <row r="112" spans="10:13" x14ac:dyDescent="0.2">
      <c r="J112" t="s">
        <v>32</v>
      </c>
      <c r="K112">
        <v>7</v>
      </c>
      <c r="L112" t="s">
        <v>19</v>
      </c>
    </row>
    <row r="113" spans="10:17" x14ac:dyDescent="0.2">
      <c r="J113" t="s">
        <v>354</v>
      </c>
      <c r="K113">
        <v>11</v>
      </c>
      <c r="L113" t="s">
        <v>42</v>
      </c>
    </row>
    <row r="114" spans="10:17" x14ac:dyDescent="0.2">
      <c r="J114" t="s">
        <v>355</v>
      </c>
      <c r="K114">
        <v>18</v>
      </c>
      <c r="L114" t="s">
        <v>42</v>
      </c>
      <c r="M114" t="s">
        <v>19</v>
      </c>
      <c r="N114" t="s">
        <v>47</v>
      </c>
    </row>
    <row r="115" spans="10:17" x14ac:dyDescent="0.2">
      <c r="J115" t="s">
        <v>101</v>
      </c>
      <c r="K115">
        <v>33</v>
      </c>
      <c r="L115" t="s">
        <v>22</v>
      </c>
      <c r="M115" t="s">
        <v>29</v>
      </c>
    </row>
    <row r="116" spans="10:17" x14ac:dyDescent="0.2">
      <c r="J116" t="s">
        <v>356</v>
      </c>
      <c r="K116">
        <v>35</v>
      </c>
      <c r="L116" t="s">
        <v>7</v>
      </c>
    </row>
    <row r="117" spans="10:17" x14ac:dyDescent="0.2">
      <c r="J117" t="s">
        <v>357</v>
      </c>
      <c r="K117">
        <v>37</v>
      </c>
      <c r="L117" t="s">
        <v>355</v>
      </c>
      <c r="M117" t="s">
        <v>29</v>
      </c>
    </row>
    <row r="118" spans="10:17" x14ac:dyDescent="0.2">
      <c r="J118" t="s">
        <v>215</v>
      </c>
      <c r="K118">
        <v>59</v>
      </c>
      <c r="L118" t="s">
        <v>15</v>
      </c>
      <c r="M118" t="s">
        <v>0</v>
      </c>
      <c r="N118" t="s">
        <v>314</v>
      </c>
      <c r="O118" t="s">
        <v>358</v>
      </c>
    </row>
    <row r="119" spans="10:17" x14ac:dyDescent="0.2">
      <c r="J119" t="s">
        <v>359</v>
      </c>
      <c r="K119">
        <v>61</v>
      </c>
      <c r="L119" t="s">
        <v>360</v>
      </c>
      <c r="M119" t="s">
        <v>22</v>
      </c>
    </row>
    <row r="120" spans="10:17" x14ac:dyDescent="0.2">
      <c r="J120" t="s">
        <v>361</v>
      </c>
      <c r="K120">
        <v>65</v>
      </c>
      <c r="L120" t="s">
        <v>215</v>
      </c>
      <c r="M120" t="s">
        <v>29</v>
      </c>
    </row>
    <row r="121" spans="10:17" x14ac:dyDescent="0.2">
      <c r="J121" t="s">
        <v>362</v>
      </c>
      <c r="K121">
        <v>76</v>
      </c>
      <c r="L121" t="s">
        <v>363</v>
      </c>
      <c r="M121" t="s">
        <v>364</v>
      </c>
    </row>
    <row r="122" spans="10:17" x14ac:dyDescent="0.2">
      <c r="J122" t="s">
        <v>365</v>
      </c>
      <c r="K122">
        <v>81</v>
      </c>
      <c r="L122" t="s">
        <v>366</v>
      </c>
    </row>
    <row r="123" spans="10:17" x14ac:dyDescent="0.2">
      <c r="J123" t="s">
        <v>367</v>
      </c>
      <c r="K123">
        <v>83</v>
      </c>
      <c r="L123" t="s">
        <v>42</v>
      </c>
      <c r="M123" t="s">
        <v>19</v>
      </c>
      <c r="N123" t="s">
        <v>47</v>
      </c>
      <c r="O123" t="s">
        <v>366</v>
      </c>
      <c r="P123" t="s">
        <v>22</v>
      </c>
      <c r="Q123" t="s">
        <v>29</v>
      </c>
    </row>
    <row r="124" spans="10:17" x14ac:dyDescent="0.2">
      <c r="J124" t="s">
        <v>368</v>
      </c>
      <c r="K124">
        <v>91</v>
      </c>
      <c r="L124" t="s">
        <v>367</v>
      </c>
      <c r="M124" t="s">
        <v>44</v>
      </c>
    </row>
    <row r="125" spans="10:17" x14ac:dyDescent="0.2">
      <c r="J125" t="s">
        <v>369</v>
      </c>
      <c r="K125">
        <v>99</v>
      </c>
      <c r="L125" t="s">
        <v>370</v>
      </c>
      <c r="M125" t="s">
        <v>371</v>
      </c>
      <c r="N125" t="s">
        <v>372</v>
      </c>
      <c r="O125" t="s">
        <v>231</v>
      </c>
      <c r="P125" t="s">
        <v>373</v>
      </c>
    </row>
    <row r="130" spans="10:15" x14ac:dyDescent="0.2">
      <c r="J130" t="s">
        <v>374</v>
      </c>
      <c r="K130">
        <v>13</v>
      </c>
      <c r="L130" t="s">
        <v>358</v>
      </c>
    </row>
    <row r="131" spans="10:15" x14ac:dyDescent="0.2">
      <c r="J131" t="s">
        <v>375</v>
      </c>
      <c r="K131">
        <v>18</v>
      </c>
      <c r="L131" t="s">
        <v>40</v>
      </c>
    </row>
    <row r="132" spans="10:15" x14ac:dyDescent="0.2">
      <c r="J132" t="s">
        <v>376</v>
      </c>
      <c r="K132">
        <v>19</v>
      </c>
      <c r="L132" t="s">
        <v>352</v>
      </c>
      <c r="M132" t="s">
        <v>29</v>
      </c>
    </row>
    <row r="133" spans="10:15" x14ac:dyDescent="0.2">
      <c r="J133" t="s">
        <v>377</v>
      </c>
      <c r="K133">
        <v>28</v>
      </c>
      <c r="L133" t="s">
        <v>352</v>
      </c>
      <c r="M133" t="s">
        <v>144</v>
      </c>
    </row>
    <row r="134" spans="10:15" x14ac:dyDescent="0.2">
      <c r="J134" t="s">
        <v>378</v>
      </c>
      <c r="K134">
        <v>29</v>
      </c>
      <c r="L134" t="s">
        <v>379</v>
      </c>
    </row>
    <row r="135" spans="10:15" x14ac:dyDescent="0.2">
      <c r="J135" t="s">
        <v>380</v>
      </c>
      <c r="K135">
        <v>5</v>
      </c>
      <c r="L135" t="s">
        <v>47</v>
      </c>
    </row>
    <row r="136" spans="10:15" x14ac:dyDescent="0.2">
      <c r="J136" t="s">
        <v>381</v>
      </c>
      <c r="K136">
        <v>9</v>
      </c>
      <c r="L136" t="s">
        <v>19</v>
      </c>
    </row>
    <row r="137" spans="10:15" x14ac:dyDescent="0.2">
      <c r="J137" t="s">
        <v>382</v>
      </c>
      <c r="K137">
        <v>10</v>
      </c>
      <c r="L137" t="s">
        <v>42</v>
      </c>
    </row>
    <row r="138" spans="10:15" x14ac:dyDescent="0.2">
      <c r="J138" t="s">
        <v>383</v>
      </c>
      <c r="K138">
        <v>27</v>
      </c>
      <c r="L138" t="s">
        <v>22</v>
      </c>
    </row>
    <row r="139" spans="10:15" x14ac:dyDescent="0.2">
      <c r="J139" t="s">
        <v>384</v>
      </c>
      <c r="K139">
        <v>11</v>
      </c>
      <c r="L139" t="s">
        <v>385</v>
      </c>
    </row>
    <row r="140" spans="10:15" x14ac:dyDescent="0.2">
      <c r="J140" t="s">
        <v>386</v>
      </c>
      <c r="K140">
        <v>17</v>
      </c>
      <c r="L140" t="s">
        <v>29</v>
      </c>
    </row>
    <row r="141" spans="10:15" x14ac:dyDescent="0.2">
      <c r="J141" t="s">
        <v>172</v>
      </c>
      <c r="K141">
        <v>39</v>
      </c>
      <c r="L141" t="s">
        <v>19</v>
      </c>
      <c r="M141" t="s">
        <v>303</v>
      </c>
    </row>
    <row r="142" spans="10:15" x14ac:dyDescent="0.2">
      <c r="J142" t="s">
        <v>387</v>
      </c>
      <c r="K142">
        <v>73</v>
      </c>
      <c r="L142" t="s">
        <v>236</v>
      </c>
      <c r="M142" t="s">
        <v>44</v>
      </c>
      <c r="N142" t="s">
        <v>360</v>
      </c>
      <c r="O142" t="s">
        <v>2</v>
      </c>
    </row>
    <row r="143" spans="10:15" x14ac:dyDescent="0.2">
      <c r="J143" t="s">
        <v>388</v>
      </c>
      <c r="K143">
        <v>25</v>
      </c>
      <c r="L143" t="s">
        <v>15</v>
      </c>
    </row>
    <row r="144" spans="10:15" x14ac:dyDescent="0.2">
      <c r="J144" t="s">
        <v>148</v>
      </c>
      <c r="K144">
        <v>45</v>
      </c>
      <c r="L144" t="s">
        <v>389</v>
      </c>
    </row>
    <row r="145" spans="10:17" x14ac:dyDescent="0.2">
      <c r="J145" t="s">
        <v>390</v>
      </c>
      <c r="K145">
        <v>7</v>
      </c>
      <c r="L145" t="s">
        <v>163</v>
      </c>
    </row>
    <row r="146" spans="10:17" x14ac:dyDescent="0.2">
      <c r="J146" t="s">
        <v>391</v>
      </c>
      <c r="K146">
        <v>56</v>
      </c>
      <c r="L146" t="s">
        <v>163</v>
      </c>
      <c r="M146" t="s">
        <v>159</v>
      </c>
    </row>
    <row r="147" spans="10:17" x14ac:dyDescent="0.2">
      <c r="J147" t="s">
        <v>392</v>
      </c>
      <c r="K147">
        <v>54</v>
      </c>
      <c r="L147" t="s">
        <v>299</v>
      </c>
      <c r="M147" t="s">
        <v>390</v>
      </c>
    </row>
    <row r="148" spans="10:17" x14ac:dyDescent="0.2">
      <c r="J148" t="s">
        <v>393</v>
      </c>
      <c r="K148">
        <v>2</v>
      </c>
      <c r="L148" t="s">
        <v>26</v>
      </c>
    </row>
    <row r="149" spans="10:17" x14ac:dyDescent="0.2">
      <c r="J149" t="s">
        <v>394</v>
      </c>
      <c r="K149">
        <v>20</v>
      </c>
      <c r="L149" t="s">
        <v>26</v>
      </c>
      <c r="M149" t="s">
        <v>29</v>
      </c>
    </row>
    <row r="150" spans="10:17" x14ac:dyDescent="0.2">
      <c r="J150" t="s">
        <v>395</v>
      </c>
      <c r="K150">
        <v>70</v>
      </c>
      <c r="L150" t="s">
        <v>26</v>
      </c>
      <c r="M150" t="s">
        <v>299</v>
      </c>
    </row>
    <row r="151" spans="10:17" x14ac:dyDescent="0.2">
      <c r="J151" t="s">
        <v>396</v>
      </c>
      <c r="K151">
        <v>21</v>
      </c>
      <c r="L151" t="s">
        <v>26</v>
      </c>
      <c r="M151" t="s">
        <v>40</v>
      </c>
    </row>
    <row r="152" spans="10:17" x14ac:dyDescent="0.2">
      <c r="J152" t="s">
        <v>397</v>
      </c>
      <c r="K152">
        <v>32</v>
      </c>
      <c r="L152" t="s">
        <v>58</v>
      </c>
      <c r="M152" t="s">
        <v>235</v>
      </c>
    </row>
    <row r="153" spans="10:17" x14ac:dyDescent="0.2">
      <c r="J153" t="s">
        <v>91</v>
      </c>
      <c r="K153">
        <v>87</v>
      </c>
      <c r="L153" t="s">
        <v>163</v>
      </c>
      <c r="M153" t="s">
        <v>398</v>
      </c>
      <c r="N153" t="s">
        <v>293</v>
      </c>
      <c r="O153" t="s">
        <v>314</v>
      </c>
      <c r="P153" t="s">
        <v>315</v>
      </c>
    </row>
    <row r="154" spans="10:17" x14ac:dyDescent="0.2">
      <c r="J154" t="s">
        <v>67</v>
      </c>
      <c r="K154">
        <v>55</v>
      </c>
      <c r="L154" t="s">
        <v>26</v>
      </c>
      <c r="M154" t="s">
        <v>313</v>
      </c>
      <c r="N154" t="s">
        <v>314</v>
      </c>
      <c r="O154" t="s">
        <v>293</v>
      </c>
    </row>
    <row r="155" spans="10:17" x14ac:dyDescent="0.2">
      <c r="J155" t="s">
        <v>399</v>
      </c>
      <c r="K155">
        <v>97</v>
      </c>
      <c r="L155" t="s">
        <v>313</v>
      </c>
      <c r="M155" t="s">
        <v>303</v>
      </c>
      <c r="N155" t="s">
        <v>400</v>
      </c>
      <c r="O155" t="s">
        <v>363</v>
      </c>
      <c r="P155" t="s">
        <v>315</v>
      </c>
      <c r="Q155" t="s">
        <v>231</v>
      </c>
    </row>
    <row r="156" spans="10:17" x14ac:dyDescent="0.2">
      <c r="J156" t="s">
        <v>401</v>
      </c>
      <c r="K156">
        <v>98</v>
      </c>
      <c r="L156" t="s">
        <v>313</v>
      </c>
      <c r="M156" t="s">
        <v>42</v>
      </c>
      <c r="N156" t="s">
        <v>44</v>
      </c>
      <c r="O156" t="s">
        <v>402</v>
      </c>
      <c r="P156" t="s">
        <v>315</v>
      </c>
      <c r="Q156" t="s">
        <v>371</v>
      </c>
    </row>
    <row r="157" spans="10:17" x14ac:dyDescent="0.2">
      <c r="J157" t="s">
        <v>403</v>
      </c>
      <c r="K157">
        <v>89</v>
      </c>
      <c r="L157" t="s">
        <v>163</v>
      </c>
      <c r="M157" t="s">
        <v>315</v>
      </c>
      <c r="N157" t="s">
        <v>234</v>
      </c>
    </row>
    <row r="158" spans="10:17" x14ac:dyDescent="0.2">
      <c r="J158" t="s">
        <v>404</v>
      </c>
      <c r="K158">
        <v>94</v>
      </c>
      <c r="L158" t="s">
        <v>379</v>
      </c>
      <c r="M158" t="s">
        <v>2</v>
      </c>
      <c r="N158" t="s">
        <v>405</v>
      </c>
      <c r="O158" t="s">
        <v>406</v>
      </c>
      <c r="P158" t="s">
        <v>364</v>
      </c>
    </row>
    <row r="163" spans="10:15" x14ac:dyDescent="0.2">
      <c r="J163" t="s">
        <v>407</v>
      </c>
      <c r="K163">
        <v>2</v>
      </c>
      <c r="L163" t="s">
        <v>408</v>
      </c>
    </row>
    <row r="164" spans="10:15" x14ac:dyDescent="0.2">
      <c r="J164" t="s">
        <v>409</v>
      </c>
      <c r="K164">
        <v>29</v>
      </c>
      <c r="L164" t="s">
        <v>40</v>
      </c>
      <c r="M164" t="s">
        <v>29</v>
      </c>
    </row>
    <row r="165" spans="10:15" x14ac:dyDescent="0.2">
      <c r="J165" t="s">
        <v>410</v>
      </c>
      <c r="K165">
        <v>48</v>
      </c>
      <c r="L165" t="s">
        <v>40</v>
      </c>
      <c r="M165" t="s">
        <v>29</v>
      </c>
      <c r="N165" t="s">
        <v>15</v>
      </c>
    </row>
    <row r="166" spans="10:15" x14ac:dyDescent="0.2">
      <c r="J166" t="s">
        <v>411</v>
      </c>
      <c r="K166">
        <v>32</v>
      </c>
      <c r="L166" t="s">
        <v>163</v>
      </c>
      <c r="M166" t="s">
        <v>40</v>
      </c>
      <c r="N166" t="s">
        <v>29</v>
      </c>
    </row>
    <row r="167" spans="10:15" x14ac:dyDescent="0.2">
      <c r="J167" t="s">
        <v>412</v>
      </c>
      <c r="K167">
        <v>44</v>
      </c>
      <c r="L167" t="s">
        <v>163</v>
      </c>
      <c r="M167" t="s">
        <v>235</v>
      </c>
      <c r="N167" t="s">
        <v>40</v>
      </c>
      <c r="O167" t="s">
        <v>29</v>
      </c>
    </row>
    <row r="168" spans="10:15" x14ac:dyDescent="0.2">
      <c r="J168" t="s">
        <v>413</v>
      </c>
      <c r="K168">
        <v>15</v>
      </c>
      <c r="L168" t="s">
        <v>163</v>
      </c>
      <c r="M168" t="s">
        <v>41</v>
      </c>
    </row>
    <row r="169" spans="10:15" x14ac:dyDescent="0.2">
      <c r="J169" t="s">
        <v>414</v>
      </c>
      <c r="K169">
        <v>57</v>
      </c>
      <c r="L169" t="s">
        <v>163</v>
      </c>
      <c r="M169" t="s">
        <v>159</v>
      </c>
    </row>
    <row r="170" spans="10:15" x14ac:dyDescent="0.2">
      <c r="J170" t="s">
        <v>415</v>
      </c>
      <c r="K170">
        <v>23</v>
      </c>
      <c r="L170" t="s">
        <v>163</v>
      </c>
      <c r="M170" t="s">
        <v>40</v>
      </c>
    </row>
    <row r="171" spans="10:15" x14ac:dyDescent="0.2">
      <c r="J171" t="s">
        <v>416</v>
      </c>
      <c r="K171">
        <v>35</v>
      </c>
      <c r="L171" t="s">
        <v>163</v>
      </c>
      <c r="M171" t="s">
        <v>385</v>
      </c>
      <c r="N171" t="s">
        <v>40</v>
      </c>
      <c r="O171" t="s">
        <v>29</v>
      </c>
    </row>
    <row r="172" spans="10:15" x14ac:dyDescent="0.2">
      <c r="J172" t="s">
        <v>417</v>
      </c>
      <c r="K172">
        <v>82</v>
      </c>
      <c r="L172" t="s">
        <v>163</v>
      </c>
      <c r="M172" t="s">
        <v>281</v>
      </c>
      <c r="N172" t="s">
        <v>315</v>
      </c>
    </row>
    <row r="173" spans="10:15" x14ac:dyDescent="0.2">
      <c r="J173" t="s">
        <v>418</v>
      </c>
      <c r="K173">
        <v>90</v>
      </c>
      <c r="L173" t="s">
        <v>163</v>
      </c>
      <c r="M173" t="s">
        <v>315</v>
      </c>
      <c r="N173" t="s">
        <v>234</v>
      </c>
    </row>
    <row r="178" spans="10:16" x14ac:dyDescent="0.2">
      <c r="J178" t="s">
        <v>419</v>
      </c>
      <c r="K178">
        <v>10</v>
      </c>
      <c r="L178" t="s">
        <v>68</v>
      </c>
    </row>
    <row r="179" spans="10:16" x14ac:dyDescent="0.2">
      <c r="J179" t="s">
        <v>420</v>
      </c>
      <c r="K179">
        <v>20</v>
      </c>
      <c r="L179" t="s">
        <v>144</v>
      </c>
    </row>
    <row r="180" spans="10:16" x14ac:dyDescent="0.2">
      <c r="J180" t="s">
        <v>205</v>
      </c>
      <c r="K180">
        <v>52</v>
      </c>
      <c r="L180" t="s">
        <v>16</v>
      </c>
    </row>
    <row r="181" spans="10:16" x14ac:dyDescent="0.2">
      <c r="J181" t="s">
        <v>58</v>
      </c>
      <c r="K181">
        <v>8</v>
      </c>
      <c r="L181" t="s">
        <v>163</v>
      </c>
    </row>
    <row r="182" spans="10:16" x14ac:dyDescent="0.2">
      <c r="J182" t="s">
        <v>421</v>
      </c>
      <c r="K182">
        <v>27</v>
      </c>
      <c r="L182" t="s">
        <v>163</v>
      </c>
      <c r="M182" t="s">
        <v>19</v>
      </c>
    </row>
    <row r="183" spans="10:16" x14ac:dyDescent="0.2">
      <c r="J183" t="s">
        <v>422</v>
      </c>
      <c r="K183">
        <v>21</v>
      </c>
      <c r="L183" t="s">
        <v>58</v>
      </c>
    </row>
    <row r="184" spans="10:16" x14ac:dyDescent="0.2">
      <c r="J184" t="s">
        <v>423</v>
      </c>
      <c r="K184">
        <v>34</v>
      </c>
      <c r="L184" t="s">
        <v>163</v>
      </c>
      <c r="M184" t="s">
        <v>424</v>
      </c>
      <c r="N184" t="s">
        <v>40</v>
      </c>
      <c r="O184" t="s">
        <v>29</v>
      </c>
    </row>
    <row r="185" spans="10:16" x14ac:dyDescent="0.2">
      <c r="J185" t="s">
        <v>425</v>
      </c>
      <c r="K185">
        <v>43</v>
      </c>
      <c r="L185" t="s">
        <v>163</v>
      </c>
      <c r="M185" t="s">
        <v>31</v>
      </c>
      <c r="N185" t="s">
        <v>40</v>
      </c>
      <c r="O185" t="s">
        <v>29</v>
      </c>
    </row>
    <row r="186" spans="10:16" x14ac:dyDescent="0.2">
      <c r="J186" t="s">
        <v>426</v>
      </c>
      <c r="K186">
        <v>36</v>
      </c>
      <c r="L186" t="s">
        <v>163</v>
      </c>
      <c r="M186" t="s">
        <v>42</v>
      </c>
      <c r="N186" t="s">
        <v>31</v>
      </c>
      <c r="O186" t="s">
        <v>40</v>
      </c>
    </row>
    <row r="187" spans="10:16" x14ac:dyDescent="0.2">
      <c r="J187" t="s">
        <v>427</v>
      </c>
      <c r="K187">
        <v>47</v>
      </c>
      <c r="L187" t="s">
        <v>352</v>
      </c>
      <c r="M187" t="s">
        <v>31</v>
      </c>
      <c r="N187" t="s">
        <v>29</v>
      </c>
      <c r="O187" t="s">
        <v>144</v>
      </c>
    </row>
    <row r="188" spans="10:16" x14ac:dyDescent="0.2">
      <c r="J188" t="s">
        <v>213</v>
      </c>
      <c r="K188">
        <v>60</v>
      </c>
      <c r="L188" t="s">
        <v>163</v>
      </c>
      <c r="M188" t="s">
        <v>235</v>
      </c>
      <c r="N188" t="s">
        <v>309</v>
      </c>
      <c r="O188" t="s">
        <v>428</v>
      </c>
      <c r="P188" t="s">
        <v>11</v>
      </c>
    </row>
    <row r="189" spans="10:16" x14ac:dyDescent="0.2">
      <c r="J189" t="s">
        <v>149</v>
      </c>
      <c r="K189">
        <v>56</v>
      </c>
      <c r="L189" t="s">
        <v>163</v>
      </c>
      <c r="M189" t="s">
        <v>235</v>
      </c>
      <c r="N189" t="s">
        <v>309</v>
      </c>
      <c r="O189" t="s">
        <v>281</v>
      </c>
      <c r="P189" t="s">
        <v>275</v>
      </c>
    </row>
    <row r="190" spans="10:16" x14ac:dyDescent="0.2">
      <c r="J190" t="s">
        <v>429</v>
      </c>
      <c r="K190">
        <v>84</v>
      </c>
      <c r="L190" t="s">
        <v>26</v>
      </c>
      <c r="M190" t="s">
        <v>235</v>
      </c>
      <c r="N190" t="s">
        <v>29</v>
      </c>
      <c r="O190" t="s">
        <v>315</v>
      </c>
    </row>
    <row r="191" spans="10:16" x14ac:dyDescent="0.2">
      <c r="J191" t="s">
        <v>221</v>
      </c>
      <c r="K191">
        <v>39</v>
      </c>
      <c r="L191" t="s">
        <v>26</v>
      </c>
      <c r="M191" t="s">
        <v>281</v>
      </c>
      <c r="N191" t="s">
        <v>235</v>
      </c>
      <c r="O191" t="s">
        <v>275</v>
      </c>
      <c r="P191" t="s">
        <v>29</v>
      </c>
    </row>
    <row r="192" spans="10:16" x14ac:dyDescent="0.2">
      <c r="J192" t="s">
        <v>430</v>
      </c>
      <c r="K192">
        <v>85</v>
      </c>
      <c r="L192" t="s">
        <v>163</v>
      </c>
      <c r="M192" t="s">
        <v>235</v>
      </c>
      <c r="N192" t="s">
        <v>29</v>
      </c>
      <c r="O192" t="s">
        <v>315</v>
      </c>
    </row>
    <row r="193" spans="10:17" x14ac:dyDescent="0.2">
      <c r="J193" t="s">
        <v>431</v>
      </c>
      <c r="K193">
        <v>42</v>
      </c>
      <c r="L193" t="s">
        <v>163</v>
      </c>
      <c r="M193" t="s">
        <v>281</v>
      </c>
      <c r="N193" t="s">
        <v>235</v>
      </c>
      <c r="O193" t="s">
        <v>275</v>
      </c>
      <c r="P193" t="s">
        <v>29</v>
      </c>
    </row>
    <row r="194" spans="10:17" x14ac:dyDescent="0.2">
      <c r="J194" t="s">
        <v>432</v>
      </c>
      <c r="K194">
        <v>38</v>
      </c>
      <c r="L194" t="s">
        <v>163</v>
      </c>
      <c r="M194" t="s">
        <v>352</v>
      </c>
      <c r="N194" t="s">
        <v>40</v>
      </c>
      <c r="O194" t="s">
        <v>31</v>
      </c>
    </row>
    <row r="195" spans="10:17" x14ac:dyDescent="0.2">
      <c r="J195" t="s">
        <v>433</v>
      </c>
      <c r="K195">
        <v>45</v>
      </c>
      <c r="L195" t="s">
        <v>163</v>
      </c>
      <c r="M195" t="s">
        <v>31</v>
      </c>
      <c r="N195" t="s">
        <v>352</v>
      </c>
      <c r="O195" t="s">
        <v>385</v>
      </c>
      <c r="P195" t="s">
        <v>40</v>
      </c>
    </row>
    <row r="196" spans="10:17" x14ac:dyDescent="0.2">
      <c r="J196" t="s">
        <v>434</v>
      </c>
      <c r="K196">
        <v>54</v>
      </c>
      <c r="L196" t="s">
        <v>163</v>
      </c>
      <c r="M196" t="s">
        <v>31</v>
      </c>
      <c r="N196" t="s">
        <v>352</v>
      </c>
      <c r="O196" t="s">
        <v>22</v>
      </c>
      <c r="P196" t="s">
        <v>29</v>
      </c>
      <c r="Q196" t="s">
        <v>40</v>
      </c>
    </row>
    <row r="197" spans="10:17" x14ac:dyDescent="0.2">
      <c r="J197" t="s">
        <v>435</v>
      </c>
      <c r="K197">
        <v>46</v>
      </c>
      <c r="L197" t="s">
        <v>235</v>
      </c>
      <c r="M197" t="s">
        <v>40</v>
      </c>
      <c r="N197" t="s">
        <v>29</v>
      </c>
      <c r="O197" t="s">
        <v>352</v>
      </c>
    </row>
    <row r="198" spans="10:17" x14ac:dyDescent="0.2">
      <c r="J198" t="s">
        <v>436</v>
      </c>
      <c r="K198">
        <v>48</v>
      </c>
      <c r="L198" t="s">
        <v>163</v>
      </c>
      <c r="M198" t="s">
        <v>385</v>
      </c>
      <c r="N198" t="s">
        <v>31</v>
      </c>
      <c r="O198" t="s">
        <v>352</v>
      </c>
      <c r="P198" t="s">
        <v>29</v>
      </c>
      <c r="Q198" t="s">
        <v>40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3"/>
  <sheetViews>
    <sheetView tabSelected="1" topLeftCell="A55" workbookViewId="0">
      <selection activeCell="G76" sqref="G76"/>
    </sheetView>
  </sheetViews>
  <sheetFormatPr defaultRowHeight="14.25" x14ac:dyDescent="0.2"/>
  <cols>
    <col min="1" max="1" width="9" style="1"/>
    <col min="2" max="3" width="9" style="7"/>
    <col min="4" max="6" width="9" style="1"/>
    <col min="7" max="7" width="14.75" style="3" customWidth="1"/>
    <col min="8" max="8" width="9" style="1"/>
    <col min="9" max="9" width="9" style="7"/>
    <col min="10" max="16384" width="9" style="1"/>
  </cols>
  <sheetData>
    <row r="1" spans="2:19" x14ac:dyDescent="0.2">
      <c r="G1" s="3" t="s">
        <v>483</v>
      </c>
      <c r="H1" s="1" t="s">
        <v>482</v>
      </c>
    </row>
    <row r="2" spans="2:19" x14ac:dyDescent="0.2">
      <c r="B2" s="7" t="s">
        <v>217</v>
      </c>
      <c r="C2" s="7">
        <v>3</v>
      </c>
      <c r="G2" s="2" t="s">
        <v>62</v>
      </c>
      <c r="H2" s="1" t="s">
        <v>88</v>
      </c>
      <c r="J2" s="6"/>
      <c r="K2" s="6"/>
      <c r="N2" s="1" t="e">
        <f>IF(H2&lt;&gt;"",VLOOKUP(H2,[1]ItemData!$A$4:$B$336,2,FALSE),"")</f>
        <v>#N/A</v>
      </c>
      <c r="O2" s="7" t="str">
        <f>IF(I2&lt;&gt;"",VLOOKUP(I2,[1]ItemData!$A$4:$B$336,2,FALSE),"")</f>
        <v/>
      </c>
      <c r="P2" s="7" t="str">
        <f>IF(J2&lt;&gt;"",VLOOKUP(J2,[1]ItemData!$A$4:$B$336,2,FALSE),"")</f>
        <v/>
      </c>
      <c r="Q2" s="7" t="str">
        <f>IF(K2&lt;&gt;"",VLOOKUP(K2,[1]ItemData!$A$4:$B$336,2,FALSE),"")</f>
        <v/>
      </c>
      <c r="S2" s="1" t="e">
        <f>IF(N2&lt;&gt;"",N2&amp;IF(O2&lt;&gt;"",","&amp;O2,"")&amp;IF(P2&lt;&gt;"",","&amp;P2,"")&amp;IF(Q2&lt;&gt;"",","&amp;Q2,""),"")</f>
        <v>#N/A</v>
      </c>
    </row>
    <row r="3" spans="2:19" x14ac:dyDescent="0.2">
      <c r="B3" s="7" t="s">
        <v>1</v>
      </c>
      <c r="C3" s="7">
        <v>3</v>
      </c>
      <c r="G3" s="2" t="s">
        <v>87</v>
      </c>
      <c r="H3" s="1" t="s">
        <v>21</v>
      </c>
      <c r="J3" s="6"/>
      <c r="K3" s="6"/>
      <c r="L3" s="6"/>
      <c r="N3" s="7">
        <f>IF(H3&lt;&gt;"",VLOOKUP(H3,[1]ItemData!$A$4:$B$336,2,FALSE),"")</f>
        <v>1024</v>
      </c>
      <c r="O3" s="7" t="str">
        <f>IF(I3&lt;&gt;"",VLOOKUP(I3,[1]ItemData!$A$4:$B$336,2,FALSE),"")</f>
        <v/>
      </c>
      <c r="P3" s="7" t="str">
        <f>IF(J3&lt;&gt;"",VLOOKUP(J3,[1]ItemData!$A$4:$B$336,2,FALSE),"")</f>
        <v/>
      </c>
      <c r="Q3" s="7" t="str">
        <f>IF(K3&lt;&gt;"",VLOOKUP(K3,[1]ItemData!$A$4:$B$336,2,FALSE),"")</f>
        <v/>
      </c>
      <c r="S3" s="7" t="str">
        <f t="shared" ref="S3:S66" si="0">IF(N3&lt;&gt;"",N3&amp;IF(O3&lt;&gt;"",","&amp;O3,"")&amp;IF(P3&lt;&gt;"",","&amp;P3,"")&amp;IF(Q3&lt;&gt;"",","&amp;Q3,""),"")</f>
        <v>1024</v>
      </c>
    </row>
    <row r="4" spans="2:19" x14ac:dyDescent="0.2">
      <c r="B4" s="7" t="s">
        <v>76</v>
      </c>
      <c r="C4" s="7">
        <v>3</v>
      </c>
      <c r="H4" s="6"/>
      <c r="J4" s="6"/>
      <c r="K4" s="6"/>
      <c r="N4" s="7" t="str">
        <f>IF(H4&lt;&gt;"",VLOOKUP(H4,[1]ItemData!$A$4:$B$336,2,FALSE),"")</f>
        <v/>
      </c>
      <c r="O4" s="7" t="str">
        <f>IF(I4&lt;&gt;"",VLOOKUP(I4,[1]ItemData!$A$4:$B$336,2,FALSE),"")</f>
        <v/>
      </c>
      <c r="P4" s="7" t="str">
        <f>IF(J4&lt;&gt;"",VLOOKUP(J4,[1]ItemData!$A$4:$B$336,2,FALSE),"")</f>
        <v/>
      </c>
      <c r="Q4" s="7" t="str">
        <f>IF(K4&lt;&gt;"",VLOOKUP(K4,[1]ItemData!$A$4:$B$336,2,FALSE),"")</f>
        <v/>
      </c>
      <c r="S4" s="7" t="str">
        <f t="shared" si="0"/>
        <v/>
      </c>
    </row>
    <row r="5" spans="2:19" x14ac:dyDescent="0.2">
      <c r="B5" s="7" t="s">
        <v>219</v>
      </c>
      <c r="C5" s="7">
        <v>3</v>
      </c>
      <c r="E5" s="1" t="s">
        <v>179</v>
      </c>
      <c r="G5" s="4" t="s">
        <v>48</v>
      </c>
      <c r="H5" s="1" t="s">
        <v>0</v>
      </c>
      <c r="I5" s="7" t="s">
        <v>28</v>
      </c>
      <c r="L5" s="8">
        <f t="shared" ref="L5:L44" si="1">COUNTA(H5:K5)</f>
        <v>2</v>
      </c>
      <c r="M5" s="7"/>
      <c r="N5" s="7">
        <f>IF(H5&lt;&gt;"",VLOOKUP(H5,[1]ItemData!$A$4:$B$536,2,FALSE),"")</f>
        <v>1001</v>
      </c>
      <c r="O5" s="7">
        <f>IF(I5&lt;&gt;"",VLOOKUP(I5,[1]ItemData!$A$4:$B$536,2,FALSE),"")</f>
        <v>3002</v>
      </c>
      <c r="P5" s="7" t="str">
        <f>IF(J5&lt;&gt;"",VLOOKUP(J5,[1]ItemData!$A$4:$B$336,2,FALSE),"")</f>
        <v/>
      </c>
      <c r="Q5" s="7" t="str">
        <f>IF(K5&lt;&gt;"",VLOOKUP(K5,[1]ItemData!$A$4:$B$336,2,FALSE),"")</f>
        <v/>
      </c>
      <c r="S5" s="7" t="str">
        <f t="shared" si="0"/>
        <v>1001,3002</v>
      </c>
    </row>
    <row r="6" spans="2:19" x14ac:dyDescent="0.2">
      <c r="B6" s="7" t="s">
        <v>220</v>
      </c>
      <c r="C6" s="7">
        <v>3</v>
      </c>
      <c r="E6" s="7" t="s">
        <v>179</v>
      </c>
      <c r="G6" s="4" t="s">
        <v>52</v>
      </c>
      <c r="H6" s="6" t="s">
        <v>1</v>
      </c>
      <c r="I6" s="7" t="s">
        <v>4</v>
      </c>
      <c r="J6" s="5" t="s">
        <v>209</v>
      </c>
      <c r="K6" s="1" t="s">
        <v>218</v>
      </c>
      <c r="L6" s="8">
        <f t="shared" si="1"/>
        <v>4</v>
      </c>
      <c r="M6" s="7"/>
      <c r="N6" s="7">
        <f>IF(H6&lt;&gt;"",VLOOKUP(H6,[1]ItemData!$A$4:$B$536,2,FALSE),"")</f>
        <v>1002</v>
      </c>
      <c r="O6" s="7">
        <f>IF(I6&lt;&gt;"",VLOOKUP(I6,[1]ItemData!$A$4:$B$536,2,FALSE),"")</f>
        <v>1005</v>
      </c>
      <c r="P6" s="7">
        <f>IF(J6&lt;&gt;"",VLOOKUP(J6,[1]ItemData!$A$4:$B$336,2,FALSE),"")</f>
        <v>1009</v>
      </c>
      <c r="Q6" s="7">
        <f>IF(K6&lt;&gt;"",VLOOKUP(K6,[1]ItemData!$A$4:$B$336,2,FALSE),"")</f>
        <v>1006</v>
      </c>
      <c r="S6" s="7" t="str">
        <f t="shared" si="0"/>
        <v>1002,1005,1009,1006</v>
      </c>
    </row>
    <row r="7" spans="2:19" x14ac:dyDescent="0.2">
      <c r="B7" s="7" t="s">
        <v>54</v>
      </c>
      <c r="C7" s="7">
        <v>3</v>
      </c>
      <c r="E7" s="7" t="s">
        <v>179</v>
      </c>
      <c r="F7" s="14"/>
      <c r="G7" s="4" t="s">
        <v>57</v>
      </c>
      <c r="H7" s="1" t="s">
        <v>223</v>
      </c>
      <c r="I7" s="7" t="s">
        <v>1</v>
      </c>
      <c r="J7" s="6" t="s">
        <v>51</v>
      </c>
      <c r="K7" s="6" t="s">
        <v>55</v>
      </c>
      <c r="L7" s="8">
        <v>5</v>
      </c>
      <c r="M7" s="7"/>
      <c r="N7" s="7">
        <f>IF(H7&lt;&gt;"",VLOOKUP(H7,[1]ItemData!$A$4:$B$536,2,FALSE),"")</f>
        <v>3112</v>
      </c>
      <c r="O7" s="7">
        <f>IF(I7&lt;&gt;"",VLOOKUP(I7,[1]ItemData!$A$4:$B$536,2,FALSE),"")</f>
        <v>1002</v>
      </c>
      <c r="P7" s="7">
        <f>IF(J7&lt;&gt;"",VLOOKUP(J7,[1]ItemData!$A$4:$B$336,2,FALSE),"")</f>
        <v>1006</v>
      </c>
      <c r="Q7" s="7">
        <f>IF(K7&lt;&gt;"",VLOOKUP(K7,[1]ItemData!$A$4:$B$336,2,FALSE),"")</f>
        <v>1008</v>
      </c>
      <c r="S7" s="7" t="str">
        <f t="shared" si="0"/>
        <v>3112,1002,1006,1008</v>
      </c>
    </row>
    <row r="8" spans="2:19" x14ac:dyDescent="0.2">
      <c r="B8" s="7" t="s">
        <v>211</v>
      </c>
      <c r="C8" s="7">
        <v>2</v>
      </c>
      <c r="E8" s="7" t="s">
        <v>179</v>
      </c>
      <c r="G8" s="4" t="s">
        <v>49</v>
      </c>
      <c r="H8" s="6" t="s">
        <v>3</v>
      </c>
      <c r="I8" s="7" t="s">
        <v>28</v>
      </c>
      <c r="L8" s="8">
        <f t="shared" si="1"/>
        <v>2</v>
      </c>
      <c r="M8" s="7"/>
      <c r="N8" s="7">
        <f>IF(H8&lt;&gt;"",VLOOKUP(H8,[1]ItemData!$A$4:$B$536,2,FALSE),"")</f>
        <v>1004</v>
      </c>
      <c r="O8" s="7">
        <f>IF(I8&lt;&gt;"",VLOOKUP(I8,[1]ItemData!$A$4:$B$536,2,FALSE),"")</f>
        <v>3002</v>
      </c>
      <c r="P8" s="7" t="str">
        <f>IF(J8&lt;&gt;"",VLOOKUP(J8,[1]ItemData!$A$4:$B$336,2,FALSE),"")</f>
        <v/>
      </c>
      <c r="Q8" s="7" t="str">
        <f>IF(K8&lt;&gt;"",VLOOKUP(K8,[1]ItemData!$A$4:$B$336,2,FALSE),"")</f>
        <v/>
      </c>
      <c r="S8" s="7" t="str">
        <f t="shared" si="0"/>
        <v>1004,3002</v>
      </c>
    </row>
    <row r="9" spans="2:19" x14ac:dyDescent="0.2">
      <c r="B9" s="7" t="s">
        <v>55</v>
      </c>
      <c r="C9" s="7">
        <v>2</v>
      </c>
      <c r="E9" s="1" t="s">
        <v>180</v>
      </c>
      <c r="F9" s="1" t="s">
        <v>486</v>
      </c>
      <c r="G9" s="4" t="s">
        <v>60</v>
      </c>
      <c r="H9" s="5" t="s">
        <v>62</v>
      </c>
      <c r="I9" s="7" t="s">
        <v>63</v>
      </c>
      <c r="J9" s="6" t="s">
        <v>2</v>
      </c>
      <c r="K9" s="6" t="s">
        <v>59</v>
      </c>
      <c r="L9" s="8">
        <f t="shared" si="1"/>
        <v>4</v>
      </c>
      <c r="M9" s="7"/>
      <c r="N9" s="7">
        <f>IF(H9&lt;&gt;"",VLOOKUP(H9,[1]ItemData!$A$4:$B$536,2,FALSE),"")</f>
        <v>3009</v>
      </c>
      <c r="O9" s="7">
        <f>IF(I9&lt;&gt;"",VLOOKUP(I9,[1]ItemData!$A$4:$B$536,2,FALSE),"")</f>
        <v>3008</v>
      </c>
      <c r="P9" s="7">
        <f>IF(J9&lt;&gt;"",VLOOKUP(J9,[1]ItemData!$A$4:$B$336,2,FALSE),"")</f>
        <v>1003</v>
      </c>
      <c r="Q9" s="7">
        <f>IF(K9&lt;&gt;"",VLOOKUP(K9,[1]ItemData!$A$4:$B$336,2,FALSE),"")</f>
        <v>3109</v>
      </c>
      <c r="S9" s="7" t="str">
        <f t="shared" si="0"/>
        <v>3009,3008,1003,3109</v>
      </c>
    </row>
    <row r="10" spans="2:19" x14ac:dyDescent="0.2">
      <c r="B10" s="7" t="s">
        <v>53</v>
      </c>
      <c r="C10" s="7">
        <v>2</v>
      </c>
      <c r="E10" s="7" t="s">
        <v>210</v>
      </c>
      <c r="F10" s="7" t="s">
        <v>486</v>
      </c>
      <c r="G10" s="4" t="s">
        <v>475</v>
      </c>
      <c r="H10" s="5" t="s">
        <v>62</v>
      </c>
      <c r="I10" s="7" t="s">
        <v>64</v>
      </c>
      <c r="J10" s="7" t="s">
        <v>44</v>
      </c>
      <c r="K10" s="7"/>
      <c r="L10" s="8"/>
      <c r="M10" s="7"/>
      <c r="N10" s="7">
        <f>IF(H10&lt;&gt;"",VLOOKUP(H10,[1]ItemData!$A$4:$B$536,2,FALSE),"")</f>
        <v>3009</v>
      </c>
      <c r="O10" s="7">
        <f>IF(I10&lt;&gt;"",VLOOKUP(I10,[1]ItemData!$A$4:$B$536,2,FALSE),"")</f>
        <v>3007</v>
      </c>
      <c r="P10" s="7">
        <f>IF(J10&lt;&gt;"",VLOOKUP(J10,[1]ItemData!$A$4:$B$336,2,FALSE),"")</f>
        <v>3005</v>
      </c>
      <c r="Q10" s="7" t="str">
        <f>IF(K10&lt;&gt;"",VLOOKUP(K10,[1]ItemData!$A$4:$B$336,2,FALSE),"")</f>
        <v/>
      </c>
      <c r="S10" s="7" t="str">
        <f t="shared" si="0"/>
        <v>3009,3007,3005</v>
      </c>
    </row>
    <row r="11" spans="2:19" x14ac:dyDescent="0.2">
      <c r="B11" s="7" t="s">
        <v>8</v>
      </c>
      <c r="C11" s="7">
        <v>1</v>
      </c>
      <c r="E11" s="7" t="s">
        <v>210</v>
      </c>
      <c r="F11" s="7" t="s">
        <v>486</v>
      </c>
      <c r="G11" s="4" t="s">
        <v>474</v>
      </c>
      <c r="H11" s="5" t="s">
        <v>62</v>
      </c>
      <c r="I11" s="7" t="s">
        <v>38</v>
      </c>
      <c r="J11" s="7" t="s">
        <v>11</v>
      </c>
      <c r="K11" s="7" t="s">
        <v>442</v>
      </c>
      <c r="L11" s="8"/>
      <c r="M11" s="7"/>
      <c r="N11" s="7">
        <f>IF(H11&lt;&gt;"",VLOOKUP(H11,[1]ItemData!$A$4:$B$536,2,FALSE),"")</f>
        <v>3009</v>
      </c>
      <c r="O11" s="7">
        <f>IF(I11&lt;&gt;"",VLOOKUP(I11,[1]ItemData!$A$4:$B$536,2,FALSE),"")</f>
        <v>3130</v>
      </c>
      <c r="P11" s="7">
        <f>IF(J11&lt;&gt;"",VLOOKUP(J11,[1]ItemData!$A$4:$B$336,2,FALSE),"")</f>
        <v>1013</v>
      </c>
      <c r="Q11" s="7">
        <f>IF(K11&lt;&gt;"",VLOOKUP(K11,[1]ItemData!$A$4:$B$336,2,FALSE),"")</f>
        <v>3008</v>
      </c>
      <c r="S11" s="7" t="str">
        <f t="shared" si="0"/>
        <v>3009,3130,1013,3008</v>
      </c>
    </row>
    <row r="12" spans="2:19" x14ac:dyDescent="0.2">
      <c r="B12" s="7" t="s">
        <v>66</v>
      </c>
      <c r="C12" s="7">
        <v>2</v>
      </c>
      <c r="E12" s="7" t="s">
        <v>179</v>
      </c>
      <c r="G12" s="4" t="s">
        <v>443</v>
      </c>
      <c r="H12" s="1" t="s">
        <v>5</v>
      </c>
      <c r="I12" s="7" t="s">
        <v>28</v>
      </c>
      <c r="L12" s="8">
        <f t="shared" si="1"/>
        <v>2</v>
      </c>
      <c r="N12" s="7">
        <f>IF(H12&lt;&gt;"",VLOOKUP(H12,[1]ItemData!$A$4:$B$536,2,FALSE),"")</f>
        <v>1006</v>
      </c>
      <c r="O12" s="7">
        <f>IF(I12&lt;&gt;"",VLOOKUP(I12,[1]ItemData!$A$4:$B$536,2,FALSE),"")</f>
        <v>3002</v>
      </c>
      <c r="P12" s="7" t="str">
        <f>IF(J12&lt;&gt;"",VLOOKUP(J12,[1]ItemData!$A$4:$B$336,2,FALSE),"")</f>
        <v/>
      </c>
      <c r="Q12" s="7" t="str">
        <f>IF(K12&lt;&gt;"",VLOOKUP(K12,[1]ItemData!$A$4:$B$336,2,FALSE),"")</f>
        <v/>
      </c>
      <c r="S12" s="7" t="str">
        <f t="shared" si="0"/>
        <v>1006,3002</v>
      </c>
    </row>
    <row r="13" spans="2:19" x14ac:dyDescent="0.2">
      <c r="B13" s="7" t="s">
        <v>10</v>
      </c>
      <c r="C13" s="7">
        <v>1</v>
      </c>
      <c r="E13" s="6" t="s">
        <v>181</v>
      </c>
      <c r="F13" s="7" t="s">
        <v>486</v>
      </c>
      <c r="G13" s="4" t="s">
        <v>444</v>
      </c>
      <c r="H13" s="1" t="s">
        <v>6</v>
      </c>
      <c r="L13" s="8">
        <f t="shared" si="1"/>
        <v>1</v>
      </c>
      <c r="N13" s="7">
        <f>IF(H13&lt;&gt;"",VLOOKUP(H13,[1]ItemData!$A$4:$B$536,2,FALSE),"")</f>
        <v>1007</v>
      </c>
      <c r="O13" s="7" t="str">
        <f>IF(I13&lt;&gt;"",VLOOKUP(I13,[1]ItemData!$A$4:$B$536,2,FALSE),"")</f>
        <v/>
      </c>
      <c r="P13" s="7" t="str">
        <f>IF(J13&lt;&gt;"",VLOOKUP(J13,[1]ItemData!$A$4:$B$336,2,FALSE),"")</f>
        <v/>
      </c>
      <c r="Q13" s="7" t="str">
        <f>IF(K13&lt;&gt;"",VLOOKUP(K13,[1]ItemData!$A$4:$B$336,2,FALSE),"")</f>
        <v/>
      </c>
      <c r="S13" s="7" t="str">
        <f t="shared" si="0"/>
        <v>1007</v>
      </c>
    </row>
    <row r="14" spans="2:19" x14ac:dyDescent="0.2">
      <c r="B14" s="7" t="s">
        <v>214</v>
      </c>
      <c r="C14" s="7">
        <v>2</v>
      </c>
      <c r="E14" s="7" t="s">
        <v>180</v>
      </c>
      <c r="F14" s="7" t="s">
        <v>486</v>
      </c>
      <c r="G14" s="4" t="s">
        <v>445</v>
      </c>
      <c r="H14" s="1" t="s">
        <v>64</v>
      </c>
      <c r="L14" s="8">
        <f t="shared" si="1"/>
        <v>1</v>
      </c>
      <c r="N14" s="7">
        <f>IF(H14&lt;&gt;"",VLOOKUP(H14,[1]ItemData!$A$4:$B$536,2,FALSE),"")</f>
        <v>3007</v>
      </c>
      <c r="O14" s="7" t="str">
        <f>IF(I14&lt;&gt;"",VLOOKUP(I14,[1]ItemData!$A$4:$B$536,2,FALSE),"")</f>
        <v/>
      </c>
      <c r="P14" s="7" t="str">
        <f>IF(J14&lt;&gt;"",VLOOKUP(J14,[1]ItemData!$A$4:$B$336,2,FALSE),"")</f>
        <v/>
      </c>
      <c r="Q14" s="7" t="str">
        <f>IF(K14&lt;&gt;"",VLOOKUP(K14,[1]ItemData!$A$4:$B$336,2,FALSE),"")</f>
        <v/>
      </c>
      <c r="S14" s="7" t="str">
        <f t="shared" si="0"/>
        <v>3007</v>
      </c>
    </row>
    <row r="15" spans="2:19" x14ac:dyDescent="0.2">
      <c r="B15" s="7" t="s">
        <v>96</v>
      </c>
      <c r="C15" s="7">
        <v>2</v>
      </c>
      <c r="E15" s="7" t="s">
        <v>181</v>
      </c>
      <c r="F15" s="7" t="s">
        <v>487</v>
      </c>
      <c r="G15" s="4" t="s">
        <v>65</v>
      </c>
      <c r="H15" s="6" t="s">
        <v>2</v>
      </c>
      <c r="I15" s="7" t="s">
        <v>63</v>
      </c>
      <c r="J15" s="1" t="s">
        <v>9</v>
      </c>
      <c r="L15" s="8">
        <f t="shared" si="1"/>
        <v>3</v>
      </c>
      <c r="N15" s="7">
        <f>IF(H15&lt;&gt;"",VLOOKUP(H15,[1]ItemData!$A$4:$B$536,2,FALSE),"")</f>
        <v>1003</v>
      </c>
      <c r="O15" s="7">
        <f>IF(I15&lt;&gt;"",VLOOKUP(I15,[1]ItemData!$A$4:$B$536,2,FALSE),"")</f>
        <v>3008</v>
      </c>
      <c r="P15" s="7">
        <f>IF(J15&lt;&gt;"",VLOOKUP(J15,[1]ItemData!$A$4:$B$336,2,FALSE),"")</f>
        <v>1011</v>
      </c>
      <c r="Q15" s="7" t="str">
        <f>IF(K15&lt;&gt;"",VLOOKUP(K15,[1]ItemData!$A$4:$B$336,2,FALSE),"")</f>
        <v/>
      </c>
      <c r="S15" s="7" t="str">
        <f t="shared" si="0"/>
        <v>1003,3008,1011</v>
      </c>
    </row>
    <row r="16" spans="2:19" x14ac:dyDescent="0.2">
      <c r="B16" s="7" t="s">
        <v>208</v>
      </c>
      <c r="C16" s="7">
        <v>2</v>
      </c>
      <c r="E16" s="7" t="s">
        <v>179</v>
      </c>
      <c r="F16" s="14"/>
      <c r="G16" s="4" t="s">
        <v>69</v>
      </c>
      <c r="H16" s="5" t="s">
        <v>72</v>
      </c>
      <c r="I16" s="7" t="s">
        <v>71</v>
      </c>
      <c r="L16" s="8">
        <v>3</v>
      </c>
      <c r="N16" s="7">
        <f>IF(H16&lt;&gt;"",VLOOKUP(H16,[1]ItemData!$A$4:$B$536,2,FALSE),"")</f>
        <v>3113</v>
      </c>
      <c r="O16" s="7">
        <f>IF(I16&lt;&gt;"",VLOOKUP(I16,[1]ItemData!$A$4:$B$536,2,FALSE),"")</f>
        <v>3000</v>
      </c>
      <c r="P16" s="7" t="str">
        <f>IF(J16&lt;&gt;"",VLOOKUP(J16,[1]ItemData!$A$4:$B$336,2,FALSE),"")</f>
        <v/>
      </c>
      <c r="Q16" s="7" t="str">
        <f>IF(K16&lt;&gt;"",VLOOKUP(K16,[1]ItemData!$A$4:$B$336,2,FALSE),"")</f>
        <v/>
      </c>
      <c r="S16" s="7" t="str">
        <f t="shared" si="0"/>
        <v>3113,3000</v>
      </c>
    </row>
    <row r="17" spans="2:19" x14ac:dyDescent="0.2">
      <c r="B17" s="7" t="s">
        <v>206</v>
      </c>
      <c r="C17" s="7">
        <v>3</v>
      </c>
      <c r="E17" s="7" t="s">
        <v>181</v>
      </c>
      <c r="F17" s="14" t="s">
        <v>485</v>
      </c>
      <c r="G17" s="4" t="s">
        <v>437</v>
      </c>
      <c r="H17" s="5" t="s">
        <v>61</v>
      </c>
      <c r="I17" s="5" t="s">
        <v>170</v>
      </c>
      <c r="J17" s="7"/>
      <c r="K17" s="7"/>
      <c r="L17" s="8"/>
      <c r="N17" s="7">
        <f>IF(H17&lt;&gt;"",VLOOKUP(H17,[1]ItemData!$A$4:$B$536,2,FALSE),"")</f>
        <v>3009</v>
      </c>
      <c r="O17" s="7">
        <f>IF(I17&lt;&gt;"",VLOOKUP(I17,[1]ItemData!$A$4:$B$536,2,FALSE),"")</f>
        <v>200</v>
      </c>
      <c r="P17" s="7" t="str">
        <f>IF(J17&lt;&gt;"",VLOOKUP(J17,[1]ItemData!$A$4:$B$336,2,FALSE),"")</f>
        <v/>
      </c>
      <c r="Q17" s="7" t="str">
        <f>IF(K17&lt;&gt;"",VLOOKUP(K17,[1]ItemData!$A$4:$B$336,2,FALSE),"")</f>
        <v/>
      </c>
      <c r="S17" s="7" t="str">
        <f t="shared" si="0"/>
        <v>3009,200</v>
      </c>
    </row>
    <row r="18" spans="2:19" x14ac:dyDescent="0.2">
      <c r="B18" s="7" t="s">
        <v>164</v>
      </c>
      <c r="C18" s="7">
        <v>2</v>
      </c>
      <c r="E18" s="7" t="s">
        <v>181</v>
      </c>
      <c r="F18" s="14" t="s">
        <v>485</v>
      </c>
      <c r="G18" s="4" t="s">
        <v>72</v>
      </c>
      <c r="H18" s="5" t="s">
        <v>73</v>
      </c>
      <c r="L18" s="8">
        <f t="shared" si="1"/>
        <v>1</v>
      </c>
      <c r="M18" s="7"/>
      <c r="N18" s="7">
        <f>IF(H18&lt;&gt;"",VLOOKUP(H18,[1]ItemData!$A$4:$B$536,2,FALSE),"")</f>
        <v>3011</v>
      </c>
      <c r="O18" s="7" t="str">
        <f>IF(I18&lt;&gt;"",VLOOKUP(I18,[1]ItemData!$A$4:$B$536,2,FALSE),"")</f>
        <v/>
      </c>
      <c r="P18" s="7" t="str">
        <f>IF(J18&lt;&gt;"",VLOOKUP(J18,[1]ItemData!$A$4:$B$336,2,FALSE),"")</f>
        <v/>
      </c>
      <c r="Q18" s="7" t="str">
        <f>IF(K18&lt;&gt;"",VLOOKUP(K18,[1]ItemData!$A$4:$B$336,2,FALSE),"")</f>
        <v/>
      </c>
      <c r="S18" s="7" t="str">
        <f t="shared" si="0"/>
        <v>3011</v>
      </c>
    </row>
    <row r="19" spans="2:19" x14ac:dyDescent="0.2">
      <c r="B19" s="7" t="s">
        <v>196</v>
      </c>
      <c r="C19" s="7">
        <v>2</v>
      </c>
      <c r="E19" s="7" t="s">
        <v>181</v>
      </c>
      <c r="F19" s="14" t="s">
        <v>485</v>
      </c>
      <c r="G19" s="4" t="s">
        <v>75</v>
      </c>
      <c r="H19" s="5" t="s">
        <v>77</v>
      </c>
      <c r="I19" s="7" t="s">
        <v>63</v>
      </c>
      <c r="J19" s="7" t="s">
        <v>195</v>
      </c>
      <c r="L19" s="8">
        <f t="shared" si="1"/>
        <v>3</v>
      </c>
      <c r="N19" s="7">
        <f>IF(H19&lt;&gt;"",VLOOKUP(H19,[1]ItemData!$A$4:$B$536,2,FALSE),"")</f>
        <v>1016</v>
      </c>
      <c r="O19" s="7">
        <f>IF(I19&lt;&gt;"",VLOOKUP(I19,[1]ItemData!$A$4:$B$536,2,FALSE),"")</f>
        <v>3008</v>
      </c>
      <c r="P19" s="7">
        <f>IF(J19&lt;&gt;"",VLOOKUP(J19,[1]ItemData!$A$4:$B$336,2,FALSE),"")</f>
        <v>3002</v>
      </c>
      <c r="Q19" s="7" t="str">
        <f>IF(K19&lt;&gt;"",VLOOKUP(K19,[1]ItemData!$A$4:$B$336,2,FALSE),"")</f>
        <v/>
      </c>
      <c r="S19" s="7" t="str">
        <f t="shared" si="0"/>
        <v>1016,3008,3002</v>
      </c>
    </row>
    <row r="20" spans="2:19" x14ac:dyDescent="0.2">
      <c r="B20" s="7" t="s">
        <v>16</v>
      </c>
      <c r="C20" s="7">
        <v>2</v>
      </c>
      <c r="E20" s="7" t="s">
        <v>179</v>
      </c>
      <c r="F20" s="14"/>
      <c r="G20" s="4" t="s">
        <v>473</v>
      </c>
      <c r="H20" s="5" t="s">
        <v>438</v>
      </c>
      <c r="I20" s="7" t="s">
        <v>7</v>
      </c>
      <c r="J20" s="7" t="s">
        <v>74</v>
      </c>
      <c r="K20" s="7" t="s">
        <v>38</v>
      </c>
      <c r="L20" s="8"/>
      <c r="N20" s="7">
        <f>IF(H20&lt;&gt;"",VLOOKUP(H20,[1]ItemData!$A$4:$B$536,2,FALSE),"")</f>
        <v>3112</v>
      </c>
      <c r="O20" s="7">
        <f>IF(I20&lt;&gt;"",VLOOKUP(I20,[1]ItemData!$A$4:$B$536,2,FALSE),"")</f>
        <v>1008</v>
      </c>
      <c r="P20" s="7">
        <f>IF(J20&lt;&gt;"",VLOOKUP(J20,[1]ItemData!$A$4:$B$336,2,FALSE),"")</f>
        <v>3114</v>
      </c>
      <c r="Q20" s="7">
        <f>IF(K20&lt;&gt;"",VLOOKUP(K20,[1]ItemData!$A$4:$B$336,2,FALSE),"")</f>
        <v>3130</v>
      </c>
      <c r="S20" s="7" t="str">
        <f t="shared" si="0"/>
        <v>3112,1008,3114,3130</v>
      </c>
    </row>
    <row r="21" spans="2:19" x14ac:dyDescent="0.2">
      <c r="B21" s="7" t="s">
        <v>17</v>
      </c>
      <c r="C21" s="7">
        <v>2</v>
      </c>
      <c r="E21" s="7" t="s">
        <v>179</v>
      </c>
      <c r="F21" s="7"/>
      <c r="G21" s="4" t="s">
        <v>446</v>
      </c>
      <c r="H21" s="5" t="s">
        <v>439</v>
      </c>
      <c r="I21" s="7" t="s">
        <v>186</v>
      </c>
      <c r="J21" s="7" t="s">
        <v>9</v>
      </c>
      <c r="K21" s="7" t="s">
        <v>38</v>
      </c>
      <c r="L21" s="8"/>
      <c r="M21" s="7"/>
      <c r="N21" s="7">
        <f>IF(H21&lt;&gt;"",VLOOKUP(H21,[1]ItemData!$A$4:$B$536,2,FALSE),"")</f>
        <v>3112</v>
      </c>
      <c r="O21" s="7">
        <f>IF(I21&lt;&gt;"",VLOOKUP(I21,[1]ItemData!$A$4:$B$536,2,FALSE),"")</f>
        <v>3166</v>
      </c>
      <c r="P21" s="7">
        <f>IF(J21&lt;&gt;"",VLOOKUP(J21,[1]ItemData!$A$4:$B$336,2,FALSE),"")</f>
        <v>1011</v>
      </c>
      <c r="Q21" s="7">
        <f>IF(K21&lt;&gt;"",VLOOKUP(K21,[1]ItemData!$A$4:$B$336,2,FALSE),"")</f>
        <v>3130</v>
      </c>
      <c r="S21" s="7" t="str">
        <f t="shared" si="0"/>
        <v>3112,3166,1011,3130</v>
      </c>
    </row>
    <row r="22" spans="2:19" x14ac:dyDescent="0.2">
      <c r="B22" s="7" t="s">
        <v>18</v>
      </c>
      <c r="C22" s="7">
        <v>2</v>
      </c>
      <c r="E22" s="7" t="s">
        <v>180</v>
      </c>
      <c r="F22" s="1" t="s">
        <v>485</v>
      </c>
      <c r="G22" s="4" t="s">
        <v>447</v>
      </c>
      <c r="H22" s="6" t="s">
        <v>176</v>
      </c>
      <c r="I22" s="7" t="s">
        <v>78</v>
      </c>
      <c r="L22" s="8">
        <v>3</v>
      </c>
      <c r="N22" s="7">
        <f>IF(H22&lt;&gt;"",VLOOKUP(H22,[1]ItemData!$A$4:$B$536,2,FALSE),"")</f>
        <v>1015</v>
      </c>
      <c r="O22" s="7">
        <f>IF(I22&lt;&gt;"",VLOOKUP(I22,[1]ItemData!$A$4:$B$536,2,FALSE),"")</f>
        <v>3011</v>
      </c>
      <c r="P22" s="7" t="str">
        <f>IF(J22&lt;&gt;"",VLOOKUP(J22,[1]ItemData!$A$4:$B$336,2,FALSE),"")</f>
        <v/>
      </c>
      <c r="Q22" s="7" t="str">
        <f>IF(K22&lt;&gt;"",VLOOKUP(K22,[1]ItemData!$A$4:$B$336,2,FALSE),"")</f>
        <v/>
      </c>
      <c r="S22" s="7" t="str">
        <f t="shared" si="0"/>
        <v>1015,3011</v>
      </c>
    </row>
    <row r="23" spans="2:19" x14ac:dyDescent="0.2">
      <c r="B23" s="7" t="s">
        <v>19</v>
      </c>
      <c r="C23" s="7">
        <v>1</v>
      </c>
      <c r="E23" s="7" t="s">
        <v>180</v>
      </c>
      <c r="F23" s="7" t="s">
        <v>485</v>
      </c>
      <c r="G23" s="4" t="s">
        <v>222</v>
      </c>
      <c r="H23" s="7" t="s">
        <v>71</v>
      </c>
      <c r="I23" s="7" t="s">
        <v>147</v>
      </c>
      <c r="J23" s="7" t="s">
        <v>140</v>
      </c>
      <c r="K23" s="5" t="s">
        <v>30</v>
      </c>
      <c r="L23" s="8"/>
      <c r="M23" s="7"/>
      <c r="N23" s="7">
        <f>IF(H23&lt;&gt;"",VLOOKUP(H23,[1]ItemData!$A$4:$B$536,2,FALSE),"")</f>
        <v>3000</v>
      </c>
      <c r="O23" s="7">
        <f>IF(I23&lt;&gt;"",VLOOKUP(I23,[1]ItemData!$A$4:$B$536,2,FALSE),"")</f>
        <v>4105</v>
      </c>
      <c r="P23" s="7">
        <f>IF(J23&lt;&gt;"",VLOOKUP(J23,[1]ItemData!$A$4:$B$336,2,FALSE),"")</f>
        <v>4115</v>
      </c>
      <c r="Q23" s="7">
        <f>IF(K23&lt;&gt;"",VLOOKUP(K23,[1]ItemData!$A$4:$B$336,2,FALSE),"")</f>
        <v>3006</v>
      </c>
      <c r="S23" s="7" t="str">
        <f t="shared" si="0"/>
        <v>3000,4105,4115,3006</v>
      </c>
    </row>
    <row r="24" spans="2:19" x14ac:dyDescent="0.2">
      <c r="B24" s="7" t="s">
        <v>20</v>
      </c>
      <c r="C24" s="7">
        <v>1</v>
      </c>
      <c r="E24" s="7" t="s">
        <v>181</v>
      </c>
      <c r="F24" s="7" t="s">
        <v>485</v>
      </c>
      <c r="G24" s="4" t="s">
        <v>448</v>
      </c>
      <c r="H24" s="7" t="s">
        <v>16</v>
      </c>
      <c r="I24" s="7" t="s">
        <v>78</v>
      </c>
      <c r="J24" s="7"/>
      <c r="K24" s="7"/>
      <c r="L24" s="8"/>
      <c r="N24" s="7">
        <f>IF(H24&lt;&gt;"",VLOOKUP(H24,[1]ItemData!$A$4:$B$536,2,FALSE),"")</f>
        <v>1019</v>
      </c>
      <c r="O24" s="7">
        <f>IF(I24&lt;&gt;"",VLOOKUP(I24,[1]ItemData!$A$4:$B$536,2,FALSE),"")</f>
        <v>3011</v>
      </c>
      <c r="P24" s="7" t="str">
        <f>IF(J24&lt;&gt;"",VLOOKUP(J24,[1]ItemData!$A$4:$B$336,2,FALSE),"")</f>
        <v/>
      </c>
      <c r="Q24" s="7" t="str">
        <f>IF(K24&lt;&gt;"",VLOOKUP(K24,[1]ItemData!$A$4:$B$336,2,FALSE),"")</f>
        <v/>
      </c>
      <c r="S24" s="7" t="str">
        <f t="shared" si="0"/>
        <v>1019,3011</v>
      </c>
    </row>
    <row r="25" spans="2:19" x14ac:dyDescent="0.2">
      <c r="B25" s="7" t="s">
        <v>21</v>
      </c>
      <c r="C25" s="7">
        <v>1</v>
      </c>
      <c r="E25" s="7" t="s">
        <v>182</v>
      </c>
      <c r="F25" s="7"/>
      <c r="G25" s="4" t="s">
        <v>216</v>
      </c>
      <c r="H25" s="7" t="s">
        <v>0</v>
      </c>
      <c r="I25" s="7" t="s">
        <v>5</v>
      </c>
      <c r="J25" s="7" t="s">
        <v>3</v>
      </c>
      <c r="K25" s="7" t="s">
        <v>4</v>
      </c>
      <c r="L25" s="8"/>
      <c r="N25" s="7">
        <f>IF(H25&lt;&gt;"",VLOOKUP(H25,[1]ItemData!$A$4:$B$536,2,FALSE),"")</f>
        <v>1001</v>
      </c>
      <c r="O25" s="7">
        <f>IF(I25&lt;&gt;"",VLOOKUP(I25,[1]ItemData!$A$4:$B$536,2,FALSE),"")</f>
        <v>1006</v>
      </c>
      <c r="P25" s="7">
        <f>IF(J25&lt;&gt;"",VLOOKUP(J25,[1]ItemData!$A$4:$B$336,2,FALSE),"")</f>
        <v>1004</v>
      </c>
      <c r="Q25" s="7">
        <f>IF(K25&lt;&gt;"",VLOOKUP(K25,[1]ItemData!$A$4:$B$336,2,FALSE),"")</f>
        <v>1005</v>
      </c>
      <c r="S25" s="7" t="str">
        <f t="shared" si="0"/>
        <v>1001,1006,1004,1005</v>
      </c>
    </row>
    <row r="26" spans="2:19" x14ac:dyDescent="0.2">
      <c r="B26" s="7" t="s">
        <v>80</v>
      </c>
      <c r="C26" s="7">
        <v>1</v>
      </c>
      <c r="E26" s="6" t="s">
        <v>182</v>
      </c>
      <c r="G26" s="4" t="s">
        <v>174</v>
      </c>
      <c r="H26" s="6" t="s">
        <v>449</v>
      </c>
      <c r="L26" s="8">
        <f t="shared" si="1"/>
        <v>1</v>
      </c>
      <c r="N26" s="7">
        <f>IF(H26&lt;&gt;"",VLOOKUP(H26,[1]ItemData!$A$4:$B$536,2,FALSE),"")</f>
        <v>1010</v>
      </c>
      <c r="O26" s="7" t="str">
        <f>IF(I26&lt;&gt;"",VLOOKUP(I26,[1]ItemData!$A$4:$B$536,2,FALSE),"")</f>
        <v/>
      </c>
      <c r="P26" s="7" t="str">
        <f>IF(J26&lt;&gt;"",VLOOKUP(J26,[1]ItemData!$A$4:$B$336,2,FALSE),"")</f>
        <v/>
      </c>
      <c r="Q26" s="7" t="str">
        <f>IF(K26&lt;&gt;"",VLOOKUP(K26,[1]ItemData!$A$4:$B$336,2,FALSE),"")</f>
        <v/>
      </c>
      <c r="S26" s="7" t="str">
        <f t="shared" si="0"/>
        <v>1010</v>
      </c>
    </row>
    <row r="27" spans="2:19" x14ac:dyDescent="0.2">
      <c r="B27" s="7" t="s">
        <v>81</v>
      </c>
      <c r="C27" s="7">
        <v>1</v>
      </c>
      <c r="E27" s="7" t="s">
        <v>182</v>
      </c>
      <c r="G27" s="4" t="s">
        <v>450</v>
      </c>
      <c r="H27" s="6" t="s">
        <v>10</v>
      </c>
      <c r="L27" s="8">
        <f t="shared" si="1"/>
        <v>1</v>
      </c>
      <c r="M27" s="7"/>
      <c r="N27" s="7">
        <f>IF(H27&lt;&gt;"",VLOOKUP(H27,[1]ItemData!$A$4:$B$536,2,FALSE),"")</f>
        <v>1012</v>
      </c>
      <c r="O27" s="7" t="str">
        <f>IF(I27&lt;&gt;"",VLOOKUP(I27,[1]ItemData!$A$4:$B$536,2,FALSE),"")</f>
        <v/>
      </c>
      <c r="P27" s="7" t="str">
        <f>IF(J27&lt;&gt;"",VLOOKUP(J27,[1]ItemData!$A$4:$B$336,2,FALSE),"")</f>
        <v/>
      </c>
      <c r="Q27" s="7" t="str">
        <f>IF(K27&lt;&gt;"",VLOOKUP(K27,[1]ItemData!$A$4:$B$336,2,FALSE),"")</f>
        <v/>
      </c>
      <c r="S27" s="7" t="str">
        <f t="shared" si="0"/>
        <v>1012</v>
      </c>
    </row>
    <row r="28" spans="2:19" x14ac:dyDescent="0.2">
      <c r="B28" s="7" t="s">
        <v>82</v>
      </c>
      <c r="C28" s="7">
        <v>2</v>
      </c>
      <c r="E28" s="7" t="s">
        <v>182</v>
      </c>
      <c r="G28" s="4" t="s">
        <v>451</v>
      </c>
      <c r="H28" s="6" t="s">
        <v>19</v>
      </c>
      <c r="L28" s="8">
        <f t="shared" si="1"/>
        <v>1</v>
      </c>
      <c r="N28" s="7">
        <f>IF(H28&lt;&gt;"",VLOOKUP(H28,[1]ItemData!$A$4:$B$536,2,FALSE),"")</f>
        <v>1022</v>
      </c>
      <c r="O28" s="7" t="str">
        <f>IF(I28&lt;&gt;"",VLOOKUP(I28,[1]ItemData!$A$4:$B$536,2,FALSE),"")</f>
        <v/>
      </c>
      <c r="P28" s="7" t="str">
        <f>IF(J28&lt;&gt;"",VLOOKUP(J28,[1]ItemData!$A$4:$B$336,2,FALSE),"")</f>
        <v/>
      </c>
      <c r="Q28" s="7" t="str">
        <f>IF(K28&lt;&gt;"",VLOOKUP(K28,[1]ItemData!$A$4:$B$336,2,FALSE),"")</f>
        <v/>
      </c>
      <c r="S28" s="7" t="str">
        <f t="shared" si="0"/>
        <v>1022</v>
      </c>
    </row>
    <row r="29" spans="2:19" x14ac:dyDescent="0.2">
      <c r="B29" s="7" t="s">
        <v>92</v>
      </c>
      <c r="C29" s="7">
        <v>2</v>
      </c>
      <c r="E29" s="7" t="s">
        <v>182</v>
      </c>
      <c r="G29" s="4" t="s">
        <v>173</v>
      </c>
      <c r="H29" s="6" t="s">
        <v>20</v>
      </c>
      <c r="L29" s="8">
        <f t="shared" si="1"/>
        <v>1</v>
      </c>
      <c r="N29" s="7">
        <f>IF(H29&lt;&gt;"",VLOOKUP(H29,[1]ItemData!$A$4:$B$536,2,FALSE),"")</f>
        <v>1023</v>
      </c>
      <c r="O29" s="7" t="str">
        <f>IF(I29&lt;&gt;"",VLOOKUP(I29,[1]ItemData!$A$4:$B$536,2,FALSE),"")</f>
        <v/>
      </c>
      <c r="P29" s="7" t="str">
        <f>IF(J29&lt;&gt;"",VLOOKUP(J29,[1]ItemData!$A$4:$B$336,2,FALSE),"")</f>
        <v/>
      </c>
      <c r="Q29" s="7" t="str">
        <f>IF(K29&lt;&gt;"",VLOOKUP(K29,[1]ItemData!$A$4:$B$336,2,FALSE),"")</f>
        <v/>
      </c>
      <c r="S29" s="7" t="str">
        <f t="shared" si="0"/>
        <v>1023</v>
      </c>
    </row>
    <row r="30" spans="2:19" x14ac:dyDescent="0.2">
      <c r="E30" s="7" t="s">
        <v>182</v>
      </c>
      <c r="G30" s="4" t="s">
        <v>452</v>
      </c>
      <c r="H30" s="1" t="s">
        <v>22</v>
      </c>
      <c r="L30" s="8">
        <f t="shared" si="1"/>
        <v>1</v>
      </c>
      <c r="N30" s="7">
        <f>IF(H30&lt;&gt;"",VLOOKUP(H30,[1]ItemData!$A$4:$B$536,2,FALSE),"")</f>
        <v>1025</v>
      </c>
      <c r="O30" s="7" t="str">
        <f>IF(I30&lt;&gt;"",VLOOKUP(I30,[1]ItemData!$A$4:$B$536,2,FALSE),"")</f>
        <v/>
      </c>
      <c r="P30" s="7" t="str">
        <f>IF(J30&lt;&gt;"",VLOOKUP(J30,[1]ItemData!$A$4:$B$336,2,FALSE),"")</f>
        <v/>
      </c>
      <c r="Q30" s="7" t="str">
        <f>IF(K30&lt;&gt;"",VLOOKUP(K30,[1]ItemData!$A$4:$B$336,2,FALSE),"")</f>
        <v/>
      </c>
      <c r="S30" s="7" t="str">
        <f t="shared" si="0"/>
        <v>1025</v>
      </c>
    </row>
    <row r="31" spans="2:19" x14ac:dyDescent="0.2">
      <c r="B31" s="7" t="s">
        <v>26</v>
      </c>
      <c r="C31" s="7">
        <v>3</v>
      </c>
      <c r="E31" s="7" t="s">
        <v>182</v>
      </c>
      <c r="G31" s="4" t="s">
        <v>453</v>
      </c>
      <c r="H31" s="1" t="s">
        <v>23</v>
      </c>
      <c r="L31" s="8">
        <f t="shared" si="1"/>
        <v>1</v>
      </c>
      <c r="N31" s="7">
        <f>IF(H31&lt;&gt;"",VLOOKUP(H31,[1]ItemData!$A$4:$B$536,2,FALSE),"")</f>
        <v>1026</v>
      </c>
      <c r="O31" s="7" t="str">
        <f>IF(I31&lt;&gt;"",VLOOKUP(I31,[1]ItemData!$A$4:$B$536,2,FALSE),"")</f>
        <v/>
      </c>
      <c r="P31" s="7" t="str">
        <f>IF(J31&lt;&gt;"",VLOOKUP(J31,[1]ItemData!$A$4:$B$336,2,FALSE),"")</f>
        <v/>
      </c>
      <c r="Q31" s="7" t="str">
        <f>IF(K31&lt;&gt;"",VLOOKUP(K31,[1]ItemData!$A$4:$B$336,2,FALSE),"")</f>
        <v/>
      </c>
      <c r="S31" s="7" t="str">
        <f t="shared" si="0"/>
        <v>1026</v>
      </c>
    </row>
    <row r="32" spans="2:19" x14ac:dyDescent="0.2">
      <c r="B32" s="7" t="s">
        <v>194</v>
      </c>
      <c r="C32" s="7">
        <v>9</v>
      </c>
      <c r="E32" s="7" t="s">
        <v>182</v>
      </c>
      <c r="F32" s="7"/>
      <c r="G32" s="4" t="s">
        <v>192</v>
      </c>
      <c r="H32" s="7" t="s">
        <v>16</v>
      </c>
      <c r="J32" s="7"/>
      <c r="K32" s="7"/>
      <c r="L32" s="8"/>
      <c r="N32" s="7">
        <f>IF(H32&lt;&gt;"",VLOOKUP(H32,[1]ItemData!$A$4:$B$536,2,FALSE),"")</f>
        <v>1019</v>
      </c>
      <c r="O32" s="7" t="str">
        <f>IF(I32&lt;&gt;"",VLOOKUP(I32,[1]ItemData!$A$4:$B$536,2,FALSE),"")</f>
        <v/>
      </c>
      <c r="P32" s="7" t="str">
        <f>IF(J32&lt;&gt;"",VLOOKUP(J32,[1]ItemData!$A$4:$B$336,2,FALSE),"")</f>
        <v/>
      </c>
      <c r="Q32" s="7" t="str">
        <f>IF(K32&lt;&gt;"",VLOOKUP(K32,[1]ItemData!$A$4:$B$336,2,FALSE),"")</f>
        <v/>
      </c>
      <c r="S32" s="7" t="str">
        <f t="shared" si="0"/>
        <v>1019</v>
      </c>
    </row>
    <row r="33" spans="1:19" x14ac:dyDescent="0.2">
      <c r="B33" s="7" t="s">
        <v>195</v>
      </c>
      <c r="C33" s="7">
        <v>9</v>
      </c>
      <c r="E33" s="7" t="s">
        <v>181</v>
      </c>
      <c r="F33" s="1" t="s">
        <v>487</v>
      </c>
      <c r="G33" s="4" t="s">
        <v>454</v>
      </c>
      <c r="H33" s="1" t="s">
        <v>204</v>
      </c>
      <c r="I33" s="7" t="s">
        <v>45</v>
      </c>
      <c r="L33" s="8">
        <f t="shared" si="1"/>
        <v>2</v>
      </c>
      <c r="N33" s="7">
        <f>IF(H33&lt;&gt;"",VLOOKUP(H33,[1]ItemData!$A$4:$B$536,2,FALSE),"")</f>
        <v>1027</v>
      </c>
      <c r="O33" s="7">
        <f>IF(I33&lt;&gt;"",VLOOKUP(I33,[1]ItemData!$A$4:$B$536,2,FALSE),"")</f>
        <v>3005</v>
      </c>
      <c r="P33" s="7" t="str">
        <f>IF(J33&lt;&gt;"",VLOOKUP(J33,[1]ItemData!$A$4:$B$336,2,FALSE),"")</f>
        <v/>
      </c>
      <c r="Q33" s="7" t="str">
        <f>IF(K33&lt;&gt;"",VLOOKUP(K33,[1]ItemData!$A$4:$B$336,2,FALSE),"")</f>
        <v/>
      </c>
      <c r="S33" s="7" t="str">
        <f t="shared" si="0"/>
        <v>1027,3005</v>
      </c>
    </row>
    <row r="34" spans="1:19" x14ac:dyDescent="0.2">
      <c r="B34" s="7" t="s">
        <v>166</v>
      </c>
      <c r="C34" s="7">
        <v>11</v>
      </c>
      <c r="E34" s="7" t="s">
        <v>182</v>
      </c>
      <c r="G34" s="4" t="s">
        <v>455</v>
      </c>
      <c r="H34" s="1" t="s">
        <v>25</v>
      </c>
      <c r="L34" s="8">
        <f t="shared" si="1"/>
        <v>1</v>
      </c>
      <c r="N34" s="7">
        <f>IF(H34&lt;&gt;"",VLOOKUP(H34,[1]ItemData!$A$4:$B$536,2,FALSE),"")</f>
        <v>1028</v>
      </c>
      <c r="O34" s="7" t="str">
        <f>IF(I34&lt;&gt;"",VLOOKUP(I34,[1]ItemData!$A$4:$B$536,2,FALSE),"")</f>
        <v/>
      </c>
      <c r="P34" s="7" t="str">
        <f>IF(J34&lt;&gt;"",VLOOKUP(J34,[1]ItemData!$A$4:$B$336,2,FALSE),"")</f>
        <v/>
      </c>
      <c r="Q34" s="7" t="str">
        <f>IF(K34&lt;&gt;"",VLOOKUP(K34,[1]ItemData!$A$4:$B$336,2,FALSE),"")</f>
        <v/>
      </c>
      <c r="S34" s="7" t="str">
        <f t="shared" si="0"/>
        <v>1028</v>
      </c>
    </row>
    <row r="35" spans="1:19" x14ac:dyDescent="0.2">
      <c r="A35" s="7"/>
      <c r="B35" s="7" t="s">
        <v>171</v>
      </c>
      <c r="C35" s="7">
        <v>9</v>
      </c>
      <c r="D35" s="7"/>
      <c r="E35" s="7" t="s">
        <v>182</v>
      </c>
      <c r="F35" s="14"/>
      <c r="G35" s="4" t="s">
        <v>39</v>
      </c>
      <c r="H35" s="1" t="s">
        <v>29</v>
      </c>
      <c r="L35" s="8">
        <f t="shared" si="1"/>
        <v>1</v>
      </c>
      <c r="N35" s="7">
        <f>IF(H35&lt;&gt;"",VLOOKUP(H35,[1]ItemData!$A$4:$B$536,2,FALSE),"")</f>
        <v>3006</v>
      </c>
      <c r="O35" s="7" t="str">
        <f>IF(I35&lt;&gt;"",VLOOKUP(I35,[1]ItemData!$A$4:$B$536,2,FALSE),"")</f>
        <v/>
      </c>
      <c r="P35" s="7" t="str">
        <f>IF(J35&lt;&gt;"",VLOOKUP(J35,[1]ItemData!$A$4:$B$336,2,FALSE),"")</f>
        <v/>
      </c>
      <c r="Q35" s="7" t="str">
        <f>IF(K35&lt;&gt;"",VLOOKUP(K35,[1]ItemData!$A$4:$B$336,2,FALSE),"")</f>
        <v/>
      </c>
      <c r="S35" s="7" t="str">
        <f t="shared" si="0"/>
        <v>3006</v>
      </c>
    </row>
    <row r="36" spans="1:19" x14ac:dyDescent="0.2">
      <c r="E36" s="6" t="s">
        <v>183</v>
      </c>
      <c r="F36" s="14"/>
      <c r="G36" s="4" t="s">
        <v>83</v>
      </c>
      <c r="H36" s="6" t="s">
        <v>29</v>
      </c>
      <c r="I36" s="7" t="s">
        <v>84</v>
      </c>
      <c r="L36" s="8">
        <f t="shared" si="1"/>
        <v>2</v>
      </c>
      <c r="N36" s="7">
        <f>IF(H36&lt;&gt;"",VLOOKUP(H36,[1]ItemData!$A$4:$B$536,2,FALSE),"")</f>
        <v>3006</v>
      </c>
      <c r="O36" s="7">
        <f>IF(I36&lt;&gt;"",VLOOKUP(I36,[1]ItemData!$A$4:$B$536,2,FALSE),"")</f>
        <v>3001</v>
      </c>
      <c r="P36" s="7" t="str">
        <f>IF(J36&lt;&gt;"",VLOOKUP(J36,[1]ItemData!$A$4:$B$336,2,FALSE),"")</f>
        <v/>
      </c>
      <c r="Q36" s="7" t="str">
        <f>IF(K36&lt;&gt;"",VLOOKUP(K36,[1]ItemData!$A$4:$B$336,2,FALSE),"")</f>
        <v/>
      </c>
      <c r="S36" s="7" t="str">
        <f t="shared" si="0"/>
        <v>3006,3001</v>
      </c>
    </row>
    <row r="37" spans="1:19" x14ac:dyDescent="0.2">
      <c r="B37" s="7" t="s">
        <v>45</v>
      </c>
      <c r="C37" s="7">
        <v>4</v>
      </c>
      <c r="E37" s="7" t="s">
        <v>181</v>
      </c>
      <c r="G37" s="4" t="s">
        <v>90</v>
      </c>
      <c r="H37" s="1" t="s">
        <v>11</v>
      </c>
      <c r="I37" s="7" t="s">
        <v>85</v>
      </c>
      <c r="J37" s="6" t="s">
        <v>2</v>
      </c>
      <c r="K37" s="6" t="s">
        <v>28</v>
      </c>
      <c r="L37" s="8">
        <f t="shared" si="1"/>
        <v>4</v>
      </c>
      <c r="N37" s="7">
        <f>IF(H37&lt;&gt;"",VLOOKUP(H37,[1]ItemData!$A$4:$B$536,2,FALSE),"")</f>
        <v>1013</v>
      </c>
      <c r="O37" s="7">
        <f>IF(I37&lt;&gt;"",VLOOKUP(I37,[1]ItemData!$A$4:$B$536,2,FALSE),"")</f>
        <v>1016</v>
      </c>
      <c r="P37" s="7">
        <f>IF(J37&lt;&gt;"",VLOOKUP(J37,[1]ItemData!$A$4:$B$336,2,FALSE),"")</f>
        <v>1003</v>
      </c>
      <c r="Q37" s="7">
        <f>IF(K37&lt;&gt;"",VLOOKUP(K37,[1]ItemData!$A$4:$B$336,2,FALSE),"")</f>
        <v>3002</v>
      </c>
      <c r="S37" s="7" t="str">
        <f t="shared" si="0"/>
        <v>1013,1016,1003,3002</v>
      </c>
    </row>
    <row r="38" spans="1:19" x14ac:dyDescent="0.2">
      <c r="B38" s="7" t="s">
        <v>198</v>
      </c>
      <c r="C38" s="7">
        <v>5</v>
      </c>
      <c r="E38" s="7" t="s">
        <v>180</v>
      </c>
      <c r="F38" s="1" t="s">
        <v>485</v>
      </c>
      <c r="G38" s="4" t="s">
        <v>89</v>
      </c>
      <c r="H38" s="5" t="s">
        <v>62</v>
      </c>
      <c r="I38" s="7" t="s">
        <v>63</v>
      </c>
      <c r="J38" s="6" t="s">
        <v>1</v>
      </c>
      <c r="K38" s="6" t="s">
        <v>2</v>
      </c>
      <c r="L38" s="8">
        <v>5</v>
      </c>
      <c r="N38" s="7">
        <f>IF(H38&lt;&gt;"",VLOOKUP(H38,[1]ItemData!$A$4:$B$536,2,FALSE),"")</f>
        <v>3009</v>
      </c>
      <c r="O38" s="7">
        <f>IF(I38&lt;&gt;"",VLOOKUP(I38,[1]ItemData!$A$4:$B$536,2,FALSE),"")</f>
        <v>3008</v>
      </c>
      <c r="P38" s="7">
        <f>IF(J38&lt;&gt;"",VLOOKUP(J38,[1]ItemData!$A$4:$B$336,2,FALSE),"")</f>
        <v>1002</v>
      </c>
      <c r="Q38" s="7">
        <f>IF(K38&lt;&gt;"",VLOOKUP(K38,[1]ItemData!$A$4:$B$336,2,FALSE),"")</f>
        <v>1003</v>
      </c>
      <c r="S38" s="7" t="str">
        <f t="shared" si="0"/>
        <v>3009,3008,1002,1003</v>
      </c>
    </row>
    <row r="39" spans="1:19" x14ac:dyDescent="0.2">
      <c r="B39" s="7" t="s">
        <v>64</v>
      </c>
      <c r="C39" s="7">
        <v>4</v>
      </c>
      <c r="E39" s="7" t="s">
        <v>180</v>
      </c>
      <c r="F39" s="1" t="s">
        <v>485</v>
      </c>
      <c r="G39" s="4" t="s">
        <v>93</v>
      </c>
      <c r="H39" s="6" t="s">
        <v>4</v>
      </c>
      <c r="I39" s="7" t="s">
        <v>15</v>
      </c>
      <c r="J39" s="5" t="s">
        <v>25</v>
      </c>
      <c r="K39" s="5" t="s">
        <v>95</v>
      </c>
      <c r="L39" s="8">
        <v>5</v>
      </c>
      <c r="N39" s="7">
        <f>IF(H39&lt;&gt;"",VLOOKUP(H39,[1]ItemData!$A$4:$B$536,2,FALSE),"")</f>
        <v>1005</v>
      </c>
      <c r="O39" s="7">
        <f>IF(I39&lt;&gt;"",VLOOKUP(I39,[1]ItemData!$A$4:$B$536,2,FALSE),"")</f>
        <v>1018</v>
      </c>
      <c r="P39" s="7">
        <f>IF(J39&lt;&gt;"",VLOOKUP(J39,[1]ItemData!$A$4:$B$336,2,FALSE),"")</f>
        <v>1028</v>
      </c>
      <c r="Q39" s="7">
        <f>IF(K39&lt;&gt;"",VLOOKUP(K39,[1]ItemData!$A$4:$B$336,2,FALSE),"")</f>
        <v>3011</v>
      </c>
      <c r="S39" s="7" t="str">
        <f t="shared" si="0"/>
        <v>1005,1018,1028,3011</v>
      </c>
    </row>
    <row r="40" spans="1:19" x14ac:dyDescent="0.2">
      <c r="B40" s="7" t="s">
        <v>199</v>
      </c>
      <c r="C40" s="7">
        <v>6</v>
      </c>
      <c r="E40" s="7" t="s">
        <v>181</v>
      </c>
      <c r="F40" s="7" t="s">
        <v>485</v>
      </c>
      <c r="G40" s="4" t="s">
        <v>456</v>
      </c>
      <c r="H40" s="1" t="s">
        <v>164</v>
      </c>
      <c r="L40" s="8">
        <f t="shared" si="1"/>
        <v>1</v>
      </c>
      <c r="N40" s="7">
        <f>IF(H40&lt;&gt;"",VLOOKUP(H40,[1]ItemData!$A$4:$B$536,2,FALSE),"")</f>
        <v>1017</v>
      </c>
      <c r="O40" s="7" t="str">
        <f>IF(I40&lt;&gt;"",VLOOKUP(I40,[1]ItemData!$A$4:$B$536,2,FALSE),"")</f>
        <v/>
      </c>
      <c r="P40" s="7" t="str">
        <f>IF(J40&lt;&gt;"",VLOOKUP(J40,[1]ItemData!$A$4:$B$336,2,FALSE),"")</f>
        <v/>
      </c>
      <c r="Q40" s="7" t="str">
        <f>IF(K40&lt;&gt;"",VLOOKUP(K40,[1]ItemData!$A$4:$B$336,2,FALSE),"")</f>
        <v/>
      </c>
      <c r="S40" s="7" t="str">
        <f t="shared" si="0"/>
        <v>1017</v>
      </c>
    </row>
    <row r="41" spans="1:19" x14ac:dyDescent="0.2">
      <c r="E41" s="7" t="s">
        <v>180</v>
      </c>
      <c r="F41" s="7" t="s">
        <v>485</v>
      </c>
      <c r="G41" s="4" t="s">
        <v>94</v>
      </c>
      <c r="H41" s="5" t="s">
        <v>25</v>
      </c>
      <c r="I41" s="7" t="s">
        <v>4</v>
      </c>
      <c r="J41" s="6" t="s">
        <v>55</v>
      </c>
      <c r="K41" s="12" t="s">
        <v>490</v>
      </c>
      <c r="L41" s="8">
        <f t="shared" si="1"/>
        <v>4</v>
      </c>
      <c r="N41" s="7">
        <f>IF(H41&lt;&gt;"",VLOOKUP(H41,[1]ItemData!$A$4:$B$536,2,FALSE),"")</f>
        <v>1028</v>
      </c>
      <c r="O41" s="7">
        <f>IF(I41&lt;&gt;"",VLOOKUP(I41,[1]ItemData!$A$4:$B$536,2,FALSE),"")</f>
        <v>1005</v>
      </c>
      <c r="P41" s="7">
        <f>IF(J41&lt;&gt;"",VLOOKUP(J41,[1]ItemData!$A$4:$B$336,2,FALSE),"")</f>
        <v>1008</v>
      </c>
      <c r="Q41" s="7">
        <f>IF(K41&lt;&gt;"",VLOOKUP(K41,[1]ItemData!$A$4:$B$336,2,FALSE),"")</f>
        <v>200</v>
      </c>
      <c r="S41" s="7" t="str">
        <f t="shared" si="0"/>
        <v>1028,1005,1008,200</v>
      </c>
    </row>
    <row r="42" spans="1:19" x14ac:dyDescent="0.2">
      <c r="B42" s="1" t="s">
        <v>41</v>
      </c>
      <c r="E42" s="7" t="s">
        <v>180</v>
      </c>
      <c r="F42" s="7" t="s">
        <v>485</v>
      </c>
      <c r="G42" s="4" t="s">
        <v>97</v>
      </c>
      <c r="H42" s="1" t="s">
        <v>12</v>
      </c>
      <c r="I42" s="7" t="s">
        <v>98</v>
      </c>
      <c r="J42" s="5" t="s">
        <v>209</v>
      </c>
      <c r="K42" s="12" t="s">
        <v>170</v>
      </c>
      <c r="L42" s="8">
        <f t="shared" si="1"/>
        <v>4</v>
      </c>
      <c r="N42" s="7">
        <f>IF(H42&lt;&gt;"",VLOOKUP(H42,[1]ItemData!$A$4:$B$536,2,FALSE),"")</f>
        <v>1014</v>
      </c>
      <c r="O42" s="7">
        <f>IF(I42&lt;&gt;"",VLOOKUP(I42,[1]ItemData!$A$4:$B$536,2,FALSE),"")</f>
        <v>3008</v>
      </c>
      <c r="P42" s="7">
        <f>IF(J42&lt;&gt;"",VLOOKUP(J42,[1]ItemData!$A$4:$B$336,2,FALSE),"")</f>
        <v>1009</v>
      </c>
      <c r="Q42" s="7">
        <f>IF(K42&lt;&gt;"",VLOOKUP(K42,[1]ItemData!$A$4:$B$336,2,FALSE),"")</f>
        <v>200</v>
      </c>
      <c r="S42" s="7" t="str">
        <f t="shared" si="0"/>
        <v>1014,3008,1009,200</v>
      </c>
    </row>
    <row r="43" spans="1:19" x14ac:dyDescent="0.2">
      <c r="B43" s="7" t="s">
        <v>42</v>
      </c>
      <c r="E43" s="7" t="s">
        <v>182</v>
      </c>
      <c r="F43" s="6"/>
      <c r="G43" s="4" t="s">
        <v>102</v>
      </c>
      <c r="H43" s="1" t="s">
        <v>100</v>
      </c>
      <c r="I43" s="7" t="s">
        <v>103</v>
      </c>
      <c r="L43" s="8">
        <v>3</v>
      </c>
      <c r="N43" s="7">
        <f>IF(H43&lt;&gt;"",VLOOKUP(H43,[1]ItemData!$A$4:$B$536,2,FALSE),"")</f>
        <v>3006</v>
      </c>
      <c r="O43" s="7">
        <f>IF(I43&lt;&gt;"",VLOOKUP(I43,[1]ItemData!$A$4:$B$536,2,FALSE),"")</f>
        <v>3125</v>
      </c>
      <c r="P43" s="7" t="str">
        <f>IF(J43&lt;&gt;"",VLOOKUP(J43,[1]ItemData!$A$4:$B$336,2,FALSE),"")</f>
        <v/>
      </c>
      <c r="Q43" s="7" t="str">
        <f>IF(K43&lt;&gt;"",VLOOKUP(K43,[1]ItemData!$A$4:$B$336,2,FALSE),"")</f>
        <v/>
      </c>
      <c r="S43" s="7" t="str">
        <f t="shared" si="0"/>
        <v>3006,3125</v>
      </c>
    </row>
    <row r="44" spans="1:19" x14ac:dyDescent="0.2">
      <c r="B44" s="7" t="s">
        <v>43</v>
      </c>
      <c r="E44" s="7" t="s">
        <v>182</v>
      </c>
      <c r="G44" s="4" t="s">
        <v>99</v>
      </c>
      <c r="H44" s="6" t="s">
        <v>23</v>
      </c>
      <c r="I44" s="7" t="s">
        <v>22</v>
      </c>
      <c r="J44" s="6" t="s">
        <v>45</v>
      </c>
      <c r="L44" s="8">
        <f t="shared" si="1"/>
        <v>3</v>
      </c>
      <c r="N44" s="7">
        <f>IF(H44&lt;&gt;"",VLOOKUP(H44,[1]ItemData!$A$4:$B$536,2,FALSE),"")</f>
        <v>1026</v>
      </c>
      <c r="O44" s="7">
        <f>IF(I44&lt;&gt;"",VLOOKUP(I44,[1]ItemData!$A$4:$B$536,2,FALSE),"")</f>
        <v>1025</v>
      </c>
      <c r="P44" s="7">
        <f>IF(J44&lt;&gt;"",VLOOKUP(J44,[1]ItemData!$A$4:$B$336,2,FALSE),"")</f>
        <v>3005</v>
      </c>
      <c r="Q44" s="7" t="str">
        <f>IF(K44&lt;&gt;"",VLOOKUP(K44,[1]ItemData!$A$4:$B$336,2,FALSE),"")</f>
        <v/>
      </c>
      <c r="S44" s="7" t="str">
        <f t="shared" si="0"/>
        <v>1026,1025,3005</v>
      </c>
    </row>
    <row r="45" spans="1:19" x14ac:dyDescent="0.2">
      <c r="B45" s="7" t="s">
        <v>46</v>
      </c>
      <c r="E45" s="7" t="s">
        <v>179</v>
      </c>
      <c r="G45" s="4" t="s">
        <v>120</v>
      </c>
      <c r="H45" s="1" t="s">
        <v>71</v>
      </c>
      <c r="I45" s="7" t="s">
        <v>121</v>
      </c>
      <c r="J45" s="5" t="s">
        <v>72</v>
      </c>
      <c r="L45" s="8">
        <v>4</v>
      </c>
      <c r="N45" s="7">
        <f>IF(H45&lt;&gt;"",VLOOKUP(H45,[1]ItemData!$A$4:$B$536,2,FALSE),"")</f>
        <v>3000</v>
      </c>
      <c r="O45" s="7">
        <f>IF(I45&lt;&gt;"",VLOOKUP(I45,[1]ItemData!$A$4:$B$536,2,FALSE),"")</f>
        <v>4021</v>
      </c>
      <c r="P45" s="7">
        <f>IF(J45&lt;&gt;"",VLOOKUP(J45,[1]ItemData!$A$4:$B$336,2,FALSE),"")</f>
        <v>3113</v>
      </c>
      <c r="Q45" s="7" t="str">
        <f>IF(K45&lt;&gt;"",VLOOKUP(K45,[1]ItemData!$A$4:$B$336,2,FALSE),"")</f>
        <v/>
      </c>
      <c r="S45" s="7" t="str">
        <f t="shared" si="0"/>
        <v>3000,4021,3113</v>
      </c>
    </row>
    <row r="46" spans="1:19" x14ac:dyDescent="0.2">
      <c r="B46" s="7" t="s">
        <v>47</v>
      </c>
      <c r="E46" s="7" t="s">
        <v>182</v>
      </c>
      <c r="G46" s="4" t="s">
        <v>167</v>
      </c>
      <c r="H46" s="1" t="s">
        <v>87</v>
      </c>
      <c r="I46" s="7" t="s">
        <v>169</v>
      </c>
      <c r="J46" s="7" t="s">
        <v>171</v>
      </c>
      <c r="L46" s="8">
        <v>4</v>
      </c>
      <c r="N46" s="7">
        <f>IF(H46&lt;&gt;"",VLOOKUP(H46,[1]ItemData!$A$4:$B$536,2,FALSE),"")</f>
        <v>3010</v>
      </c>
      <c r="O46" s="7">
        <f>IF(I46&lt;&gt;"",VLOOKUP(I46,[1]ItemData!$A$4:$B$536,2,FALSE),"")</f>
        <v>3006</v>
      </c>
      <c r="P46" s="7">
        <f>IF(J46&lt;&gt;"",VLOOKUP(J46,[1]ItemData!$A$4:$B$336,2,FALSE),"")</f>
        <v>200</v>
      </c>
      <c r="Q46" s="7" t="str">
        <f>IF(K46&lt;&gt;"",VLOOKUP(K46,[1]ItemData!$A$4:$B$336,2,FALSE),"")</f>
        <v/>
      </c>
      <c r="S46" s="7" t="str">
        <f t="shared" si="0"/>
        <v>3010,3006,200</v>
      </c>
    </row>
    <row r="47" spans="1:19" x14ac:dyDescent="0.2">
      <c r="B47" s="7" t="s">
        <v>70</v>
      </c>
      <c r="C47" s="7">
        <v>1</v>
      </c>
      <c r="E47" s="7" t="s">
        <v>182</v>
      </c>
      <c r="G47" s="4" t="s">
        <v>168</v>
      </c>
      <c r="H47" s="7" t="s">
        <v>87</v>
      </c>
      <c r="I47" s="7" t="s">
        <v>197</v>
      </c>
      <c r="L47" s="8">
        <v>4</v>
      </c>
      <c r="N47" s="7">
        <f>IF(H47&lt;&gt;"",VLOOKUP(H47,[1]ItemData!$A$4:$B$536,2,FALSE),"")</f>
        <v>3010</v>
      </c>
      <c r="O47" s="7">
        <f>IF(I47&lt;&gt;"",VLOOKUP(I47,[1]ItemData!$A$4:$B$536,2,FALSE),"")</f>
        <v>200</v>
      </c>
      <c r="P47" s="7" t="str">
        <f>IF(J47&lt;&gt;"",VLOOKUP(J47,[1]ItemData!$A$4:$B$336,2,FALSE),"")</f>
        <v/>
      </c>
      <c r="Q47" s="7" t="str">
        <f>IF(K47&lt;&gt;"",VLOOKUP(K47,[1]ItemData!$A$4:$B$336,2,FALSE),"")</f>
        <v/>
      </c>
      <c r="S47" s="7" t="str">
        <f t="shared" si="0"/>
        <v>3010,200</v>
      </c>
    </row>
    <row r="48" spans="1:19" x14ac:dyDescent="0.2">
      <c r="B48" s="7" t="s">
        <v>126</v>
      </c>
      <c r="C48" s="7">
        <v>1</v>
      </c>
      <c r="E48" s="7" t="s">
        <v>183</v>
      </c>
      <c r="F48" s="1" t="s">
        <v>484</v>
      </c>
      <c r="G48" s="4" t="s">
        <v>457</v>
      </c>
      <c r="H48" s="1" t="s">
        <v>32</v>
      </c>
      <c r="I48" s="7" t="s">
        <v>27</v>
      </c>
      <c r="L48" s="8">
        <f t="shared" ref="L48:L78" si="2">COUNTA(H48:K48)</f>
        <v>2</v>
      </c>
      <c r="M48" s="7"/>
      <c r="N48" s="7">
        <f>IF(H48&lt;&gt;"",VLOOKUP(H48,[1]ItemData!$A$4:$B$536,2,FALSE),"")</f>
        <v>3123</v>
      </c>
      <c r="O48" s="7">
        <f>IF(I48&lt;&gt;"",VLOOKUP(I48,[1]ItemData!$A$4:$B$536,2,FALSE),"")</f>
        <v>3001</v>
      </c>
      <c r="P48" s="7" t="str">
        <f>IF(J48&lt;&gt;"",VLOOKUP(J48,[1]ItemData!$A$4:$B$336,2,FALSE),"")</f>
        <v/>
      </c>
      <c r="Q48" s="7" t="str">
        <f>IF(K48&lt;&gt;"",VLOOKUP(K48,[1]ItemData!$A$4:$B$336,2,FALSE),"")</f>
        <v/>
      </c>
      <c r="S48" s="7" t="str">
        <f t="shared" si="0"/>
        <v>3123,3001</v>
      </c>
    </row>
    <row r="49" spans="2:19" x14ac:dyDescent="0.2">
      <c r="B49" s="7" t="s">
        <v>127</v>
      </c>
      <c r="C49" s="7">
        <v>2</v>
      </c>
      <c r="E49" s="7" t="s">
        <v>183</v>
      </c>
      <c r="F49" s="7" t="s">
        <v>484</v>
      </c>
      <c r="G49" s="4" t="s">
        <v>458</v>
      </c>
      <c r="H49" s="1" t="s">
        <v>13</v>
      </c>
      <c r="I49" s="7" t="s">
        <v>27</v>
      </c>
      <c r="L49" s="8">
        <f t="shared" si="2"/>
        <v>2</v>
      </c>
      <c r="M49" s="7"/>
      <c r="N49" s="7">
        <f>IF(H49&lt;&gt;"",VLOOKUP(H49,[1]ItemData!$A$4:$B$536,2,FALSE),"")</f>
        <v>1015</v>
      </c>
      <c r="O49" s="7">
        <f>IF(I49&lt;&gt;"",VLOOKUP(I49,[1]ItemData!$A$4:$B$536,2,FALSE),"")</f>
        <v>3001</v>
      </c>
      <c r="P49" s="7" t="str">
        <f>IF(J49&lt;&gt;"",VLOOKUP(J49,[1]ItemData!$A$4:$B$336,2,FALSE),"")</f>
        <v/>
      </c>
      <c r="Q49" s="7" t="str">
        <f>IF(K49&lt;&gt;"",VLOOKUP(K49,[1]ItemData!$A$4:$B$336,2,FALSE),"")</f>
        <v/>
      </c>
      <c r="S49" s="7" t="str">
        <f t="shared" si="0"/>
        <v>1015,3001</v>
      </c>
    </row>
    <row r="50" spans="2:19" x14ac:dyDescent="0.2">
      <c r="B50" s="7" t="s">
        <v>187</v>
      </c>
      <c r="C50" s="7">
        <v>1</v>
      </c>
      <c r="E50" s="7" t="s">
        <v>183</v>
      </c>
      <c r="F50" s="7" t="s">
        <v>484</v>
      </c>
      <c r="G50" s="4" t="s">
        <v>459</v>
      </c>
      <c r="H50" s="1" t="s">
        <v>177</v>
      </c>
      <c r="I50" s="7" t="s">
        <v>178</v>
      </c>
      <c r="J50" s="7" t="s">
        <v>27</v>
      </c>
      <c r="L50" s="8">
        <f t="shared" si="2"/>
        <v>3</v>
      </c>
      <c r="N50" s="7" t="e">
        <f>IF(H50&lt;&gt;"",VLOOKUP(H50,[1]ItemData!$A$4:$B$536,2,FALSE),"")</f>
        <v>#N/A</v>
      </c>
      <c r="O50" s="7">
        <f>IF(I50&lt;&gt;"",VLOOKUP(I50,[1]ItemData!$A$4:$B$536,2,FALSE),"")</f>
        <v>1021</v>
      </c>
      <c r="P50" s="7">
        <f>IF(J50&lt;&gt;"",VLOOKUP(J50,[1]ItemData!$A$4:$B$336,2,FALSE),"")</f>
        <v>3001</v>
      </c>
      <c r="Q50" s="7" t="str">
        <f>IF(K50&lt;&gt;"",VLOOKUP(K50,[1]ItemData!$A$4:$B$336,2,FALSE),"")</f>
        <v/>
      </c>
      <c r="S50" s="7" t="e">
        <f t="shared" si="0"/>
        <v>#N/A</v>
      </c>
    </row>
    <row r="51" spans="2:19" x14ac:dyDescent="0.2">
      <c r="B51" s="7" t="s">
        <v>128</v>
      </c>
      <c r="C51" s="7">
        <v>1</v>
      </c>
      <c r="E51" s="7" t="s">
        <v>183</v>
      </c>
      <c r="F51" s="7" t="s">
        <v>484</v>
      </c>
      <c r="G51" s="4" t="s">
        <v>175</v>
      </c>
      <c r="H51" s="7" t="s">
        <v>36</v>
      </c>
      <c r="I51" s="7" t="s">
        <v>27</v>
      </c>
      <c r="L51" s="8">
        <f>COUNTA(H51:I51)</f>
        <v>2</v>
      </c>
      <c r="N51" s="7">
        <f>IF(H51&lt;&gt;"",VLOOKUP(H51,[1]ItemData!$A$4:$B$536,2,FALSE),"")</f>
        <v>3129</v>
      </c>
      <c r="O51" s="7">
        <f>IF(I51&lt;&gt;"",VLOOKUP(I51,[1]ItemData!$A$4:$B$536,2,FALSE),"")</f>
        <v>3001</v>
      </c>
      <c r="P51" s="7" t="str">
        <f>IF(J51&lt;&gt;"",VLOOKUP(J51,[1]ItemData!$A$4:$B$336,2,FALSE),"")</f>
        <v/>
      </c>
      <c r="Q51" s="7" t="str">
        <f>IF(K51&lt;&gt;"",VLOOKUP(K51,[1]ItemData!$A$4:$B$336,2,FALSE),"")</f>
        <v/>
      </c>
      <c r="S51" s="7" t="str">
        <f t="shared" si="0"/>
        <v>3129,3001</v>
      </c>
    </row>
    <row r="52" spans="2:19" x14ac:dyDescent="0.2">
      <c r="B52" s="7" t="s">
        <v>123</v>
      </c>
      <c r="C52" s="7">
        <v>1</v>
      </c>
      <c r="E52" s="7" t="s">
        <v>183</v>
      </c>
      <c r="F52" s="7" t="s">
        <v>484</v>
      </c>
      <c r="G52" s="4" t="s">
        <v>207</v>
      </c>
      <c r="H52" s="1" t="s">
        <v>45</v>
      </c>
      <c r="I52" s="7" t="s">
        <v>178</v>
      </c>
      <c r="J52" s="7" t="s">
        <v>27</v>
      </c>
      <c r="K52" s="7"/>
      <c r="L52" s="8"/>
      <c r="N52" s="7">
        <f>IF(H52&lt;&gt;"",VLOOKUP(H52,[1]ItemData!$A$4:$B$536,2,FALSE),"")</f>
        <v>3005</v>
      </c>
      <c r="O52" s="7">
        <f>IF(I52&lt;&gt;"",VLOOKUP(I52,[1]ItemData!$A$4:$B$536,2,FALSE),"")</f>
        <v>1021</v>
      </c>
      <c r="P52" s="7">
        <f>IF(J52&lt;&gt;"",VLOOKUP(J52,[1]ItemData!$A$4:$B$336,2,FALSE),"")</f>
        <v>3001</v>
      </c>
      <c r="Q52" s="7" t="str">
        <f>IF(K52&lt;&gt;"",VLOOKUP(K52,[1]ItemData!$A$4:$B$336,2,FALSE),"")</f>
        <v/>
      </c>
      <c r="S52" s="7" t="str">
        <f t="shared" si="0"/>
        <v>3005,1021,3001</v>
      </c>
    </row>
    <row r="53" spans="2:19" x14ac:dyDescent="0.2">
      <c r="B53" s="7" t="s">
        <v>122</v>
      </c>
      <c r="C53" s="7">
        <v>1</v>
      </c>
      <c r="E53" s="7" t="s">
        <v>183</v>
      </c>
      <c r="F53" s="7" t="s">
        <v>484</v>
      </c>
      <c r="G53" s="4" t="s">
        <v>212</v>
      </c>
      <c r="H53" s="1" t="s">
        <v>35</v>
      </c>
      <c r="I53" s="7" t="s">
        <v>34</v>
      </c>
      <c r="J53" s="7" t="s">
        <v>27</v>
      </c>
      <c r="L53" s="8">
        <f t="shared" si="2"/>
        <v>3</v>
      </c>
      <c r="N53" s="7">
        <f>IF(H53&lt;&gt;"",VLOOKUP(H53,[1]ItemData!$A$4:$B$536,2,FALSE),"")</f>
        <v>3126</v>
      </c>
      <c r="O53" s="7">
        <f>IF(I53&lt;&gt;"",VLOOKUP(I53,[1]ItemData!$A$4:$B$536,2,FALSE),"")</f>
        <v>3125</v>
      </c>
      <c r="P53" s="7">
        <f>IF(J53&lt;&gt;"",VLOOKUP(J53,[1]ItemData!$A$4:$B$336,2,FALSE),"")</f>
        <v>3001</v>
      </c>
      <c r="Q53" s="7" t="str">
        <f>IF(K53&lt;&gt;"",VLOOKUP(K53,[1]ItemData!$A$4:$B$336,2,FALSE),"")</f>
        <v/>
      </c>
      <c r="S53" s="7" t="str">
        <f t="shared" si="0"/>
        <v>3126,3125,3001</v>
      </c>
    </row>
    <row r="54" spans="2:19" x14ac:dyDescent="0.2">
      <c r="B54" s="7" t="s">
        <v>130</v>
      </c>
      <c r="C54" s="7">
        <v>1</v>
      </c>
      <c r="E54" s="7" t="s">
        <v>183</v>
      </c>
      <c r="F54" s="7" t="s">
        <v>484</v>
      </c>
      <c r="G54" s="4" t="s">
        <v>193</v>
      </c>
      <c r="H54" s="7" t="s">
        <v>34</v>
      </c>
      <c r="I54" s="7" t="s">
        <v>32</v>
      </c>
      <c r="J54" s="5" t="s">
        <v>79</v>
      </c>
      <c r="K54" s="7" t="s">
        <v>27</v>
      </c>
      <c r="L54" s="8">
        <f t="shared" si="2"/>
        <v>4</v>
      </c>
      <c r="N54" s="7">
        <f>IF(H54&lt;&gt;"",VLOOKUP(H54,[1]ItemData!$A$4:$B$536,2,FALSE),"")</f>
        <v>3125</v>
      </c>
      <c r="O54" s="7">
        <f>IF(I54&lt;&gt;"",VLOOKUP(I54,[1]ItemData!$A$4:$B$536,2,FALSE),"")</f>
        <v>3123</v>
      </c>
      <c r="P54" s="7">
        <f>IF(J54&lt;&gt;"",VLOOKUP(J54,[1]ItemData!$A$4:$B$336,2,FALSE),"")</f>
        <v>3121</v>
      </c>
      <c r="Q54" s="7">
        <f>IF(K54&lt;&gt;"",VLOOKUP(K54,[1]ItemData!$A$4:$B$336,2,FALSE),"")</f>
        <v>3001</v>
      </c>
      <c r="S54" s="7" t="str">
        <f t="shared" si="0"/>
        <v>3125,3123,3121,3001</v>
      </c>
    </row>
    <row r="55" spans="2:19" x14ac:dyDescent="0.2">
      <c r="B55" s="7" t="s">
        <v>131</v>
      </c>
      <c r="C55" s="7">
        <v>2</v>
      </c>
      <c r="E55" s="7" t="s">
        <v>183</v>
      </c>
      <c r="F55" s="7" t="s">
        <v>484</v>
      </c>
      <c r="G55" s="4" t="s">
        <v>460</v>
      </c>
      <c r="H55" s="1" t="s">
        <v>37</v>
      </c>
      <c r="I55" s="7" t="s">
        <v>33</v>
      </c>
      <c r="J55" s="1" t="s">
        <v>191</v>
      </c>
      <c r="K55" s="7" t="s">
        <v>27</v>
      </c>
      <c r="L55" s="8">
        <f t="shared" si="2"/>
        <v>4</v>
      </c>
      <c r="N55" s="7">
        <f>IF(H55&lt;&gt;"",VLOOKUP(H55,[1]ItemData!$A$4:$B$536,2,FALSE),"")</f>
        <v>3122</v>
      </c>
      <c r="O55" s="7">
        <f>IF(I55&lt;&gt;"",VLOOKUP(I55,[1]ItemData!$A$4:$B$536,2,FALSE),"")</f>
        <v>3124</v>
      </c>
      <c r="P55" s="7">
        <f>IF(J55&lt;&gt;"",VLOOKUP(J55,[1]ItemData!$A$4:$B$336,2,FALSE),"")</f>
        <v>3127</v>
      </c>
      <c r="Q55" s="7">
        <f>IF(K55&lt;&gt;"",VLOOKUP(K55,[1]ItemData!$A$4:$B$336,2,FALSE),"")</f>
        <v>3001</v>
      </c>
      <c r="S55" s="7" t="str">
        <f t="shared" si="0"/>
        <v>3122,3124,3127,3001</v>
      </c>
    </row>
    <row r="56" spans="2:19" x14ac:dyDescent="0.2">
      <c r="B56" s="7" t="s">
        <v>132</v>
      </c>
      <c r="C56" s="7">
        <v>1</v>
      </c>
      <c r="E56" s="7" t="s">
        <v>181</v>
      </c>
      <c r="F56" s="1" t="s">
        <v>485</v>
      </c>
      <c r="G56" s="4" t="s">
        <v>201</v>
      </c>
      <c r="H56" s="1" t="s">
        <v>154</v>
      </c>
      <c r="I56" s="7" t="s">
        <v>28</v>
      </c>
      <c r="L56" s="8">
        <f t="shared" si="2"/>
        <v>2</v>
      </c>
      <c r="N56" s="7">
        <f>IF(H56&lt;&gt;"",VLOOKUP(H56,[1]ItemData!$A$4:$B$536,2,FALSE),"")</f>
        <v>4006</v>
      </c>
      <c r="O56" s="7">
        <f>IF(I56&lt;&gt;"",VLOOKUP(I56,[1]ItemData!$A$4:$B$536,2,FALSE),"")</f>
        <v>3002</v>
      </c>
      <c r="P56" s="7" t="str">
        <f>IF(J56&lt;&gt;"",VLOOKUP(J56,[1]ItemData!$A$4:$B$336,2,FALSE),"")</f>
        <v/>
      </c>
      <c r="Q56" s="7" t="str">
        <f>IF(K56&lt;&gt;"",VLOOKUP(K56,[1]ItemData!$A$4:$B$336,2,FALSE),"")</f>
        <v/>
      </c>
      <c r="S56" s="7" t="str">
        <f t="shared" si="0"/>
        <v>4006,3002</v>
      </c>
    </row>
    <row r="57" spans="2:19" x14ac:dyDescent="0.2">
      <c r="B57" s="7" t="s">
        <v>133</v>
      </c>
      <c r="C57" s="7">
        <v>1</v>
      </c>
      <c r="E57" s="7" t="s">
        <v>181</v>
      </c>
      <c r="F57" s="7" t="s">
        <v>485</v>
      </c>
      <c r="G57" s="4" t="s">
        <v>461</v>
      </c>
      <c r="H57" s="1" t="s">
        <v>106</v>
      </c>
      <c r="I57" s="7" t="s">
        <v>28</v>
      </c>
      <c r="L57" s="8">
        <f t="shared" si="2"/>
        <v>2</v>
      </c>
      <c r="N57" s="7">
        <f>IF(H57&lt;&gt;"",VLOOKUP(H57,[1]ItemData!$A$4:$B$536,2,FALSE),"")</f>
        <v>4009</v>
      </c>
      <c r="O57" s="7">
        <f>IF(I57&lt;&gt;"",VLOOKUP(I57,[1]ItemData!$A$4:$B$536,2,FALSE),"")</f>
        <v>3002</v>
      </c>
      <c r="P57" s="7" t="str">
        <f>IF(J57&lt;&gt;"",VLOOKUP(J57,[1]ItemData!$A$4:$B$336,2,FALSE),"")</f>
        <v/>
      </c>
      <c r="Q57" s="7" t="str">
        <f>IF(K57&lt;&gt;"",VLOOKUP(K57,[1]ItemData!$A$4:$B$336,2,FALSE),"")</f>
        <v/>
      </c>
      <c r="S57" s="7" t="str">
        <f t="shared" si="0"/>
        <v>4009,3002</v>
      </c>
    </row>
    <row r="58" spans="2:19" x14ac:dyDescent="0.2">
      <c r="B58" s="7" t="s">
        <v>134</v>
      </c>
      <c r="C58" s="7">
        <v>2</v>
      </c>
      <c r="E58" s="7" t="s">
        <v>181</v>
      </c>
      <c r="F58" s="7" t="s">
        <v>485</v>
      </c>
      <c r="G58" s="4" t="s">
        <v>202</v>
      </c>
      <c r="H58" s="1" t="s">
        <v>107</v>
      </c>
      <c r="I58" s="7" t="s">
        <v>28</v>
      </c>
      <c r="L58" s="8">
        <f t="shared" si="2"/>
        <v>2</v>
      </c>
      <c r="N58" s="7">
        <f>IF(H58&lt;&gt;"",VLOOKUP(H58,[1]ItemData!$A$4:$B$536,2,FALSE),"")</f>
        <v>4015</v>
      </c>
      <c r="O58" s="7">
        <f>IF(I58&lt;&gt;"",VLOOKUP(I58,[1]ItemData!$A$4:$B$536,2,FALSE),"")</f>
        <v>3002</v>
      </c>
      <c r="P58" s="7" t="str">
        <f>IF(J58&lt;&gt;"",VLOOKUP(J58,[1]ItemData!$A$4:$B$336,2,FALSE),"")</f>
        <v/>
      </c>
      <c r="Q58" s="7" t="str">
        <f>IF(K58&lt;&gt;"",VLOOKUP(K58,[1]ItemData!$A$4:$B$336,2,FALSE),"")</f>
        <v/>
      </c>
      <c r="S58" s="7" t="str">
        <f t="shared" si="0"/>
        <v>4015,3002</v>
      </c>
    </row>
    <row r="59" spans="2:19" x14ac:dyDescent="0.2">
      <c r="B59" s="7" t="s">
        <v>147</v>
      </c>
      <c r="C59" s="7">
        <v>1</v>
      </c>
      <c r="E59" s="7" t="s">
        <v>181</v>
      </c>
      <c r="F59" s="7" t="s">
        <v>485</v>
      </c>
      <c r="G59" s="4" t="s">
        <v>129</v>
      </c>
      <c r="H59" s="1" t="s">
        <v>108</v>
      </c>
      <c r="I59" s="7" t="s">
        <v>153</v>
      </c>
      <c r="L59" s="8">
        <f t="shared" si="2"/>
        <v>2</v>
      </c>
      <c r="N59" s="7">
        <f>IF(H59&lt;&gt;"",VLOOKUP(H59,[1]ItemData!$A$4:$B$536,2,FALSE),"")</f>
        <v>4016</v>
      </c>
      <c r="O59" s="7">
        <f>IF(I59&lt;&gt;"",VLOOKUP(I59,[1]ItemData!$A$4:$B$536,2,FALSE),"")</f>
        <v>3003</v>
      </c>
      <c r="P59" s="7" t="str">
        <f>IF(J59&lt;&gt;"",VLOOKUP(J59,[1]ItemData!$A$4:$B$336,2,FALSE),"")</f>
        <v/>
      </c>
      <c r="Q59" s="7" t="str">
        <f>IF(K59&lt;&gt;"",VLOOKUP(K59,[1]ItemData!$A$4:$B$336,2,FALSE),"")</f>
        <v/>
      </c>
      <c r="S59" s="7" t="str">
        <f t="shared" si="0"/>
        <v>4016,3003</v>
      </c>
    </row>
    <row r="60" spans="2:19" x14ac:dyDescent="0.2">
      <c r="B60" s="7" t="s">
        <v>135</v>
      </c>
      <c r="C60" s="7">
        <v>1</v>
      </c>
      <c r="E60" s="7" t="s">
        <v>181</v>
      </c>
      <c r="F60" s="7" t="s">
        <v>485</v>
      </c>
      <c r="G60" s="4" t="s">
        <v>203</v>
      </c>
      <c r="H60" s="1" t="s">
        <v>109</v>
      </c>
      <c r="I60" s="7" t="s">
        <v>28</v>
      </c>
      <c r="L60" s="8">
        <f t="shared" si="2"/>
        <v>2</v>
      </c>
      <c r="N60" s="7">
        <f>IF(H60&lt;&gt;"",VLOOKUP(H60,[1]ItemData!$A$4:$B$536,2,FALSE),"")</f>
        <v>4017</v>
      </c>
      <c r="O60" s="7">
        <f>IF(I60&lt;&gt;"",VLOOKUP(I60,[1]ItemData!$A$4:$B$536,2,FALSE),"")</f>
        <v>3002</v>
      </c>
      <c r="P60" s="7" t="str">
        <f>IF(J60&lt;&gt;"",VLOOKUP(J60,[1]ItemData!$A$4:$B$336,2,FALSE),"")</f>
        <v/>
      </c>
      <c r="Q60" s="7" t="str">
        <f>IF(K60&lt;&gt;"",VLOOKUP(K60,[1]ItemData!$A$4:$B$336,2,FALSE),"")</f>
        <v/>
      </c>
      <c r="S60" s="7" t="str">
        <f t="shared" si="0"/>
        <v>4017,3002</v>
      </c>
    </row>
    <row r="61" spans="2:19" x14ac:dyDescent="0.2">
      <c r="B61" s="7" t="s">
        <v>137</v>
      </c>
      <c r="C61" s="7">
        <v>2</v>
      </c>
      <c r="E61" s="7" t="s">
        <v>181</v>
      </c>
      <c r="F61" s="7" t="s">
        <v>485</v>
      </c>
      <c r="G61" s="4" t="s">
        <v>462</v>
      </c>
      <c r="H61" s="1" t="s">
        <v>110</v>
      </c>
      <c r="I61" s="7" t="s">
        <v>28</v>
      </c>
      <c r="L61" s="8">
        <f t="shared" si="2"/>
        <v>2</v>
      </c>
      <c r="N61" s="7">
        <f>IF(H61&lt;&gt;"",VLOOKUP(H61,[1]ItemData!$A$4:$B$536,2,FALSE),"")</f>
        <v>4021</v>
      </c>
      <c r="O61" s="7">
        <f>IF(I61&lt;&gt;"",VLOOKUP(I61,[1]ItemData!$A$4:$B$536,2,FALSE),"")</f>
        <v>3002</v>
      </c>
      <c r="P61" s="7" t="str">
        <f>IF(J61&lt;&gt;"",VLOOKUP(J61,[1]ItemData!$A$4:$B$336,2,FALSE),"")</f>
        <v/>
      </c>
      <c r="Q61" s="7" t="str">
        <f>IF(K61&lt;&gt;"",VLOOKUP(K61,[1]ItemData!$A$4:$B$336,2,FALSE),"")</f>
        <v/>
      </c>
      <c r="S61" s="7" t="str">
        <f t="shared" si="0"/>
        <v>4021,3002</v>
      </c>
    </row>
    <row r="62" spans="2:19" x14ac:dyDescent="0.2">
      <c r="B62" s="7" t="s">
        <v>124</v>
      </c>
      <c r="C62" s="7">
        <v>2</v>
      </c>
      <c r="E62" s="7" t="s">
        <v>181</v>
      </c>
      <c r="F62" s="7" t="s">
        <v>485</v>
      </c>
      <c r="G62" s="4" t="s">
        <v>463</v>
      </c>
      <c r="H62" s="1" t="s">
        <v>440</v>
      </c>
      <c r="I62" s="7" t="s">
        <v>153</v>
      </c>
      <c r="L62" s="8">
        <f t="shared" si="2"/>
        <v>2</v>
      </c>
      <c r="N62" s="7">
        <f>IF(H62&lt;&gt;"",VLOOKUP(H62,[1]ItemData!$A$4:$B$536,2,FALSE),"")</f>
        <v>4100</v>
      </c>
      <c r="O62" s="7">
        <f>IF(I62&lt;&gt;"",VLOOKUP(I62,[1]ItemData!$A$4:$B$536,2,FALSE),"")</f>
        <v>3003</v>
      </c>
      <c r="P62" s="7" t="str">
        <f>IF(J62&lt;&gt;"",VLOOKUP(J62,[1]ItemData!$A$4:$B$336,2,FALSE),"")</f>
        <v/>
      </c>
      <c r="Q62" s="7" t="str">
        <f>IF(K62&lt;&gt;"",VLOOKUP(K62,[1]ItemData!$A$4:$B$336,2,FALSE),"")</f>
        <v/>
      </c>
      <c r="S62" s="7" t="str">
        <f t="shared" si="0"/>
        <v>4100,3003</v>
      </c>
    </row>
    <row r="63" spans="2:19" x14ac:dyDescent="0.2">
      <c r="B63" s="7" t="s">
        <v>125</v>
      </c>
      <c r="C63" s="7">
        <v>2</v>
      </c>
      <c r="E63" s="7" t="s">
        <v>181</v>
      </c>
      <c r="F63" s="7" t="s">
        <v>485</v>
      </c>
      <c r="G63" s="4" t="s">
        <v>150</v>
      </c>
      <c r="H63" s="1" t="s">
        <v>112</v>
      </c>
      <c r="I63" s="7" t="s">
        <v>153</v>
      </c>
      <c r="L63" s="8">
        <f t="shared" si="2"/>
        <v>2</v>
      </c>
      <c r="N63" s="7">
        <f>IF(H63&lt;&gt;"",VLOOKUP(H63,[1]ItemData!$A$4:$B$536,2,FALSE),"")</f>
        <v>4101</v>
      </c>
      <c r="O63" s="7">
        <f>IF(I63&lt;&gt;"",VLOOKUP(I63,[1]ItemData!$A$4:$B$536,2,FALSE),"")</f>
        <v>3003</v>
      </c>
      <c r="P63" s="7" t="str">
        <f>IF(J63&lt;&gt;"",VLOOKUP(J63,[1]ItemData!$A$4:$B$336,2,FALSE),"")</f>
        <v/>
      </c>
      <c r="Q63" s="7" t="str">
        <f>IF(K63&lt;&gt;"",VLOOKUP(K63,[1]ItemData!$A$4:$B$336,2,FALSE),"")</f>
        <v/>
      </c>
      <c r="S63" s="7" t="str">
        <f t="shared" si="0"/>
        <v>4101,3003</v>
      </c>
    </row>
    <row r="64" spans="2:19" x14ac:dyDescent="0.2">
      <c r="B64" s="7" t="s">
        <v>139</v>
      </c>
      <c r="C64" s="7">
        <v>2</v>
      </c>
      <c r="E64" s="7" t="s">
        <v>181</v>
      </c>
      <c r="F64" s="7" t="s">
        <v>485</v>
      </c>
      <c r="G64" s="4" t="s">
        <v>477</v>
      </c>
      <c r="H64" s="1" t="s">
        <v>113</v>
      </c>
      <c r="I64" s="7" t="s">
        <v>153</v>
      </c>
      <c r="L64" s="8">
        <f t="shared" si="2"/>
        <v>2</v>
      </c>
      <c r="N64" s="7">
        <f>IF(H64&lt;&gt;"",VLOOKUP(H64,[1]ItemData!$A$4:$B$536,2,FALSE),"")</f>
        <v>4103</v>
      </c>
      <c r="O64" s="7">
        <f>IF(I64&lt;&gt;"",VLOOKUP(I64,[1]ItemData!$A$4:$B$536,2,FALSE),"")</f>
        <v>3003</v>
      </c>
      <c r="P64" s="7" t="str">
        <f>IF(J64&lt;&gt;"",VLOOKUP(J64,[1]ItemData!$A$4:$B$336,2,FALSE),"")</f>
        <v/>
      </c>
      <c r="Q64" s="7" t="str">
        <f>IF(K64&lt;&gt;"",VLOOKUP(K64,[1]ItemData!$A$4:$B$336,2,FALSE),"")</f>
        <v/>
      </c>
      <c r="S64" s="7" t="str">
        <f t="shared" si="0"/>
        <v>4103,3003</v>
      </c>
    </row>
    <row r="65" spans="1:19" x14ac:dyDescent="0.2">
      <c r="B65" s="7" t="s">
        <v>140</v>
      </c>
      <c r="C65" s="7">
        <v>2</v>
      </c>
      <c r="E65" s="7" t="s">
        <v>181</v>
      </c>
      <c r="F65" s="7" t="s">
        <v>485</v>
      </c>
      <c r="G65" s="4" t="s">
        <v>464</v>
      </c>
      <c r="H65" s="1" t="s">
        <v>114</v>
      </c>
      <c r="I65" s="7" t="s">
        <v>153</v>
      </c>
      <c r="L65" s="8">
        <f t="shared" si="2"/>
        <v>2</v>
      </c>
      <c r="N65" s="7">
        <f>IF(H65&lt;&gt;"",VLOOKUP(H65,[1]ItemData!$A$4:$B$536,2,FALSE),"")</f>
        <v>4106</v>
      </c>
      <c r="O65" s="7">
        <f>IF(I65&lt;&gt;"",VLOOKUP(I65,[1]ItemData!$A$4:$B$536,2,FALSE),"")</f>
        <v>3003</v>
      </c>
      <c r="P65" s="7" t="str">
        <f>IF(J65&lt;&gt;"",VLOOKUP(J65,[1]ItemData!$A$4:$B$336,2,FALSE),"")</f>
        <v/>
      </c>
      <c r="Q65" s="7" t="str">
        <f>IF(K65&lt;&gt;"",VLOOKUP(K65,[1]ItemData!$A$4:$B$336,2,FALSE),"")</f>
        <v/>
      </c>
      <c r="S65" s="7" t="str">
        <f t="shared" si="0"/>
        <v>4106,3003</v>
      </c>
    </row>
    <row r="66" spans="1:19" x14ac:dyDescent="0.2">
      <c r="B66" s="7" t="s">
        <v>142</v>
      </c>
      <c r="C66" s="7">
        <v>2</v>
      </c>
      <c r="E66" s="7" t="s">
        <v>181</v>
      </c>
      <c r="F66" s="7" t="s">
        <v>485</v>
      </c>
      <c r="G66" s="4" t="s">
        <v>145</v>
      </c>
      <c r="H66" s="1" t="s">
        <v>441</v>
      </c>
      <c r="I66" s="7" t="s">
        <v>153</v>
      </c>
      <c r="L66" s="8">
        <f t="shared" si="2"/>
        <v>2</v>
      </c>
      <c r="N66" s="7">
        <f>IF(H66&lt;&gt;"",VLOOKUP(H66,[1]ItemData!$A$4:$B$536,2,FALSE),"")</f>
        <v>4109</v>
      </c>
      <c r="O66" s="7">
        <f>IF(I66&lt;&gt;"",VLOOKUP(I66,[1]ItemData!$A$4:$B$536,2,FALSE),"")</f>
        <v>3003</v>
      </c>
      <c r="P66" s="7" t="str">
        <f>IF(J66&lt;&gt;"",VLOOKUP(J66,[1]ItemData!$A$4:$B$336,2,FALSE),"")</f>
        <v/>
      </c>
      <c r="Q66" s="7" t="str">
        <f>IF(K66&lt;&gt;"",VLOOKUP(K66,[1]ItemData!$A$4:$B$336,2,FALSE),"")</f>
        <v/>
      </c>
      <c r="S66" s="7" t="str">
        <f t="shared" si="0"/>
        <v>4109,3003</v>
      </c>
    </row>
    <row r="67" spans="1:19" x14ac:dyDescent="0.2">
      <c r="E67" s="7" t="s">
        <v>181</v>
      </c>
      <c r="F67" s="7" t="s">
        <v>485</v>
      </c>
      <c r="G67" s="4" t="s">
        <v>138</v>
      </c>
      <c r="H67" s="1" t="s">
        <v>115</v>
      </c>
      <c r="I67" s="7" t="s">
        <v>153</v>
      </c>
      <c r="L67" s="8">
        <f t="shared" si="2"/>
        <v>2</v>
      </c>
      <c r="N67" s="7">
        <f>IF(H67&lt;&gt;"",VLOOKUP(H67,[1]ItemData!$A$4:$B$536,2,FALSE),"")</f>
        <v>4111</v>
      </c>
      <c r="O67" s="7">
        <f>IF(I67&lt;&gt;"",VLOOKUP(I67,[1]ItemData!$A$4:$B$536,2,FALSE),"")</f>
        <v>3003</v>
      </c>
      <c r="P67" s="7" t="str">
        <f>IF(J67&lt;&gt;"",VLOOKUP(J67,[1]ItemData!$A$4:$B$336,2,FALSE),"")</f>
        <v/>
      </c>
      <c r="Q67" s="7" t="str">
        <f>IF(K67&lt;&gt;"",VLOOKUP(K67,[1]ItemData!$A$4:$B$336,2,FALSE),"")</f>
        <v/>
      </c>
      <c r="S67" s="7" t="str">
        <f t="shared" ref="S67:S84" si="3">IF(N67&lt;&gt;"",N67&amp;IF(O67&lt;&gt;"",","&amp;O67,"")&amp;IF(P67&lt;&gt;"",","&amp;P67,"")&amp;IF(Q67&lt;&gt;"",","&amp;Q67,""),"")</f>
        <v>4111,3003</v>
      </c>
    </row>
    <row r="68" spans="1:19" x14ac:dyDescent="0.2">
      <c r="E68" s="7" t="s">
        <v>181</v>
      </c>
      <c r="F68" s="7" t="s">
        <v>485</v>
      </c>
      <c r="G68" s="4" t="s">
        <v>188</v>
      </c>
      <c r="H68" s="1" t="s">
        <v>116</v>
      </c>
      <c r="I68" s="7" t="s">
        <v>153</v>
      </c>
      <c r="L68" s="8">
        <f t="shared" si="2"/>
        <v>2</v>
      </c>
      <c r="M68" s="7"/>
      <c r="N68" s="7">
        <f>IF(H68&lt;&gt;"",VLOOKUP(H68,[1]ItemData!$A$4:$B$536,2,FALSE),"")</f>
        <v>4112</v>
      </c>
      <c r="O68" s="7">
        <f>IF(I68&lt;&gt;"",VLOOKUP(I68,[1]ItemData!$A$4:$B$536,2,FALSE),"")</f>
        <v>3003</v>
      </c>
      <c r="P68" s="7" t="str">
        <f>IF(J68&lt;&gt;"",VLOOKUP(J68,[1]ItemData!$A$4:$B$336,2,FALSE),"")</f>
        <v/>
      </c>
      <c r="Q68" s="7" t="str">
        <f>IF(K68&lt;&gt;"",VLOOKUP(K68,[1]ItemData!$A$4:$B$336,2,FALSE),"")</f>
        <v/>
      </c>
      <c r="S68" s="7" t="str">
        <f t="shared" si="3"/>
        <v>4112,3003</v>
      </c>
    </row>
    <row r="69" spans="1:19" x14ac:dyDescent="0.2">
      <c r="E69" s="7" t="s">
        <v>181</v>
      </c>
      <c r="F69" s="7" t="s">
        <v>485</v>
      </c>
      <c r="G69" s="4" t="s">
        <v>465</v>
      </c>
      <c r="H69" s="1" t="s">
        <v>117</v>
      </c>
      <c r="I69" s="7" t="s">
        <v>153</v>
      </c>
      <c r="L69" s="8">
        <f t="shared" si="2"/>
        <v>2</v>
      </c>
      <c r="N69" s="7">
        <f>IF(H69&lt;&gt;"",VLOOKUP(H69,[1]ItemData!$A$4:$B$536,2,FALSE),"")</f>
        <v>4113</v>
      </c>
      <c r="O69" s="7">
        <f>IF(I69&lt;&gt;"",VLOOKUP(I69,[1]ItemData!$A$4:$B$536,2,FALSE),"")</f>
        <v>3003</v>
      </c>
      <c r="P69" s="7" t="str">
        <f>IF(J69&lt;&gt;"",VLOOKUP(J69,[1]ItemData!$A$4:$B$336,2,FALSE),"")</f>
        <v/>
      </c>
      <c r="Q69" s="7" t="str">
        <f>IF(K69&lt;&gt;"",VLOOKUP(K69,[1]ItemData!$A$4:$B$336,2,FALSE),"")</f>
        <v/>
      </c>
      <c r="S69" s="7" t="str">
        <f t="shared" si="3"/>
        <v>4113,3003</v>
      </c>
    </row>
    <row r="70" spans="1:19" x14ac:dyDescent="0.2">
      <c r="E70" s="7" t="s">
        <v>181</v>
      </c>
      <c r="F70" s="7" t="s">
        <v>485</v>
      </c>
      <c r="G70" s="4" t="s">
        <v>141</v>
      </c>
      <c r="H70" s="1" t="s">
        <v>118</v>
      </c>
      <c r="I70" s="7" t="s">
        <v>153</v>
      </c>
      <c r="L70" s="8">
        <f t="shared" si="2"/>
        <v>2</v>
      </c>
      <c r="N70" s="7">
        <f>IF(H70&lt;&gt;"",VLOOKUP(H70,[1]ItemData!$A$4:$B$536,2,FALSE),"")</f>
        <v>4115</v>
      </c>
      <c r="O70" s="7">
        <f>IF(I70&lt;&gt;"",VLOOKUP(I70,[1]ItemData!$A$4:$B$536,2,FALSE),"")</f>
        <v>3003</v>
      </c>
      <c r="P70" s="7" t="str">
        <f>IF(J70&lt;&gt;"",VLOOKUP(J70,[1]ItemData!$A$4:$B$336,2,FALSE),"")</f>
        <v/>
      </c>
      <c r="Q70" s="7" t="str">
        <f>IF(K70&lt;&gt;"",VLOOKUP(K70,[1]ItemData!$A$4:$B$336,2,FALSE),"")</f>
        <v/>
      </c>
      <c r="S70" s="7" t="str">
        <f t="shared" si="3"/>
        <v>4115,3003</v>
      </c>
    </row>
    <row r="71" spans="1:19" x14ac:dyDescent="0.2">
      <c r="E71" s="7" t="s">
        <v>180</v>
      </c>
      <c r="F71" s="7" t="s">
        <v>485</v>
      </c>
      <c r="G71" s="4" t="s">
        <v>151</v>
      </c>
      <c r="H71" s="1" t="s">
        <v>119</v>
      </c>
      <c r="I71" s="7" t="s">
        <v>153</v>
      </c>
      <c r="L71" s="8">
        <f t="shared" si="2"/>
        <v>2</v>
      </c>
      <c r="N71" s="7">
        <f>IF(H71&lt;&gt;"",VLOOKUP(H71,[1]ItemData!$A$4:$B$536,2,FALSE),"")</f>
        <v>4116</v>
      </c>
      <c r="O71" s="7">
        <f>IF(I71&lt;&gt;"",VLOOKUP(I71,[1]ItemData!$A$4:$B$536,2,FALSE),"")</f>
        <v>3003</v>
      </c>
      <c r="P71" s="7" t="str">
        <f>IF(J71&lt;&gt;"",VLOOKUP(J71,[1]ItemData!$A$4:$B$336,2,FALSE),"")</f>
        <v/>
      </c>
      <c r="Q71" s="7" t="str">
        <f>IF(K71&lt;&gt;"",VLOOKUP(K71,[1]ItemData!$A$4:$B$336,2,FALSE),"")</f>
        <v/>
      </c>
      <c r="S71" s="7" t="str">
        <f t="shared" si="3"/>
        <v>4116,3003</v>
      </c>
    </row>
    <row r="72" spans="1:19" x14ac:dyDescent="0.2">
      <c r="E72" s="7" t="s">
        <v>180</v>
      </c>
      <c r="F72" s="7" t="s">
        <v>485</v>
      </c>
      <c r="G72" s="4" t="s">
        <v>466</v>
      </c>
      <c r="H72" s="7" t="s">
        <v>105</v>
      </c>
      <c r="I72" s="7" t="s">
        <v>171</v>
      </c>
      <c r="J72" s="7"/>
      <c r="K72" s="7"/>
      <c r="L72" s="8">
        <v>2</v>
      </c>
      <c r="N72" s="7">
        <f>IF(H72&lt;&gt;"",VLOOKUP(H72,[1]ItemData!$A$4:$B$536,2,FALSE),"")</f>
        <v>4007</v>
      </c>
      <c r="O72" s="7">
        <f>IF(I72&lt;&gt;"",VLOOKUP(I72,[1]ItemData!$A$4:$B$536,2,FALSE),"")</f>
        <v>200</v>
      </c>
      <c r="P72" s="7" t="str">
        <f>IF(J72&lt;&gt;"",VLOOKUP(J72,[1]ItemData!$A$4:$B$336,2,FALSE),"")</f>
        <v/>
      </c>
      <c r="Q72" s="7" t="str">
        <f>IF(K72&lt;&gt;"",VLOOKUP(K72,[1]ItemData!$A$4:$B$336,2,FALSE),"")</f>
        <v/>
      </c>
      <c r="S72" s="7" t="str">
        <f t="shared" si="3"/>
        <v>4007,200</v>
      </c>
    </row>
    <row r="73" spans="1:19" x14ac:dyDescent="0.2">
      <c r="E73" s="7" t="s">
        <v>180</v>
      </c>
      <c r="F73" s="7" t="s">
        <v>485</v>
      </c>
      <c r="G73" s="4" t="s">
        <v>467</v>
      </c>
      <c r="H73" s="7" t="s">
        <v>15</v>
      </c>
      <c r="I73" s="1" t="s">
        <v>170</v>
      </c>
      <c r="J73" s="7" t="s">
        <v>132</v>
      </c>
      <c r="K73" s="1" t="s">
        <v>117</v>
      </c>
      <c r="L73" s="8">
        <f>COUNTA(H73:J73)</f>
        <v>3</v>
      </c>
      <c r="N73" s="7">
        <f>IF(H73&lt;&gt;"",VLOOKUP(H73,[1]ItemData!$A$4:$B$536,2,FALSE),"")</f>
        <v>1018</v>
      </c>
      <c r="O73" s="7">
        <f>IF(I73&lt;&gt;"",VLOOKUP(I73,[1]ItemData!$A$4:$B$536,2,FALSE),"")</f>
        <v>200</v>
      </c>
      <c r="P73" s="7">
        <f>IF(J73&lt;&gt;"",VLOOKUP(J73,[1]ItemData!$A$4:$B$336,2,FALSE),"")</f>
        <v>4100</v>
      </c>
      <c r="Q73" s="7">
        <f>IF(K73&lt;&gt;"",VLOOKUP(K73,[1]ItemData!$A$4:$B$336,2,FALSE),"")</f>
        <v>4113</v>
      </c>
      <c r="S73" s="7" t="str">
        <f t="shared" si="3"/>
        <v>1018,200,4100,4113</v>
      </c>
    </row>
    <row r="74" spans="1:19" x14ac:dyDescent="0.2">
      <c r="E74" s="7" t="s">
        <v>179</v>
      </c>
      <c r="G74" s="4" t="s">
        <v>156</v>
      </c>
      <c r="H74" s="1" t="s">
        <v>476</v>
      </c>
      <c r="I74" s="7" t="s">
        <v>71</v>
      </c>
      <c r="L74" s="8">
        <f t="shared" si="2"/>
        <v>2</v>
      </c>
      <c r="N74" s="7">
        <f>IF(H74&lt;&gt;"",VLOOKUP(H74,[1]ItemData!$A$4:$B$536,2,FALSE),"")</f>
        <v>3158</v>
      </c>
      <c r="O74" s="7">
        <f>IF(I74&lt;&gt;"",VLOOKUP(I74,[1]ItemData!$A$4:$B$536,2,FALSE),"")</f>
        <v>3000</v>
      </c>
      <c r="P74" s="7" t="str">
        <f>IF(J74&lt;&gt;"",VLOOKUP(J74,[1]ItemData!$A$4:$B$336,2,FALSE),"")</f>
        <v/>
      </c>
      <c r="Q74" s="7" t="str">
        <f>IF(K74&lt;&gt;"",VLOOKUP(K74,[1]ItemData!$A$4:$B$336,2,FALSE),"")</f>
        <v/>
      </c>
      <c r="S74" s="7" t="str">
        <f t="shared" si="3"/>
        <v>3158,3000</v>
      </c>
    </row>
    <row r="75" spans="1:19" s="2" customFormat="1" x14ac:dyDescent="0.2">
      <c r="A75" s="1"/>
      <c r="D75" s="1"/>
      <c r="E75" s="7" t="s">
        <v>180</v>
      </c>
      <c r="F75" s="7" t="s">
        <v>485</v>
      </c>
      <c r="G75" s="4" t="s">
        <v>143</v>
      </c>
      <c r="H75" s="1" t="s">
        <v>157</v>
      </c>
      <c r="I75" s="1" t="s">
        <v>12</v>
      </c>
      <c r="J75" s="7" t="s">
        <v>171</v>
      </c>
      <c r="K75" s="1" t="s">
        <v>14</v>
      </c>
      <c r="L75" s="8">
        <f t="shared" si="2"/>
        <v>4</v>
      </c>
      <c r="M75" s="7"/>
      <c r="N75" s="7">
        <f>IF(H75&lt;&gt;"",VLOOKUP(H75,[1]ItemData!$A$4:$B$536,2,FALSE),"")</f>
        <v>4000</v>
      </c>
      <c r="O75" s="7">
        <f>IF(I75&lt;&gt;"",VLOOKUP(I75,[1]ItemData!$A$4:$B$536,2,FALSE),"")</f>
        <v>1014</v>
      </c>
      <c r="P75" s="7">
        <f>IF(J75&lt;&gt;"",VLOOKUP(J75,[1]ItemData!$A$4:$B$336,2,FALSE),"")</f>
        <v>200</v>
      </c>
      <c r="Q75" s="7">
        <f>IF(K75&lt;&gt;"",VLOOKUP(K75,[1]ItemData!$A$4:$B$336,2,FALSE),"")</f>
        <v>1017</v>
      </c>
      <c r="S75" s="7" t="str">
        <f t="shared" si="3"/>
        <v>4000,1014,200,1017</v>
      </c>
    </row>
    <row r="76" spans="1:19" x14ac:dyDescent="0.2">
      <c r="A76" s="2"/>
      <c r="E76" s="7" t="s">
        <v>180</v>
      </c>
      <c r="F76" s="7" t="s">
        <v>485</v>
      </c>
      <c r="G76" s="4" t="s">
        <v>468</v>
      </c>
      <c r="H76" s="1" t="s">
        <v>104</v>
      </c>
      <c r="I76" s="7" t="s">
        <v>24</v>
      </c>
      <c r="L76" s="8">
        <f t="shared" si="2"/>
        <v>2</v>
      </c>
      <c r="N76" s="7">
        <f>IF(H76&lt;&gt;"",VLOOKUP(H76,[1]ItemData!$A$4:$B$536,2,FALSE),"")</f>
        <v>4006</v>
      </c>
      <c r="O76" s="7">
        <f>IF(I76&lt;&gt;"",VLOOKUP(I76,[1]ItemData!$A$4:$B$536,2,FALSE),"")</f>
        <v>1027</v>
      </c>
      <c r="P76" s="7" t="str">
        <f>IF(J76&lt;&gt;"",VLOOKUP(J76,[1]ItemData!$A$4:$B$336,2,FALSE),"")</f>
        <v/>
      </c>
      <c r="Q76" s="7" t="str">
        <f>IF(K76&lt;&gt;"",VLOOKUP(K76,[1]ItemData!$A$4:$B$336,2,FALSE),"")</f>
        <v/>
      </c>
      <c r="S76" s="7" t="str">
        <f t="shared" si="3"/>
        <v>4006,1027</v>
      </c>
    </row>
    <row r="77" spans="1:19" x14ac:dyDescent="0.2">
      <c r="E77" s="7" t="s">
        <v>179</v>
      </c>
      <c r="G77" s="4" t="s">
        <v>152</v>
      </c>
      <c r="H77" s="1" t="s">
        <v>165</v>
      </c>
      <c r="L77" s="8">
        <f t="shared" si="2"/>
        <v>1</v>
      </c>
      <c r="N77" s="7">
        <f>IF(H77&lt;&gt;"",VLOOKUP(H77,[1]ItemData!$A$4:$B$536,2,FALSE),"")</f>
        <v>4021</v>
      </c>
      <c r="O77" s="7" t="str">
        <f>IF(I77&lt;&gt;"",VLOOKUP(I77,[1]ItemData!$A$4:$B$536,2,FALSE),"")</f>
        <v/>
      </c>
      <c r="P77" s="7" t="str">
        <f>IF(J77&lt;&gt;"",VLOOKUP(J77,[1]ItemData!$A$4:$B$336,2,FALSE),"")</f>
        <v/>
      </c>
      <c r="Q77" s="7" t="str">
        <f>IF(K77&lt;&gt;"",VLOOKUP(K77,[1]ItemData!$A$4:$B$336,2,FALSE),"")</f>
        <v/>
      </c>
      <c r="S77" s="7" t="str">
        <f t="shared" si="3"/>
        <v>4021</v>
      </c>
    </row>
    <row r="78" spans="1:19" x14ac:dyDescent="0.2">
      <c r="E78" s="7" t="s">
        <v>180</v>
      </c>
      <c r="F78" s="7" t="s">
        <v>485</v>
      </c>
      <c r="G78" s="4" t="s">
        <v>160</v>
      </c>
      <c r="H78" s="1" t="s">
        <v>146</v>
      </c>
      <c r="I78" s="7" t="s">
        <v>161</v>
      </c>
      <c r="J78" s="5" t="s">
        <v>73</v>
      </c>
      <c r="L78" s="8">
        <f t="shared" si="2"/>
        <v>3</v>
      </c>
      <c r="N78" s="7">
        <f>IF(H78&lt;&gt;"",VLOOKUP(H78,[1]ItemData!$A$4:$B$536,2,FALSE),"")</f>
        <v>4105</v>
      </c>
      <c r="O78" s="7">
        <f>IF(I78&lt;&gt;"",VLOOKUP(I78,[1]ItemData!$A$4:$B$536,2,FALSE),"")</f>
        <v>3007</v>
      </c>
      <c r="P78" s="7">
        <f>IF(J78&lt;&gt;"",VLOOKUP(J78,[1]ItemData!$A$4:$B$336,2,FALSE),"")</f>
        <v>3011</v>
      </c>
      <c r="Q78" s="7" t="str">
        <f>IF(K78&lt;&gt;"",VLOOKUP(K78,[1]ItemData!$A$4:$B$336,2,FALSE),"")</f>
        <v/>
      </c>
      <c r="S78" s="7" t="str">
        <f t="shared" si="3"/>
        <v>4105,3007,3011</v>
      </c>
    </row>
    <row r="79" spans="1:19" x14ac:dyDescent="0.2">
      <c r="E79" s="7" t="s">
        <v>180</v>
      </c>
      <c r="F79" s="7" t="s">
        <v>485</v>
      </c>
      <c r="G79" s="4" t="s">
        <v>469</v>
      </c>
      <c r="H79" s="1" t="s">
        <v>115</v>
      </c>
      <c r="I79" s="7" t="s">
        <v>162</v>
      </c>
      <c r="L79" s="8">
        <f t="shared" ref="L79:L85" si="4">COUNTA(H79:K79)</f>
        <v>2</v>
      </c>
      <c r="N79" s="7">
        <f>IF(H79&lt;&gt;"",VLOOKUP(H79,[1]ItemData!$A$4:$B$536,2,FALSE),"")</f>
        <v>4111</v>
      </c>
      <c r="O79" s="7">
        <f>IF(I79&lt;&gt;"",VLOOKUP(I79,[1]ItemData!$A$4:$B$536,2,FALSE),"")</f>
        <v>1004</v>
      </c>
      <c r="P79" s="7" t="str">
        <f>IF(J79&lt;&gt;"",VLOOKUP(J79,[1]ItemData!$A$4:$B$336,2,FALSE),"")</f>
        <v/>
      </c>
      <c r="Q79" s="7" t="str">
        <f>IF(K79&lt;&gt;"",VLOOKUP(K79,[1]ItemData!$A$4:$B$336,2,FALSE),"")</f>
        <v/>
      </c>
      <c r="S79" s="7" t="str">
        <f t="shared" si="3"/>
        <v>4111,1004</v>
      </c>
    </row>
    <row r="80" spans="1:19" x14ac:dyDescent="0.2">
      <c r="E80" s="7" t="s">
        <v>179</v>
      </c>
      <c r="G80" s="4" t="s">
        <v>470</v>
      </c>
      <c r="H80" s="7" t="s">
        <v>116</v>
      </c>
      <c r="J80" s="7"/>
      <c r="K80" s="7"/>
      <c r="L80" s="8"/>
      <c r="N80" s="7">
        <f>IF(H80&lt;&gt;"",VLOOKUP(H80,[1]ItemData!$A$4:$B$536,2,FALSE),"")</f>
        <v>4112</v>
      </c>
      <c r="O80" s="7" t="str">
        <f>IF(I80&lt;&gt;"",VLOOKUP(I80,[1]ItemData!$A$4:$B$536,2,FALSE),"")</f>
        <v/>
      </c>
      <c r="P80" s="7" t="str">
        <f>IF(J80&lt;&gt;"",VLOOKUP(J80,[1]ItemData!$A$4:$B$336,2,FALSE),"")</f>
        <v/>
      </c>
      <c r="Q80" s="7" t="str">
        <f>IF(K80&lt;&gt;"",VLOOKUP(K80,[1]ItemData!$A$4:$B$336,2,FALSE),"")</f>
        <v/>
      </c>
      <c r="S80" s="7" t="str">
        <f t="shared" si="3"/>
        <v>4112</v>
      </c>
    </row>
    <row r="81" spans="5:19" x14ac:dyDescent="0.2">
      <c r="E81" s="7" t="s">
        <v>179</v>
      </c>
      <c r="G81" s="4" t="s">
        <v>189</v>
      </c>
      <c r="H81" s="1" t="s">
        <v>441</v>
      </c>
      <c r="L81" s="8">
        <f t="shared" si="4"/>
        <v>1</v>
      </c>
      <c r="N81" s="7">
        <f>IF(H81&lt;&gt;"",VLOOKUP(H81,[1]ItemData!$A$4:$B$536,2,FALSE),"")</f>
        <v>4109</v>
      </c>
      <c r="O81" s="7" t="str">
        <f>IF(I81&lt;&gt;"",VLOOKUP(I81,[1]ItemData!$A$4:$B$536,2,FALSE),"")</f>
        <v/>
      </c>
      <c r="P81" s="7" t="str">
        <f>IF(J81&lt;&gt;"",VLOOKUP(J81,[1]ItemData!$A$4:$B$336,2,FALSE),"")</f>
        <v/>
      </c>
      <c r="Q81" s="7" t="str">
        <f>IF(K81&lt;&gt;"",VLOOKUP(K81,[1]ItemData!$A$4:$B$336,2,FALSE),"")</f>
        <v/>
      </c>
      <c r="S81" s="7" t="str">
        <f t="shared" si="3"/>
        <v>4109</v>
      </c>
    </row>
    <row r="82" spans="5:19" x14ac:dyDescent="0.2">
      <c r="E82" s="7" t="s">
        <v>180</v>
      </c>
      <c r="F82" s="7" t="s">
        <v>488</v>
      </c>
      <c r="G82" s="4" t="s">
        <v>471</v>
      </c>
      <c r="H82" s="13" t="s">
        <v>117</v>
      </c>
      <c r="I82" s="7" t="s">
        <v>66</v>
      </c>
      <c r="J82" s="7" t="s">
        <v>53</v>
      </c>
      <c r="K82" s="1" t="s">
        <v>6</v>
      </c>
      <c r="L82" s="8">
        <f t="shared" si="4"/>
        <v>4</v>
      </c>
      <c r="M82" s="2"/>
      <c r="N82" s="7">
        <f>IF(H82&lt;&gt;"",VLOOKUP(H82,[1]ItemData!$A$4:$B$536,2,FALSE),"")</f>
        <v>4113</v>
      </c>
      <c r="O82" s="7">
        <f>IF(I82&lt;&gt;"",VLOOKUP(I82,[1]ItemData!$A$4:$B$536,2,FALSE),"")</f>
        <v>1011</v>
      </c>
      <c r="P82" s="7">
        <f>IF(J82&lt;&gt;"",VLOOKUP(J82,[1]ItemData!$A$4:$B$336,2,FALSE),"")</f>
        <v>1009</v>
      </c>
      <c r="Q82" s="7">
        <f>IF(K82&lt;&gt;"",VLOOKUP(K82,[1]ItemData!$A$4:$B$336,2,FALSE),"")</f>
        <v>1007</v>
      </c>
      <c r="S82" s="7" t="str">
        <f t="shared" si="3"/>
        <v>4113,1011,1009,1007</v>
      </c>
    </row>
    <row r="83" spans="5:19" x14ac:dyDescent="0.2">
      <c r="E83" s="7" t="s">
        <v>179</v>
      </c>
      <c r="G83" s="4" t="s">
        <v>489</v>
      </c>
      <c r="H83" s="1" t="s">
        <v>119</v>
      </c>
      <c r="L83" s="8">
        <f t="shared" si="4"/>
        <v>1</v>
      </c>
      <c r="N83" s="7">
        <f>IF(H83&lt;&gt;"",VLOOKUP(H83,[1]ItemData!$A$4:$B$536,2,FALSE),"")</f>
        <v>4116</v>
      </c>
      <c r="O83" s="7" t="str">
        <f>IF(I83&lt;&gt;"",VLOOKUP(I83,[1]ItemData!$A$4:$B$536,2,FALSE),"")</f>
        <v/>
      </c>
      <c r="P83" s="7" t="str">
        <f>IF(J83&lt;&gt;"",VLOOKUP(J83,[1]ItemData!$A$4:$B$336,2,FALSE),"")</f>
        <v/>
      </c>
      <c r="Q83" s="7" t="str">
        <f>IF(K83&lt;&gt;"",VLOOKUP(K83,[1]ItemData!$A$4:$B$336,2,FALSE),"")</f>
        <v/>
      </c>
      <c r="S83" s="7" t="str">
        <f t="shared" si="3"/>
        <v>4116</v>
      </c>
    </row>
    <row r="84" spans="5:19" x14ac:dyDescent="0.2">
      <c r="E84" s="7" t="s">
        <v>179</v>
      </c>
      <c r="G84" s="4" t="s">
        <v>472</v>
      </c>
      <c r="H84" s="7" t="s">
        <v>141</v>
      </c>
      <c r="I84" s="7" t="s">
        <v>190</v>
      </c>
      <c r="J84" s="5" t="s">
        <v>51</v>
      </c>
      <c r="K84" s="1" t="s">
        <v>110</v>
      </c>
      <c r="L84" s="8">
        <f t="shared" si="4"/>
        <v>4</v>
      </c>
      <c r="N84" s="7">
        <f>IF(H84&lt;&gt;"",VLOOKUP(H84,[1]ItemData!$A$4:$B$536,2,FALSE),"")</f>
        <v>3164</v>
      </c>
      <c r="O84" s="7">
        <f>IF(I84&lt;&gt;"",VLOOKUP(I84,[1]ItemData!$A$4:$B$536,2,FALSE),"")</f>
        <v>3134</v>
      </c>
      <c r="P84" s="7">
        <f>IF(J84&lt;&gt;"",VLOOKUP(J84,[1]ItemData!$A$4:$B$336,2,FALSE),"")</f>
        <v>1006</v>
      </c>
      <c r="Q84" s="7">
        <f>IF(K84&lt;&gt;"",VLOOKUP(K84,[1]ItemData!$A$4:$B$336,2,FALSE),"")</f>
        <v>4021</v>
      </c>
      <c r="S84" s="7" t="str">
        <f t="shared" si="3"/>
        <v>3164,3134,1006,4021</v>
      </c>
    </row>
    <row r="85" spans="5:19" x14ac:dyDescent="0.2">
      <c r="E85" s="1" t="s">
        <v>479</v>
      </c>
      <c r="G85" s="15" t="s">
        <v>478</v>
      </c>
      <c r="H85" s="1" t="s">
        <v>480</v>
      </c>
      <c r="I85" s="5" t="s">
        <v>481</v>
      </c>
      <c r="L85" s="8">
        <f t="shared" si="4"/>
        <v>2</v>
      </c>
    </row>
    <row r="86" spans="5:19" x14ac:dyDescent="0.2">
      <c r="G86" s="4"/>
    </row>
    <row r="87" spans="5:19" x14ac:dyDescent="0.2">
      <c r="G87" s="4"/>
    </row>
    <row r="88" spans="5:19" x14ac:dyDescent="0.2">
      <c r="G88" s="4"/>
    </row>
    <row r="89" spans="5:19" x14ac:dyDescent="0.2">
      <c r="G89" s="4"/>
    </row>
    <row r="90" spans="5:19" x14ac:dyDescent="0.2">
      <c r="G90" s="4"/>
    </row>
    <row r="91" spans="5:19" x14ac:dyDescent="0.2">
      <c r="G91" s="4"/>
    </row>
    <row r="92" spans="5:19" x14ac:dyDescent="0.2">
      <c r="G92" s="4"/>
    </row>
    <row r="93" spans="5:19" x14ac:dyDescent="0.2">
      <c r="G93" s="4"/>
    </row>
    <row r="94" spans="5:19" x14ac:dyDescent="0.2">
      <c r="G94" s="4"/>
    </row>
    <row r="95" spans="5:19" x14ac:dyDescent="0.2">
      <c r="G95" s="4"/>
    </row>
    <row r="96" spans="5:19" x14ac:dyDescent="0.2">
      <c r="G96" s="4"/>
    </row>
    <row r="97" spans="7:7" x14ac:dyDescent="0.2">
      <c r="G97" s="4"/>
    </row>
    <row r="98" spans="7:7" x14ac:dyDescent="0.2">
      <c r="G98" s="4"/>
    </row>
    <row r="99" spans="7:7" x14ac:dyDescent="0.2">
      <c r="G99" s="4"/>
    </row>
    <row r="100" spans="7:7" x14ac:dyDescent="0.2">
      <c r="G100" s="4"/>
    </row>
    <row r="101" spans="7:7" x14ac:dyDescent="0.2">
      <c r="G101" s="4"/>
    </row>
    <row r="102" spans="7:7" x14ac:dyDescent="0.2">
      <c r="G102" s="4"/>
    </row>
    <row r="103" spans="7:7" x14ac:dyDescent="0.2">
      <c r="G103" s="4"/>
    </row>
    <row r="104" spans="7:7" x14ac:dyDescent="0.2">
      <c r="G104" s="4"/>
    </row>
    <row r="105" spans="7:7" x14ac:dyDescent="0.2">
      <c r="G105" s="4"/>
    </row>
    <row r="106" spans="7:7" x14ac:dyDescent="0.2">
      <c r="G106" s="4"/>
    </row>
    <row r="107" spans="7:7" x14ac:dyDescent="0.2">
      <c r="G107" s="4"/>
    </row>
    <row r="108" spans="7:7" x14ac:dyDescent="0.2">
      <c r="G108" s="4"/>
    </row>
    <row r="109" spans="7:7" x14ac:dyDescent="0.2">
      <c r="G109" s="4"/>
    </row>
    <row r="110" spans="7:7" x14ac:dyDescent="0.2">
      <c r="G110" s="4"/>
    </row>
    <row r="111" spans="7:7" x14ac:dyDescent="0.2">
      <c r="G111" s="4"/>
    </row>
    <row r="112" spans="7:7" x14ac:dyDescent="0.2">
      <c r="G112" s="4"/>
    </row>
    <row r="113" spans="7:7" x14ac:dyDescent="0.2">
      <c r="G113" s="4"/>
    </row>
    <row r="114" spans="7:7" x14ac:dyDescent="0.2">
      <c r="G114" s="4"/>
    </row>
    <row r="115" spans="7:7" x14ac:dyDescent="0.2">
      <c r="G115" s="4"/>
    </row>
    <row r="116" spans="7:7" x14ac:dyDescent="0.2">
      <c r="G116" s="4"/>
    </row>
    <row r="117" spans="7:7" x14ac:dyDescent="0.2">
      <c r="G117" s="4"/>
    </row>
    <row r="118" spans="7:7" x14ac:dyDescent="0.2">
      <c r="G118" s="4"/>
    </row>
    <row r="119" spans="7:7" x14ac:dyDescent="0.2">
      <c r="G119" s="4"/>
    </row>
    <row r="120" spans="7:7" x14ac:dyDescent="0.2">
      <c r="G120" s="4"/>
    </row>
    <row r="121" spans="7:7" x14ac:dyDescent="0.2">
      <c r="G121" s="4"/>
    </row>
    <row r="122" spans="7:7" x14ac:dyDescent="0.2">
      <c r="G122" s="4"/>
    </row>
    <row r="123" spans="7:7" x14ac:dyDescent="0.2">
      <c r="G123" s="4"/>
    </row>
    <row r="124" spans="7:7" x14ac:dyDescent="0.2">
      <c r="G124" s="4"/>
    </row>
    <row r="125" spans="7:7" x14ac:dyDescent="0.2">
      <c r="G125" s="4"/>
    </row>
    <row r="126" spans="7:7" x14ac:dyDescent="0.2">
      <c r="G126" s="4"/>
    </row>
    <row r="127" spans="7:7" x14ac:dyDescent="0.2">
      <c r="G127" s="4"/>
    </row>
    <row r="128" spans="7:7" x14ac:dyDescent="0.2">
      <c r="G128" s="4"/>
    </row>
    <row r="129" spans="7:7" x14ac:dyDescent="0.2">
      <c r="G129" s="4"/>
    </row>
    <row r="130" spans="7:7" x14ac:dyDescent="0.2">
      <c r="G130" s="4"/>
    </row>
    <row r="131" spans="7:7" x14ac:dyDescent="0.2">
      <c r="G131" s="4"/>
    </row>
    <row r="132" spans="7:7" x14ac:dyDescent="0.2">
      <c r="G132" s="4"/>
    </row>
    <row r="133" spans="7:7" x14ac:dyDescent="0.2">
      <c r="G133" s="4"/>
    </row>
    <row r="134" spans="7:7" x14ac:dyDescent="0.2">
      <c r="G134" s="4"/>
    </row>
    <row r="135" spans="7:7" x14ac:dyDescent="0.2">
      <c r="G135" s="4"/>
    </row>
    <row r="136" spans="7:7" x14ac:dyDescent="0.2">
      <c r="G136" s="4"/>
    </row>
    <row r="137" spans="7:7" x14ac:dyDescent="0.2">
      <c r="G137" s="4"/>
    </row>
    <row r="138" spans="7:7" x14ac:dyDescent="0.2">
      <c r="G138" s="4"/>
    </row>
    <row r="139" spans="7:7" x14ac:dyDescent="0.2">
      <c r="G139" s="4"/>
    </row>
    <row r="140" spans="7:7" x14ac:dyDescent="0.2">
      <c r="G140" s="4"/>
    </row>
    <row r="141" spans="7:7" x14ac:dyDescent="0.2">
      <c r="G141" s="4"/>
    </row>
    <row r="142" spans="7:7" x14ac:dyDescent="0.2">
      <c r="G142" s="4"/>
    </row>
    <row r="143" spans="7:7" x14ac:dyDescent="0.2">
      <c r="G143" s="4"/>
    </row>
    <row r="144" spans="7:7" x14ac:dyDescent="0.2">
      <c r="G144" s="4"/>
    </row>
    <row r="145" spans="7:7" x14ac:dyDescent="0.2">
      <c r="G145" s="4"/>
    </row>
    <row r="146" spans="7:7" x14ac:dyDescent="0.2">
      <c r="G146" s="4"/>
    </row>
    <row r="147" spans="7:7" x14ac:dyDescent="0.2">
      <c r="G147" s="4"/>
    </row>
    <row r="148" spans="7:7" x14ac:dyDescent="0.2">
      <c r="G148" s="4"/>
    </row>
    <row r="149" spans="7:7" x14ac:dyDescent="0.2">
      <c r="G149" s="4"/>
    </row>
    <row r="150" spans="7:7" x14ac:dyDescent="0.2">
      <c r="G150" s="4"/>
    </row>
    <row r="151" spans="7:7" x14ac:dyDescent="0.2">
      <c r="G151" s="4"/>
    </row>
    <row r="152" spans="7:7" x14ac:dyDescent="0.2">
      <c r="G152" s="4"/>
    </row>
    <row r="153" spans="7:7" x14ac:dyDescent="0.2">
      <c r="G153" s="4"/>
    </row>
    <row r="154" spans="7:7" x14ac:dyDescent="0.2">
      <c r="G154" s="4"/>
    </row>
    <row r="155" spans="7:7" x14ac:dyDescent="0.2">
      <c r="G155" s="4"/>
    </row>
    <row r="156" spans="7:7" x14ac:dyDescent="0.2">
      <c r="G156" s="4"/>
    </row>
    <row r="157" spans="7:7" x14ac:dyDescent="0.2">
      <c r="G157" s="4"/>
    </row>
    <row r="158" spans="7:7" x14ac:dyDescent="0.2">
      <c r="G158" s="4"/>
    </row>
    <row r="159" spans="7:7" x14ac:dyDescent="0.2">
      <c r="G159" s="4"/>
    </row>
    <row r="160" spans="7:7" x14ac:dyDescent="0.2">
      <c r="G160" s="4"/>
    </row>
    <row r="161" spans="7:7" x14ac:dyDescent="0.2">
      <c r="G161" s="4"/>
    </row>
    <row r="162" spans="7:7" x14ac:dyDescent="0.2">
      <c r="G162" s="4"/>
    </row>
    <row r="163" spans="7:7" x14ac:dyDescent="0.2">
      <c r="G163" s="4"/>
    </row>
    <row r="164" spans="7:7" x14ac:dyDescent="0.2">
      <c r="G164" s="4"/>
    </row>
    <row r="165" spans="7:7" x14ac:dyDescent="0.2">
      <c r="G165" s="4"/>
    </row>
    <row r="166" spans="7:7" x14ac:dyDescent="0.2">
      <c r="G166" s="4"/>
    </row>
    <row r="167" spans="7:7" x14ac:dyDescent="0.2">
      <c r="G167" s="4"/>
    </row>
    <row r="168" spans="7:7" x14ac:dyDescent="0.2">
      <c r="G168" s="4"/>
    </row>
    <row r="169" spans="7:7" x14ac:dyDescent="0.2">
      <c r="G169" s="4"/>
    </row>
    <row r="170" spans="7:7" x14ac:dyDescent="0.2">
      <c r="G170" s="4"/>
    </row>
    <row r="171" spans="7:7" x14ac:dyDescent="0.2">
      <c r="G171" s="4"/>
    </row>
    <row r="172" spans="7:7" x14ac:dyDescent="0.2">
      <c r="G172" s="4"/>
    </row>
    <row r="173" spans="7:7" x14ac:dyDescent="0.2">
      <c r="G173" s="4"/>
    </row>
    <row r="174" spans="7:7" x14ac:dyDescent="0.2">
      <c r="G174" s="4"/>
    </row>
    <row r="175" spans="7:7" x14ac:dyDescent="0.2">
      <c r="G175" s="4"/>
    </row>
    <row r="176" spans="7:7" x14ac:dyDescent="0.2">
      <c r="G176" s="4"/>
    </row>
    <row r="177" spans="7:7" x14ac:dyDescent="0.2">
      <c r="G177" s="4"/>
    </row>
    <row r="178" spans="7:7" x14ac:dyDescent="0.2">
      <c r="G178" s="4"/>
    </row>
    <row r="179" spans="7:7" x14ac:dyDescent="0.2">
      <c r="G179" s="4"/>
    </row>
    <row r="180" spans="7:7" x14ac:dyDescent="0.2">
      <c r="G180" s="4"/>
    </row>
    <row r="181" spans="7:7" x14ac:dyDescent="0.2">
      <c r="G181" s="4"/>
    </row>
    <row r="182" spans="7:7" x14ac:dyDescent="0.2">
      <c r="G182" s="4"/>
    </row>
    <row r="183" spans="7:7" x14ac:dyDescent="0.2">
      <c r="G183" s="4"/>
    </row>
    <row r="184" spans="7:7" x14ac:dyDescent="0.2">
      <c r="G184" s="4"/>
    </row>
    <row r="185" spans="7:7" x14ac:dyDescent="0.2">
      <c r="G185" s="4"/>
    </row>
    <row r="186" spans="7:7" x14ac:dyDescent="0.2">
      <c r="G186" s="4"/>
    </row>
    <row r="187" spans="7:7" x14ac:dyDescent="0.2">
      <c r="G187" s="4"/>
    </row>
    <row r="188" spans="7:7" x14ac:dyDescent="0.2">
      <c r="G188" s="4"/>
    </row>
    <row r="189" spans="7:7" x14ac:dyDescent="0.2">
      <c r="G189" s="4"/>
    </row>
    <row r="190" spans="7:7" x14ac:dyDescent="0.2">
      <c r="G190" s="4"/>
    </row>
    <row r="191" spans="7:7" x14ac:dyDescent="0.2">
      <c r="G191" s="4"/>
    </row>
    <row r="192" spans="7:7" x14ac:dyDescent="0.2">
      <c r="G192" s="4"/>
    </row>
    <row r="193" spans="7:7" x14ac:dyDescent="0.2">
      <c r="G193" s="4"/>
    </row>
    <row r="194" spans="7:7" x14ac:dyDescent="0.2">
      <c r="G194" s="4"/>
    </row>
    <row r="195" spans="7:7" x14ac:dyDescent="0.2">
      <c r="G195" s="4"/>
    </row>
    <row r="196" spans="7:7" x14ac:dyDescent="0.2">
      <c r="G196" s="4"/>
    </row>
    <row r="197" spans="7:7" x14ac:dyDescent="0.2">
      <c r="G197" s="4"/>
    </row>
    <row r="198" spans="7:7" x14ac:dyDescent="0.2">
      <c r="G198" s="4"/>
    </row>
    <row r="199" spans="7:7" x14ac:dyDescent="0.2">
      <c r="G199" s="4"/>
    </row>
    <row r="200" spans="7:7" x14ac:dyDescent="0.2">
      <c r="G200" s="4"/>
    </row>
    <row r="201" spans="7:7" x14ac:dyDescent="0.2">
      <c r="G201" s="4"/>
    </row>
    <row r="202" spans="7:7" x14ac:dyDescent="0.2">
      <c r="G202" s="4"/>
    </row>
    <row r="203" spans="7:7" x14ac:dyDescent="0.2">
      <c r="G203" s="4"/>
    </row>
  </sheetData>
  <autoFilter ref="D4:J84"/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flyer</dc:creator>
  <cp:lastModifiedBy>flyer</cp:lastModifiedBy>
  <dcterms:created xsi:type="dcterms:W3CDTF">2024-04-26T13:12:02Z</dcterms:created>
  <dcterms:modified xsi:type="dcterms:W3CDTF">2024-10-27T15:54:18Z</dcterms:modified>
</cp:coreProperties>
</file>