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shPondData" sheetId="1" r:id="rId1"/>
    <sheet name="春" sheetId="2" r:id="rId2"/>
    <sheet name="夏" sheetId="3" r:id="rId3"/>
    <sheet name="Sheet3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1" i="2" l="1"/>
  <c r="L51" i="2"/>
  <c r="M51" i="2"/>
  <c r="N51" i="2"/>
  <c r="O51" i="2"/>
  <c r="P51" i="2"/>
  <c r="Q51" i="2"/>
  <c r="K52" i="2"/>
  <c r="L52" i="2"/>
  <c r="M52" i="2"/>
  <c r="N52" i="2"/>
  <c r="O52" i="2"/>
  <c r="P52" i="2"/>
  <c r="Q52" i="2"/>
  <c r="K53" i="2"/>
  <c r="L53" i="2"/>
  <c r="M53" i="2"/>
  <c r="O53" i="2"/>
  <c r="P53" i="2"/>
  <c r="Q53" i="2"/>
  <c r="K54" i="2"/>
  <c r="L54" i="2"/>
  <c r="M54" i="2"/>
  <c r="Q54" i="2"/>
  <c r="L50" i="2"/>
  <c r="M50" i="2"/>
  <c r="N50" i="2"/>
  <c r="O50" i="2"/>
  <c r="P50" i="2"/>
  <c r="Q50" i="2"/>
  <c r="K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G55" i="2"/>
  <c r="H55" i="2"/>
  <c r="B56" i="2"/>
  <c r="C56" i="2"/>
  <c r="D56" i="2"/>
  <c r="E56" i="2"/>
  <c r="G56" i="2"/>
  <c r="H56" i="2"/>
  <c r="B57" i="2"/>
  <c r="E57" i="2"/>
  <c r="C50" i="2"/>
  <c r="D50" i="2"/>
  <c r="E50" i="2"/>
  <c r="F50" i="2"/>
  <c r="G50" i="2"/>
  <c r="H50" i="2"/>
  <c r="B50" i="2"/>
  <c r="K19" i="2"/>
  <c r="L19" i="2"/>
  <c r="M19" i="2"/>
  <c r="N19" i="2"/>
  <c r="O19" i="2"/>
  <c r="P19" i="2"/>
  <c r="Q19" i="2"/>
  <c r="K20" i="2"/>
  <c r="L20" i="2"/>
  <c r="M20" i="2"/>
  <c r="N20" i="2"/>
  <c r="O20" i="2"/>
  <c r="P20" i="2"/>
  <c r="Q20" i="2"/>
  <c r="K21" i="2"/>
  <c r="L21" i="2"/>
  <c r="M21" i="2"/>
  <c r="N21" i="2"/>
  <c r="O21" i="2"/>
  <c r="P21" i="2"/>
  <c r="Q21" i="2"/>
  <c r="K22" i="2"/>
  <c r="L22" i="2"/>
  <c r="M22" i="2"/>
  <c r="N22" i="2"/>
  <c r="O22" i="2"/>
  <c r="P22" i="2"/>
  <c r="Q22" i="2"/>
  <c r="K23" i="2"/>
  <c r="L23" i="2"/>
  <c r="M23" i="2"/>
  <c r="N23" i="2"/>
  <c r="O23" i="2"/>
  <c r="P23" i="2"/>
  <c r="Q23" i="2"/>
  <c r="K24" i="2"/>
  <c r="L24" i="2"/>
  <c r="M24" i="2"/>
  <c r="N24" i="2"/>
  <c r="O24" i="2"/>
  <c r="P24" i="2"/>
  <c r="Q24" i="2"/>
  <c r="K25" i="2"/>
  <c r="L25" i="2"/>
  <c r="M25" i="2"/>
  <c r="N25" i="2"/>
  <c r="P25" i="2"/>
  <c r="Q25" i="2"/>
  <c r="K26" i="2"/>
  <c r="L26" i="2"/>
  <c r="M26" i="2"/>
  <c r="N26" i="2"/>
  <c r="Q26" i="2"/>
  <c r="K27" i="2"/>
  <c r="L27" i="2"/>
  <c r="M27" i="2"/>
  <c r="Q27" i="2"/>
  <c r="K28" i="2"/>
  <c r="Q28" i="2"/>
  <c r="Q29" i="2"/>
  <c r="L18" i="2"/>
  <c r="M18" i="2"/>
  <c r="N18" i="2"/>
  <c r="O18" i="2"/>
  <c r="P18" i="2"/>
  <c r="Q18" i="2"/>
  <c r="K18" i="2"/>
  <c r="B19" i="2"/>
  <c r="C19" i="2"/>
  <c r="D19" i="2"/>
  <c r="E19" i="2"/>
  <c r="F19" i="2"/>
  <c r="G19" i="2"/>
  <c r="H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G23" i="2"/>
  <c r="H23" i="2"/>
  <c r="B24" i="2"/>
  <c r="C24" i="2"/>
  <c r="D24" i="2"/>
  <c r="E24" i="2"/>
  <c r="G24" i="2"/>
  <c r="H24" i="2"/>
  <c r="B25" i="2"/>
  <c r="E25" i="2"/>
  <c r="C18" i="2"/>
  <c r="D18" i="2"/>
  <c r="E18" i="2"/>
  <c r="F18" i="2"/>
  <c r="G18" i="2"/>
  <c r="H18" i="2"/>
  <c r="B18" i="2"/>
</calcChain>
</file>

<file path=xl/sharedStrings.xml><?xml version="1.0" encoding="utf-8"?>
<sst xmlns="http://schemas.openxmlformats.org/spreadsheetml/2006/main" count="302" uniqueCount="75">
  <si>
    <t>int</t>
    <phoneticPr fontId="1" type="noConversion"/>
  </si>
  <si>
    <t>id</t>
  </si>
  <si>
    <t>string</t>
    <phoneticPr fontId="1" type="noConversion"/>
  </si>
  <si>
    <t>pondName</t>
  </si>
  <si>
    <t>showValue</t>
  </si>
  <si>
    <t>List&lt;int2&gt;</t>
  </si>
  <si>
    <t>fishRandomIds</t>
    <phoneticPr fontId="1" type="noConversion"/>
  </si>
  <si>
    <t>广场河</t>
    <phoneticPr fontId="1" type="noConversion"/>
  </si>
  <si>
    <t>住宅区河</t>
    <phoneticPr fontId="1" type="noConversion"/>
  </si>
  <si>
    <t>商店街河</t>
    <phoneticPr fontId="1" type="noConversion"/>
  </si>
  <si>
    <t>农场河</t>
    <phoneticPr fontId="1" type="noConversion"/>
  </si>
  <si>
    <t>山地湖</t>
    <phoneticPr fontId="1" type="noConversion"/>
  </si>
  <si>
    <t>城门河</t>
    <phoneticPr fontId="1" type="noConversion"/>
  </si>
  <si>
    <t>int2</t>
    <phoneticPr fontId="1" type="noConversion"/>
  </si>
  <si>
    <t>512,1051949</t>
    <phoneticPr fontId="1" type="noConversion"/>
  </si>
  <si>
    <t>海边</t>
    <phoneticPr fontId="1" type="noConversion"/>
  </si>
  <si>
    <t>695,1044752</t>
    <phoneticPr fontId="1" type="noConversion"/>
  </si>
  <si>
    <t>889,1062719</t>
    <phoneticPr fontId="1" type="noConversion"/>
  </si>
  <si>
    <t>759,1059039</t>
    <phoneticPr fontId="1" type="noConversion"/>
  </si>
  <si>
    <t>2355,1098337</t>
    <phoneticPr fontId="1" type="noConversion"/>
  </si>
  <si>
    <t>302,1099388</t>
    <phoneticPr fontId="1" type="noConversion"/>
  </si>
  <si>
    <t>2497,1200953</t>
    <phoneticPr fontId="1" type="noConversion"/>
  </si>
  <si>
    <t>鲫鱼</t>
  </si>
  <si>
    <t>鲮鱼</t>
  </si>
  <si>
    <t>河蟹.</t>
    <phoneticPr fontId="1" type="noConversion"/>
  </si>
  <si>
    <t>丁鱼</t>
  </si>
  <si>
    <t>锦鲤</t>
  </si>
  <si>
    <t>金线鱼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</si>
  <si>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</si>
  <si>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</si>
  <si>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</si>
  <si>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</si>
  <si>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</si>
  <si>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</si>
  <si>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</si>
  <si>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</si>
  <si>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</si>
  <si>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</si>
  <si>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</si>
  <si>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  <phoneticPr fontId="1" type="noConversion"/>
  </si>
  <si>
    <t>竹荚鱼</t>
    <phoneticPr fontId="1" type="noConversion"/>
  </si>
  <si>
    <t>海鳗</t>
  </si>
  <si>
    <t>章鱼</t>
    <phoneticPr fontId="1" type="noConversion"/>
  </si>
  <si>
    <t>比目鱼</t>
  </si>
  <si>
    <t>河豚鱼</t>
  </si>
  <si>
    <t>水母</t>
    <phoneticPr fontId="1" type="noConversion"/>
  </si>
  <si>
    <t>条石鲷</t>
    <phoneticPr fontId="1" type="noConversion"/>
  </si>
  <si>
    <t>红鲷鱼</t>
    <phoneticPr fontId="1" type="noConversion"/>
  </si>
  <si>
    <t>蓝蟹</t>
    <phoneticPr fontId="1" type="noConversion"/>
  </si>
  <si>
    <t>鲯鳅鱼</t>
    <phoneticPr fontId="1" type="noConversion"/>
  </si>
  <si>
    <t>龙虾</t>
  </si>
  <si>
    <t>金枪鱼</t>
  </si>
  <si>
    <t>斑马狮子鱼</t>
    <phoneticPr fontId="1" type="noConversion"/>
  </si>
  <si>
    <t>春</t>
    <phoneticPr fontId="1" type="noConversion"/>
  </si>
  <si>
    <t>夏</t>
    <phoneticPr fontId="1" type="noConversion"/>
  </si>
  <si>
    <t>秋</t>
    <phoneticPr fontId="1" type="noConversion"/>
  </si>
  <si>
    <t>冬</t>
    <phoneticPr fontId="1" type="noConversion"/>
  </si>
  <si>
    <t>桃花鱼</t>
    <phoneticPr fontId="1" type="noConversion"/>
  </si>
  <si>
    <t>洞穴天使鱼</t>
    <phoneticPr fontId="1" type="noConversion"/>
  </si>
  <si>
    <t>沙丁鱼</t>
    <phoneticPr fontId="1" type="noConversion"/>
  </si>
  <si>
    <t>章鱼</t>
    <phoneticPr fontId="1" type="noConversion"/>
  </si>
  <si>
    <t>水母</t>
    <phoneticPr fontId="1" type="noConversion"/>
  </si>
  <si>
    <t>条石鲷</t>
    <phoneticPr fontId="1" type="noConversion"/>
  </si>
  <si>
    <t>蓝蟹</t>
    <phoneticPr fontId="1" type="noConversion"/>
  </si>
  <si>
    <t>鲯鳅鱼</t>
    <phoneticPr fontId="1" type="noConversion"/>
  </si>
  <si>
    <t>斑马狮子鱼</t>
    <phoneticPr fontId="1" type="noConversion"/>
  </si>
  <si>
    <t xml:space="preserve"> </t>
    <phoneticPr fontId="1" type="noConversion"/>
  </si>
  <si>
    <t>1,40002|2,40102|3,40202|4,40302</t>
    <phoneticPr fontId="1" type="noConversion"/>
  </si>
  <si>
    <t>1,40003|2,40103|3,40203|4,40303</t>
    <phoneticPr fontId="1" type="noConversion"/>
  </si>
  <si>
    <t>1,40001|2,40101|3,40201|4,40301</t>
    <phoneticPr fontId="1" type="noConversion"/>
  </si>
  <si>
    <t>1,40004|2,40104|3,40204|4,40304</t>
    <phoneticPr fontId="1" type="noConversion"/>
  </si>
  <si>
    <t>1,40000|2,40100|3,40200|4,40300</t>
    <phoneticPr fontId="1" type="noConversion"/>
  </si>
  <si>
    <t>waitFishingCd</t>
  </si>
  <si>
    <t>linkMapItem</t>
    <phoneticPr fontId="1" type="noConversion"/>
  </si>
  <si>
    <t>4000,12000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</si>
</sst>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 applyFill="1" applyAlignment="1">
      <alignment wrapText="1"/>
    </xf>
    <xf numFmtId="0" fontId="0" fillId="0" borderId="0" xfId="0" applyFill="1"/>
    <xf numFmtId="0" fontId="0" fillId="0" borderId="0" xfId="0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0"/>
  <sheetViews>
    <sheetView tabSelected="1" workbookViewId="0">
      <selection activeCell="D14" sqref="D14"/>
    </sheetView>
  </sheetViews>
  <sheetFormatPr defaultRowHeight="14.25" x14ac:dyDescent="0.2"/>
  <cols>
    <col min="2" max="2" width="13.5" customWidth="1"/>
    <col min="3" max="4" width="12.125" customWidth="1"/>
    <col min="5" max="5" width="42.75" customWidth="1"/>
    <col min="6" max="6" width="19.625" style="1" customWidth="1"/>
  </cols>
  <sheetData>
    <row r="2" spans="1:6" x14ac:dyDescent="0.2">
      <c r="A2" t="s">
        <v>0</v>
      </c>
      <c r="B2" t="s">
        <v>2</v>
      </c>
      <c r="C2" t="s">
        <v>0</v>
      </c>
      <c r="D2" s="1" t="s">
        <v>13</v>
      </c>
      <c r="E2" s="1" t="s">
        <v>5</v>
      </c>
      <c r="F2" s="1" t="s">
        <v>13</v>
      </c>
    </row>
    <row r="3" spans="1:6" x14ac:dyDescent="0.2">
      <c r="A3" t="s">
        <v>1</v>
      </c>
      <c r="B3" t="s">
        <v>3</v>
      </c>
      <c r="C3" t="s">
        <v>4</v>
      </c>
      <c r="D3" t="s">
        <v>72</v>
      </c>
      <c r="E3" s="1" t="s">
        <v>6</v>
      </c>
      <c r="F3" s="1" t="s">
        <v>73</v>
      </c>
    </row>
    <row r="4" spans="1:6" x14ac:dyDescent="0.2">
      <c r="A4">
        <v>1</v>
      </c>
      <c r="B4" t="s">
        <v>7</v>
      </c>
      <c r="C4">
        <v>1</v>
      </c>
      <c r="D4" s="1" t="s">
        <v>74</v>
      </c>
      <c r="E4" s="1" t="s">
        <v>67</v>
      </c>
      <c r="F4" s="1" t="s">
        <v>14</v>
      </c>
    </row>
    <row r="5" spans="1:6" x14ac:dyDescent="0.2">
      <c r="A5">
        <v>2</v>
      </c>
      <c r="B5" t="s">
        <v>8</v>
      </c>
      <c r="C5">
        <v>1</v>
      </c>
      <c r="D5" s="1" t="s">
        <v>74</v>
      </c>
      <c r="E5" s="1" t="s">
        <v>67</v>
      </c>
      <c r="F5" s="1" t="s">
        <v>16</v>
      </c>
    </row>
    <row r="6" spans="1:6" x14ac:dyDescent="0.2">
      <c r="A6">
        <v>3</v>
      </c>
      <c r="B6" t="s">
        <v>9</v>
      </c>
      <c r="C6">
        <v>1</v>
      </c>
      <c r="D6" s="1" t="s">
        <v>74</v>
      </c>
      <c r="E6" s="1" t="s">
        <v>67</v>
      </c>
      <c r="F6" s="1" t="s">
        <v>17</v>
      </c>
    </row>
    <row r="7" spans="1:6" x14ac:dyDescent="0.2">
      <c r="A7">
        <v>4</v>
      </c>
      <c r="B7" t="s">
        <v>10</v>
      </c>
      <c r="C7">
        <v>1</v>
      </c>
      <c r="D7" s="1" t="s">
        <v>74</v>
      </c>
      <c r="E7" s="1" t="s">
        <v>68</v>
      </c>
      <c r="F7" s="1" t="s">
        <v>18</v>
      </c>
    </row>
    <row r="8" spans="1:6" x14ac:dyDescent="0.2">
      <c r="A8">
        <v>5</v>
      </c>
      <c r="B8" t="s">
        <v>11</v>
      </c>
      <c r="C8">
        <v>1</v>
      </c>
      <c r="D8" s="1" t="s">
        <v>74</v>
      </c>
      <c r="E8" s="1" t="s">
        <v>69</v>
      </c>
      <c r="F8" s="1" t="s">
        <v>19</v>
      </c>
    </row>
    <row r="9" spans="1:6" x14ac:dyDescent="0.2">
      <c r="A9">
        <v>6</v>
      </c>
      <c r="B9" t="s">
        <v>12</v>
      </c>
      <c r="C9">
        <v>1</v>
      </c>
      <c r="D9" s="1" t="s">
        <v>74</v>
      </c>
      <c r="E9" s="1" t="s">
        <v>70</v>
      </c>
      <c r="F9" s="1" t="s">
        <v>20</v>
      </c>
    </row>
    <row r="10" spans="1:6" x14ac:dyDescent="0.2">
      <c r="A10">
        <v>7</v>
      </c>
      <c r="B10" t="s">
        <v>15</v>
      </c>
      <c r="C10">
        <v>1</v>
      </c>
      <c r="D10" s="1" t="s">
        <v>74</v>
      </c>
      <c r="E10" s="1" t="s">
        <v>71</v>
      </c>
      <c r="F10" s="1" t="s">
        <v>21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Q57"/>
  <sheetViews>
    <sheetView topLeftCell="A28" workbookViewId="0">
      <selection activeCell="P37" sqref="P37:P40"/>
    </sheetView>
  </sheetViews>
  <sheetFormatPr defaultRowHeight="14.25" x14ac:dyDescent="0.2"/>
  <sheetData>
    <row r="2" spans="1:17" x14ac:dyDescent="0.2">
      <c r="A2" t="s">
        <v>53</v>
      </c>
      <c r="J2" t="s">
        <v>54</v>
      </c>
    </row>
    <row r="3" spans="1:17" x14ac:dyDescent="0.2">
      <c r="B3" t="s">
        <v>7</v>
      </c>
      <c r="C3" t="s">
        <v>8</v>
      </c>
      <c r="D3" t="s">
        <v>9</v>
      </c>
      <c r="E3" t="s">
        <v>10</v>
      </c>
      <c r="F3" t="s">
        <v>11</v>
      </c>
      <c r="G3" t="s">
        <v>12</v>
      </c>
      <c r="H3" t="s">
        <v>15</v>
      </c>
      <c r="K3" t="s">
        <v>7</v>
      </c>
      <c r="L3" t="s">
        <v>8</v>
      </c>
      <c r="M3" t="s">
        <v>9</v>
      </c>
      <c r="N3" t="s">
        <v>10</v>
      </c>
      <c r="O3" t="s">
        <v>11</v>
      </c>
      <c r="P3" t="s">
        <v>12</v>
      </c>
      <c r="Q3" t="s">
        <v>15</v>
      </c>
    </row>
    <row r="5" spans="1:17" ht="15" x14ac:dyDescent="0.2">
      <c r="B5" s="2" t="s">
        <v>22</v>
      </c>
      <c r="C5" s="2" t="s">
        <v>22</v>
      </c>
      <c r="D5" s="2" t="s">
        <v>22</v>
      </c>
      <c r="E5" s="2" t="s">
        <v>22</v>
      </c>
      <c r="F5" s="2" t="s">
        <v>22</v>
      </c>
      <c r="G5" s="2" t="s">
        <v>22</v>
      </c>
      <c r="H5" s="4" t="s">
        <v>39</v>
      </c>
      <c r="K5" s="2" t="s">
        <v>22</v>
      </c>
      <c r="L5" s="2" t="s">
        <v>22</v>
      </c>
      <c r="M5" s="2" t="s">
        <v>22</v>
      </c>
      <c r="N5" s="2" t="s">
        <v>22</v>
      </c>
      <c r="O5" s="2" t="s">
        <v>22</v>
      </c>
      <c r="P5" s="2" t="s">
        <v>22</v>
      </c>
      <c r="Q5" s="4" t="s">
        <v>39</v>
      </c>
    </row>
    <row r="6" spans="1:17" x14ac:dyDescent="0.2">
      <c r="B6" s="3" t="s">
        <v>23</v>
      </c>
      <c r="C6" s="3" t="s">
        <v>23</v>
      </c>
      <c r="D6" s="3" t="s">
        <v>23</v>
      </c>
      <c r="E6" s="3" t="s">
        <v>23</v>
      </c>
      <c r="F6" s="3" t="s">
        <v>23</v>
      </c>
      <c r="G6" s="3" t="s">
        <v>23</v>
      </c>
      <c r="H6" s="4" t="s">
        <v>40</v>
      </c>
      <c r="K6" s="3" t="s">
        <v>23</v>
      </c>
      <c r="L6" s="3" t="s">
        <v>23</v>
      </c>
      <c r="M6" s="3" t="s">
        <v>23</v>
      </c>
      <c r="N6" s="3" t="s">
        <v>23</v>
      </c>
      <c r="O6" s="3" t="s">
        <v>23</v>
      </c>
      <c r="P6" s="3" t="s">
        <v>23</v>
      </c>
      <c r="Q6" s="4" t="s">
        <v>40</v>
      </c>
    </row>
    <row r="7" spans="1:17" x14ac:dyDescent="0.2">
      <c r="B7" s="3" t="s">
        <v>24</v>
      </c>
      <c r="C7" s="3" t="s">
        <v>24</v>
      </c>
      <c r="D7" s="3" t="s">
        <v>24</v>
      </c>
      <c r="E7" s="3" t="s">
        <v>24</v>
      </c>
      <c r="F7" s="3" t="s">
        <v>24</v>
      </c>
      <c r="G7" s="3" t="s">
        <v>24</v>
      </c>
      <c r="H7" s="4" t="s">
        <v>41</v>
      </c>
      <c r="K7" s="3" t="s">
        <v>24</v>
      </c>
      <c r="L7" s="3" t="s">
        <v>24</v>
      </c>
      <c r="M7" s="3" t="s">
        <v>24</v>
      </c>
      <c r="N7" s="3" t="s">
        <v>24</v>
      </c>
      <c r="O7" s="3" t="s">
        <v>24</v>
      </c>
      <c r="P7" s="3" t="s">
        <v>24</v>
      </c>
      <c r="Q7" s="4" t="s">
        <v>41</v>
      </c>
    </row>
    <row r="8" spans="1:17" x14ac:dyDescent="0.2">
      <c r="B8" t="s">
        <v>25</v>
      </c>
      <c r="C8" t="s">
        <v>25</v>
      </c>
      <c r="D8" t="s">
        <v>25</v>
      </c>
      <c r="E8" t="s">
        <v>25</v>
      </c>
      <c r="F8" t="s">
        <v>25</v>
      </c>
      <c r="G8" t="s">
        <v>25</v>
      </c>
      <c r="H8" s="4" t="s">
        <v>42</v>
      </c>
      <c r="K8" t="s">
        <v>25</v>
      </c>
      <c r="L8" t="s">
        <v>25</v>
      </c>
      <c r="M8" t="s">
        <v>25</v>
      </c>
      <c r="N8" t="s">
        <v>25</v>
      </c>
      <c r="O8" t="s">
        <v>25</v>
      </c>
      <c r="P8" t="s">
        <v>25</v>
      </c>
      <c r="Q8" s="4" t="s">
        <v>42</v>
      </c>
    </row>
    <row r="9" spans="1:17" x14ac:dyDescent="0.2">
      <c r="B9" t="s">
        <v>26</v>
      </c>
      <c r="C9" t="s">
        <v>26</v>
      </c>
      <c r="D9" t="s">
        <v>26</v>
      </c>
      <c r="E9" t="s">
        <v>27</v>
      </c>
      <c r="F9" t="s">
        <v>34</v>
      </c>
      <c r="G9" t="s">
        <v>29</v>
      </c>
      <c r="H9" s="4" t="s">
        <v>44</v>
      </c>
      <c r="K9" t="s">
        <v>26</v>
      </c>
      <c r="L9" t="s">
        <v>26</v>
      </c>
      <c r="M9" t="s">
        <v>26</v>
      </c>
      <c r="N9" t="s">
        <v>27</v>
      </c>
      <c r="O9" t="s">
        <v>34</v>
      </c>
      <c r="P9" t="s">
        <v>29</v>
      </c>
      <c r="Q9" s="4" t="s">
        <v>44</v>
      </c>
    </row>
    <row r="10" spans="1:17" x14ac:dyDescent="0.2">
      <c r="B10" t="s">
        <v>27</v>
      </c>
      <c r="C10" t="s">
        <v>27</v>
      </c>
      <c r="D10" t="s">
        <v>27</v>
      </c>
      <c r="E10" t="s">
        <v>29</v>
      </c>
      <c r="G10" t="s">
        <v>31</v>
      </c>
      <c r="H10" s="4" t="s">
        <v>45</v>
      </c>
      <c r="K10" t="s">
        <v>27</v>
      </c>
      <c r="L10" t="s">
        <v>27</v>
      </c>
      <c r="M10" t="s">
        <v>27</v>
      </c>
      <c r="N10" t="s">
        <v>29</v>
      </c>
      <c r="O10" t="s">
        <v>36</v>
      </c>
      <c r="P10" t="s">
        <v>31</v>
      </c>
      <c r="Q10" s="4" t="s">
        <v>45</v>
      </c>
    </row>
    <row r="11" spans="1:17" x14ac:dyDescent="0.2">
      <c r="B11" t="s">
        <v>29</v>
      </c>
      <c r="C11" t="s">
        <v>31</v>
      </c>
      <c r="D11" t="s">
        <v>31</v>
      </c>
      <c r="E11" t="s">
        <v>34</v>
      </c>
      <c r="G11" t="s">
        <v>35</v>
      </c>
      <c r="H11" s="4" t="s">
        <v>46</v>
      </c>
      <c r="K11" t="s">
        <v>29</v>
      </c>
      <c r="L11" t="s">
        <v>31</v>
      </c>
      <c r="M11" t="s">
        <v>31</v>
      </c>
      <c r="N11" t="s">
        <v>34</v>
      </c>
      <c r="O11" t="s">
        <v>38</v>
      </c>
      <c r="P11" t="s">
        <v>35</v>
      </c>
      <c r="Q11" s="4" t="s">
        <v>46</v>
      </c>
    </row>
    <row r="12" spans="1:17" x14ac:dyDescent="0.2">
      <c r="B12" t="s">
        <v>31</v>
      </c>
      <c r="E12" t="s">
        <v>35</v>
      </c>
      <c r="K12" t="s">
        <v>31</v>
      </c>
      <c r="L12" t="s">
        <v>33</v>
      </c>
      <c r="M12" t="s">
        <v>33</v>
      </c>
      <c r="N12" t="s">
        <v>35</v>
      </c>
      <c r="P12" t="s">
        <v>37</v>
      </c>
      <c r="Q12" s="4" t="s">
        <v>47</v>
      </c>
    </row>
    <row r="13" spans="1:17" x14ac:dyDescent="0.2">
      <c r="H13" s="4"/>
      <c r="K13" t="s">
        <v>33</v>
      </c>
      <c r="L13" t="s">
        <v>36</v>
      </c>
      <c r="M13" t="s">
        <v>36</v>
      </c>
      <c r="N13" t="s">
        <v>36</v>
      </c>
      <c r="Q13" s="4" t="s">
        <v>48</v>
      </c>
    </row>
    <row r="14" spans="1:17" x14ac:dyDescent="0.2">
      <c r="H14" s="4"/>
      <c r="K14" t="s">
        <v>36</v>
      </c>
      <c r="L14" t="s">
        <v>37</v>
      </c>
      <c r="M14" t="s">
        <v>37</v>
      </c>
      <c r="Q14" s="4" t="s">
        <v>49</v>
      </c>
    </row>
    <row r="15" spans="1:17" x14ac:dyDescent="0.2">
      <c r="H15" s="4"/>
      <c r="K15" t="s">
        <v>37</v>
      </c>
      <c r="Q15" s="4" t="s">
        <v>51</v>
      </c>
    </row>
    <row r="16" spans="1:17" ht="28.5" x14ac:dyDescent="0.2">
      <c r="H16" s="4"/>
      <c r="Q16" s="4" t="s">
        <v>52</v>
      </c>
    </row>
    <row r="17" spans="1:17" x14ac:dyDescent="0.2">
      <c r="H17" s="4"/>
      <c r="Q17" s="4"/>
    </row>
    <row r="18" spans="1:17" x14ac:dyDescent="0.2">
      <c r="A18">
        <v>10000</v>
      </c>
      <c r="B18">
        <f>VLOOKUP(B5,Sheet3!$D$2:$E$33,2,FALSE)</f>
        <v>1000</v>
      </c>
      <c r="C18">
        <f>VLOOKUP(C5,Sheet3!$D$2:$E$33,2,FALSE)</f>
        <v>1000</v>
      </c>
      <c r="D18">
        <f>VLOOKUP(D5,Sheet3!$D$2:$E$33,2,FALSE)</f>
        <v>1000</v>
      </c>
      <c r="E18">
        <f>VLOOKUP(E5,Sheet3!$D$2:$E$33,2,FALSE)</f>
        <v>1000</v>
      </c>
      <c r="F18">
        <f>VLOOKUP(F5,Sheet3!$D$2:$E$33,2,FALSE)</f>
        <v>1000</v>
      </c>
      <c r="G18">
        <f>VLOOKUP(G5,Sheet3!$D$2:$E$33,2,FALSE)</f>
        <v>1000</v>
      </c>
      <c r="H18">
        <f>VLOOKUP(H5,Sheet3!$D$2:$E$33,2,FALSE)</f>
        <v>1100</v>
      </c>
      <c r="J18">
        <v>10000</v>
      </c>
      <c r="K18">
        <f>VLOOKUP(K5,Sheet3!$D$2:$E$33,2,FALSE)</f>
        <v>1000</v>
      </c>
      <c r="L18">
        <f>VLOOKUP(L5,Sheet3!$D$2:$E$33,2,FALSE)</f>
        <v>1000</v>
      </c>
      <c r="M18">
        <f>VLOOKUP(M5,Sheet3!$D$2:$E$33,2,FALSE)</f>
        <v>1000</v>
      </c>
      <c r="N18">
        <f>VLOOKUP(N5,Sheet3!$D$2:$E$33,2,FALSE)</f>
        <v>1000</v>
      </c>
      <c r="O18">
        <f>VLOOKUP(O5,Sheet3!$D$2:$E$33,2,FALSE)</f>
        <v>1000</v>
      </c>
      <c r="P18">
        <f>VLOOKUP(P5,Sheet3!$D$2:$E$33,2,FALSE)</f>
        <v>1000</v>
      </c>
      <c r="Q18">
        <f>VLOOKUP(Q5,Sheet3!$D$2:$E$33,2,FALSE)</f>
        <v>1100</v>
      </c>
    </row>
    <row r="19" spans="1:17" x14ac:dyDescent="0.2">
      <c r="A19">
        <v>7200</v>
      </c>
      <c r="B19">
        <f>VLOOKUP(B6,Sheet3!$D$2:$E$33,2,FALSE)</f>
        <v>1006</v>
      </c>
      <c r="C19">
        <f>VLOOKUP(C6,Sheet3!$D$2:$E$33,2,FALSE)</f>
        <v>1006</v>
      </c>
      <c r="D19">
        <f>VLOOKUP(D6,Sheet3!$D$2:$E$33,2,FALSE)</f>
        <v>1006</v>
      </c>
      <c r="E19">
        <f>VLOOKUP(E6,Sheet3!$D$2:$E$33,2,FALSE)</f>
        <v>1006</v>
      </c>
      <c r="F19">
        <f>VLOOKUP(F6,Sheet3!$D$2:$E$33,2,FALSE)</f>
        <v>1006</v>
      </c>
      <c r="G19">
        <f>VLOOKUP(G6,Sheet3!$D$2:$E$33,2,FALSE)</f>
        <v>1006</v>
      </c>
      <c r="H19">
        <f>VLOOKUP(H6,Sheet3!$D$2:$E$33,2,FALSE)</f>
        <v>1101</v>
      </c>
      <c r="J19">
        <v>7200</v>
      </c>
      <c r="K19">
        <f>VLOOKUP(K6,Sheet3!$D$2:$E$33,2,FALSE)</f>
        <v>1006</v>
      </c>
      <c r="L19">
        <f>VLOOKUP(L6,Sheet3!$D$2:$E$33,2,FALSE)</f>
        <v>1006</v>
      </c>
      <c r="M19">
        <f>VLOOKUP(M6,Sheet3!$D$2:$E$33,2,FALSE)</f>
        <v>1006</v>
      </c>
      <c r="N19">
        <f>VLOOKUP(N6,Sheet3!$D$2:$E$33,2,FALSE)</f>
        <v>1006</v>
      </c>
      <c r="O19">
        <f>VLOOKUP(O6,Sheet3!$D$2:$E$33,2,FALSE)</f>
        <v>1006</v>
      </c>
      <c r="P19">
        <f>VLOOKUP(P6,Sheet3!$D$2:$E$33,2,FALSE)</f>
        <v>1006</v>
      </c>
      <c r="Q19">
        <f>VLOOKUP(Q6,Sheet3!$D$2:$E$33,2,FALSE)</f>
        <v>1101</v>
      </c>
    </row>
    <row r="20" spans="1:17" x14ac:dyDescent="0.2">
      <c r="A20">
        <v>5800</v>
      </c>
      <c r="B20">
        <f>VLOOKUP(B7,Sheet3!$D$2:$E$33,2,FALSE)</f>
        <v>1007</v>
      </c>
      <c r="C20">
        <f>VLOOKUP(C7,Sheet3!$D$2:$E$33,2,FALSE)</f>
        <v>1007</v>
      </c>
      <c r="D20">
        <f>VLOOKUP(D7,Sheet3!$D$2:$E$33,2,FALSE)</f>
        <v>1007</v>
      </c>
      <c r="E20">
        <f>VLOOKUP(E7,Sheet3!$D$2:$E$33,2,FALSE)</f>
        <v>1007</v>
      </c>
      <c r="F20">
        <f>VLOOKUP(F7,Sheet3!$D$2:$E$33,2,FALSE)</f>
        <v>1007</v>
      </c>
      <c r="G20">
        <f>VLOOKUP(G7,Sheet3!$D$2:$E$33,2,FALSE)</f>
        <v>1007</v>
      </c>
      <c r="H20">
        <f>VLOOKUP(H7,Sheet3!$D$2:$E$33,2,FALSE)</f>
        <v>1103</v>
      </c>
      <c r="J20">
        <v>5800</v>
      </c>
      <c r="K20">
        <f>VLOOKUP(K7,Sheet3!$D$2:$E$33,2,FALSE)</f>
        <v>1007</v>
      </c>
      <c r="L20">
        <f>VLOOKUP(L7,Sheet3!$D$2:$E$33,2,FALSE)</f>
        <v>1007</v>
      </c>
      <c r="M20">
        <f>VLOOKUP(M7,Sheet3!$D$2:$E$33,2,FALSE)</f>
        <v>1007</v>
      </c>
      <c r="N20">
        <f>VLOOKUP(N7,Sheet3!$D$2:$E$33,2,FALSE)</f>
        <v>1007</v>
      </c>
      <c r="O20">
        <f>VLOOKUP(O7,Sheet3!$D$2:$E$33,2,FALSE)</f>
        <v>1007</v>
      </c>
      <c r="P20">
        <f>VLOOKUP(P7,Sheet3!$D$2:$E$33,2,FALSE)</f>
        <v>1007</v>
      </c>
      <c r="Q20">
        <f>VLOOKUP(Q7,Sheet3!$D$2:$E$33,2,FALSE)</f>
        <v>1103</v>
      </c>
    </row>
    <row r="21" spans="1:17" x14ac:dyDescent="0.2">
      <c r="A21">
        <v>4400</v>
      </c>
      <c r="B21">
        <f>VLOOKUP(B8,Sheet3!$D$2:$E$33,2,FALSE)</f>
        <v>1009</v>
      </c>
      <c r="C21">
        <f>VLOOKUP(C8,Sheet3!$D$2:$E$33,2,FALSE)</f>
        <v>1009</v>
      </c>
      <c r="D21">
        <f>VLOOKUP(D8,Sheet3!$D$2:$E$33,2,FALSE)</f>
        <v>1009</v>
      </c>
      <c r="E21">
        <f>VLOOKUP(E8,Sheet3!$D$2:$E$33,2,FALSE)</f>
        <v>1009</v>
      </c>
      <c r="F21">
        <f>VLOOKUP(F8,Sheet3!$D$2:$E$33,2,FALSE)</f>
        <v>1009</v>
      </c>
      <c r="G21">
        <f>VLOOKUP(G8,Sheet3!$D$2:$E$33,2,FALSE)</f>
        <v>1009</v>
      </c>
      <c r="H21">
        <f>VLOOKUP(H8,Sheet3!$D$2:$E$33,2,FALSE)</f>
        <v>1105</v>
      </c>
      <c r="J21">
        <v>4400</v>
      </c>
      <c r="K21">
        <f>VLOOKUP(K8,Sheet3!$D$2:$E$33,2,FALSE)</f>
        <v>1009</v>
      </c>
      <c r="L21">
        <f>VLOOKUP(L8,Sheet3!$D$2:$E$33,2,FALSE)</f>
        <v>1009</v>
      </c>
      <c r="M21">
        <f>VLOOKUP(M8,Sheet3!$D$2:$E$33,2,FALSE)</f>
        <v>1009</v>
      </c>
      <c r="N21">
        <f>VLOOKUP(N8,Sheet3!$D$2:$E$33,2,FALSE)</f>
        <v>1009</v>
      </c>
      <c r="O21">
        <f>VLOOKUP(O8,Sheet3!$D$2:$E$33,2,FALSE)</f>
        <v>1009</v>
      </c>
      <c r="P21">
        <f>VLOOKUP(P8,Sheet3!$D$2:$E$33,2,FALSE)</f>
        <v>1009</v>
      </c>
      <c r="Q21">
        <f>VLOOKUP(Q8,Sheet3!$D$2:$E$33,2,FALSE)</f>
        <v>1105</v>
      </c>
    </row>
    <row r="22" spans="1:17" x14ac:dyDescent="0.2">
      <c r="A22">
        <v>3000</v>
      </c>
      <c r="B22">
        <f>VLOOKUP(B9,Sheet3!$D$2:$E$33,2,FALSE)</f>
        <v>1010</v>
      </c>
      <c r="C22">
        <f>VLOOKUP(C9,Sheet3!$D$2:$E$33,2,FALSE)</f>
        <v>1010</v>
      </c>
      <c r="D22">
        <f>VLOOKUP(D9,Sheet3!$D$2:$E$33,2,FALSE)</f>
        <v>1010</v>
      </c>
      <c r="E22">
        <f>VLOOKUP(E9,Sheet3!$D$2:$E$33,2,FALSE)</f>
        <v>1011</v>
      </c>
      <c r="F22">
        <f>VLOOKUP(F9,Sheet3!$D$2:$E$33,2,FALSE)</f>
        <v>1020</v>
      </c>
      <c r="G22">
        <f>VLOOKUP(G9,Sheet3!$D$2:$E$33,2,FALSE)</f>
        <v>1014</v>
      </c>
      <c r="H22">
        <f>VLOOKUP(H9,Sheet3!$D$2:$E$33,2,FALSE)</f>
        <v>1109</v>
      </c>
      <c r="J22">
        <v>3000</v>
      </c>
      <c r="K22">
        <f>VLOOKUP(K9,Sheet3!$D$2:$E$33,2,FALSE)</f>
        <v>1010</v>
      </c>
      <c r="L22">
        <f>VLOOKUP(L9,Sheet3!$D$2:$E$33,2,FALSE)</f>
        <v>1010</v>
      </c>
      <c r="M22">
        <f>VLOOKUP(M9,Sheet3!$D$2:$E$33,2,FALSE)</f>
        <v>1010</v>
      </c>
      <c r="N22">
        <f>VLOOKUP(N9,Sheet3!$D$2:$E$33,2,FALSE)</f>
        <v>1011</v>
      </c>
      <c r="O22">
        <f>VLOOKUP(O9,Sheet3!$D$2:$E$33,2,FALSE)</f>
        <v>1020</v>
      </c>
      <c r="P22">
        <f>VLOOKUP(P9,Sheet3!$D$2:$E$33,2,FALSE)</f>
        <v>1014</v>
      </c>
      <c r="Q22">
        <f>VLOOKUP(Q9,Sheet3!$D$2:$E$33,2,FALSE)</f>
        <v>1109</v>
      </c>
    </row>
    <row r="23" spans="1:17" x14ac:dyDescent="0.2">
      <c r="A23">
        <v>1600</v>
      </c>
      <c r="B23">
        <f>VLOOKUP(B10,Sheet3!$D$2:$E$33,2,FALSE)</f>
        <v>1011</v>
      </c>
      <c r="C23">
        <f>VLOOKUP(C10,Sheet3!$D$2:$E$33,2,FALSE)</f>
        <v>1011</v>
      </c>
      <c r="D23">
        <f>VLOOKUP(D10,Sheet3!$D$2:$E$33,2,FALSE)</f>
        <v>1011</v>
      </c>
      <c r="E23">
        <f>VLOOKUP(E10,Sheet3!$D$2:$E$33,2,FALSE)</f>
        <v>1014</v>
      </c>
      <c r="G23">
        <f>VLOOKUP(G10,Sheet3!$D$2:$E$33,2,FALSE)</f>
        <v>1016</v>
      </c>
      <c r="H23">
        <f>VLOOKUP(H10,Sheet3!$D$2:$E$33,2,FALSE)</f>
        <v>1110</v>
      </c>
      <c r="J23">
        <v>1600</v>
      </c>
      <c r="K23">
        <f>VLOOKUP(K10,Sheet3!$D$2:$E$33,2,FALSE)</f>
        <v>1011</v>
      </c>
      <c r="L23">
        <f>VLOOKUP(L10,Sheet3!$D$2:$E$33,2,FALSE)</f>
        <v>1011</v>
      </c>
      <c r="M23">
        <f>VLOOKUP(M10,Sheet3!$D$2:$E$33,2,FALSE)</f>
        <v>1011</v>
      </c>
      <c r="N23">
        <f>VLOOKUP(N10,Sheet3!$D$2:$E$33,2,FALSE)</f>
        <v>1014</v>
      </c>
      <c r="O23">
        <f>VLOOKUP(O10,Sheet3!$D$2:$E$33,2,FALSE)</f>
        <v>1022</v>
      </c>
      <c r="P23">
        <f>VLOOKUP(P10,Sheet3!$D$2:$E$33,2,FALSE)</f>
        <v>1016</v>
      </c>
      <c r="Q23">
        <f>VLOOKUP(Q10,Sheet3!$D$2:$E$33,2,FALSE)</f>
        <v>1110</v>
      </c>
    </row>
    <row r="24" spans="1:17" x14ac:dyDescent="0.2">
      <c r="A24">
        <v>1600</v>
      </c>
      <c r="B24">
        <f>VLOOKUP(B11,Sheet3!$D$2:$E$33,2,FALSE)</f>
        <v>1014</v>
      </c>
      <c r="C24">
        <f>VLOOKUP(C11,Sheet3!$D$2:$E$33,2,FALSE)</f>
        <v>1016</v>
      </c>
      <c r="D24">
        <f>VLOOKUP(D11,Sheet3!$D$2:$E$33,2,FALSE)</f>
        <v>1016</v>
      </c>
      <c r="E24">
        <f>VLOOKUP(E11,Sheet3!$D$2:$E$33,2,FALSE)</f>
        <v>1020</v>
      </c>
      <c r="G24">
        <f>VLOOKUP(G11,Sheet3!$D$2:$E$33,2,FALSE)</f>
        <v>1021</v>
      </c>
      <c r="H24">
        <f>VLOOKUP(H11,Sheet3!$D$2:$E$33,2,FALSE)</f>
        <v>1111</v>
      </c>
      <c r="J24">
        <v>1600</v>
      </c>
      <c r="K24">
        <f>VLOOKUP(K11,Sheet3!$D$2:$E$33,2,FALSE)</f>
        <v>1014</v>
      </c>
      <c r="L24">
        <f>VLOOKUP(L11,Sheet3!$D$2:$E$33,2,FALSE)</f>
        <v>1016</v>
      </c>
      <c r="M24">
        <f>VLOOKUP(M11,Sheet3!$D$2:$E$33,2,FALSE)</f>
        <v>1016</v>
      </c>
      <c r="N24">
        <f>VLOOKUP(N11,Sheet3!$D$2:$E$33,2,FALSE)</f>
        <v>1020</v>
      </c>
      <c r="O24">
        <f>VLOOKUP(O11,Sheet3!$D$2:$E$33,2,FALSE)</f>
        <v>1024</v>
      </c>
      <c r="P24">
        <f>VLOOKUP(P11,Sheet3!$D$2:$E$33,2,FALSE)</f>
        <v>1021</v>
      </c>
      <c r="Q24">
        <f>VLOOKUP(Q11,Sheet3!$D$2:$E$33,2,FALSE)</f>
        <v>1111</v>
      </c>
    </row>
    <row r="25" spans="1:17" x14ac:dyDescent="0.2">
      <c r="A25">
        <v>1600</v>
      </c>
      <c r="B25">
        <f>VLOOKUP(B12,Sheet3!$D$2:$E$33,2,FALSE)</f>
        <v>1016</v>
      </c>
      <c r="E25">
        <f>VLOOKUP(E12,Sheet3!$D$2:$E$33,2,FALSE)</f>
        <v>1021</v>
      </c>
      <c r="J25">
        <v>1600</v>
      </c>
      <c r="K25">
        <f>VLOOKUP(K12,Sheet3!$D$2:$E$33,2,FALSE)</f>
        <v>1016</v>
      </c>
      <c r="L25">
        <f>VLOOKUP(L12,Sheet3!$D$2:$E$33,2,FALSE)</f>
        <v>1018</v>
      </c>
      <c r="M25">
        <f>VLOOKUP(M12,Sheet3!$D$2:$E$33,2,FALSE)</f>
        <v>1018</v>
      </c>
      <c r="N25">
        <f>VLOOKUP(N12,Sheet3!$D$2:$E$33,2,FALSE)</f>
        <v>1021</v>
      </c>
      <c r="P25">
        <f>VLOOKUP(P12,Sheet3!$D$2:$E$33,2,FALSE)</f>
        <v>1023</v>
      </c>
      <c r="Q25">
        <f>VLOOKUP(Q12,Sheet3!$D$2:$E$33,2,FALSE)</f>
        <v>1112</v>
      </c>
    </row>
    <row r="26" spans="1:17" x14ac:dyDescent="0.2">
      <c r="H26" s="4"/>
      <c r="J26">
        <v>1600</v>
      </c>
      <c r="K26">
        <f>VLOOKUP(K13,Sheet3!$D$2:$E$33,2,FALSE)</f>
        <v>1018</v>
      </c>
      <c r="L26">
        <f>VLOOKUP(L13,Sheet3!$D$2:$E$33,2,FALSE)</f>
        <v>1022</v>
      </c>
      <c r="M26">
        <f>VLOOKUP(M13,Sheet3!$D$2:$E$33,2,FALSE)</f>
        <v>1022</v>
      </c>
      <c r="N26">
        <f>VLOOKUP(N13,Sheet3!$D$2:$E$33,2,FALSE)</f>
        <v>1022</v>
      </c>
      <c r="Q26">
        <f>VLOOKUP(Q13,Sheet3!$D$2:$E$33,2,FALSE)</f>
        <v>1113</v>
      </c>
    </row>
    <row r="27" spans="1:17" x14ac:dyDescent="0.2">
      <c r="J27">
        <v>1600</v>
      </c>
      <c r="K27">
        <f>VLOOKUP(K14,Sheet3!$D$2:$E$33,2,FALSE)</f>
        <v>1022</v>
      </c>
      <c r="L27">
        <f>VLOOKUP(L14,Sheet3!$D$2:$E$33,2,FALSE)</f>
        <v>1023</v>
      </c>
      <c r="M27">
        <f>VLOOKUP(M14,Sheet3!$D$2:$E$33,2,FALSE)</f>
        <v>1023</v>
      </c>
      <c r="Q27">
        <f>VLOOKUP(Q14,Sheet3!$D$2:$E$33,2,FALSE)</f>
        <v>1114</v>
      </c>
    </row>
    <row r="28" spans="1:17" x14ac:dyDescent="0.2">
      <c r="J28">
        <v>1600</v>
      </c>
      <c r="K28">
        <f>VLOOKUP(K15,Sheet3!$D$2:$E$33,2,FALSE)</f>
        <v>1023</v>
      </c>
      <c r="Q28">
        <f>VLOOKUP(Q15,Sheet3!$D$2:$E$33,2,FALSE)</f>
        <v>1116</v>
      </c>
    </row>
    <row r="29" spans="1:17" x14ac:dyDescent="0.2">
      <c r="Q29">
        <f>VLOOKUP(Q16,Sheet3!$D$2:$E$33,2,FALSE)</f>
        <v>1117</v>
      </c>
    </row>
    <row r="34" spans="1:17" x14ac:dyDescent="0.2">
      <c r="A34" t="s">
        <v>55</v>
      </c>
      <c r="J34" t="s">
        <v>56</v>
      </c>
    </row>
    <row r="35" spans="1:17" x14ac:dyDescent="0.2">
      <c r="B35" t="s">
        <v>7</v>
      </c>
      <c r="C35" t="s">
        <v>8</v>
      </c>
      <c r="D35" t="s">
        <v>9</v>
      </c>
      <c r="E35" t="s">
        <v>10</v>
      </c>
      <c r="F35" t="s">
        <v>11</v>
      </c>
      <c r="G35" t="s">
        <v>12</v>
      </c>
      <c r="H35" t="s">
        <v>15</v>
      </c>
      <c r="K35" t="s">
        <v>7</v>
      </c>
      <c r="L35" t="s">
        <v>8</v>
      </c>
      <c r="M35" t="s">
        <v>9</v>
      </c>
      <c r="N35" t="s">
        <v>10</v>
      </c>
      <c r="O35" t="s">
        <v>11</v>
      </c>
      <c r="P35" t="s">
        <v>12</v>
      </c>
      <c r="Q35" t="s">
        <v>15</v>
      </c>
    </row>
    <row r="37" spans="1:17" ht="15" x14ac:dyDescent="0.2">
      <c r="B37" s="2" t="s">
        <v>22</v>
      </c>
      <c r="C37" s="2" t="s">
        <v>22</v>
      </c>
      <c r="D37" s="2" t="s">
        <v>22</v>
      </c>
      <c r="E37" s="2" t="s">
        <v>22</v>
      </c>
      <c r="F37" s="2" t="s">
        <v>22</v>
      </c>
      <c r="G37" s="2" t="s">
        <v>22</v>
      </c>
      <c r="H37" s="4" t="s">
        <v>39</v>
      </c>
      <c r="K37" s="2" t="s">
        <v>22</v>
      </c>
      <c r="L37" s="2" t="s">
        <v>22</v>
      </c>
      <c r="M37" s="2" t="s">
        <v>22</v>
      </c>
      <c r="N37" s="2" t="s">
        <v>22</v>
      </c>
      <c r="O37" s="2" t="s">
        <v>22</v>
      </c>
      <c r="P37" s="2" t="s">
        <v>22</v>
      </c>
      <c r="Q37" s="4" t="s">
        <v>39</v>
      </c>
    </row>
    <row r="38" spans="1:17" x14ac:dyDescent="0.2">
      <c r="B38" s="3" t="s">
        <v>23</v>
      </c>
      <c r="C38" s="3" t="s">
        <v>23</v>
      </c>
      <c r="D38" s="3" t="s">
        <v>23</v>
      </c>
      <c r="E38" s="3" t="s">
        <v>23</v>
      </c>
      <c r="F38" s="3" t="s">
        <v>23</v>
      </c>
      <c r="G38" s="3" t="s">
        <v>23</v>
      </c>
      <c r="H38" s="4" t="s">
        <v>40</v>
      </c>
      <c r="K38" t="s">
        <v>25</v>
      </c>
      <c r="L38" t="s">
        <v>25</v>
      </c>
      <c r="M38" t="s">
        <v>25</v>
      </c>
      <c r="N38" t="s">
        <v>25</v>
      </c>
      <c r="O38" t="s">
        <v>25</v>
      </c>
      <c r="P38" t="s">
        <v>25</v>
      </c>
      <c r="Q38" s="4" t="s">
        <v>42</v>
      </c>
    </row>
    <row r="39" spans="1:17" x14ac:dyDescent="0.2">
      <c r="B39" s="3" t="s">
        <v>24</v>
      </c>
      <c r="C39" s="3" t="s">
        <v>24</v>
      </c>
      <c r="D39" s="3" t="s">
        <v>24</v>
      </c>
      <c r="E39" s="3" t="s">
        <v>24</v>
      </c>
      <c r="F39" s="3" t="s">
        <v>24</v>
      </c>
      <c r="G39" s="3" t="s">
        <v>24</v>
      </c>
      <c r="H39" s="4" t="s">
        <v>41</v>
      </c>
      <c r="K39" t="s">
        <v>26</v>
      </c>
      <c r="L39" t="s">
        <v>26</v>
      </c>
      <c r="M39" t="s">
        <v>26</v>
      </c>
      <c r="N39" t="s">
        <v>27</v>
      </c>
      <c r="O39" t="s">
        <v>30</v>
      </c>
      <c r="P39" t="s">
        <v>30</v>
      </c>
      <c r="Q39" s="4" t="s">
        <v>43</v>
      </c>
    </row>
    <row r="40" spans="1:17" x14ac:dyDescent="0.2">
      <c r="B40" t="s">
        <v>25</v>
      </c>
      <c r="C40" t="s">
        <v>25</v>
      </c>
      <c r="D40" t="s">
        <v>25</v>
      </c>
      <c r="E40" t="s">
        <v>25</v>
      </c>
      <c r="F40" t="s">
        <v>25</v>
      </c>
      <c r="G40" t="s">
        <v>25</v>
      </c>
      <c r="H40" s="4" t="s">
        <v>42</v>
      </c>
      <c r="K40" t="s">
        <v>27</v>
      </c>
      <c r="L40" t="s">
        <v>27</v>
      </c>
      <c r="M40" t="s">
        <v>27</v>
      </c>
      <c r="O40" t="s">
        <v>28</v>
      </c>
      <c r="P40" t="s">
        <v>32</v>
      </c>
      <c r="Q40" s="4" t="s">
        <v>44</v>
      </c>
    </row>
    <row r="41" spans="1:17" x14ac:dyDescent="0.2">
      <c r="B41" t="s">
        <v>26</v>
      </c>
      <c r="C41" t="s">
        <v>26</v>
      </c>
      <c r="D41" t="s">
        <v>26</v>
      </c>
      <c r="E41" t="s">
        <v>27</v>
      </c>
      <c r="F41" t="s">
        <v>34</v>
      </c>
      <c r="G41" t="s">
        <v>29</v>
      </c>
      <c r="H41" s="4" t="s">
        <v>44</v>
      </c>
      <c r="K41" t="s">
        <v>32</v>
      </c>
      <c r="L41" t="s">
        <v>32</v>
      </c>
      <c r="M41" t="s">
        <v>32</v>
      </c>
      <c r="Q41" s="4" t="s">
        <v>50</v>
      </c>
    </row>
    <row r="42" spans="1:17" x14ac:dyDescent="0.2">
      <c r="B42" t="s">
        <v>27</v>
      </c>
      <c r="C42" t="s">
        <v>27</v>
      </c>
      <c r="D42" t="s">
        <v>27</v>
      </c>
      <c r="E42" t="s">
        <v>29</v>
      </c>
      <c r="G42" t="s">
        <v>31</v>
      </c>
      <c r="H42" s="4" t="s">
        <v>45</v>
      </c>
      <c r="J42" t="s">
        <v>66</v>
      </c>
    </row>
    <row r="43" spans="1:17" x14ac:dyDescent="0.2">
      <c r="B43" t="s">
        <v>29</v>
      </c>
      <c r="C43" t="s">
        <v>31</v>
      </c>
      <c r="D43" t="s">
        <v>31</v>
      </c>
      <c r="E43" t="s">
        <v>34</v>
      </c>
      <c r="G43" t="s">
        <v>35</v>
      </c>
      <c r="H43" s="4" t="s">
        <v>46</v>
      </c>
      <c r="J43" t="s">
        <v>66</v>
      </c>
      <c r="Q43" s="4"/>
    </row>
    <row r="44" spans="1:17" x14ac:dyDescent="0.2">
      <c r="B44" t="s">
        <v>31</v>
      </c>
      <c r="E44" t="s">
        <v>35</v>
      </c>
      <c r="J44" t="s">
        <v>66</v>
      </c>
      <c r="Q44" s="4"/>
    </row>
    <row r="45" spans="1:17" x14ac:dyDescent="0.2">
      <c r="H45" s="4"/>
      <c r="Q45" s="4"/>
    </row>
    <row r="46" spans="1:17" x14ac:dyDescent="0.2">
      <c r="H46" s="4"/>
      <c r="Q46" s="4"/>
    </row>
    <row r="47" spans="1:17" x14ac:dyDescent="0.2">
      <c r="H47" s="4"/>
      <c r="Q47" s="4"/>
    </row>
    <row r="48" spans="1:17" x14ac:dyDescent="0.2">
      <c r="H48" s="4"/>
    </row>
    <row r="49" spans="1:17" x14ac:dyDescent="0.2">
      <c r="H49" s="4"/>
      <c r="Q49" s="4"/>
    </row>
    <row r="50" spans="1:17" x14ac:dyDescent="0.2">
      <c r="A50">
        <v>10000</v>
      </c>
      <c r="B50">
        <f>VLOOKUP(B37,Sheet3!$D$2:$E$33,2,FALSE)</f>
        <v>1000</v>
      </c>
      <c r="C50">
        <f>VLOOKUP(C37,Sheet3!$D$2:$E$33,2,FALSE)</f>
        <v>1000</v>
      </c>
      <c r="D50">
        <f>VLOOKUP(D37,Sheet3!$D$2:$E$33,2,FALSE)</f>
        <v>1000</v>
      </c>
      <c r="E50">
        <f>VLOOKUP(E37,Sheet3!$D$2:$E$33,2,FALSE)</f>
        <v>1000</v>
      </c>
      <c r="F50">
        <f>VLOOKUP(F37,Sheet3!$D$2:$E$33,2,FALSE)</f>
        <v>1000</v>
      </c>
      <c r="G50">
        <f>VLOOKUP(G37,Sheet3!$D$2:$E$33,2,FALSE)</f>
        <v>1000</v>
      </c>
      <c r="H50">
        <f>VLOOKUP(H37,Sheet3!$D$2:$E$33,2,FALSE)</f>
        <v>1100</v>
      </c>
      <c r="J50">
        <v>10000</v>
      </c>
      <c r="K50">
        <f>VLOOKUP(K37,Sheet3!$D$2:$E$33,2,FALSE)</f>
        <v>1000</v>
      </c>
      <c r="L50">
        <f>VLOOKUP(L37,Sheet3!$D$2:$E$33,2,FALSE)</f>
        <v>1000</v>
      </c>
      <c r="M50">
        <f>VLOOKUP(M37,Sheet3!$D$2:$E$33,2,FALSE)</f>
        <v>1000</v>
      </c>
      <c r="N50">
        <f>VLOOKUP(N37,Sheet3!$D$2:$E$33,2,FALSE)</f>
        <v>1000</v>
      </c>
      <c r="O50">
        <f>VLOOKUP(O37,Sheet3!$D$2:$E$33,2,FALSE)</f>
        <v>1000</v>
      </c>
      <c r="P50">
        <f>VLOOKUP(P37,Sheet3!$D$2:$E$33,2,FALSE)</f>
        <v>1000</v>
      </c>
      <c r="Q50">
        <f>VLOOKUP(Q37,Sheet3!$D$2:$E$33,2,FALSE)</f>
        <v>1100</v>
      </c>
    </row>
    <row r="51" spans="1:17" x14ac:dyDescent="0.2">
      <c r="A51">
        <v>7200</v>
      </c>
      <c r="B51">
        <f>VLOOKUP(B38,Sheet3!$D$2:$E$33,2,FALSE)</f>
        <v>1006</v>
      </c>
      <c r="C51">
        <f>VLOOKUP(C38,Sheet3!$D$2:$E$33,2,FALSE)</f>
        <v>1006</v>
      </c>
      <c r="D51">
        <f>VLOOKUP(D38,Sheet3!$D$2:$E$33,2,FALSE)</f>
        <v>1006</v>
      </c>
      <c r="E51">
        <f>VLOOKUP(E38,Sheet3!$D$2:$E$33,2,FALSE)</f>
        <v>1006</v>
      </c>
      <c r="F51">
        <f>VLOOKUP(F38,Sheet3!$D$2:$E$33,2,FALSE)</f>
        <v>1006</v>
      </c>
      <c r="G51">
        <f>VLOOKUP(G38,Sheet3!$D$2:$E$33,2,FALSE)</f>
        <v>1006</v>
      </c>
      <c r="H51">
        <f>VLOOKUP(H38,Sheet3!$D$2:$E$33,2,FALSE)</f>
        <v>1101</v>
      </c>
      <c r="J51">
        <v>5800</v>
      </c>
      <c r="K51">
        <f>VLOOKUP(K38,Sheet3!$D$2:$E$33,2,FALSE)</f>
        <v>1009</v>
      </c>
      <c r="L51">
        <f>VLOOKUP(L38,Sheet3!$D$2:$E$33,2,FALSE)</f>
        <v>1009</v>
      </c>
      <c r="M51">
        <f>VLOOKUP(M38,Sheet3!$D$2:$E$33,2,FALSE)</f>
        <v>1009</v>
      </c>
      <c r="N51">
        <f>VLOOKUP(N38,Sheet3!$D$2:$E$33,2,FALSE)</f>
        <v>1009</v>
      </c>
      <c r="O51">
        <f>VLOOKUP(O38,Sheet3!$D$2:$E$33,2,FALSE)</f>
        <v>1009</v>
      </c>
      <c r="P51">
        <f>VLOOKUP(P38,Sheet3!$D$2:$E$33,2,FALSE)</f>
        <v>1009</v>
      </c>
      <c r="Q51">
        <f>VLOOKUP(Q38,Sheet3!$D$2:$E$33,2,FALSE)</f>
        <v>1105</v>
      </c>
    </row>
    <row r="52" spans="1:17" x14ac:dyDescent="0.2">
      <c r="A52">
        <v>5800</v>
      </c>
      <c r="B52">
        <f>VLOOKUP(B39,Sheet3!$D$2:$E$33,2,FALSE)</f>
        <v>1007</v>
      </c>
      <c r="C52">
        <f>VLOOKUP(C39,Sheet3!$D$2:$E$33,2,FALSE)</f>
        <v>1007</v>
      </c>
      <c r="D52">
        <f>VLOOKUP(D39,Sheet3!$D$2:$E$33,2,FALSE)</f>
        <v>1007</v>
      </c>
      <c r="E52">
        <f>VLOOKUP(E39,Sheet3!$D$2:$E$33,2,FALSE)</f>
        <v>1007</v>
      </c>
      <c r="F52">
        <f>VLOOKUP(F39,Sheet3!$D$2:$E$33,2,FALSE)</f>
        <v>1007</v>
      </c>
      <c r="G52">
        <f>VLOOKUP(G39,Sheet3!$D$2:$E$33,2,FALSE)</f>
        <v>1007</v>
      </c>
      <c r="H52">
        <f>VLOOKUP(H39,Sheet3!$D$2:$E$33,2,FALSE)</f>
        <v>1103</v>
      </c>
      <c r="J52">
        <v>4400</v>
      </c>
      <c r="K52">
        <f>VLOOKUP(K39,Sheet3!$D$2:$E$33,2,FALSE)</f>
        <v>1010</v>
      </c>
      <c r="L52">
        <f>VLOOKUP(L39,Sheet3!$D$2:$E$33,2,FALSE)</f>
        <v>1010</v>
      </c>
      <c r="M52">
        <f>VLOOKUP(M39,Sheet3!$D$2:$E$33,2,FALSE)</f>
        <v>1010</v>
      </c>
      <c r="N52">
        <f>VLOOKUP(N39,Sheet3!$D$2:$E$33,2,FALSE)</f>
        <v>1011</v>
      </c>
      <c r="O52">
        <f>VLOOKUP(O40,Sheet3!$D$2:$E$33,2,FALSE)</f>
        <v>1013</v>
      </c>
      <c r="P52">
        <f>VLOOKUP(P39,Sheet3!$D$2:$E$33,2,FALSE)</f>
        <v>1015</v>
      </c>
      <c r="Q52">
        <f>VLOOKUP(Q39,Sheet3!$D$2:$E$33,2,FALSE)</f>
        <v>1106</v>
      </c>
    </row>
    <row r="53" spans="1:17" x14ac:dyDescent="0.2">
      <c r="A53">
        <v>4400</v>
      </c>
      <c r="B53">
        <f>VLOOKUP(B40,Sheet3!$D$2:$E$33,2,FALSE)</f>
        <v>1009</v>
      </c>
      <c r="C53">
        <f>VLOOKUP(C40,Sheet3!$D$2:$E$33,2,FALSE)</f>
        <v>1009</v>
      </c>
      <c r="D53">
        <f>VLOOKUP(D40,Sheet3!$D$2:$E$33,2,FALSE)</f>
        <v>1009</v>
      </c>
      <c r="E53">
        <f>VLOOKUP(E40,Sheet3!$D$2:$E$33,2,FALSE)</f>
        <v>1009</v>
      </c>
      <c r="F53">
        <f>VLOOKUP(F40,Sheet3!$D$2:$E$33,2,FALSE)</f>
        <v>1009</v>
      </c>
      <c r="G53">
        <f>VLOOKUP(G40,Sheet3!$D$2:$E$33,2,FALSE)</f>
        <v>1009</v>
      </c>
      <c r="H53">
        <f>VLOOKUP(H40,Sheet3!$D$2:$E$33,2,FALSE)</f>
        <v>1105</v>
      </c>
      <c r="J53">
        <v>3000</v>
      </c>
      <c r="K53">
        <f>VLOOKUP(K40,Sheet3!$D$2:$E$33,2,FALSE)</f>
        <v>1011</v>
      </c>
      <c r="L53">
        <f>VLOOKUP(L40,Sheet3!$D$2:$E$33,2,FALSE)</f>
        <v>1011</v>
      </c>
      <c r="M53">
        <f>VLOOKUP(M40,Sheet3!$D$2:$E$33,2,FALSE)</f>
        <v>1011</v>
      </c>
      <c r="O53">
        <f>VLOOKUP(O39,Sheet3!$D$2:$E$33,2,FALSE)</f>
        <v>1015</v>
      </c>
      <c r="P53">
        <f>VLOOKUP(P40,Sheet3!$D$2:$E$33,2,FALSE)</f>
        <v>1017</v>
      </c>
      <c r="Q53">
        <f>VLOOKUP(Q40,Sheet3!$D$2:$E$33,2,FALSE)</f>
        <v>1109</v>
      </c>
    </row>
    <row r="54" spans="1:17" x14ac:dyDescent="0.2">
      <c r="A54">
        <v>3000</v>
      </c>
      <c r="B54">
        <f>VLOOKUP(B41,Sheet3!$D$2:$E$33,2,FALSE)</f>
        <v>1010</v>
      </c>
      <c r="C54">
        <f>VLOOKUP(C41,Sheet3!$D$2:$E$33,2,FALSE)</f>
        <v>1010</v>
      </c>
      <c r="D54">
        <f>VLOOKUP(D41,Sheet3!$D$2:$E$33,2,FALSE)</f>
        <v>1010</v>
      </c>
      <c r="E54">
        <f>VLOOKUP(E41,Sheet3!$D$2:$E$33,2,FALSE)</f>
        <v>1011</v>
      </c>
      <c r="F54">
        <f>VLOOKUP(F41,Sheet3!$D$2:$E$33,2,FALSE)</f>
        <v>1020</v>
      </c>
      <c r="G54">
        <f>VLOOKUP(G41,Sheet3!$D$2:$E$33,2,FALSE)</f>
        <v>1014</v>
      </c>
      <c r="H54">
        <f>VLOOKUP(H41,Sheet3!$D$2:$E$33,2,FALSE)</f>
        <v>1109</v>
      </c>
      <c r="J54">
        <v>1600</v>
      </c>
      <c r="K54">
        <f>VLOOKUP(K41,Sheet3!$D$2:$E$33,2,FALSE)</f>
        <v>1017</v>
      </c>
      <c r="L54">
        <f>VLOOKUP(L41,Sheet3!$D$2:$E$33,2,FALSE)</f>
        <v>1017</v>
      </c>
      <c r="M54">
        <f>VLOOKUP(M41,Sheet3!$D$2:$E$33,2,FALSE)</f>
        <v>1017</v>
      </c>
      <c r="Q54">
        <f>VLOOKUP(Q41,Sheet3!$D$2:$E$33,2,FALSE)</f>
        <v>1115</v>
      </c>
    </row>
    <row r="55" spans="1:17" x14ac:dyDescent="0.2">
      <c r="A55">
        <v>1600</v>
      </c>
      <c r="B55">
        <f>VLOOKUP(B42,Sheet3!$D$2:$E$33,2,FALSE)</f>
        <v>1011</v>
      </c>
      <c r="C55">
        <f>VLOOKUP(C42,Sheet3!$D$2:$E$33,2,FALSE)</f>
        <v>1011</v>
      </c>
      <c r="D55">
        <f>VLOOKUP(D42,Sheet3!$D$2:$E$33,2,FALSE)</f>
        <v>1011</v>
      </c>
      <c r="E55">
        <f>VLOOKUP(E42,Sheet3!$D$2:$E$33,2,FALSE)</f>
        <v>1014</v>
      </c>
      <c r="G55">
        <f>VLOOKUP(G42,Sheet3!$D$2:$E$33,2,FALSE)</f>
        <v>1016</v>
      </c>
      <c r="H55">
        <f>VLOOKUP(H42,Sheet3!$D$2:$E$33,2,FALSE)</f>
        <v>1110</v>
      </c>
    </row>
    <row r="56" spans="1:17" x14ac:dyDescent="0.2">
      <c r="A56">
        <v>1600</v>
      </c>
      <c r="B56">
        <f>VLOOKUP(B43,Sheet3!$D$2:$E$33,2,FALSE)</f>
        <v>1014</v>
      </c>
      <c r="C56">
        <f>VLOOKUP(C43,Sheet3!$D$2:$E$33,2,FALSE)</f>
        <v>1016</v>
      </c>
      <c r="D56">
        <f>VLOOKUP(D43,Sheet3!$D$2:$E$33,2,FALSE)</f>
        <v>1016</v>
      </c>
      <c r="E56">
        <f>VLOOKUP(E43,Sheet3!$D$2:$E$33,2,FALSE)</f>
        <v>1020</v>
      </c>
      <c r="G56">
        <f>VLOOKUP(G43,Sheet3!$D$2:$E$33,2,FALSE)</f>
        <v>1021</v>
      </c>
      <c r="H56">
        <f>VLOOKUP(H43,Sheet3!$D$2:$E$33,2,FALSE)</f>
        <v>1111</v>
      </c>
    </row>
    <row r="57" spans="1:17" x14ac:dyDescent="0.2">
      <c r="A57">
        <v>1600</v>
      </c>
      <c r="B57">
        <f>VLOOKUP(B44,Sheet3!$D$2:$E$33,2,FALSE)</f>
        <v>1016</v>
      </c>
      <c r="E57">
        <f>VLOOKUP(E44,Sheet3!$D$2:$E$33,2,FALSE)</f>
        <v>1021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E32"/>
  <sheetViews>
    <sheetView workbookViewId="0">
      <selection activeCell="E2" sqref="E2:E32"/>
    </sheetView>
  </sheetViews>
  <sheetFormatPr defaultRowHeight="14.25" x14ac:dyDescent="0.2"/>
  <sheetData>
    <row r="2" spans="4:5" ht="15" x14ac:dyDescent="0.2">
      <c r="D2" s="2" t="s">
        <v>22</v>
      </c>
      <c r="E2">
        <v>1000</v>
      </c>
    </row>
    <row r="3" spans="4:5" x14ac:dyDescent="0.2">
      <c r="D3" s="3" t="s">
        <v>23</v>
      </c>
      <c r="E3">
        <v>1006</v>
      </c>
    </row>
    <row r="4" spans="4:5" x14ac:dyDescent="0.2">
      <c r="D4" s="3" t="s">
        <v>24</v>
      </c>
      <c r="E4">
        <v>1007</v>
      </c>
    </row>
    <row r="5" spans="4:5" x14ac:dyDescent="0.2">
      <c r="D5" s="3" t="s">
        <v>25</v>
      </c>
      <c r="E5">
        <v>1009</v>
      </c>
    </row>
    <row r="6" spans="4:5" x14ac:dyDescent="0.2">
      <c r="D6" s="4" t="s">
        <v>26</v>
      </c>
      <c r="E6">
        <v>1010</v>
      </c>
    </row>
    <row r="7" spans="4:5" x14ac:dyDescent="0.2">
      <c r="D7" s="3" t="s">
        <v>27</v>
      </c>
      <c r="E7">
        <v>1011</v>
      </c>
    </row>
    <row r="8" spans="4:5" x14ac:dyDescent="0.2">
      <c r="D8" s="3" t="s">
        <v>28</v>
      </c>
      <c r="E8">
        <v>1013</v>
      </c>
    </row>
    <row r="9" spans="4:5" x14ac:dyDescent="0.2">
      <c r="D9" s="3" t="s">
        <v>29</v>
      </c>
      <c r="E9">
        <v>1014</v>
      </c>
    </row>
    <row r="10" spans="4:5" x14ac:dyDescent="0.2">
      <c r="D10" s="3" t="s">
        <v>30</v>
      </c>
      <c r="E10">
        <v>1015</v>
      </c>
    </row>
    <row r="11" spans="4:5" x14ac:dyDescent="0.2">
      <c r="D11" s="3" t="s">
        <v>31</v>
      </c>
      <c r="E11">
        <v>1016</v>
      </c>
    </row>
    <row r="12" spans="4:5" x14ac:dyDescent="0.2">
      <c r="D12" s="3" t="s">
        <v>32</v>
      </c>
      <c r="E12">
        <v>1017</v>
      </c>
    </row>
    <row r="13" spans="4:5" x14ac:dyDescent="0.2">
      <c r="D13" s="3" t="s">
        <v>33</v>
      </c>
      <c r="E13">
        <v>1018</v>
      </c>
    </row>
    <row r="14" spans="4:5" x14ac:dyDescent="0.2">
      <c r="D14" s="4" t="s">
        <v>57</v>
      </c>
      <c r="E14">
        <v>1020</v>
      </c>
    </row>
    <row r="15" spans="4:5" x14ac:dyDescent="0.2">
      <c r="D15" s="3" t="s">
        <v>35</v>
      </c>
      <c r="E15">
        <v>1021</v>
      </c>
    </row>
    <row r="16" spans="4:5" x14ac:dyDescent="0.2">
      <c r="D16" s="3" t="s">
        <v>36</v>
      </c>
      <c r="E16">
        <v>1022</v>
      </c>
    </row>
    <row r="17" spans="4:5" x14ac:dyDescent="0.2">
      <c r="D17" s="3" t="s">
        <v>37</v>
      </c>
      <c r="E17">
        <v>1023</v>
      </c>
    </row>
    <row r="18" spans="4:5" x14ac:dyDescent="0.2">
      <c r="D18" s="3" t="s">
        <v>58</v>
      </c>
      <c r="E18">
        <v>1024</v>
      </c>
    </row>
    <row r="19" spans="4:5" x14ac:dyDescent="0.2">
      <c r="D19" s="4" t="s">
        <v>59</v>
      </c>
      <c r="E19">
        <v>1100</v>
      </c>
    </row>
    <row r="20" spans="4:5" x14ac:dyDescent="0.2">
      <c r="D20" s="4" t="s">
        <v>40</v>
      </c>
      <c r="E20">
        <v>1101</v>
      </c>
    </row>
    <row r="21" spans="4:5" x14ac:dyDescent="0.2">
      <c r="D21" s="4" t="s">
        <v>41</v>
      </c>
      <c r="E21">
        <v>1103</v>
      </c>
    </row>
    <row r="22" spans="4:5" x14ac:dyDescent="0.2">
      <c r="D22" s="4" t="s">
        <v>60</v>
      </c>
      <c r="E22">
        <v>1105</v>
      </c>
    </row>
    <row r="23" spans="4:5" x14ac:dyDescent="0.2">
      <c r="D23" s="4" t="s">
        <v>43</v>
      </c>
      <c r="E23">
        <v>1106</v>
      </c>
    </row>
    <row r="24" spans="4:5" x14ac:dyDescent="0.2">
      <c r="D24" s="4" t="s">
        <v>44</v>
      </c>
      <c r="E24">
        <v>1109</v>
      </c>
    </row>
    <row r="25" spans="4:5" x14ac:dyDescent="0.2">
      <c r="D25" s="4" t="s">
        <v>61</v>
      </c>
      <c r="E25">
        <v>1110</v>
      </c>
    </row>
    <row r="26" spans="4:5" x14ac:dyDescent="0.2">
      <c r="D26" s="4" t="s">
        <v>62</v>
      </c>
      <c r="E26">
        <v>1111</v>
      </c>
    </row>
    <row r="27" spans="4:5" x14ac:dyDescent="0.2">
      <c r="D27" s="4" t="s">
        <v>47</v>
      </c>
      <c r="E27">
        <v>1112</v>
      </c>
    </row>
    <row r="28" spans="4:5" x14ac:dyDescent="0.2">
      <c r="D28" s="4" t="s">
        <v>63</v>
      </c>
      <c r="E28">
        <v>1113</v>
      </c>
    </row>
    <row r="29" spans="4:5" x14ac:dyDescent="0.2">
      <c r="D29" s="4" t="s">
        <v>64</v>
      </c>
      <c r="E29">
        <v>1114</v>
      </c>
    </row>
    <row r="30" spans="4:5" x14ac:dyDescent="0.2">
      <c r="D30" s="4" t="s">
        <v>50</v>
      </c>
      <c r="E30">
        <v>1115</v>
      </c>
    </row>
    <row r="31" spans="4:5" x14ac:dyDescent="0.2">
      <c r="D31" s="4" t="s">
        <v>51</v>
      </c>
      <c r="E31">
        <v>1116</v>
      </c>
    </row>
    <row r="32" spans="4:5" ht="28.5" x14ac:dyDescent="0.2">
      <c r="D32" s="4" t="s">
        <v>65</v>
      </c>
      <c r="E32">
        <v>1117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FishPondData</vt:lpstr>
      <vt:lpstr>春</vt:lpstr>
      <vt:lpstr>夏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2024-12-22T16:19:22Z</dcterms:modified>
</cp:coreProperties>
</file>