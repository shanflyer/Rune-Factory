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PlantData" sheetId="1" r:id="rId1"/>
    <sheet name="Sheet1" sheetId="2" r:id="rId2"/>
  </sheets>
  <definedNames>
    <definedName name="_xlnm._FilterDatabase" localSheetId="0" hidden="1">PlantData!$A$3:$B$3</definedName>
  </definedNames>
  <calcPr calcId="162913"/>
</workbook>
</file>

<file path=xl/calcChain.xml><?xml version="1.0" encoding="utf-8"?>
<calcChain xmlns="http://schemas.openxmlformats.org/spreadsheetml/2006/main">
  <c r="I3" i="2" l="1"/>
  <c r="I4" i="2" s="1"/>
  <c r="I5" i="2" s="1"/>
  <c r="I6" i="2" s="1"/>
  <c r="I7" i="2" s="1"/>
  <c r="I2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<sst xmlns="http://schemas.openxmlformats.org/spreadsheetml/2006/main" count="26" uniqueCount="19">
  <si>
    <t>int</t>
  </si>
  <si>
    <t>id</t>
  </si>
  <si>
    <t>string</t>
    <phoneticPr fontId="1" type="noConversion"/>
  </si>
  <si>
    <t>plantName</t>
    <phoneticPr fontId="1" type="noConversion"/>
  </si>
  <si>
    <t>seed</t>
    <phoneticPr fontId="1" type="noConversion"/>
  </si>
  <si>
    <t>fruit</t>
    <phoneticPr fontId="1" type="noConversion"/>
  </si>
  <si>
    <t>fruitCount</t>
    <phoneticPr fontId="1" type="noConversion"/>
  </si>
  <si>
    <t>pickTimes</t>
    <phoneticPr fontId="1" type="noConversion"/>
  </si>
  <si>
    <t>cycleStage</t>
    <phoneticPr fontId="1" type="noConversion"/>
  </si>
  <si>
    <t>mapItem</t>
    <phoneticPr fontId="1" type="noConversion"/>
  </si>
  <si>
    <t>GrowthStageStr</t>
  </si>
  <si>
    <t>玉米</t>
    <phoneticPr fontId="1" type="noConversion"/>
  </si>
  <si>
    <t>萌芽</t>
    <phoneticPr fontId="1" type="noConversion"/>
  </si>
  <si>
    <t>小苗</t>
    <phoneticPr fontId="1" type="noConversion"/>
  </si>
  <si>
    <t>大苗</t>
    <phoneticPr fontId="1" type="noConversion"/>
  </si>
  <si>
    <t>结果</t>
    <phoneticPr fontId="1" type="noConversion"/>
  </si>
  <si>
    <t>成熟</t>
    <phoneticPr fontId="1" type="noConversion"/>
  </si>
  <si>
    <t>光杆</t>
    <phoneticPr fontId="1" type="noConversion"/>
  </si>
  <si>
    <t>萌芽,0,1,0,0|小苗,1,1,0,1|大苗,2,1,0,2|结果,3,1,0,3|成熟,4,1,0,4|光杆,5,1,0,5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</si>
</sst>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I4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10" sqref="F10"/>
    </sheetView>
  </sheetViews>
  <sheetFormatPr defaultColWidth="7.75" defaultRowHeight="13.5" x14ac:dyDescent="0.15"/>
  <cols>
    <col min="1" max="1" width="12.125" style="1" customWidth="1"/>
    <col min="2" max="2" width="13" style="2" customWidth="1"/>
    <col min="3" max="4" width="7.75" style="1"/>
    <col min="5" max="5" width="15.375" style="1" customWidth="1"/>
    <col min="6" max="7" width="15" style="1" customWidth="1"/>
    <col min="8" max="8" width="9" style="1" customWidth="1"/>
    <col min="9" max="9" width="15.125" style="1" customWidth="1"/>
    <col min="10" max="15" width="7.75" style="1"/>
    <col min="16" max="16" width="22.625" style="1" customWidth="1"/>
    <col min="17" max="16384" width="7.75" style="1"/>
  </cols>
  <sheetData>
    <row r="2" spans="1:9" x14ac:dyDescent="0.15">
      <c r="A2" s="1" t="s">
        <v>0</v>
      </c>
      <c r="B2" s="2" t="s">
        <v>2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2</v>
      </c>
    </row>
    <row r="3" spans="1:9" x14ac:dyDescent="0.15">
      <c r="A3" s="1" t="s">
        <v>1</v>
      </c>
      <c r="B3" s="2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9" ht="81" x14ac:dyDescent="0.15">
      <c r="A4" s="1">
        <v>8000</v>
      </c>
      <c r="B4" s="2" t="s">
        <v>11</v>
      </c>
      <c r="C4" s="1">
        <v>8000</v>
      </c>
      <c r="D4" s="1">
        <v>1004</v>
      </c>
      <c r="E4" s="1">
        <v>2</v>
      </c>
      <c r="F4" s="1">
        <v>1</v>
      </c>
      <c r="G4" s="1">
        <v>1</v>
      </c>
      <c r="H4" s="1">
        <v>8000</v>
      </c>
      <c r="I4" s="1" t="s">
        <v>18</v>
      </c>
    </row>
  </sheetData>
  <autoFilter ref="A3:B3">
    <sortState ref="A4:B303">
      <sortCondition ref="A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7"/>
  <sheetViews>
    <sheetView workbookViewId="0">
      <selection activeCell="I7" sqref="I7"/>
    </sheetView>
  </sheetViews>
  <sheetFormatPr defaultRowHeight="13.5" x14ac:dyDescent="0.15"/>
  <cols>
    <col min="1" max="7" width="9" style="3"/>
    <col min="8" max="8" width="38.5" style="3" customWidth="1"/>
    <col min="9" max="9" width="33" style="3" customWidth="1"/>
    <col min="10" max="16384" width="9" style="3"/>
  </cols>
  <sheetData>
    <row r="2" spans="2:9" x14ac:dyDescent="0.15">
      <c r="B2" s="1" t="s">
        <v>12</v>
      </c>
      <c r="C2" s="1">
        <v>0</v>
      </c>
      <c r="D2" s="1">
        <v>1</v>
      </c>
      <c r="E2" s="1">
        <v>0</v>
      </c>
      <c r="F2" s="1">
        <v>0</v>
      </c>
      <c r="G2" s="1"/>
      <c r="H2" s="1" t="str">
        <f t="shared" ref="H2:H7" si="0">B2&amp;","&amp;C2&amp;","&amp;D2&amp;","&amp;E2&amp;","&amp;F2</f>
        <v>萌芽,0,1,0,0</v>
      </c>
      <c r="I2" s="3" t="str">
        <f>I1&amp;"|"&amp;H2</f>
        <v>|萌芽,0,1,0,0</v>
      </c>
    </row>
    <row r="3" spans="2:9" x14ac:dyDescent="0.15">
      <c r="B3" s="1" t="s">
        <v>13</v>
      </c>
      <c r="C3" s="1">
        <v>1</v>
      </c>
      <c r="D3" s="1">
        <v>1</v>
      </c>
      <c r="E3" s="1">
        <v>0</v>
      </c>
      <c r="F3" s="1">
        <v>1</v>
      </c>
      <c r="G3" s="1"/>
      <c r="H3" s="1" t="str">
        <f t="shared" si="0"/>
        <v>小苗,1,1,0,1</v>
      </c>
      <c r="I3" s="3" t="str">
        <f t="shared" ref="I3:I7" si="1">I2&amp;"|"&amp;H3</f>
        <v>|萌芽,0,1,0,0|小苗,1,1,0,1</v>
      </c>
    </row>
    <row r="4" spans="2:9" ht="27" x14ac:dyDescent="0.15">
      <c r="B4" s="1" t="s">
        <v>14</v>
      </c>
      <c r="C4" s="1">
        <v>2</v>
      </c>
      <c r="D4" s="1">
        <v>1</v>
      </c>
      <c r="E4" s="1">
        <v>0</v>
      </c>
      <c r="F4" s="1">
        <v>2</v>
      </c>
      <c r="G4" s="1"/>
      <c r="H4" s="1" t="str">
        <f t="shared" si="0"/>
        <v>大苗,2,1,0,2</v>
      </c>
      <c r="I4" s="3" t="str">
        <f t="shared" si="1"/>
        <v>|萌芽,0,1,0,0|小苗,1,1,0,1|大苗,2,1,0,2</v>
      </c>
    </row>
    <row r="5" spans="2:9" ht="27" x14ac:dyDescent="0.15">
      <c r="B5" s="1" t="s">
        <v>15</v>
      </c>
      <c r="C5" s="1">
        <v>3</v>
      </c>
      <c r="D5" s="1">
        <v>1</v>
      </c>
      <c r="E5" s="1">
        <v>0</v>
      </c>
      <c r="F5" s="1">
        <v>3</v>
      </c>
      <c r="G5" s="1"/>
      <c r="H5" s="1" t="str">
        <f t="shared" si="0"/>
        <v>结果,3,1,0,3</v>
      </c>
      <c r="I5" s="3" t="str">
        <f t="shared" si="1"/>
        <v>|萌芽,0,1,0,0|小苗,1,1,0,1|大苗,2,1,0,2|结果,3,1,0,3</v>
      </c>
    </row>
    <row r="6" spans="2:9" ht="40.5" x14ac:dyDescent="0.15">
      <c r="B6" s="1" t="s">
        <v>16</v>
      </c>
      <c r="C6" s="1">
        <v>4</v>
      </c>
      <c r="D6" s="1">
        <v>1</v>
      </c>
      <c r="E6" s="1">
        <v>0</v>
      </c>
      <c r="F6" s="1">
        <v>4</v>
      </c>
      <c r="G6" s="1"/>
      <c r="H6" s="1" t="str">
        <f t="shared" si="0"/>
        <v>成熟,4,1,0,4</v>
      </c>
      <c r="I6" s="3" t="str">
        <f t="shared" si="1"/>
        <v>|萌芽,0,1,0,0|小苗,1,1,0,1|大苗,2,1,0,2|结果,3,1,0,3|成熟,4,1,0,4</v>
      </c>
    </row>
    <row r="7" spans="2:9" ht="40.5" x14ac:dyDescent="0.15">
      <c r="B7" s="1" t="s">
        <v>17</v>
      </c>
      <c r="C7" s="1">
        <v>5</v>
      </c>
      <c r="D7" s="1">
        <v>1</v>
      </c>
      <c r="E7" s="1">
        <v>0</v>
      </c>
      <c r="F7" s="1">
        <v>5</v>
      </c>
      <c r="G7" s="1"/>
      <c r="H7" s="1" t="str">
        <f t="shared" si="0"/>
        <v>光杆,5,1,0,5</v>
      </c>
      <c r="I7" s="3" t="str">
        <f t="shared" si="1"/>
        <v>|萌芽,0,1,0,0|小苗,1,1,0,1|大苗,2,1,0,2|结果,3,1,0,3|成熟,4,1,0,4|光杆,5,1,0,5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PlantData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2024-01-09T15:56:35Z</dcterms:modified>
</cp:coreProperties>
</file>