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MyGame\Rune Factory\Rune Factory - Copy\Datas\"/>
    </mc:Choice>
  </mc:AlternateContent>
  <bookViews>
    <workbookView xWindow="240" yWindow="135" windowWidth="9675" windowHeight="7380"/>
  </bookViews>
  <sheets>
    <sheet name="PlantData" sheetId="1" r:id="rId1"/>
    <sheet name="Sheet2" sheetId="3" r:id="rId2"/>
    <sheet name="Sheet1" sheetId="2" r:id="rId3"/>
  </sheets>
  <definedNames>
    <definedName name="_xlnm._FilterDatabase" localSheetId="0" hidden="1">PlantData!$A$3:$B$3</definedName>
  </definedNames>
  <calcPr calcId="162913"/>
</workbook>
</file>

<file path=xl/calcChain.xml><?xml version="1.0" encoding="utf-8"?>
<calcChain xmlns="http://schemas.openxmlformats.org/spreadsheetml/2006/main">
  <c r="E31" i="1" l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L38" i="3" l="1"/>
  <c r="M38" i="3"/>
  <c r="N38" i="3"/>
  <c r="L40" i="3"/>
  <c r="M40" i="3"/>
  <c r="N40" i="3"/>
  <c r="L41" i="3"/>
  <c r="M41" i="3"/>
  <c r="N41" i="3"/>
  <c r="L43" i="3"/>
  <c r="M43" i="3"/>
  <c r="N43" i="3"/>
  <c r="L45" i="3"/>
  <c r="Q45" i="3" s="1"/>
  <c r="M45" i="3"/>
  <c r="N45" i="3"/>
  <c r="L46" i="3"/>
  <c r="Q46" i="3" s="1"/>
  <c r="M46" i="3"/>
  <c r="N46" i="3"/>
  <c r="L50" i="3"/>
  <c r="Q50" i="3" s="1"/>
  <c r="M50" i="3"/>
  <c r="N50" i="3"/>
  <c r="L51" i="3"/>
  <c r="Q51" i="3" s="1"/>
  <c r="M51" i="3"/>
  <c r="N51" i="3"/>
  <c r="L52" i="3"/>
  <c r="M52" i="3"/>
  <c r="N52" i="3"/>
  <c r="Q52" i="3" s="1"/>
  <c r="L53" i="3"/>
  <c r="Q53" i="3" s="1"/>
  <c r="M53" i="3"/>
  <c r="N53" i="3"/>
  <c r="L54" i="3"/>
  <c r="M54" i="3"/>
  <c r="N54" i="3"/>
  <c r="M37" i="3"/>
  <c r="N37" i="3"/>
  <c r="L37" i="3"/>
  <c r="Q38" i="3"/>
  <c r="Q40" i="3"/>
  <c r="Q41" i="3"/>
  <c r="Q54" i="3"/>
  <c r="O38" i="3"/>
  <c r="O39" i="3"/>
  <c r="O40" i="3"/>
  <c r="O41" i="3"/>
  <c r="O43" i="3"/>
  <c r="O45" i="3"/>
  <c r="O46" i="3"/>
  <c r="O50" i="3"/>
  <c r="O51" i="3"/>
  <c r="O52" i="3"/>
  <c r="O53" i="3"/>
  <c r="O54" i="3"/>
  <c r="O37" i="3"/>
  <c r="K37" i="3"/>
  <c r="K38" i="3"/>
  <c r="K39" i="3"/>
  <c r="K40" i="3"/>
  <c r="K41" i="3"/>
  <c r="K43" i="3"/>
  <c r="K45" i="3"/>
  <c r="K46" i="3"/>
  <c r="K49" i="3"/>
  <c r="K50" i="3"/>
  <c r="K51" i="3"/>
  <c r="K52" i="3"/>
  <c r="K53" i="3"/>
  <c r="K54" i="3"/>
  <c r="K59" i="3"/>
  <c r="K63" i="3"/>
  <c r="J63" i="3"/>
  <c r="J54" i="3"/>
  <c r="J38" i="3"/>
  <c r="J40" i="3"/>
  <c r="J41" i="3"/>
  <c r="J45" i="3"/>
  <c r="J46" i="3"/>
  <c r="J49" i="3"/>
  <c r="J50" i="3"/>
  <c r="J51" i="3"/>
  <c r="J52" i="3"/>
  <c r="J53" i="3"/>
  <c r="J37" i="3"/>
  <c r="P5" i="3"/>
  <c r="P6" i="3"/>
  <c r="P7" i="3"/>
  <c r="P8" i="3"/>
  <c r="P10" i="3"/>
  <c r="P12" i="3"/>
  <c r="P13" i="3"/>
  <c r="P15" i="3"/>
  <c r="O48" i="3" s="1"/>
  <c r="P16" i="3"/>
  <c r="O49" i="3" s="1"/>
  <c r="P17" i="3"/>
  <c r="P18" i="3"/>
  <c r="P19" i="3"/>
  <c r="P20" i="3"/>
  <c r="P21" i="3"/>
  <c r="P22" i="3"/>
  <c r="O55" i="3" s="1"/>
  <c r="P23" i="3"/>
  <c r="O56" i="3" s="1"/>
  <c r="P30" i="3"/>
  <c r="O63" i="3" s="1"/>
  <c r="P31" i="3"/>
  <c r="O64" i="3" s="1"/>
  <c r="P4" i="3"/>
  <c r="L5" i="3"/>
  <c r="O5" i="3" s="1"/>
  <c r="M5" i="3"/>
  <c r="L6" i="3"/>
  <c r="O6" i="3" s="1"/>
  <c r="J39" i="3" s="1"/>
  <c r="M6" i="3"/>
  <c r="L7" i="3"/>
  <c r="O7" i="3" s="1"/>
  <c r="M7" i="3"/>
  <c r="L8" i="3"/>
  <c r="O8" i="3" s="1"/>
  <c r="M8" i="3"/>
  <c r="L9" i="3"/>
  <c r="M9" i="3"/>
  <c r="L10" i="3"/>
  <c r="O10" i="3" s="1"/>
  <c r="J43" i="3" s="1"/>
  <c r="M10" i="3"/>
  <c r="L11" i="3"/>
  <c r="O11" i="3" s="1"/>
  <c r="M11" i="3"/>
  <c r="L12" i="3"/>
  <c r="M12" i="3"/>
  <c r="L13" i="3"/>
  <c r="O13" i="3" s="1"/>
  <c r="M13" i="3"/>
  <c r="L14" i="3"/>
  <c r="O14" i="3" s="1"/>
  <c r="L47" i="3" s="1"/>
  <c r="M14" i="3"/>
  <c r="L15" i="3"/>
  <c r="O15" i="3" s="1"/>
  <c r="K48" i="3" s="1"/>
  <c r="M15" i="3"/>
  <c r="L16" i="3"/>
  <c r="O16" i="3" s="1"/>
  <c r="L49" i="3" s="1"/>
  <c r="M16" i="3"/>
  <c r="L17" i="3"/>
  <c r="M17" i="3"/>
  <c r="L18" i="3"/>
  <c r="M18" i="3"/>
  <c r="L19" i="3"/>
  <c r="M19" i="3"/>
  <c r="L20" i="3"/>
  <c r="M20" i="3"/>
  <c r="L21" i="3"/>
  <c r="O21" i="3" s="1"/>
  <c r="M21" i="3"/>
  <c r="L22" i="3"/>
  <c r="O22" i="3" s="1"/>
  <c r="K55" i="3" s="1"/>
  <c r="M22" i="3"/>
  <c r="L23" i="3"/>
  <c r="O23" i="3" s="1"/>
  <c r="L56" i="3" s="1"/>
  <c r="M23" i="3"/>
  <c r="L24" i="3"/>
  <c r="O24" i="3" s="1"/>
  <c r="L57" i="3" s="1"/>
  <c r="M24" i="3"/>
  <c r="L25" i="3"/>
  <c r="M25" i="3"/>
  <c r="L26" i="3"/>
  <c r="O26" i="3" s="1"/>
  <c r="L59" i="3" s="1"/>
  <c r="M26" i="3"/>
  <c r="L27" i="3"/>
  <c r="O27" i="3" s="1"/>
  <c r="M27" i="3"/>
  <c r="L28" i="3"/>
  <c r="O28" i="3" s="1"/>
  <c r="M28" i="3"/>
  <c r="L29" i="3"/>
  <c r="O29" i="3" s="1"/>
  <c r="L62" i="3" s="1"/>
  <c r="M29" i="3"/>
  <c r="L30" i="3"/>
  <c r="O30" i="3" s="1"/>
  <c r="L63" i="3" s="1"/>
  <c r="M30" i="3"/>
  <c r="L31" i="3"/>
  <c r="O31" i="3" s="1"/>
  <c r="N64" i="3" s="1"/>
  <c r="M31" i="3"/>
  <c r="M4" i="3"/>
  <c r="O9" i="3"/>
  <c r="J42" i="3" s="1"/>
  <c r="O12" i="3"/>
  <c r="O17" i="3"/>
  <c r="O18" i="3"/>
  <c r="O19" i="3"/>
  <c r="O20" i="3"/>
  <c r="O25" i="3"/>
  <c r="L58" i="3" s="1"/>
  <c r="O4" i="3"/>
  <c r="L4" i="3"/>
  <c r="K64" i="3" l="1"/>
  <c r="M64" i="3"/>
  <c r="L64" i="3"/>
  <c r="J64" i="3"/>
  <c r="N63" i="3"/>
  <c r="M63" i="3"/>
  <c r="Q63" i="3" s="1"/>
  <c r="J62" i="3"/>
  <c r="Q62" i="3" s="1"/>
  <c r="P29" i="3"/>
  <c r="O62" i="3" s="1"/>
  <c r="N62" i="3"/>
  <c r="M62" i="3"/>
  <c r="K62" i="3"/>
  <c r="P28" i="3"/>
  <c r="O61" i="3" s="1"/>
  <c r="L61" i="3"/>
  <c r="M61" i="3"/>
  <c r="N61" i="3"/>
  <c r="K61" i="3"/>
  <c r="J61" i="3"/>
  <c r="L60" i="3"/>
  <c r="J60" i="3"/>
  <c r="M60" i="3"/>
  <c r="N60" i="3"/>
  <c r="K60" i="3"/>
  <c r="P27" i="3"/>
  <c r="O60" i="3" s="1"/>
  <c r="J59" i="3"/>
  <c r="Q59" i="3" s="1"/>
  <c r="P26" i="3"/>
  <c r="O59" i="3" s="1"/>
  <c r="N59" i="3"/>
  <c r="M59" i="3"/>
  <c r="P25" i="3"/>
  <c r="O58" i="3" s="1"/>
  <c r="J58" i="3"/>
  <c r="N58" i="3"/>
  <c r="M58" i="3"/>
  <c r="K58" i="3"/>
  <c r="K57" i="3"/>
  <c r="N57" i="3"/>
  <c r="P24" i="3"/>
  <c r="O57" i="3" s="1"/>
  <c r="M57" i="3"/>
  <c r="J57" i="3"/>
  <c r="K56" i="3"/>
  <c r="J56" i="3"/>
  <c r="Q56" i="3" s="1"/>
  <c r="N56" i="3"/>
  <c r="M56" i="3"/>
  <c r="N55" i="3"/>
  <c r="M55" i="3"/>
  <c r="J55" i="3"/>
  <c r="L55" i="3"/>
  <c r="N49" i="3"/>
  <c r="M49" i="3"/>
  <c r="N48" i="3"/>
  <c r="M48" i="3"/>
  <c r="L48" i="3"/>
  <c r="J48" i="3"/>
  <c r="J47" i="3"/>
  <c r="P14" i="3"/>
  <c r="O47" i="3" s="1"/>
  <c r="K47" i="3"/>
  <c r="N47" i="3"/>
  <c r="M47" i="3"/>
  <c r="N44" i="3"/>
  <c r="K44" i="3"/>
  <c r="J44" i="3"/>
  <c r="L44" i="3"/>
  <c r="P11" i="3"/>
  <c r="O44" i="3" s="1"/>
  <c r="M44" i="3"/>
  <c r="M42" i="3"/>
  <c r="L42" i="3"/>
  <c r="K42" i="3"/>
  <c r="Q42" i="3" s="1"/>
  <c r="N42" i="3"/>
  <c r="P9" i="3"/>
  <c r="O42" i="3" s="1"/>
  <c r="Q43" i="3"/>
  <c r="N39" i="3"/>
  <c r="M39" i="3"/>
  <c r="L39" i="3"/>
  <c r="Q39" i="3" s="1"/>
  <c r="Q37" i="3"/>
  <c r="Q64" i="3" l="1"/>
  <c r="Q61" i="3"/>
  <c r="Q60" i="3"/>
  <c r="Q58" i="3"/>
  <c r="Q57" i="3"/>
  <c r="Q55" i="3"/>
  <c r="Q49" i="3"/>
  <c r="Q48" i="3"/>
  <c r="Q47" i="3"/>
  <c r="Q44" i="3"/>
  <c r="I3" i="2"/>
  <c r="I4" i="2" s="1"/>
  <c r="I5" i="2" s="1"/>
  <c r="I6" i="2" s="1"/>
  <c r="I7" i="2" s="1"/>
  <c r="I2" i="2"/>
  <c r="H7" i="2"/>
  <c r="H6" i="2"/>
  <c r="H5" i="2"/>
  <c r="H4" i="2"/>
  <c r="H3" i="2"/>
  <c r="H2" i="2"/>
</calcChain>
</file>

<file path=xl/sharedStrings.xml><?xml version="1.0" encoding="utf-8"?>
<sst xmlns="http://schemas.openxmlformats.org/spreadsheetml/2006/main" count="237" uniqueCount="88">
  <si>
    <t>int</t>
  </si>
  <si>
    <t>id</t>
  </si>
  <si>
    <t>string</t>
    <phoneticPr fontId="1" type="noConversion"/>
  </si>
  <si>
    <t>plantName</t>
    <phoneticPr fontId="1" type="noConversion"/>
  </si>
  <si>
    <t>seed</t>
    <phoneticPr fontId="1" type="noConversion"/>
  </si>
  <si>
    <t>fruit</t>
    <phoneticPr fontId="1" type="noConversion"/>
  </si>
  <si>
    <t>fruitCount</t>
    <phoneticPr fontId="1" type="noConversion"/>
  </si>
  <si>
    <t>pickTimes</t>
    <phoneticPr fontId="1" type="noConversion"/>
  </si>
  <si>
    <t>cycleStage</t>
    <phoneticPr fontId="1" type="noConversion"/>
  </si>
  <si>
    <t>mapItem</t>
    <phoneticPr fontId="1" type="noConversion"/>
  </si>
  <si>
    <t>GrowthStageStr</t>
  </si>
  <si>
    <t>萌芽</t>
    <phoneticPr fontId="1" type="noConversion"/>
  </si>
  <si>
    <t>小苗</t>
    <phoneticPr fontId="1" type="noConversion"/>
  </si>
  <si>
    <t>大苗</t>
    <phoneticPr fontId="1" type="noConversion"/>
  </si>
  <si>
    <t>结果</t>
    <phoneticPr fontId="1" type="noConversion"/>
  </si>
  <si>
    <t>成熟</t>
    <phoneticPr fontId="1" type="noConversion"/>
  </si>
  <si>
    <t>光杆</t>
    <phoneticPr fontId="1" type="noConversion"/>
  </si>
  <si>
    <t>芜菁</t>
  </si>
  <si>
    <t>菠萝</t>
  </si>
  <si>
    <t>大麦</t>
  </si>
  <si>
    <t>草莓</t>
  </si>
  <si>
    <t>西兰花</t>
  </si>
  <si>
    <t>西瓜</t>
  </si>
  <si>
    <t>玉米</t>
  </si>
  <si>
    <t>蓝莓</t>
  </si>
  <si>
    <t>大葱</t>
  </si>
  <si>
    <t>葡萄</t>
  </si>
  <si>
    <t>豌豆</t>
  </si>
  <si>
    <t>土豆</t>
  </si>
  <si>
    <t>紫甘蓝</t>
  </si>
  <si>
    <t>番茄</t>
  </si>
  <si>
    <t>茄子</t>
  </si>
  <si>
    <t>大蒜</t>
  </si>
  <si>
    <t>卷心菜</t>
  </si>
  <si>
    <t>啤酒花</t>
  </si>
  <si>
    <t>奇异果</t>
  </si>
  <si>
    <t>甜菜</t>
  </si>
  <si>
    <t>萝卜</t>
  </si>
  <si>
    <t>咖啡</t>
  </si>
  <si>
    <t>南瓜</t>
  </si>
  <si>
    <t>芦笋</t>
  </si>
  <si>
    <t>黄瓜</t>
  </si>
  <si>
    <t>胡萝卜</t>
  </si>
  <si>
    <t>辣椒</t>
  </si>
  <si>
    <t>红薯</t>
  </si>
  <si>
    <t>春</t>
    <phoneticPr fontId="1" type="noConversion"/>
  </si>
  <si>
    <t>夏</t>
    <phoneticPr fontId="1" type="noConversion"/>
  </si>
  <si>
    <t>秋</t>
    <phoneticPr fontId="1" type="noConversion"/>
  </si>
  <si>
    <t>冬</t>
    <phoneticPr fontId="1" type="noConversion"/>
  </si>
  <si>
    <t>小麦</t>
    <phoneticPr fontId="1" type="noConversion"/>
  </si>
  <si>
    <t>string</t>
  </si>
  <si>
    <t>plantName</t>
  </si>
  <si>
    <t>萌芽,0,1,0,0|小苗,1,1,0,1|大苗,2,1,0,2|结果,3,1,0,3|成熟,4,1,0,4|光杆,5,1,0,5</t>
  </si>
  <si>
    <t>小麦</t>
  </si>
  <si>
    <t>天</t>
    <phoneticPr fontId="1" type="noConversion"/>
  </si>
  <si>
    <t>采摘周期</t>
  </si>
  <si>
    <t>小苗</t>
    <phoneticPr fontId="1" type="noConversion"/>
  </si>
  <si>
    <t>大苗</t>
    <phoneticPr fontId="1" type="noConversion"/>
  </si>
  <si>
    <t>成熟</t>
    <phoneticPr fontId="1" type="noConversion"/>
  </si>
  <si>
    <t>光杆</t>
    <phoneticPr fontId="1" type="noConversion"/>
  </si>
  <si>
    <t>萌芽,18,0|小苗,18,0|大苗,18,1|结果,18,2|成熟,18,2|光杆,0,0</t>
  </si>
  <si>
    <t>萌芽,18,0|小苗,18,0|大苗,18,2|结果,18,3|成熟,18,3|光杆,0,0</t>
  </si>
  <si>
    <t>萌芽,24,0|小苗,24,0|大苗,24,1|结果,24,2|成熟,24,2|光杆,0,0</t>
  </si>
  <si>
    <t>萌芽,24,0|小苗,24,0|大苗,24,2|结果,24,3|成熟,24,3|光杆,0,0</t>
  </si>
  <si>
    <t>萌芽,30,0|小苗,30,0|大苗,30,1|结果,30,2|成熟,30,2|光杆,0,0</t>
  </si>
  <si>
    <t>萌芽,36,0|小苗,36,0|大苗,36,2|结果,36,3|成熟,36,3|光杆,0,0</t>
  </si>
  <si>
    <t>萌芽,42,0|小苗,42,0|大苗,42,3|结果,42,4|成熟,42,4|光杆,30,0</t>
  </si>
  <si>
    <t>萌芽,36,0|小苗,36,0|大苗,36,1|结果,36,2|成熟,36,2|光杆,0,0</t>
  </si>
  <si>
    <t>萌芽,48,0|小苗,48,0|大苗,48,1|结果,48,2|成熟,48,2|光杆,0,0</t>
  </si>
  <si>
    <t>plantIcon</t>
  </si>
  <si>
    <t>string</t>
    <phoneticPr fontId="1" type="noConversion"/>
  </si>
  <si>
    <t>list&lt;int&gt;</t>
    <phoneticPr fontId="1" type="noConversion"/>
  </si>
  <si>
    <t>goodSeason</t>
  </si>
  <si>
    <t>badSeason</t>
  </si>
  <si>
    <t>int</t>
    <phoneticPr fontId="1" type="noConversion"/>
  </si>
  <si>
    <t>openLevel</t>
  </si>
  <si>
    <t>芜菁_04</t>
  </si>
  <si>
    <t>萌芽,30,0|小苗,30,0|大苗,30,1|结果,30,2|成熟,30,2|光杆,18,0</t>
  </si>
  <si>
    <t>萌芽,36,0|小苗,36,0|大苗,36,1|结果,36,2|成熟,36,2|光杆,36,0</t>
  </si>
  <si>
    <t>萌芽,48,0|小苗,48,0|大苗,48,1|结果,48,2|成熟,48,2|光杆,48,0</t>
  </si>
  <si>
    <t>萌芽,48,0|小苗,48,0|大苗,48,3|结果,48,4|成熟,48,4|光杆,24,0</t>
  </si>
  <si>
    <t>萌芽,60,0|小苗,60,0|大苗,60,1|结果,60,2|成熟,60,2|光杆,84,0</t>
  </si>
  <si>
    <t>萌芽,60,0|小苗,60,0|大苗,60,3|结果,60,4|成熟,60,4|光杆,0,0</t>
  </si>
  <si>
    <t>萌芽,60,0|小苗,60,0|大苗,60,2|结果,60,3|成熟,60,3|光杆,0,0</t>
  </si>
  <si>
    <t>萌芽,96,0|小苗,96,0|大苗,96,1|结果,96,2|成熟,96,2|光杆,96,0</t>
  </si>
  <si>
    <t>萌芽,96,0|小苗,96,0|大苗,96,2|结果,96,3|成熟,96,3|光杆,120,0</t>
  </si>
  <si>
    <t>萌芽,96,0|小苗,96,0|大苗,96,3|结果,96,4|成熟,96,4|光杆,96,0</t>
  </si>
  <si>
    <t>萌芽,72,0|小苗,72,0|大苗,72,1|结果,72,2|成熟,72,2|光杆,72,0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</si>
</sst>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76" formatCode="0_);[Red]\(0\)"/>
  </numFmts>
  <fonts count="2" x14ac:knownFonts="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0" fontId="0" fillId="0" borderId="0" xfId="0" applyFill="1" applyAlignment="1">
      <alignment vertical="center" wrapText="1"/>
    </xf>
    <xf numFmtId="0" fontId="0" fillId="0" borderId="0" xfId="0" applyAlignment="1">
      <alignment vertical="center" wrapText="1"/>
    </xf>
    <xf numFmtId="0" fontId="0" fillId="2" borderId="0" xfId="0" applyFill="1" applyAlignment="1">
      <alignment vertical="center" wrapText="1"/>
    </xf>
    <xf numFmtId="176" fontId="0" fillId="0" borderId="0" xfId="0" applyNumberFormat="1">
      <alignment vertical="center"/>
    </xf>
    <xf numFmtId="176" fontId="0" fillId="0" borderId="0" xfId="0" applyNumberFormat="1" applyAlignment="1">
      <alignment vertical="center" wrapText="1"/>
    </xf>
    <xf numFmtId="176" fontId="0" fillId="3" borderId="0" xfId="0" applyNumberFormat="1" applyFill="1">
      <alignment vertical="center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2:M31"/>
  <sheetViews>
    <sheetView tabSelected="1" zoomScaleNormal="10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K37" sqref="K37"/>
    </sheetView>
  </sheetViews>
  <sheetFormatPr defaultColWidth="7.75" defaultRowHeight="13.5" x14ac:dyDescent="0.15"/>
  <cols>
    <col min="1" max="1" width="12.125" style="4" customWidth="1"/>
    <col min="2" max="2" width="13" style="4" customWidth="1"/>
    <col min="3" max="4" width="7.75" style="4"/>
    <col min="5" max="5" width="19.75" style="4" customWidth="1"/>
    <col min="6" max="6" width="14.875" style="4" customWidth="1"/>
    <col min="7" max="8" width="15.875" style="4" customWidth="1"/>
    <col min="9" max="9" width="15.375" style="4" customWidth="1"/>
    <col min="10" max="11" width="15" style="4" customWidth="1"/>
    <col min="12" max="12" width="9" style="4" customWidth="1"/>
    <col min="13" max="13" width="69.5" style="5" customWidth="1"/>
    <col min="14" max="19" width="7.75" style="4"/>
    <col min="20" max="20" width="22.625" style="4" customWidth="1"/>
    <col min="21" max="16384" width="7.75" style="4"/>
  </cols>
  <sheetData>
    <row r="2" spans="1:13" x14ac:dyDescent="0.15">
      <c r="A2" s="4" t="s">
        <v>0</v>
      </c>
      <c r="B2" s="4" t="s">
        <v>2</v>
      </c>
      <c r="C2" s="4" t="s">
        <v>0</v>
      </c>
      <c r="D2" s="4" t="s">
        <v>0</v>
      </c>
      <c r="E2" s="4" t="s">
        <v>70</v>
      </c>
      <c r="F2" s="4" t="s">
        <v>71</v>
      </c>
      <c r="G2" s="4" t="s">
        <v>71</v>
      </c>
      <c r="H2" s="4" t="s">
        <v>74</v>
      </c>
      <c r="I2" s="4" t="s">
        <v>0</v>
      </c>
      <c r="J2" s="4" t="s">
        <v>0</v>
      </c>
      <c r="K2" s="4" t="s">
        <v>0</v>
      </c>
      <c r="L2" s="4" t="s">
        <v>0</v>
      </c>
      <c r="M2" s="5" t="s">
        <v>2</v>
      </c>
    </row>
    <row r="3" spans="1:13" x14ac:dyDescent="0.15">
      <c r="A3" s="4" t="s">
        <v>1</v>
      </c>
      <c r="B3" s="4" t="s">
        <v>3</v>
      </c>
      <c r="C3" s="4" t="s">
        <v>4</v>
      </c>
      <c r="D3" s="4" t="s">
        <v>5</v>
      </c>
      <c r="E3" s="4" t="s">
        <v>69</v>
      </c>
      <c r="F3" s="4" t="s">
        <v>72</v>
      </c>
      <c r="G3" s="4" t="s">
        <v>73</v>
      </c>
      <c r="H3" s="4" t="s">
        <v>75</v>
      </c>
      <c r="I3" s="4" t="s">
        <v>6</v>
      </c>
      <c r="J3" s="4" t="s">
        <v>7</v>
      </c>
      <c r="K3" s="4" t="s">
        <v>8</v>
      </c>
      <c r="L3" s="4" t="s">
        <v>9</v>
      </c>
      <c r="M3" s="5" t="s">
        <v>10</v>
      </c>
    </row>
    <row r="4" spans="1:13" x14ac:dyDescent="0.15">
      <c r="A4" s="4">
        <v>8001</v>
      </c>
      <c r="B4" s="4" t="s">
        <v>17</v>
      </c>
      <c r="C4" s="4">
        <v>1101</v>
      </c>
      <c r="D4" s="4">
        <v>1001</v>
      </c>
      <c r="E4" s="4" t="s">
        <v>76</v>
      </c>
      <c r="F4" s="4">
        <v>1</v>
      </c>
      <c r="G4" s="4">
        <v>3</v>
      </c>
      <c r="H4" s="4">
        <v>1</v>
      </c>
      <c r="I4" s="4">
        <v>3</v>
      </c>
      <c r="J4" s="4">
        <v>0</v>
      </c>
      <c r="K4" s="4">
        <v>3</v>
      </c>
      <c r="L4" s="4">
        <v>8001</v>
      </c>
      <c r="M4" s="5" t="s">
        <v>60</v>
      </c>
    </row>
    <row r="5" spans="1:13" x14ac:dyDescent="0.15">
      <c r="A5" s="4">
        <v>8002</v>
      </c>
      <c r="B5" s="4" t="s">
        <v>33</v>
      </c>
      <c r="C5" s="4">
        <v>1102</v>
      </c>
      <c r="D5" s="4">
        <v>1002</v>
      </c>
      <c r="E5" s="4" t="str">
        <f t="shared" ref="E5:E31" si="0">B5&amp;"_04"</f>
        <v>卷心菜_04</v>
      </c>
      <c r="F5" s="4">
        <v>1</v>
      </c>
      <c r="G5" s="4">
        <v>3</v>
      </c>
      <c r="H5" s="4">
        <v>1</v>
      </c>
      <c r="I5" s="4">
        <v>3</v>
      </c>
      <c r="J5" s="4">
        <v>0</v>
      </c>
      <c r="K5" s="4">
        <v>3</v>
      </c>
      <c r="L5" s="4">
        <v>8002</v>
      </c>
      <c r="M5" s="5" t="s">
        <v>61</v>
      </c>
    </row>
    <row r="6" spans="1:13" x14ac:dyDescent="0.15">
      <c r="A6" s="4">
        <v>8003</v>
      </c>
      <c r="B6" s="4" t="s">
        <v>25</v>
      </c>
      <c r="C6" s="4">
        <v>1103</v>
      </c>
      <c r="D6" s="4">
        <v>1003</v>
      </c>
      <c r="E6" s="4" t="str">
        <f t="shared" si="0"/>
        <v>大葱_04</v>
      </c>
      <c r="F6" s="4">
        <v>1</v>
      </c>
      <c r="G6" s="4">
        <v>3</v>
      </c>
      <c r="H6" s="4">
        <v>1</v>
      </c>
      <c r="I6" s="4">
        <v>4</v>
      </c>
      <c r="J6" s="4">
        <v>0</v>
      </c>
      <c r="K6" s="4">
        <v>3</v>
      </c>
      <c r="L6" s="4">
        <v>8003</v>
      </c>
      <c r="M6" s="5" t="s">
        <v>60</v>
      </c>
    </row>
    <row r="7" spans="1:13" x14ac:dyDescent="0.15">
      <c r="A7" s="4">
        <v>8004</v>
      </c>
      <c r="B7" s="4" t="s">
        <v>37</v>
      </c>
      <c r="C7" s="4">
        <v>1104</v>
      </c>
      <c r="D7" s="4">
        <v>1004</v>
      </c>
      <c r="E7" s="4" t="str">
        <f t="shared" si="0"/>
        <v>萝卜_04</v>
      </c>
      <c r="F7" s="4">
        <v>1</v>
      </c>
      <c r="G7" s="4">
        <v>3</v>
      </c>
      <c r="H7" s="4">
        <v>2</v>
      </c>
      <c r="I7" s="4">
        <v>4</v>
      </c>
      <c r="J7" s="4">
        <v>0</v>
      </c>
      <c r="K7" s="4">
        <v>3</v>
      </c>
      <c r="L7" s="4">
        <v>8004</v>
      </c>
      <c r="M7" s="5" t="s">
        <v>62</v>
      </c>
    </row>
    <row r="8" spans="1:13" x14ac:dyDescent="0.15">
      <c r="A8" s="4">
        <v>8005</v>
      </c>
      <c r="B8" s="4" t="s">
        <v>29</v>
      </c>
      <c r="C8" s="4">
        <v>1105</v>
      </c>
      <c r="D8" s="4">
        <v>1005</v>
      </c>
      <c r="E8" s="4" t="str">
        <f t="shared" si="0"/>
        <v>紫甘蓝_04</v>
      </c>
      <c r="F8" s="4">
        <v>1</v>
      </c>
      <c r="G8" s="4">
        <v>3</v>
      </c>
      <c r="H8" s="4">
        <v>2</v>
      </c>
      <c r="I8" s="4">
        <v>3</v>
      </c>
      <c r="J8" s="4">
        <v>0</v>
      </c>
      <c r="K8" s="4">
        <v>3</v>
      </c>
      <c r="L8" s="4">
        <v>8005</v>
      </c>
      <c r="M8" s="5" t="s">
        <v>63</v>
      </c>
    </row>
    <row r="9" spans="1:13" x14ac:dyDescent="0.15">
      <c r="A9" s="4">
        <v>8006</v>
      </c>
      <c r="B9" s="4" t="s">
        <v>41</v>
      </c>
      <c r="C9" s="4">
        <v>1106</v>
      </c>
      <c r="D9" s="4">
        <v>1006</v>
      </c>
      <c r="E9" s="4" t="str">
        <f t="shared" si="0"/>
        <v>黄瓜_04</v>
      </c>
      <c r="F9" s="4">
        <v>1</v>
      </c>
      <c r="G9" s="4">
        <v>3</v>
      </c>
      <c r="H9" s="4">
        <v>2</v>
      </c>
      <c r="I9" s="4">
        <v>4</v>
      </c>
      <c r="J9" s="4">
        <v>2</v>
      </c>
      <c r="K9" s="4">
        <v>3</v>
      </c>
      <c r="L9" s="4">
        <v>8006</v>
      </c>
      <c r="M9" s="5" t="s">
        <v>77</v>
      </c>
    </row>
    <row r="10" spans="1:13" x14ac:dyDescent="0.15">
      <c r="A10" s="4">
        <v>8007</v>
      </c>
      <c r="B10" s="4" t="s">
        <v>21</v>
      </c>
      <c r="C10" s="4">
        <v>1107</v>
      </c>
      <c r="D10" s="4">
        <v>1007</v>
      </c>
      <c r="E10" s="4" t="str">
        <f t="shared" si="0"/>
        <v>西兰花_04</v>
      </c>
      <c r="F10" s="4">
        <v>1</v>
      </c>
      <c r="G10" s="4">
        <v>3</v>
      </c>
      <c r="H10" s="4">
        <v>3</v>
      </c>
      <c r="I10" s="4">
        <v>3</v>
      </c>
      <c r="J10" s="4">
        <v>0</v>
      </c>
      <c r="K10" s="4">
        <v>3</v>
      </c>
      <c r="L10" s="4">
        <v>8007</v>
      </c>
      <c r="M10" s="5" t="s">
        <v>63</v>
      </c>
    </row>
    <row r="11" spans="1:13" x14ac:dyDescent="0.15">
      <c r="A11" s="4">
        <v>8008</v>
      </c>
      <c r="B11" s="4" t="s">
        <v>30</v>
      </c>
      <c r="C11" s="4">
        <v>1108</v>
      </c>
      <c r="D11" s="4">
        <v>1008</v>
      </c>
      <c r="E11" s="4" t="str">
        <f t="shared" si="0"/>
        <v>番茄_04</v>
      </c>
      <c r="F11" s="4">
        <v>2</v>
      </c>
      <c r="G11" s="4">
        <v>4</v>
      </c>
      <c r="H11" s="4">
        <v>3</v>
      </c>
      <c r="I11" s="4">
        <v>4</v>
      </c>
      <c r="J11" s="4">
        <v>3</v>
      </c>
      <c r="K11" s="4">
        <v>3</v>
      </c>
      <c r="L11" s="4">
        <v>8008</v>
      </c>
      <c r="M11" s="5" t="s">
        <v>78</v>
      </c>
    </row>
    <row r="12" spans="1:13" x14ac:dyDescent="0.15">
      <c r="A12" s="4">
        <v>8009</v>
      </c>
      <c r="B12" s="4" t="s">
        <v>42</v>
      </c>
      <c r="C12" s="4">
        <v>1109</v>
      </c>
      <c r="D12" s="4">
        <v>1009</v>
      </c>
      <c r="E12" s="4" t="str">
        <f t="shared" si="0"/>
        <v>胡萝卜_04</v>
      </c>
      <c r="F12" s="4">
        <v>2</v>
      </c>
      <c r="G12" s="4">
        <v>4</v>
      </c>
      <c r="H12" s="4">
        <v>3</v>
      </c>
      <c r="I12" s="4">
        <v>3</v>
      </c>
      <c r="J12" s="4">
        <v>0</v>
      </c>
      <c r="K12" s="4">
        <v>3</v>
      </c>
      <c r="L12" s="4">
        <v>8009</v>
      </c>
      <c r="M12" s="5" t="s">
        <v>64</v>
      </c>
    </row>
    <row r="13" spans="1:13" x14ac:dyDescent="0.15">
      <c r="A13" s="4">
        <v>8010</v>
      </c>
      <c r="B13" s="4" t="s">
        <v>22</v>
      </c>
      <c r="C13" s="4">
        <v>1110</v>
      </c>
      <c r="D13" s="4">
        <v>1010</v>
      </c>
      <c r="E13" s="4" t="str">
        <f t="shared" si="0"/>
        <v>西瓜_04</v>
      </c>
      <c r="F13" s="4">
        <v>2</v>
      </c>
      <c r="G13" s="4">
        <v>4</v>
      </c>
      <c r="H13" s="4">
        <v>4</v>
      </c>
      <c r="I13" s="4">
        <v>2</v>
      </c>
      <c r="J13" s="4">
        <v>0</v>
      </c>
      <c r="K13" s="4">
        <v>3</v>
      </c>
      <c r="L13" s="4">
        <v>8010</v>
      </c>
      <c r="M13" s="5" t="s">
        <v>65</v>
      </c>
    </row>
    <row r="14" spans="1:13" x14ac:dyDescent="0.15">
      <c r="A14" s="4">
        <v>8011</v>
      </c>
      <c r="B14" s="4" t="s">
        <v>43</v>
      </c>
      <c r="C14" s="4">
        <v>1111</v>
      </c>
      <c r="D14" s="4">
        <v>1011</v>
      </c>
      <c r="E14" s="4" t="str">
        <f t="shared" si="0"/>
        <v>辣椒_04</v>
      </c>
      <c r="F14" s="4">
        <v>3</v>
      </c>
      <c r="G14" s="4">
        <v>1</v>
      </c>
      <c r="H14" s="4">
        <v>4</v>
      </c>
      <c r="I14" s="4">
        <v>5</v>
      </c>
      <c r="J14" s="4">
        <v>4</v>
      </c>
      <c r="K14" s="4">
        <v>3</v>
      </c>
      <c r="L14" s="4">
        <v>8011</v>
      </c>
      <c r="M14" s="5" t="s">
        <v>79</v>
      </c>
    </row>
    <row r="15" spans="1:13" x14ac:dyDescent="0.15">
      <c r="A15" s="4">
        <v>8012</v>
      </c>
      <c r="B15" s="4" t="s">
        <v>35</v>
      </c>
      <c r="C15" s="4">
        <v>1112</v>
      </c>
      <c r="D15" s="4">
        <v>1012</v>
      </c>
      <c r="E15" s="4" t="str">
        <f t="shared" si="0"/>
        <v>奇异果_04</v>
      </c>
      <c r="F15" s="4">
        <v>3</v>
      </c>
      <c r="G15" s="4">
        <v>1</v>
      </c>
      <c r="H15" s="4">
        <v>4</v>
      </c>
      <c r="I15" s="4">
        <v>6</v>
      </c>
      <c r="J15" s="4">
        <v>3</v>
      </c>
      <c r="K15" s="4">
        <v>3</v>
      </c>
      <c r="L15" s="4">
        <v>8012</v>
      </c>
      <c r="M15" s="5" t="s">
        <v>80</v>
      </c>
    </row>
    <row r="16" spans="1:13" x14ac:dyDescent="0.15">
      <c r="A16" s="4">
        <v>8013</v>
      </c>
      <c r="B16" s="4" t="s">
        <v>31</v>
      </c>
      <c r="C16" s="4">
        <v>1113</v>
      </c>
      <c r="D16" s="4">
        <v>1013</v>
      </c>
      <c r="E16" s="4" t="str">
        <f t="shared" si="0"/>
        <v>茄子_04</v>
      </c>
      <c r="F16" s="4">
        <v>3</v>
      </c>
      <c r="G16" s="4">
        <v>1</v>
      </c>
      <c r="H16" s="4">
        <v>5</v>
      </c>
      <c r="I16" s="4">
        <v>3</v>
      </c>
      <c r="J16" s="4">
        <v>6</v>
      </c>
      <c r="K16" s="4">
        <v>3</v>
      </c>
      <c r="L16" s="4">
        <v>8013</v>
      </c>
      <c r="M16" s="5" t="s">
        <v>81</v>
      </c>
    </row>
    <row r="17" spans="1:13" x14ac:dyDescent="0.15">
      <c r="A17" s="4">
        <v>8014</v>
      </c>
      <c r="B17" s="4" t="s">
        <v>27</v>
      </c>
      <c r="C17" s="4">
        <v>1114</v>
      </c>
      <c r="D17" s="4">
        <v>1014</v>
      </c>
      <c r="E17" s="4" t="str">
        <f t="shared" si="0"/>
        <v>豌豆_04</v>
      </c>
      <c r="F17" s="4">
        <v>3</v>
      </c>
      <c r="G17" s="4">
        <v>1</v>
      </c>
      <c r="H17" s="4">
        <v>5</v>
      </c>
      <c r="I17" s="4">
        <v>6</v>
      </c>
      <c r="J17" s="4">
        <v>0</v>
      </c>
      <c r="K17" s="4">
        <v>3</v>
      </c>
      <c r="L17" s="4">
        <v>8014</v>
      </c>
      <c r="M17" s="5" t="s">
        <v>67</v>
      </c>
    </row>
    <row r="18" spans="1:13" x14ac:dyDescent="0.15">
      <c r="A18" s="4">
        <v>8015</v>
      </c>
      <c r="B18" s="4" t="s">
        <v>28</v>
      </c>
      <c r="C18" s="4">
        <v>1115</v>
      </c>
      <c r="D18" s="4">
        <v>1015</v>
      </c>
      <c r="E18" s="4" t="str">
        <f t="shared" si="0"/>
        <v>土豆_04</v>
      </c>
      <c r="F18" s="4">
        <v>4</v>
      </c>
      <c r="G18" s="4">
        <v>2</v>
      </c>
      <c r="H18" s="4">
        <v>5</v>
      </c>
      <c r="I18" s="4">
        <v>4</v>
      </c>
      <c r="J18" s="4">
        <v>0</v>
      </c>
      <c r="K18" s="4">
        <v>3</v>
      </c>
      <c r="L18" s="4">
        <v>8015</v>
      </c>
      <c r="M18" s="5" t="s">
        <v>68</v>
      </c>
    </row>
    <row r="19" spans="1:13" x14ac:dyDescent="0.15">
      <c r="A19" s="4">
        <v>8016</v>
      </c>
      <c r="B19" s="4" t="s">
        <v>32</v>
      </c>
      <c r="C19" s="4">
        <v>1116</v>
      </c>
      <c r="D19" s="4">
        <v>1016</v>
      </c>
      <c r="E19" s="4" t="str">
        <f t="shared" si="0"/>
        <v>大蒜_04</v>
      </c>
      <c r="F19" s="4">
        <v>4</v>
      </c>
      <c r="G19" s="4">
        <v>2</v>
      </c>
      <c r="H19" s="4">
        <v>6</v>
      </c>
      <c r="I19" s="4">
        <v>6</v>
      </c>
      <c r="J19" s="4">
        <v>0</v>
      </c>
      <c r="K19" s="4">
        <v>3</v>
      </c>
      <c r="L19" s="4">
        <v>8016</v>
      </c>
      <c r="M19" s="5" t="s">
        <v>68</v>
      </c>
    </row>
    <row r="20" spans="1:13" x14ac:dyDescent="0.15">
      <c r="A20" s="4">
        <v>8017</v>
      </c>
      <c r="B20" s="4" t="s">
        <v>40</v>
      </c>
      <c r="C20" s="4">
        <v>1117</v>
      </c>
      <c r="D20" s="4">
        <v>1017</v>
      </c>
      <c r="E20" s="4" t="str">
        <f t="shared" si="0"/>
        <v>芦笋_04</v>
      </c>
      <c r="F20" s="4">
        <v>4</v>
      </c>
      <c r="G20" s="4">
        <v>2</v>
      </c>
      <c r="H20" s="4">
        <v>6</v>
      </c>
      <c r="I20" s="4">
        <v>4</v>
      </c>
      <c r="J20" s="6">
        <v>0</v>
      </c>
      <c r="K20" s="4">
        <v>3</v>
      </c>
      <c r="L20" s="4">
        <v>8017</v>
      </c>
      <c r="M20" s="5" t="s">
        <v>67</v>
      </c>
    </row>
    <row r="21" spans="1:13" x14ac:dyDescent="0.15">
      <c r="A21" s="4">
        <v>8018</v>
      </c>
      <c r="B21" s="4" t="s">
        <v>39</v>
      </c>
      <c r="C21" s="4">
        <v>1118</v>
      </c>
      <c r="D21" s="4">
        <v>1018</v>
      </c>
      <c r="E21" s="4" t="str">
        <f t="shared" si="0"/>
        <v>南瓜_04</v>
      </c>
      <c r="F21" s="4">
        <v>3</v>
      </c>
      <c r="G21" s="4">
        <v>1</v>
      </c>
      <c r="H21" s="4">
        <v>6</v>
      </c>
      <c r="I21" s="4">
        <v>3</v>
      </c>
      <c r="J21" s="4">
        <v>3</v>
      </c>
      <c r="K21" s="4">
        <v>3</v>
      </c>
      <c r="L21" s="4">
        <v>8018</v>
      </c>
      <c r="M21" s="5" t="s">
        <v>66</v>
      </c>
    </row>
    <row r="22" spans="1:13" x14ac:dyDescent="0.15">
      <c r="A22" s="4">
        <v>8019</v>
      </c>
      <c r="B22" s="4" t="s">
        <v>23</v>
      </c>
      <c r="C22" s="4">
        <v>1119</v>
      </c>
      <c r="D22" s="4">
        <v>1019</v>
      </c>
      <c r="E22" s="4" t="str">
        <f t="shared" si="0"/>
        <v>玉米_04</v>
      </c>
      <c r="F22" s="4">
        <v>3</v>
      </c>
      <c r="G22" s="4">
        <v>1</v>
      </c>
      <c r="H22" s="4">
        <v>7</v>
      </c>
      <c r="I22" s="4">
        <v>8</v>
      </c>
      <c r="J22" s="4">
        <v>0</v>
      </c>
      <c r="K22" s="4">
        <v>3</v>
      </c>
      <c r="L22" s="4">
        <v>8019</v>
      </c>
      <c r="M22" s="5" t="s">
        <v>82</v>
      </c>
    </row>
    <row r="23" spans="1:13" x14ac:dyDescent="0.15">
      <c r="A23" s="4">
        <v>8020</v>
      </c>
      <c r="B23" s="4" t="s">
        <v>49</v>
      </c>
      <c r="C23" s="4">
        <v>1120</v>
      </c>
      <c r="D23" s="4">
        <v>1020</v>
      </c>
      <c r="E23" s="4" t="str">
        <f t="shared" si="0"/>
        <v>小麦_04</v>
      </c>
      <c r="F23" s="4">
        <v>3</v>
      </c>
      <c r="G23" s="4">
        <v>1</v>
      </c>
      <c r="H23" s="4">
        <v>7</v>
      </c>
      <c r="I23" s="4">
        <v>8</v>
      </c>
      <c r="J23" s="4">
        <v>0</v>
      </c>
      <c r="K23" s="4">
        <v>3</v>
      </c>
      <c r="L23" s="4">
        <v>8020</v>
      </c>
      <c r="M23" s="5" t="s">
        <v>83</v>
      </c>
    </row>
    <row r="24" spans="1:13" x14ac:dyDescent="0.15">
      <c r="A24" s="4">
        <v>8021</v>
      </c>
      <c r="B24" s="4" t="s">
        <v>34</v>
      </c>
      <c r="C24" s="4">
        <v>1121</v>
      </c>
      <c r="D24" s="4">
        <v>1021</v>
      </c>
      <c r="E24" s="4" t="str">
        <f t="shared" si="0"/>
        <v>啤酒花_04</v>
      </c>
      <c r="F24" s="4">
        <v>2</v>
      </c>
      <c r="G24" s="4">
        <v>4</v>
      </c>
      <c r="H24" s="4">
        <v>7</v>
      </c>
      <c r="I24" s="4">
        <v>8</v>
      </c>
      <c r="J24" s="4">
        <v>8</v>
      </c>
      <c r="K24" s="4">
        <v>3</v>
      </c>
      <c r="L24" s="4">
        <v>8021</v>
      </c>
      <c r="M24" s="5" t="s">
        <v>84</v>
      </c>
    </row>
    <row r="25" spans="1:13" x14ac:dyDescent="0.15">
      <c r="A25" s="4">
        <v>8022</v>
      </c>
      <c r="B25" s="4" t="s">
        <v>26</v>
      </c>
      <c r="C25" s="4">
        <v>1122</v>
      </c>
      <c r="D25" s="4">
        <v>1022</v>
      </c>
      <c r="E25" s="4" t="str">
        <f t="shared" si="0"/>
        <v>葡萄_04</v>
      </c>
      <c r="F25" s="4">
        <v>2</v>
      </c>
      <c r="G25" s="4">
        <v>4</v>
      </c>
      <c r="H25" s="4">
        <v>8</v>
      </c>
      <c r="I25" s="4">
        <v>8</v>
      </c>
      <c r="J25" s="4">
        <v>9</v>
      </c>
      <c r="K25" s="4">
        <v>3</v>
      </c>
      <c r="L25" s="4">
        <v>8022</v>
      </c>
      <c r="M25" s="5" t="s">
        <v>85</v>
      </c>
    </row>
    <row r="26" spans="1:13" x14ac:dyDescent="0.15">
      <c r="A26" s="4">
        <v>8023</v>
      </c>
      <c r="B26" s="4" t="s">
        <v>18</v>
      </c>
      <c r="C26" s="4">
        <v>1123</v>
      </c>
      <c r="D26" s="4">
        <v>1023</v>
      </c>
      <c r="E26" s="4" t="str">
        <f t="shared" si="0"/>
        <v>菠萝_04</v>
      </c>
      <c r="F26" s="4">
        <v>2</v>
      </c>
      <c r="G26" s="4">
        <v>4</v>
      </c>
      <c r="H26" s="4">
        <v>8</v>
      </c>
      <c r="I26" s="4">
        <v>4</v>
      </c>
      <c r="J26" s="4">
        <v>8</v>
      </c>
      <c r="K26" s="4">
        <v>3</v>
      </c>
      <c r="L26" s="4">
        <v>8023</v>
      </c>
      <c r="M26" s="5" t="s">
        <v>86</v>
      </c>
    </row>
    <row r="27" spans="1:13" x14ac:dyDescent="0.15">
      <c r="A27" s="4">
        <v>8024</v>
      </c>
      <c r="B27" s="4" t="s">
        <v>38</v>
      </c>
      <c r="C27" s="4">
        <v>1124</v>
      </c>
      <c r="D27" s="4">
        <v>1024</v>
      </c>
      <c r="E27" s="4" t="str">
        <f t="shared" si="0"/>
        <v>咖啡_04</v>
      </c>
      <c r="F27" s="4">
        <v>2</v>
      </c>
      <c r="G27" s="4">
        <v>4</v>
      </c>
      <c r="H27" s="4">
        <v>8</v>
      </c>
      <c r="I27" s="4">
        <v>6</v>
      </c>
      <c r="J27" s="4">
        <v>8</v>
      </c>
      <c r="K27" s="4">
        <v>3</v>
      </c>
      <c r="L27" s="4">
        <v>8024</v>
      </c>
      <c r="M27" s="5" t="s">
        <v>84</v>
      </c>
    </row>
    <row r="28" spans="1:13" x14ac:dyDescent="0.15">
      <c r="A28" s="4">
        <v>8025</v>
      </c>
      <c r="B28" s="4" t="s">
        <v>20</v>
      </c>
      <c r="C28" s="4">
        <v>1125</v>
      </c>
      <c r="D28" s="4">
        <v>1025</v>
      </c>
      <c r="E28" s="4" t="str">
        <f t="shared" si="0"/>
        <v>草莓_04</v>
      </c>
      <c r="F28" s="4">
        <v>4</v>
      </c>
      <c r="G28" s="4">
        <v>2</v>
      </c>
      <c r="H28" s="4">
        <v>9</v>
      </c>
      <c r="I28" s="4">
        <v>6</v>
      </c>
      <c r="J28" s="4">
        <v>6</v>
      </c>
      <c r="K28" s="4">
        <v>3</v>
      </c>
      <c r="L28" s="4">
        <v>8025</v>
      </c>
      <c r="M28" s="5" t="s">
        <v>87</v>
      </c>
    </row>
    <row r="29" spans="1:13" x14ac:dyDescent="0.15">
      <c r="A29" s="4">
        <v>8026</v>
      </c>
      <c r="B29" s="4" t="s">
        <v>24</v>
      </c>
      <c r="C29" s="4">
        <v>1126</v>
      </c>
      <c r="D29" s="4">
        <v>1026</v>
      </c>
      <c r="E29" s="4" t="str">
        <f t="shared" si="0"/>
        <v>蓝莓_04</v>
      </c>
      <c r="F29" s="4">
        <v>4</v>
      </c>
      <c r="G29" s="4">
        <v>2</v>
      </c>
      <c r="H29" s="4">
        <v>9</v>
      </c>
      <c r="I29" s="4">
        <v>6</v>
      </c>
      <c r="J29" s="4">
        <v>6</v>
      </c>
      <c r="K29" s="4">
        <v>3</v>
      </c>
      <c r="L29" s="4">
        <v>8026</v>
      </c>
      <c r="M29" s="5" t="s">
        <v>87</v>
      </c>
    </row>
    <row r="30" spans="1:13" x14ac:dyDescent="0.15">
      <c r="A30" s="4">
        <v>8027</v>
      </c>
      <c r="B30" s="4" t="s">
        <v>44</v>
      </c>
      <c r="C30" s="4">
        <v>1127</v>
      </c>
      <c r="D30" s="4">
        <v>1027</v>
      </c>
      <c r="E30" s="4" t="str">
        <f t="shared" si="0"/>
        <v>红薯_04</v>
      </c>
      <c r="F30" s="4">
        <v>4</v>
      </c>
      <c r="G30" s="4">
        <v>2</v>
      </c>
      <c r="H30" s="4">
        <v>9</v>
      </c>
      <c r="I30" s="4">
        <v>6</v>
      </c>
      <c r="J30" s="4">
        <v>0</v>
      </c>
      <c r="K30" s="4">
        <v>3</v>
      </c>
      <c r="L30" s="4">
        <v>8027</v>
      </c>
      <c r="M30" s="5" t="s">
        <v>68</v>
      </c>
    </row>
    <row r="31" spans="1:13" x14ac:dyDescent="0.15">
      <c r="A31" s="4">
        <v>8028</v>
      </c>
      <c r="B31" s="4" t="s">
        <v>36</v>
      </c>
      <c r="C31" s="4">
        <v>1128</v>
      </c>
      <c r="D31" s="4">
        <v>1028</v>
      </c>
      <c r="E31" s="4" t="str">
        <f t="shared" si="0"/>
        <v>甜菜_04</v>
      </c>
      <c r="F31" s="4">
        <v>4</v>
      </c>
      <c r="G31" s="4">
        <v>2</v>
      </c>
      <c r="H31" s="4">
        <v>9</v>
      </c>
      <c r="I31" s="4">
        <v>6</v>
      </c>
      <c r="J31" s="4">
        <v>0</v>
      </c>
      <c r="K31" s="4">
        <v>3</v>
      </c>
      <c r="L31" s="4">
        <v>8028</v>
      </c>
      <c r="M31" s="5" t="s">
        <v>68</v>
      </c>
    </row>
  </sheetData>
  <autoFilter ref="A3:B3">
    <sortState ref="A4:B303">
      <sortCondition ref="A3"/>
    </sortState>
  </autoFilter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T64"/>
  <sheetViews>
    <sheetView workbookViewId="0">
      <selection activeCell="M21" sqref="M21"/>
    </sheetView>
  </sheetViews>
  <sheetFormatPr defaultRowHeight="13.5" x14ac:dyDescent="0.15"/>
  <cols>
    <col min="2" max="2" width="20.25" customWidth="1"/>
    <col min="3" max="3" width="39.125" customWidth="1"/>
  </cols>
  <sheetData>
    <row r="2" spans="1:20" x14ac:dyDescent="0.15">
      <c r="A2" t="s">
        <v>0</v>
      </c>
      <c r="B2" t="s">
        <v>50</v>
      </c>
      <c r="C2" t="s">
        <v>50</v>
      </c>
    </row>
    <row r="3" spans="1:20" x14ac:dyDescent="0.15">
      <c r="A3" t="s">
        <v>1</v>
      </c>
      <c r="B3" t="s">
        <v>51</v>
      </c>
      <c r="C3" t="s">
        <v>10</v>
      </c>
      <c r="J3" s="4" t="s">
        <v>54</v>
      </c>
      <c r="K3" s="4" t="s">
        <v>55</v>
      </c>
      <c r="Q3" s="4"/>
      <c r="R3" s="4"/>
    </row>
    <row r="4" spans="1:20" x14ac:dyDescent="0.15">
      <c r="A4">
        <v>8001</v>
      </c>
      <c r="B4" t="s">
        <v>17</v>
      </c>
      <c r="C4" t="s">
        <v>52</v>
      </c>
      <c r="J4">
        <v>3</v>
      </c>
      <c r="K4" s="4">
        <v>0</v>
      </c>
      <c r="L4">
        <f>J4*24</f>
        <v>72</v>
      </c>
      <c r="M4">
        <f>K4*24</f>
        <v>0</v>
      </c>
      <c r="O4">
        <f>ROUND($L4/4*1,0)</f>
        <v>18</v>
      </c>
      <c r="P4">
        <f>IF(M4=0,0,M4-O4)</f>
        <v>0</v>
      </c>
      <c r="Q4" s="4"/>
      <c r="R4" s="4">
        <v>1</v>
      </c>
      <c r="S4" s="4">
        <v>2</v>
      </c>
      <c r="T4" s="4">
        <v>2</v>
      </c>
    </row>
    <row r="5" spans="1:20" x14ac:dyDescent="0.15">
      <c r="A5">
        <v>8002</v>
      </c>
      <c r="B5" t="s">
        <v>33</v>
      </c>
      <c r="C5" t="s">
        <v>52</v>
      </c>
      <c r="J5">
        <v>3</v>
      </c>
      <c r="K5" s="4">
        <v>0</v>
      </c>
      <c r="L5">
        <f t="shared" ref="L5:L31" si="0">J5*24</f>
        <v>72</v>
      </c>
      <c r="M5">
        <f t="shared" ref="M5:M31" si="1">K5*24</f>
        <v>0</v>
      </c>
      <c r="O5">
        <f t="shared" ref="O5:O31" si="2">ROUND($L5/4*1,0)</f>
        <v>18</v>
      </c>
      <c r="P5">
        <f t="shared" ref="P5:P31" si="3">IF(M5=0,0,M5-O5)</f>
        <v>0</v>
      </c>
      <c r="Q5" s="4"/>
      <c r="R5" s="4">
        <v>2</v>
      </c>
      <c r="S5" s="4">
        <v>3</v>
      </c>
      <c r="T5" s="4">
        <v>3</v>
      </c>
    </row>
    <row r="6" spans="1:20" x14ac:dyDescent="0.15">
      <c r="A6">
        <v>8003</v>
      </c>
      <c r="B6" t="s">
        <v>25</v>
      </c>
      <c r="C6" t="s">
        <v>52</v>
      </c>
      <c r="J6">
        <v>3</v>
      </c>
      <c r="K6" s="4">
        <v>0</v>
      </c>
      <c r="L6">
        <f t="shared" si="0"/>
        <v>72</v>
      </c>
      <c r="M6">
        <f t="shared" si="1"/>
        <v>0</v>
      </c>
      <c r="O6">
        <f t="shared" si="2"/>
        <v>18</v>
      </c>
      <c r="P6">
        <f t="shared" si="3"/>
        <v>0</v>
      </c>
      <c r="Q6" s="4"/>
      <c r="R6" s="4">
        <v>1</v>
      </c>
      <c r="S6" s="4">
        <v>2</v>
      </c>
      <c r="T6" s="4">
        <v>2</v>
      </c>
    </row>
    <row r="7" spans="1:20" x14ac:dyDescent="0.15">
      <c r="A7">
        <v>8004</v>
      </c>
      <c r="B7" t="s">
        <v>37</v>
      </c>
      <c r="C7" t="s">
        <v>52</v>
      </c>
      <c r="J7">
        <v>4</v>
      </c>
      <c r="K7" s="4">
        <v>0</v>
      </c>
      <c r="L7">
        <f t="shared" si="0"/>
        <v>96</v>
      </c>
      <c r="M7">
        <f t="shared" si="1"/>
        <v>0</v>
      </c>
      <c r="O7">
        <f t="shared" si="2"/>
        <v>24</v>
      </c>
      <c r="P7">
        <f t="shared" si="3"/>
        <v>0</v>
      </c>
      <c r="Q7" s="4"/>
      <c r="R7" s="4">
        <v>1</v>
      </c>
      <c r="S7" s="4">
        <v>2</v>
      </c>
      <c r="T7" s="4">
        <v>2</v>
      </c>
    </row>
    <row r="8" spans="1:20" x14ac:dyDescent="0.15">
      <c r="A8">
        <v>8005</v>
      </c>
      <c r="B8" t="s">
        <v>29</v>
      </c>
      <c r="C8" t="s">
        <v>52</v>
      </c>
      <c r="J8">
        <v>4</v>
      </c>
      <c r="K8" s="4">
        <v>0</v>
      </c>
      <c r="L8">
        <f t="shared" si="0"/>
        <v>96</v>
      </c>
      <c r="M8">
        <f t="shared" si="1"/>
        <v>0</v>
      </c>
      <c r="O8">
        <f t="shared" si="2"/>
        <v>24</v>
      </c>
      <c r="P8">
        <f t="shared" si="3"/>
        <v>0</v>
      </c>
      <c r="Q8" s="4"/>
      <c r="R8" s="4">
        <v>2</v>
      </c>
      <c r="S8" s="4">
        <v>3</v>
      </c>
      <c r="T8" s="4">
        <v>3</v>
      </c>
    </row>
    <row r="9" spans="1:20" x14ac:dyDescent="0.15">
      <c r="A9">
        <v>8006</v>
      </c>
      <c r="B9" t="s">
        <v>41</v>
      </c>
      <c r="C9" t="s">
        <v>52</v>
      </c>
      <c r="J9">
        <v>5</v>
      </c>
      <c r="K9" s="4">
        <v>2</v>
      </c>
      <c r="L9">
        <f t="shared" si="0"/>
        <v>120</v>
      </c>
      <c r="M9">
        <f t="shared" si="1"/>
        <v>48</v>
      </c>
      <c r="O9">
        <f t="shared" si="2"/>
        <v>30</v>
      </c>
      <c r="P9">
        <f t="shared" si="3"/>
        <v>18</v>
      </c>
      <c r="Q9" s="4"/>
      <c r="R9" s="4">
        <v>1</v>
      </c>
      <c r="S9" s="4">
        <v>2</v>
      </c>
      <c r="T9" s="4">
        <v>2</v>
      </c>
    </row>
    <row r="10" spans="1:20" x14ac:dyDescent="0.15">
      <c r="A10">
        <v>8007</v>
      </c>
      <c r="B10" t="s">
        <v>21</v>
      </c>
      <c r="C10" t="s">
        <v>52</v>
      </c>
      <c r="J10">
        <v>4</v>
      </c>
      <c r="K10" s="4">
        <v>0</v>
      </c>
      <c r="L10">
        <f t="shared" si="0"/>
        <v>96</v>
      </c>
      <c r="M10">
        <f t="shared" si="1"/>
        <v>0</v>
      </c>
      <c r="O10">
        <f t="shared" si="2"/>
        <v>24</v>
      </c>
      <c r="P10">
        <f t="shared" si="3"/>
        <v>0</v>
      </c>
      <c r="Q10" s="4"/>
      <c r="R10" s="4">
        <v>2</v>
      </c>
      <c r="S10" s="4">
        <v>3</v>
      </c>
      <c r="T10" s="4">
        <v>3</v>
      </c>
    </row>
    <row r="11" spans="1:20" x14ac:dyDescent="0.15">
      <c r="A11">
        <v>8008</v>
      </c>
      <c r="B11" t="s">
        <v>30</v>
      </c>
      <c r="C11" t="s">
        <v>52</v>
      </c>
      <c r="J11">
        <v>6</v>
      </c>
      <c r="K11" s="4">
        <v>3</v>
      </c>
      <c r="L11">
        <f t="shared" si="0"/>
        <v>144</v>
      </c>
      <c r="M11">
        <f t="shared" si="1"/>
        <v>72</v>
      </c>
      <c r="O11">
        <f t="shared" si="2"/>
        <v>36</v>
      </c>
      <c r="P11">
        <f t="shared" si="3"/>
        <v>36</v>
      </c>
      <c r="Q11" s="4"/>
      <c r="R11" s="4">
        <v>1</v>
      </c>
      <c r="S11" s="4">
        <v>2</v>
      </c>
      <c r="T11" s="4">
        <v>2</v>
      </c>
    </row>
    <row r="12" spans="1:20" x14ac:dyDescent="0.15">
      <c r="A12">
        <v>8009</v>
      </c>
      <c r="B12" t="s">
        <v>42</v>
      </c>
      <c r="C12" t="s">
        <v>52</v>
      </c>
      <c r="J12">
        <v>5</v>
      </c>
      <c r="K12" s="4">
        <v>0</v>
      </c>
      <c r="L12">
        <f t="shared" si="0"/>
        <v>120</v>
      </c>
      <c r="M12">
        <f t="shared" si="1"/>
        <v>0</v>
      </c>
      <c r="O12">
        <f t="shared" si="2"/>
        <v>30</v>
      </c>
      <c r="P12">
        <f t="shared" si="3"/>
        <v>0</v>
      </c>
      <c r="Q12" s="4"/>
      <c r="R12" s="4">
        <v>1</v>
      </c>
      <c r="S12" s="4">
        <v>2</v>
      </c>
      <c r="T12" s="4">
        <v>2</v>
      </c>
    </row>
    <row r="13" spans="1:20" x14ac:dyDescent="0.15">
      <c r="A13">
        <v>8010</v>
      </c>
      <c r="B13" t="s">
        <v>22</v>
      </c>
      <c r="C13" t="s">
        <v>52</v>
      </c>
      <c r="J13">
        <v>6</v>
      </c>
      <c r="K13" s="4">
        <v>0</v>
      </c>
      <c r="L13">
        <f t="shared" si="0"/>
        <v>144</v>
      </c>
      <c r="M13">
        <f t="shared" si="1"/>
        <v>0</v>
      </c>
      <c r="O13">
        <f t="shared" si="2"/>
        <v>36</v>
      </c>
      <c r="P13">
        <f t="shared" si="3"/>
        <v>0</v>
      </c>
      <c r="Q13" s="4"/>
      <c r="R13" s="4">
        <v>2</v>
      </c>
      <c r="S13" s="4">
        <v>3</v>
      </c>
      <c r="T13" s="4">
        <v>3</v>
      </c>
    </row>
    <row r="14" spans="1:20" x14ac:dyDescent="0.15">
      <c r="A14">
        <v>8011</v>
      </c>
      <c r="B14" t="s">
        <v>43</v>
      </c>
      <c r="C14" t="s">
        <v>52</v>
      </c>
      <c r="J14">
        <v>8</v>
      </c>
      <c r="K14" s="4">
        <v>4</v>
      </c>
      <c r="L14">
        <f t="shared" si="0"/>
        <v>192</v>
      </c>
      <c r="M14">
        <f t="shared" si="1"/>
        <v>96</v>
      </c>
      <c r="O14">
        <f t="shared" si="2"/>
        <v>48</v>
      </c>
      <c r="P14">
        <f t="shared" si="3"/>
        <v>48</v>
      </c>
      <c r="Q14" s="4"/>
      <c r="R14" s="4">
        <v>1</v>
      </c>
      <c r="S14" s="4">
        <v>2</v>
      </c>
      <c r="T14" s="4">
        <v>2</v>
      </c>
    </row>
    <row r="15" spans="1:20" x14ac:dyDescent="0.15">
      <c r="A15">
        <v>8012</v>
      </c>
      <c r="B15" t="s">
        <v>35</v>
      </c>
      <c r="C15" t="s">
        <v>52</v>
      </c>
      <c r="J15">
        <v>8</v>
      </c>
      <c r="K15" s="4">
        <v>3</v>
      </c>
      <c r="L15">
        <f t="shared" si="0"/>
        <v>192</v>
      </c>
      <c r="M15">
        <f t="shared" si="1"/>
        <v>72</v>
      </c>
      <c r="O15">
        <f t="shared" si="2"/>
        <v>48</v>
      </c>
      <c r="P15">
        <f t="shared" si="3"/>
        <v>24</v>
      </c>
      <c r="Q15" s="4"/>
      <c r="R15" s="4">
        <v>3</v>
      </c>
      <c r="S15" s="4">
        <v>4</v>
      </c>
      <c r="T15" s="4">
        <v>4</v>
      </c>
    </row>
    <row r="16" spans="1:20" x14ac:dyDescent="0.15">
      <c r="A16">
        <v>8013</v>
      </c>
      <c r="B16" t="s">
        <v>31</v>
      </c>
      <c r="C16" t="s">
        <v>52</v>
      </c>
      <c r="J16">
        <v>10</v>
      </c>
      <c r="K16" s="4">
        <v>6</v>
      </c>
      <c r="L16">
        <f t="shared" si="0"/>
        <v>240</v>
      </c>
      <c r="M16">
        <f t="shared" si="1"/>
        <v>144</v>
      </c>
      <c r="O16">
        <f t="shared" si="2"/>
        <v>60</v>
      </c>
      <c r="P16">
        <f t="shared" si="3"/>
        <v>84</v>
      </c>
      <c r="Q16" s="4"/>
      <c r="R16" s="4">
        <v>1</v>
      </c>
      <c r="S16" s="4">
        <v>2</v>
      </c>
      <c r="T16" s="4">
        <v>2</v>
      </c>
    </row>
    <row r="17" spans="1:20" x14ac:dyDescent="0.15">
      <c r="A17">
        <v>8014</v>
      </c>
      <c r="B17" t="s">
        <v>27</v>
      </c>
      <c r="C17" t="s">
        <v>52</v>
      </c>
      <c r="J17">
        <v>6</v>
      </c>
      <c r="K17" s="4">
        <v>0</v>
      </c>
      <c r="L17">
        <f t="shared" si="0"/>
        <v>144</v>
      </c>
      <c r="M17">
        <f t="shared" si="1"/>
        <v>0</v>
      </c>
      <c r="O17">
        <f t="shared" si="2"/>
        <v>36</v>
      </c>
      <c r="P17">
        <f t="shared" si="3"/>
        <v>0</v>
      </c>
      <c r="Q17" s="4"/>
      <c r="R17" s="4">
        <v>1</v>
      </c>
      <c r="S17" s="4">
        <v>2</v>
      </c>
      <c r="T17" s="4">
        <v>2</v>
      </c>
    </row>
    <row r="18" spans="1:20" x14ac:dyDescent="0.15">
      <c r="A18">
        <v>8015</v>
      </c>
      <c r="B18" t="s">
        <v>28</v>
      </c>
      <c r="C18" t="s">
        <v>52</v>
      </c>
      <c r="J18">
        <v>8</v>
      </c>
      <c r="K18" s="4">
        <v>0</v>
      </c>
      <c r="L18">
        <f t="shared" si="0"/>
        <v>192</v>
      </c>
      <c r="M18">
        <f t="shared" si="1"/>
        <v>0</v>
      </c>
      <c r="O18">
        <f t="shared" si="2"/>
        <v>48</v>
      </c>
      <c r="P18">
        <f t="shared" si="3"/>
        <v>0</v>
      </c>
      <c r="Q18" s="4"/>
      <c r="R18" s="4">
        <v>1</v>
      </c>
      <c r="S18" s="4">
        <v>2</v>
      </c>
      <c r="T18" s="4">
        <v>2</v>
      </c>
    </row>
    <row r="19" spans="1:20" x14ac:dyDescent="0.15">
      <c r="A19">
        <v>8016</v>
      </c>
      <c r="B19" t="s">
        <v>32</v>
      </c>
      <c r="C19" t="s">
        <v>52</v>
      </c>
      <c r="J19">
        <v>8</v>
      </c>
      <c r="K19" s="4">
        <v>0</v>
      </c>
      <c r="L19">
        <f t="shared" si="0"/>
        <v>192</v>
      </c>
      <c r="M19">
        <f t="shared" si="1"/>
        <v>0</v>
      </c>
      <c r="O19">
        <f t="shared" si="2"/>
        <v>48</v>
      </c>
      <c r="P19">
        <f t="shared" si="3"/>
        <v>0</v>
      </c>
      <c r="Q19" s="4"/>
      <c r="R19" s="4">
        <v>1</v>
      </c>
      <c r="S19" s="4">
        <v>2</v>
      </c>
      <c r="T19" s="4">
        <v>2</v>
      </c>
    </row>
    <row r="20" spans="1:20" x14ac:dyDescent="0.15">
      <c r="A20">
        <v>8017</v>
      </c>
      <c r="B20" t="s">
        <v>40</v>
      </c>
      <c r="C20" t="s">
        <v>52</v>
      </c>
      <c r="J20">
        <v>6</v>
      </c>
      <c r="K20" s="6">
        <v>0</v>
      </c>
      <c r="L20">
        <f t="shared" si="0"/>
        <v>144</v>
      </c>
      <c r="M20">
        <f t="shared" si="1"/>
        <v>0</v>
      </c>
      <c r="O20">
        <f t="shared" si="2"/>
        <v>36</v>
      </c>
      <c r="P20">
        <f t="shared" si="3"/>
        <v>0</v>
      </c>
      <c r="Q20" s="6"/>
      <c r="R20" s="4">
        <v>1</v>
      </c>
      <c r="S20" s="4">
        <v>2</v>
      </c>
      <c r="T20" s="4">
        <v>2</v>
      </c>
    </row>
    <row r="21" spans="1:20" x14ac:dyDescent="0.15">
      <c r="A21">
        <v>8018</v>
      </c>
      <c r="B21" t="s">
        <v>39</v>
      </c>
      <c r="C21" t="s">
        <v>52</v>
      </c>
      <c r="J21">
        <v>7</v>
      </c>
      <c r="K21" s="4">
        <v>3</v>
      </c>
      <c r="L21">
        <f t="shared" si="0"/>
        <v>168</v>
      </c>
      <c r="M21">
        <f t="shared" si="1"/>
        <v>72</v>
      </c>
      <c r="O21">
        <f t="shared" si="2"/>
        <v>42</v>
      </c>
      <c r="P21">
        <f t="shared" si="3"/>
        <v>30</v>
      </c>
      <c r="Q21" s="4"/>
      <c r="R21" s="4">
        <v>3</v>
      </c>
      <c r="S21" s="4">
        <v>4</v>
      </c>
      <c r="T21" s="4">
        <v>4</v>
      </c>
    </row>
    <row r="22" spans="1:20" x14ac:dyDescent="0.15">
      <c r="A22">
        <v>8019</v>
      </c>
      <c r="B22" t="s">
        <v>23</v>
      </c>
      <c r="C22" t="s">
        <v>52</v>
      </c>
      <c r="J22">
        <v>10</v>
      </c>
      <c r="K22" s="4">
        <v>0</v>
      </c>
      <c r="L22">
        <f t="shared" si="0"/>
        <v>240</v>
      </c>
      <c r="M22">
        <f t="shared" si="1"/>
        <v>0</v>
      </c>
      <c r="O22">
        <f t="shared" si="2"/>
        <v>60</v>
      </c>
      <c r="P22">
        <f t="shared" si="3"/>
        <v>0</v>
      </c>
      <c r="Q22" s="4"/>
      <c r="R22" s="4">
        <v>3</v>
      </c>
      <c r="S22" s="4">
        <v>4</v>
      </c>
      <c r="T22" s="4">
        <v>4</v>
      </c>
    </row>
    <row r="23" spans="1:20" x14ac:dyDescent="0.15">
      <c r="A23">
        <v>8020</v>
      </c>
      <c r="B23" t="s">
        <v>53</v>
      </c>
      <c r="C23" t="s">
        <v>52</v>
      </c>
      <c r="J23">
        <v>10</v>
      </c>
      <c r="K23" s="4">
        <v>0</v>
      </c>
      <c r="L23">
        <f t="shared" si="0"/>
        <v>240</v>
      </c>
      <c r="M23">
        <f t="shared" si="1"/>
        <v>0</v>
      </c>
      <c r="O23">
        <f t="shared" si="2"/>
        <v>60</v>
      </c>
      <c r="P23">
        <f t="shared" si="3"/>
        <v>0</v>
      </c>
      <c r="Q23" s="4"/>
      <c r="R23" s="4">
        <v>2</v>
      </c>
      <c r="S23" s="4">
        <v>3</v>
      </c>
      <c r="T23" s="4">
        <v>3</v>
      </c>
    </row>
    <row r="24" spans="1:20" x14ac:dyDescent="0.15">
      <c r="A24">
        <v>8021</v>
      </c>
      <c r="B24" t="s">
        <v>34</v>
      </c>
      <c r="C24" t="s">
        <v>52</v>
      </c>
      <c r="J24">
        <v>16</v>
      </c>
      <c r="K24" s="4">
        <v>8</v>
      </c>
      <c r="L24">
        <f t="shared" si="0"/>
        <v>384</v>
      </c>
      <c r="M24">
        <f t="shared" si="1"/>
        <v>192</v>
      </c>
      <c r="O24">
        <f t="shared" si="2"/>
        <v>96</v>
      </c>
      <c r="P24">
        <f t="shared" si="3"/>
        <v>96</v>
      </c>
      <c r="Q24" s="4"/>
      <c r="R24" s="4">
        <v>1</v>
      </c>
      <c r="S24" s="4">
        <v>2</v>
      </c>
      <c r="T24" s="4">
        <v>2</v>
      </c>
    </row>
    <row r="25" spans="1:20" x14ac:dyDescent="0.15">
      <c r="A25">
        <v>8022</v>
      </c>
      <c r="B25" t="s">
        <v>26</v>
      </c>
      <c r="C25" t="s">
        <v>52</v>
      </c>
      <c r="J25">
        <v>16</v>
      </c>
      <c r="K25" s="4">
        <v>9</v>
      </c>
      <c r="L25">
        <f t="shared" si="0"/>
        <v>384</v>
      </c>
      <c r="M25">
        <f t="shared" si="1"/>
        <v>216</v>
      </c>
      <c r="O25">
        <f t="shared" si="2"/>
        <v>96</v>
      </c>
      <c r="P25">
        <f t="shared" si="3"/>
        <v>120</v>
      </c>
      <c r="Q25" s="4"/>
      <c r="R25" s="4">
        <v>2</v>
      </c>
      <c r="S25" s="4">
        <v>3</v>
      </c>
      <c r="T25" s="4">
        <v>3</v>
      </c>
    </row>
    <row r="26" spans="1:20" x14ac:dyDescent="0.15">
      <c r="A26">
        <v>8023</v>
      </c>
      <c r="B26" t="s">
        <v>18</v>
      </c>
      <c r="C26" t="s">
        <v>52</v>
      </c>
      <c r="J26">
        <v>16</v>
      </c>
      <c r="K26" s="4">
        <v>8</v>
      </c>
      <c r="L26">
        <f t="shared" si="0"/>
        <v>384</v>
      </c>
      <c r="M26">
        <f t="shared" si="1"/>
        <v>192</v>
      </c>
      <c r="O26">
        <f t="shared" si="2"/>
        <v>96</v>
      </c>
      <c r="P26">
        <f t="shared" si="3"/>
        <v>96</v>
      </c>
      <c r="Q26" s="4"/>
      <c r="R26" s="4">
        <v>3</v>
      </c>
      <c r="S26" s="4">
        <v>4</v>
      </c>
      <c r="T26" s="4">
        <v>4</v>
      </c>
    </row>
    <row r="27" spans="1:20" x14ac:dyDescent="0.15">
      <c r="A27">
        <v>8024</v>
      </c>
      <c r="B27" t="s">
        <v>38</v>
      </c>
      <c r="C27" t="s">
        <v>52</v>
      </c>
      <c r="J27">
        <v>16</v>
      </c>
      <c r="K27" s="4">
        <v>8</v>
      </c>
      <c r="L27">
        <f t="shared" si="0"/>
        <v>384</v>
      </c>
      <c r="M27">
        <f t="shared" si="1"/>
        <v>192</v>
      </c>
      <c r="O27">
        <f t="shared" si="2"/>
        <v>96</v>
      </c>
      <c r="P27">
        <f t="shared" si="3"/>
        <v>96</v>
      </c>
      <c r="Q27" s="4"/>
      <c r="R27" s="4">
        <v>1</v>
      </c>
      <c r="S27" s="4">
        <v>2</v>
      </c>
      <c r="T27" s="4">
        <v>2</v>
      </c>
    </row>
    <row r="28" spans="1:20" x14ac:dyDescent="0.15">
      <c r="A28">
        <v>8025</v>
      </c>
      <c r="B28" t="s">
        <v>20</v>
      </c>
      <c r="C28" t="s">
        <v>52</v>
      </c>
      <c r="J28">
        <v>12</v>
      </c>
      <c r="K28" s="4">
        <v>6</v>
      </c>
      <c r="L28">
        <f t="shared" si="0"/>
        <v>288</v>
      </c>
      <c r="M28">
        <f t="shared" si="1"/>
        <v>144</v>
      </c>
      <c r="O28">
        <f t="shared" si="2"/>
        <v>72</v>
      </c>
      <c r="P28">
        <f t="shared" si="3"/>
        <v>72</v>
      </c>
      <c r="Q28" s="4"/>
      <c r="R28" s="4">
        <v>1</v>
      </c>
      <c r="S28" s="4">
        <v>2</v>
      </c>
      <c r="T28" s="4">
        <v>2</v>
      </c>
    </row>
    <row r="29" spans="1:20" x14ac:dyDescent="0.15">
      <c r="A29">
        <v>8026</v>
      </c>
      <c r="B29" t="s">
        <v>24</v>
      </c>
      <c r="C29" t="s">
        <v>52</v>
      </c>
      <c r="J29">
        <v>12</v>
      </c>
      <c r="K29" s="4">
        <v>6</v>
      </c>
      <c r="L29">
        <f t="shared" si="0"/>
        <v>288</v>
      </c>
      <c r="M29">
        <f t="shared" si="1"/>
        <v>144</v>
      </c>
      <c r="O29">
        <f t="shared" si="2"/>
        <v>72</v>
      </c>
      <c r="P29">
        <f t="shared" si="3"/>
        <v>72</v>
      </c>
      <c r="Q29" s="4"/>
      <c r="R29" s="4">
        <v>1</v>
      </c>
      <c r="S29" s="4">
        <v>2</v>
      </c>
      <c r="T29" s="4">
        <v>2</v>
      </c>
    </row>
    <row r="30" spans="1:20" x14ac:dyDescent="0.15">
      <c r="A30">
        <v>8027</v>
      </c>
      <c r="B30" t="s">
        <v>44</v>
      </c>
      <c r="C30" t="s">
        <v>52</v>
      </c>
      <c r="J30">
        <v>8</v>
      </c>
      <c r="K30" s="4">
        <v>0</v>
      </c>
      <c r="L30">
        <f t="shared" si="0"/>
        <v>192</v>
      </c>
      <c r="M30">
        <f t="shared" si="1"/>
        <v>0</v>
      </c>
      <c r="O30">
        <f t="shared" si="2"/>
        <v>48</v>
      </c>
      <c r="P30">
        <f t="shared" si="3"/>
        <v>0</v>
      </c>
      <c r="Q30" s="4"/>
      <c r="R30" s="4">
        <v>1</v>
      </c>
      <c r="S30" s="4">
        <v>2</v>
      </c>
      <c r="T30" s="4">
        <v>2</v>
      </c>
    </row>
    <row r="31" spans="1:20" x14ac:dyDescent="0.15">
      <c r="A31">
        <v>8028</v>
      </c>
      <c r="B31" t="s">
        <v>36</v>
      </c>
      <c r="C31" t="s">
        <v>52</v>
      </c>
      <c r="J31">
        <v>8</v>
      </c>
      <c r="K31" s="4">
        <v>0</v>
      </c>
      <c r="L31">
        <f t="shared" si="0"/>
        <v>192</v>
      </c>
      <c r="M31">
        <f t="shared" si="1"/>
        <v>0</v>
      </c>
      <c r="O31">
        <f t="shared" si="2"/>
        <v>48</v>
      </c>
      <c r="P31">
        <f t="shared" si="3"/>
        <v>0</v>
      </c>
      <c r="Q31" s="4"/>
      <c r="R31" s="4">
        <v>1</v>
      </c>
      <c r="S31" s="4">
        <v>2</v>
      </c>
      <c r="T31" s="4">
        <v>2</v>
      </c>
    </row>
    <row r="35" spans="10:17" x14ac:dyDescent="0.15">
      <c r="J35" t="s">
        <v>11</v>
      </c>
      <c r="K35" t="s">
        <v>56</v>
      </c>
      <c r="L35" t="s">
        <v>57</v>
      </c>
      <c r="M35" t="s">
        <v>14</v>
      </c>
      <c r="N35" t="s">
        <v>58</v>
      </c>
      <c r="O35" t="s">
        <v>59</v>
      </c>
    </row>
    <row r="37" spans="10:17" x14ac:dyDescent="0.15">
      <c r="J37" t="str">
        <f>J$35&amp;","&amp;$O4&amp;",0"</f>
        <v>萌芽,18,0</v>
      </c>
      <c r="K37" t="str">
        <f t="shared" ref="K37" si="4">K$35&amp;","&amp;$O4&amp;",0"</f>
        <v>小苗,18,0</v>
      </c>
      <c r="L37" t="str">
        <f>L$35&amp;","&amp;$O4&amp;","&amp;R4</f>
        <v>大苗,18,1</v>
      </c>
      <c r="M37" t="str">
        <f t="shared" ref="M37:N37" si="5">M$35&amp;","&amp;$O4&amp;","&amp;S4</f>
        <v>结果,18,2</v>
      </c>
      <c r="N37" t="str">
        <f t="shared" si="5"/>
        <v>成熟,18,2</v>
      </c>
      <c r="O37" t="str">
        <f>O$35&amp;","&amp;$P4&amp;",0"</f>
        <v>光杆,0,0</v>
      </c>
      <c r="Q37" t="str">
        <f>J37&amp;"|"&amp;K37&amp;"|"&amp;L37&amp;"|"&amp;M37&amp;"|"&amp;N37&amp;"|"&amp;O37</f>
        <v>萌芽,18,0|小苗,18,0|大苗,18,1|结果,18,2|成熟,18,2|光杆,0,0</v>
      </c>
    </row>
    <row r="38" spans="10:17" x14ac:dyDescent="0.15">
      <c r="J38" t="str">
        <f t="shared" ref="J38:K64" si="6">J$35&amp;","&amp;$O5&amp;",0"</f>
        <v>萌芽,18,0</v>
      </c>
      <c r="K38" t="str">
        <f t="shared" si="6"/>
        <v>小苗,18,0</v>
      </c>
      <c r="L38" t="str">
        <f t="shared" ref="L38:L64" si="7">L$35&amp;","&amp;$O5&amp;","&amp;R5</f>
        <v>大苗,18,2</v>
      </c>
      <c r="M38" t="str">
        <f t="shared" ref="M38:M64" si="8">M$35&amp;","&amp;$O5&amp;","&amp;S5</f>
        <v>结果,18,3</v>
      </c>
      <c r="N38" t="str">
        <f t="shared" ref="N38:N64" si="9">N$35&amp;","&amp;$O5&amp;","&amp;T5</f>
        <v>成熟,18,3</v>
      </c>
      <c r="O38" t="str">
        <f t="shared" ref="O38:O64" si="10">O$35&amp;","&amp;$P5&amp;",0"</f>
        <v>光杆,0,0</v>
      </c>
      <c r="Q38" t="str">
        <f t="shared" ref="Q38:Q64" si="11">J38&amp;"|"&amp;K38&amp;"|"&amp;L38&amp;"|"&amp;M38&amp;"|"&amp;N38&amp;"|"&amp;O38</f>
        <v>萌芽,18,0|小苗,18,0|大苗,18,2|结果,18,3|成熟,18,3|光杆,0,0</v>
      </c>
    </row>
    <row r="39" spans="10:17" x14ac:dyDescent="0.15">
      <c r="J39" t="str">
        <f t="shared" si="6"/>
        <v>萌芽,18,0</v>
      </c>
      <c r="K39" t="str">
        <f t="shared" si="6"/>
        <v>小苗,18,0</v>
      </c>
      <c r="L39" t="str">
        <f t="shared" si="7"/>
        <v>大苗,18,1</v>
      </c>
      <c r="M39" t="str">
        <f t="shared" si="8"/>
        <v>结果,18,2</v>
      </c>
      <c r="N39" t="str">
        <f t="shared" si="9"/>
        <v>成熟,18,2</v>
      </c>
      <c r="O39" t="str">
        <f t="shared" si="10"/>
        <v>光杆,0,0</v>
      </c>
      <c r="Q39" t="str">
        <f t="shared" si="11"/>
        <v>萌芽,18,0|小苗,18,0|大苗,18,1|结果,18,2|成熟,18,2|光杆,0,0</v>
      </c>
    </row>
    <row r="40" spans="10:17" x14ac:dyDescent="0.15">
      <c r="J40" t="str">
        <f t="shared" si="6"/>
        <v>萌芽,24,0</v>
      </c>
      <c r="K40" t="str">
        <f t="shared" si="6"/>
        <v>小苗,24,0</v>
      </c>
      <c r="L40" t="str">
        <f t="shared" si="7"/>
        <v>大苗,24,1</v>
      </c>
      <c r="M40" t="str">
        <f t="shared" si="8"/>
        <v>结果,24,2</v>
      </c>
      <c r="N40" t="str">
        <f t="shared" si="9"/>
        <v>成熟,24,2</v>
      </c>
      <c r="O40" t="str">
        <f t="shared" si="10"/>
        <v>光杆,0,0</v>
      </c>
      <c r="Q40" t="str">
        <f t="shared" si="11"/>
        <v>萌芽,24,0|小苗,24,0|大苗,24,1|结果,24,2|成熟,24,2|光杆,0,0</v>
      </c>
    </row>
    <row r="41" spans="10:17" x14ac:dyDescent="0.15">
      <c r="J41" t="str">
        <f t="shared" si="6"/>
        <v>萌芽,24,0</v>
      </c>
      <c r="K41" t="str">
        <f t="shared" si="6"/>
        <v>小苗,24,0</v>
      </c>
      <c r="L41" t="str">
        <f t="shared" si="7"/>
        <v>大苗,24,2</v>
      </c>
      <c r="M41" t="str">
        <f t="shared" si="8"/>
        <v>结果,24,3</v>
      </c>
      <c r="N41" t="str">
        <f t="shared" si="9"/>
        <v>成熟,24,3</v>
      </c>
      <c r="O41" t="str">
        <f t="shared" si="10"/>
        <v>光杆,0,0</v>
      </c>
      <c r="Q41" t="str">
        <f t="shared" si="11"/>
        <v>萌芽,24,0|小苗,24,0|大苗,24,2|结果,24,3|成熟,24,3|光杆,0,0</v>
      </c>
    </row>
    <row r="42" spans="10:17" x14ac:dyDescent="0.15">
      <c r="J42" t="str">
        <f t="shared" si="6"/>
        <v>萌芽,30,0</v>
      </c>
      <c r="K42" t="str">
        <f t="shared" si="6"/>
        <v>小苗,30,0</v>
      </c>
      <c r="L42" t="str">
        <f t="shared" si="7"/>
        <v>大苗,30,1</v>
      </c>
      <c r="M42" t="str">
        <f t="shared" si="8"/>
        <v>结果,30,2</v>
      </c>
      <c r="N42" t="str">
        <f t="shared" si="9"/>
        <v>成熟,30,2</v>
      </c>
      <c r="O42" t="str">
        <f t="shared" si="10"/>
        <v>光杆,18,0</v>
      </c>
      <c r="Q42" t="str">
        <f t="shared" si="11"/>
        <v>萌芽,30,0|小苗,30,0|大苗,30,1|结果,30,2|成熟,30,2|光杆,18,0</v>
      </c>
    </row>
    <row r="43" spans="10:17" x14ac:dyDescent="0.15">
      <c r="J43" t="str">
        <f t="shared" si="6"/>
        <v>萌芽,24,0</v>
      </c>
      <c r="K43" t="str">
        <f t="shared" si="6"/>
        <v>小苗,24,0</v>
      </c>
      <c r="L43" t="str">
        <f t="shared" si="7"/>
        <v>大苗,24,2</v>
      </c>
      <c r="M43" t="str">
        <f t="shared" si="8"/>
        <v>结果,24,3</v>
      </c>
      <c r="N43" t="str">
        <f t="shared" si="9"/>
        <v>成熟,24,3</v>
      </c>
      <c r="O43" t="str">
        <f t="shared" si="10"/>
        <v>光杆,0,0</v>
      </c>
      <c r="Q43" t="str">
        <f t="shared" si="11"/>
        <v>萌芽,24,0|小苗,24,0|大苗,24,2|结果,24,3|成熟,24,3|光杆,0,0</v>
      </c>
    </row>
    <row r="44" spans="10:17" x14ac:dyDescent="0.15">
      <c r="J44" t="str">
        <f t="shared" si="6"/>
        <v>萌芽,36,0</v>
      </c>
      <c r="K44" t="str">
        <f t="shared" si="6"/>
        <v>小苗,36,0</v>
      </c>
      <c r="L44" t="str">
        <f t="shared" si="7"/>
        <v>大苗,36,1</v>
      </c>
      <c r="M44" t="str">
        <f t="shared" si="8"/>
        <v>结果,36,2</v>
      </c>
      <c r="N44" t="str">
        <f t="shared" si="9"/>
        <v>成熟,36,2</v>
      </c>
      <c r="O44" t="str">
        <f t="shared" si="10"/>
        <v>光杆,36,0</v>
      </c>
      <c r="Q44" t="str">
        <f t="shared" si="11"/>
        <v>萌芽,36,0|小苗,36,0|大苗,36,1|结果,36,2|成熟,36,2|光杆,36,0</v>
      </c>
    </row>
    <row r="45" spans="10:17" x14ac:dyDescent="0.15">
      <c r="J45" t="str">
        <f t="shared" si="6"/>
        <v>萌芽,30,0</v>
      </c>
      <c r="K45" t="str">
        <f t="shared" si="6"/>
        <v>小苗,30,0</v>
      </c>
      <c r="L45" t="str">
        <f t="shared" si="7"/>
        <v>大苗,30,1</v>
      </c>
      <c r="M45" t="str">
        <f t="shared" si="8"/>
        <v>结果,30,2</v>
      </c>
      <c r="N45" t="str">
        <f t="shared" si="9"/>
        <v>成熟,30,2</v>
      </c>
      <c r="O45" t="str">
        <f t="shared" si="10"/>
        <v>光杆,0,0</v>
      </c>
      <c r="Q45" t="str">
        <f t="shared" si="11"/>
        <v>萌芽,30,0|小苗,30,0|大苗,30,1|结果,30,2|成熟,30,2|光杆,0,0</v>
      </c>
    </row>
    <row r="46" spans="10:17" x14ac:dyDescent="0.15">
      <c r="J46" t="str">
        <f t="shared" si="6"/>
        <v>萌芽,36,0</v>
      </c>
      <c r="K46" t="str">
        <f t="shared" si="6"/>
        <v>小苗,36,0</v>
      </c>
      <c r="L46" t="str">
        <f t="shared" si="7"/>
        <v>大苗,36,2</v>
      </c>
      <c r="M46" t="str">
        <f t="shared" si="8"/>
        <v>结果,36,3</v>
      </c>
      <c r="N46" t="str">
        <f t="shared" si="9"/>
        <v>成熟,36,3</v>
      </c>
      <c r="O46" t="str">
        <f t="shared" si="10"/>
        <v>光杆,0,0</v>
      </c>
      <c r="Q46" t="str">
        <f t="shared" si="11"/>
        <v>萌芽,36,0|小苗,36,0|大苗,36,2|结果,36,3|成熟,36,3|光杆,0,0</v>
      </c>
    </row>
    <row r="47" spans="10:17" x14ac:dyDescent="0.15">
      <c r="J47" t="str">
        <f t="shared" si="6"/>
        <v>萌芽,48,0</v>
      </c>
      <c r="K47" t="str">
        <f t="shared" si="6"/>
        <v>小苗,48,0</v>
      </c>
      <c r="L47" t="str">
        <f t="shared" si="7"/>
        <v>大苗,48,1</v>
      </c>
      <c r="M47" t="str">
        <f t="shared" si="8"/>
        <v>结果,48,2</v>
      </c>
      <c r="N47" t="str">
        <f t="shared" si="9"/>
        <v>成熟,48,2</v>
      </c>
      <c r="O47" t="str">
        <f t="shared" si="10"/>
        <v>光杆,48,0</v>
      </c>
      <c r="Q47" t="str">
        <f t="shared" si="11"/>
        <v>萌芽,48,0|小苗,48,0|大苗,48,1|结果,48,2|成熟,48,2|光杆,48,0</v>
      </c>
    </row>
    <row r="48" spans="10:17" x14ac:dyDescent="0.15">
      <c r="J48" t="str">
        <f t="shared" si="6"/>
        <v>萌芽,48,0</v>
      </c>
      <c r="K48" t="str">
        <f t="shared" si="6"/>
        <v>小苗,48,0</v>
      </c>
      <c r="L48" t="str">
        <f t="shared" si="7"/>
        <v>大苗,48,3</v>
      </c>
      <c r="M48" t="str">
        <f t="shared" si="8"/>
        <v>结果,48,4</v>
      </c>
      <c r="N48" t="str">
        <f t="shared" si="9"/>
        <v>成熟,48,4</v>
      </c>
      <c r="O48" t="str">
        <f t="shared" si="10"/>
        <v>光杆,24,0</v>
      </c>
      <c r="Q48" t="str">
        <f t="shared" si="11"/>
        <v>萌芽,48,0|小苗,48,0|大苗,48,3|结果,48,4|成熟,48,4|光杆,24,0</v>
      </c>
    </row>
    <row r="49" spans="10:17" x14ac:dyDescent="0.15">
      <c r="J49" t="str">
        <f t="shared" si="6"/>
        <v>萌芽,60,0</v>
      </c>
      <c r="K49" t="str">
        <f t="shared" si="6"/>
        <v>小苗,60,0</v>
      </c>
      <c r="L49" t="str">
        <f t="shared" si="7"/>
        <v>大苗,60,1</v>
      </c>
      <c r="M49" t="str">
        <f t="shared" si="8"/>
        <v>结果,60,2</v>
      </c>
      <c r="N49" t="str">
        <f t="shared" si="9"/>
        <v>成熟,60,2</v>
      </c>
      <c r="O49" t="str">
        <f t="shared" si="10"/>
        <v>光杆,84,0</v>
      </c>
      <c r="Q49" t="str">
        <f t="shared" si="11"/>
        <v>萌芽,60,0|小苗,60,0|大苗,60,1|结果,60,2|成熟,60,2|光杆,84,0</v>
      </c>
    </row>
    <row r="50" spans="10:17" x14ac:dyDescent="0.15">
      <c r="J50" t="str">
        <f t="shared" si="6"/>
        <v>萌芽,36,0</v>
      </c>
      <c r="K50" t="str">
        <f t="shared" si="6"/>
        <v>小苗,36,0</v>
      </c>
      <c r="L50" t="str">
        <f t="shared" si="7"/>
        <v>大苗,36,1</v>
      </c>
      <c r="M50" t="str">
        <f t="shared" si="8"/>
        <v>结果,36,2</v>
      </c>
      <c r="N50" t="str">
        <f t="shared" si="9"/>
        <v>成熟,36,2</v>
      </c>
      <c r="O50" t="str">
        <f t="shared" si="10"/>
        <v>光杆,0,0</v>
      </c>
      <c r="Q50" t="str">
        <f t="shared" si="11"/>
        <v>萌芽,36,0|小苗,36,0|大苗,36,1|结果,36,2|成熟,36,2|光杆,0,0</v>
      </c>
    </row>
    <row r="51" spans="10:17" x14ac:dyDescent="0.15">
      <c r="J51" t="str">
        <f t="shared" si="6"/>
        <v>萌芽,48,0</v>
      </c>
      <c r="K51" t="str">
        <f t="shared" si="6"/>
        <v>小苗,48,0</v>
      </c>
      <c r="L51" t="str">
        <f t="shared" si="7"/>
        <v>大苗,48,1</v>
      </c>
      <c r="M51" t="str">
        <f t="shared" si="8"/>
        <v>结果,48,2</v>
      </c>
      <c r="N51" t="str">
        <f t="shared" si="9"/>
        <v>成熟,48,2</v>
      </c>
      <c r="O51" t="str">
        <f t="shared" si="10"/>
        <v>光杆,0,0</v>
      </c>
      <c r="Q51" t="str">
        <f t="shared" si="11"/>
        <v>萌芽,48,0|小苗,48,0|大苗,48,1|结果,48,2|成熟,48,2|光杆,0,0</v>
      </c>
    </row>
    <row r="52" spans="10:17" x14ac:dyDescent="0.15">
      <c r="J52" t="str">
        <f t="shared" si="6"/>
        <v>萌芽,48,0</v>
      </c>
      <c r="K52" t="str">
        <f t="shared" si="6"/>
        <v>小苗,48,0</v>
      </c>
      <c r="L52" t="str">
        <f t="shared" si="7"/>
        <v>大苗,48,1</v>
      </c>
      <c r="M52" t="str">
        <f t="shared" si="8"/>
        <v>结果,48,2</v>
      </c>
      <c r="N52" t="str">
        <f t="shared" si="9"/>
        <v>成熟,48,2</v>
      </c>
      <c r="O52" t="str">
        <f t="shared" si="10"/>
        <v>光杆,0,0</v>
      </c>
      <c r="Q52" t="str">
        <f t="shared" si="11"/>
        <v>萌芽,48,0|小苗,48,0|大苗,48,1|结果,48,2|成熟,48,2|光杆,0,0</v>
      </c>
    </row>
    <row r="53" spans="10:17" x14ac:dyDescent="0.15">
      <c r="J53" t="str">
        <f t="shared" si="6"/>
        <v>萌芽,36,0</v>
      </c>
      <c r="K53" t="str">
        <f t="shared" si="6"/>
        <v>小苗,36,0</v>
      </c>
      <c r="L53" t="str">
        <f t="shared" si="7"/>
        <v>大苗,36,1</v>
      </c>
      <c r="M53" t="str">
        <f t="shared" si="8"/>
        <v>结果,36,2</v>
      </c>
      <c r="N53" t="str">
        <f t="shared" si="9"/>
        <v>成熟,36,2</v>
      </c>
      <c r="O53" t="str">
        <f t="shared" si="10"/>
        <v>光杆,0,0</v>
      </c>
      <c r="Q53" t="str">
        <f t="shared" si="11"/>
        <v>萌芽,36,0|小苗,36,0|大苗,36,1|结果,36,2|成熟,36,2|光杆,0,0</v>
      </c>
    </row>
    <row r="54" spans="10:17" x14ac:dyDescent="0.15">
      <c r="J54" t="str">
        <f>J$35&amp;","&amp;$O21&amp;",0"</f>
        <v>萌芽,42,0</v>
      </c>
      <c r="K54" t="str">
        <f t="shared" ref="K54" si="12">K$35&amp;","&amp;$O21&amp;",0"</f>
        <v>小苗,42,0</v>
      </c>
      <c r="L54" t="str">
        <f t="shared" si="7"/>
        <v>大苗,42,3</v>
      </c>
      <c r="M54" t="str">
        <f t="shared" si="8"/>
        <v>结果,42,4</v>
      </c>
      <c r="N54" t="str">
        <f t="shared" si="9"/>
        <v>成熟,42,4</v>
      </c>
      <c r="O54" t="str">
        <f t="shared" si="10"/>
        <v>光杆,30,0</v>
      </c>
      <c r="Q54" t="str">
        <f t="shared" si="11"/>
        <v>萌芽,42,0|小苗,42,0|大苗,42,3|结果,42,4|成熟,42,4|光杆,30,0</v>
      </c>
    </row>
    <row r="55" spans="10:17" x14ac:dyDescent="0.15">
      <c r="J55" t="str">
        <f t="shared" si="6"/>
        <v>萌芽,60,0</v>
      </c>
      <c r="K55" t="str">
        <f t="shared" si="6"/>
        <v>小苗,60,0</v>
      </c>
      <c r="L55" t="str">
        <f t="shared" si="7"/>
        <v>大苗,60,3</v>
      </c>
      <c r="M55" t="str">
        <f t="shared" si="8"/>
        <v>结果,60,4</v>
      </c>
      <c r="N55" t="str">
        <f t="shared" si="9"/>
        <v>成熟,60,4</v>
      </c>
      <c r="O55" t="str">
        <f t="shared" si="10"/>
        <v>光杆,0,0</v>
      </c>
      <c r="Q55" t="str">
        <f t="shared" si="11"/>
        <v>萌芽,60,0|小苗,60,0|大苗,60,3|结果,60,4|成熟,60,4|光杆,0,0</v>
      </c>
    </row>
    <row r="56" spans="10:17" x14ac:dyDescent="0.15">
      <c r="J56" t="str">
        <f t="shared" si="6"/>
        <v>萌芽,60,0</v>
      </c>
      <c r="K56" t="str">
        <f t="shared" si="6"/>
        <v>小苗,60,0</v>
      </c>
      <c r="L56" t="str">
        <f t="shared" si="7"/>
        <v>大苗,60,2</v>
      </c>
      <c r="M56" t="str">
        <f t="shared" si="8"/>
        <v>结果,60,3</v>
      </c>
      <c r="N56" t="str">
        <f t="shared" si="9"/>
        <v>成熟,60,3</v>
      </c>
      <c r="O56" t="str">
        <f t="shared" si="10"/>
        <v>光杆,0,0</v>
      </c>
      <c r="Q56" t="str">
        <f t="shared" si="11"/>
        <v>萌芽,60,0|小苗,60,0|大苗,60,2|结果,60,3|成熟,60,3|光杆,0,0</v>
      </c>
    </row>
    <row r="57" spans="10:17" x14ac:dyDescent="0.15">
      <c r="J57" t="str">
        <f t="shared" si="6"/>
        <v>萌芽,96,0</v>
      </c>
      <c r="K57" t="str">
        <f t="shared" si="6"/>
        <v>小苗,96,0</v>
      </c>
      <c r="L57" t="str">
        <f t="shared" si="7"/>
        <v>大苗,96,1</v>
      </c>
      <c r="M57" t="str">
        <f t="shared" si="8"/>
        <v>结果,96,2</v>
      </c>
      <c r="N57" t="str">
        <f t="shared" si="9"/>
        <v>成熟,96,2</v>
      </c>
      <c r="O57" t="str">
        <f t="shared" si="10"/>
        <v>光杆,96,0</v>
      </c>
      <c r="Q57" t="str">
        <f t="shared" si="11"/>
        <v>萌芽,96,0|小苗,96,0|大苗,96,1|结果,96,2|成熟,96,2|光杆,96,0</v>
      </c>
    </row>
    <row r="58" spans="10:17" x14ac:dyDescent="0.15">
      <c r="J58" t="str">
        <f t="shared" si="6"/>
        <v>萌芽,96,0</v>
      </c>
      <c r="K58" t="str">
        <f t="shared" si="6"/>
        <v>小苗,96,0</v>
      </c>
      <c r="L58" t="str">
        <f t="shared" si="7"/>
        <v>大苗,96,2</v>
      </c>
      <c r="M58" t="str">
        <f t="shared" si="8"/>
        <v>结果,96,3</v>
      </c>
      <c r="N58" t="str">
        <f t="shared" si="9"/>
        <v>成熟,96,3</v>
      </c>
      <c r="O58" t="str">
        <f t="shared" si="10"/>
        <v>光杆,120,0</v>
      </c>
      <c r="Q58" t="str">
        <f t="shared" si="11"/>
        <v>萌芽,96,0|小苗,96,0|大苗,96,2|结果,96,3|成熟,96,3|光杆,120,0</v>
      </c>
    </row>
    <row r="59" spans="10:17" x14ac:dyDescent="0.15">
      <c r="J59" t="str">
        <f t="shared" si="6"/>
        <v>萌芽,96,0</v>
      </c>
      <c r="K59" t="str">
        <f t="shared" si="6"/>
        <v>小苗,96,0</v>
      </c>
      <c r="L59" t="str">
        <f t="shared" si="7"/>
        <v>大苗,96,3</v>
      </c>
      <c r="M59" t="str">
        <f t="shared" si="8"/>
        <v>结果,96,4</v>
      </c>
      <c r="N59" t="str">
        <f t="shared" si="9"/>
        <v>成熟,96,4</v>
      </c>
      <c r="O59" t="str">
        <f t="shared" si="10"/>
        <v>光杆,96,0</v>
      </c>
      <c r="Q59" t="str">
        <f t="shared" si="11"/>
        <v>萌芽,96,0|小苗,96,0|大苗,96,3|结果,96,4|成熟,96,4|光杆,96,0</v>
      </c>
    </row>
    <row r="60" spans="10:17" x14ac:dyDescent="0.15">
      <c r="J60" t="str">
        <f t="shared" si="6"/>
        <v>萌芽,96,0</v>
      </c>
      <c r="K60" t="str">
        <f t="shared" si="6"/>
        <v>小苗,96,0</v>
      </c>
      <c r="L60" t="str">
        <f t="shared" si="7"/>
        <v>大苗,96,1</v>
      </c>
      <c r="M60" t="str">
        <f t="shared" si="8"/>
        <v>结果,96,2</v>
      </c>
      <c r="N60" t="str">
        <f t="shared" si="9"/>
        <v>成熟,96,2</v>
      </c>
      <c r="O60" t="str">
        <f t="shared" si="10"/>
        <v>光杆,96,0</v>
      </c>
      <c r="Q60" t="str">
        <f t="shared" si="11"/>
        <v>萌芽,96,0|小苗,96,0|大苗,96,1|结果,96,2|成熟,96,2|光杆,96,0</v>
      </c>
    </row>
    <row r="61" spans="10:17" x14ac:dyDescent="0.15">
      <c r="J61" t="str">
        <f t="shared" si="6"/>
        <v>萌芽,72,0</v>
      </c>
      <c r="K61" t="str">
        <f t="shared" si="6"/>
        <v>小苗,72,0</v>
      </c>
      <c r="L61" t="str">
        <f t="shared" si="7"/>
        <v>大苗,72,1</v>
      </c>
      <c r="M61" t="str">
        <f t="shared" si="8"/>
        <v>结果,72,2</v>
      </c>
      <c r="N61" t="str">
        <f t="shared" si="9"/>
        <v>成熟,72,2</v>
      </c>
      <c r="O61" t="str">
        <f t="shared" si="10"/>
        <v>光杆,72,0</v>
      </c>
      <c r="Q61" t="str">
        <f t="shared" si="11"/>
        <v>萌芽,72,0|小苗,72,0|大苗,72,1|结果,72,2|成熟,72,2|光杆,72,0</v>
      </c>
    </row>
    <row r="62" spans="10:17" x14ac:dyDescent="0.15">
      <c r="J62" t="str">
        <f t="shared" si="6"/>
        <v>萌芽,72,0</v>
      </c>
      <c r="K62" t="str">
        <f t="shared" si="6"/>
        <v>小苗,72,0</v>
      </c>
      <c r="L62" t="str">
        <f t="shared" si="7"/>
        <v>大苗,72,1</v>
      </c>
      <c r="M62" t="str">
        <f t="shared" si="8"/>
        <v>结果,72,2</v>
      </c>
      <c r="N62" t="str">
        <f t="shared" si="9"/>
        <v>成熟,72,2</v>
      </c>
      <c r="O62" t="str">
        <f t="shared" si="10"/>
        <v>光杆,72,0</v>
      </c>
      <c r="Q62" t="str">
        <f t="shared" si="11"/>
        <v>萌芽,72,0|小苗,72,0|大苗,72,1|结果,72,2|成熟,72,2|光杆,72,0</v>
      </c>
    </row>
    <row r="63" spans="10:17" x14ac:dyDescent="0.15">
      <c r="J63" t="str">
        <f>J$35&amp;","&amp;$O30&amp;",0"</f>
        <v>萌芽,48,0</v>
      </c>
      <c r="K63" t="str">
        <f t="shared" ref="K63" si="13">K$35&amp;","&amp;$O30&amp;",0"</f>
        <v>小苗,48,0</v>
      </c>
      <c r="L63" t="str">
        <f t="shared" si="7"/>
        <v>大苗,48,1</v>
      </c>
      <c r="M63" t="str">
        <f t="shared" si="8"/>
        <v>结果,48,2</v>
      </c>
      <c r="N63" t="str">
        <f t="shared" si="9"/>
        <v>成熟,48,2</v>
      </c>
      <c r="O63" t="str">
        <f t="shared" si="10"/>
        <v>光杆,0,0</v>
      </c>
      <c r="Q63" t="str">
        <f t="shared" si="11"/>
        <v>萌芽,48,0|小苗,48,0|大苗,48,1|结果,48,2|成熟,48,2|光杆,0,0</v>
      </c>
    </row>
    <row r="64" spans="10:17" x14ac:dyDescent="0.15">
      <c r="J64" t="str">
        <f t="shared" si="6"/>
        <v>萌芽,48,0</v>
      </c>
      <c r="K64" t="str">
        <f t="shared" si="6"/>
        <v>小苗,48,0</v>
      </c>
      <c r="L64" t="str">
        <f t="shared" si="7"/>
        <v>大苗,48,1</v>
      </c>
      <c r="M64" t="str">
        <f t="shared" si="8"/>
        <v>结果,48,2</v>
      </c>
      <c r="N64" t="str">
        <f t="shared" si="9"/>
        <v>成熟,48,2</v>
      </c>
      <c r="O64" t="str">
        <f t="shared" si="10"/>
        <v>光杆,0,0</v>
      </c>
      <c r="Q64" t="str">
        <f t="shared" si="11"/>
        <v>萌芽,48,0|小苗,48,0|大苗,48,1|结果,48,2|成熟,48,2|光杆,0,0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R35"/>
  <sheetViews>
    <sheetView topLeftCell="A10" workbookViewId="0">
      <selection activeCell="H13" sqref="H13:K20"/>
    </sheetView>
  </sheetViews>
  <sheetFormatPr defaultRowHeight="13.5" x14ac:dyDescent="0.15"/>
  <cols>
    <col min="1" max="7" width="9" style="2"/>
    <col min="8" max="9" width="8" style="2" customWidth="1"/>
    <col min="10" max="16384" width="9" style="2"/>
  </cols>
  <sheetData>
    <row r="2" spans="2:17" ht="40.5" x14ac:dyDescent="0.15">
      <c r="B2" s="1" t="s">
        <v>11</v>
      </c>
      <c r="C2" s="1">
        <v>0</v>
      </c>
      <c r="D2" s="1">
        <v>1</v>
      </c>
      <c r="E2" s="1">
        <v>0</v>
      </c>
      <c r="F2" s="1">
        <v>0</v>
      </c>
      <c r="G2" s="1"/>
      <c r="H2" s="1" t="str">
        <f t="shared" ref="H2:H7" si="0">B2&amp;","&amp;C2&amp;","&amp;D2&amp;","&amp;E2&amp;","&amp;F2</f>
        <v>萌芽,0,1,0,0</v>
      </c>
      <c r="I2" s="2" t="str">
        <f>I1&amp;"|"&amp;H2</f>
        <v>|萌芽,0,1,0,0</v>
      </c>
    </row>
    <row r="3" spans="2:17" ht="67.5" x14ac:dyDescent="0.15">
      <c r="B3" s="1" t="s">
        <v>12</v>
      </c>
      <c r="C3" s="1">
        <v>1</v>
      </c>
      <c r="D3" s="1">
        <v>1</v>
      </c>
      <c r="E3" s="1">
        <v>0</v>
      </c>
      <c r="F3" s="1">
        <v>1</v>
      </c>
      <c r="G3" s="1"/>
      <c r="H3" s="1" t="str">
        <f t="shared" si="0"/>
        <v>小苗,1,1,0,1</v>
      </c>
      <c r="I3" s="2" t="str">
        <f t="shared" ref="I3:I7" si="1">I2&amp;"|"&amp;H3</f>
        <v>|萌芽,0,1,0,0|小苗,1,1,0,1</v>
      </c>
    </row>
    <row r="4" spans="2:17" ht="94.5" x14ac:dyDescent="0.15">
      <c r="B4" s="1" t="s">
        <v>13</v>
      </c>
      <c r="C4" s="1">
        <v>2</v>
      </c>
      <c r="D4" s="1">
        <v>1</v>
      </c>
      <c r="E4" s="1">
        <v>0</v>
      </c>
      <c r="F4" s="1">
        <v>2</v>
      </c>
      <c r="G4" s="1"/>
      <c r="H4" s="1" t="str">
        <f t="shared" si="0"/>
        <v>大苗,2,1,0,2</v>
      </c>
      <c r="I4" s="2" t="str">
        <f t="shared" si="1"/>
        <v>|萌芽,0,1,0,0|小苗,1,1,0,1|大苗,2,1,0,2</v>
      </c>
    </row>
    <row r="5" spans="2:17" ht="121.5" x14ac:dyDescent="0.15">
      <c r="B5" s="1" t="s">
        <v>14</v>
      </c>
      <c r="C5" s="1">
        <v>3</v>
      </c>
      <c r="D5" s="1">
        <v>1</v>
      </c>
      <c r="E5" s="1">
        <v>0</v>
      </c>
      <c r="F5" s="1">
        <v>3</v>
      </c>
      <c r="G5" s="1"/>
      <c r="H5" s="1" t="str">
        <f t="shared" si="0"/>
        <v>结果,3,1,0,3</v>
      </c>
      <c r="I5" s="2" t="str">
        <f t="shared" si="1"/>
        <v>|萌芽,0,1,0,0|小苗,1,1,0,1|大苗,2,1,0,2|结果,3,1,0,3</v>
      </c>
    </row>
    <row r="6" spans="2:17" ht="148.5" x14ac:dyDescent="0.15">
      <c r="B6" s="1" t="s">
        <v>15</v>
      </c>
      <c r="C6" s="1">
        <v>4</v>
      </c>
      <c r="D6" s="1">
        <v>1</v>
      </c>
      <c r="E6" s="1">
        <v>0</v>
      </c>
      <c r="F6" s="1">
        <v>4</v>
      </c>
      <c r="G6" s="1"/>
      <c r="H6" s="1" t="str">
        <f t="shared" si="0"/>
        <v>成熟,4,1,0,4</v>
      </c>
      <c r="I6" s="2" t="str">
        <f t="shared" si="1"/>
        <v>|萌芽,0,1,0,0|小苗,1,1,0,1|大苗,2,1,0,2|结果,3,1,0,3|成熟,4,1,0,4</v>
      </c>
    </row>
    <row r="7" spans="2:17" ht="175.5" x14ac:dyDescent="0.15">
      <c r="B7" s="1" t="s">
        <v>16</v>
      </c>
      <c r="C7" s="1">
        <v>5</v>
      </c>
      <c r="D7" s="1">
        <v>1</v>
      </c>
      <c r="E7" s="1">
        <v>0</v>
      </c>
      <c r="F7" s="1">
        <v>5</v>
      </c>
      <c r="G7" s="1"/>
      <c r="H7" s="1" t="str">
        <f t="shared" si="0"/>
        <v>光杆,5,1,0,5</v>
      </c>
      <c r="I7" s="2" t="str">
        <f t="shared" si="1"/>
        <v>|萌芽,0,1,0,0|小苗,1,1,0,1|大苗,2,1,0,2|结果,3,1,0,3|成熟,4,1,0,4|光杆,5,1,0,5</v>
      </c>
    </row>
    <row r="13" spans="2:17" x14ac:dyDescent="0.15">
      <c r="H13" s="3" t="s">
        <v>45</v>
      </c>
      <c r="I13" s="3" t="s">
        <v>46</v>
      </c>
      <c r="J13" s="3" t="s">
        <v>47</v>
      </c>
      <c r="K13" s="3" t="s">
        <v>48</v>
      </c>
    </row>
    <row r="14" spans="2:17" x14ac:dyDescent="0.15">
      <c r="H14" s="2" t="s">
        <v>17</v>
      </c>
      <c r="I14" s="2" t="s">
        <v>18</v>
      </c>
      <c r="J14" s="2" t="s">
        <v>19</v>
      </c>
      <c r="K14" s="2" t="s">
        <v>20</v>
      </c>
    </row>
    <row r="15" spans="2:17" x14ac:dyDescent="0.15">
      <c r="H15" s="2" t="s">
        <v>21</v>
      </c>
      <c r="I15" s="2" t="s">
        <v>22</v>
      </c>
      <c r="J15" s="2" t="s">
        <v>23</v>
      </c>
      <c r="K15" s="2" t="s">
        <v>24</v>
      </c>
    </row>
    <row r="16" spans="2:17" x14ac:dyDescent="0.15">
      <c r="H16" s="2" t="s">
        <v>25</v>
      </c>
      <c r="I16" s="2" t="s">
        <v>26</v>
      </c>
      <c r="J16" s="2" t="s">
        <v>27</v>
      </c>
      <c r="K16" s="2" t="s">
        <v>28</v>
      </c>
      <c r="Q16" s="2" t="s">
        <v>39</v>
      </c>
    </row>
    <row r="17" spans="1:18" x14ac:dyDescent="0.15">
      <c r="H17" s="2" t="s">
        <v>29</v>
      </c>
      <c r="I17" s="2" t="s">
        <v>30</v>
      </c>
      <c r="J17" s="2" t="s">
        <v>31</v>
      </c>
      <c r="K17" s="2" t="s">
        <v>32</v>
      </c>
      <c r="Q17" s="2" t="s">
        <v>31</v>
      </c>
    </row>
    <row r="18" spans="1:18" x14ac:dyDescent="0.15">
      <c r="H18" s="2" t="s">
        <v>33</v>
      </c>
      <c r="I18" s="2" t="s">
        <v>34</v>
      </c>
      <c r="J18" s="2" t="s">
        <v>35</v>
      </c>
      <c r="K18" s="2" t="s">
        <v>36</v>
      </c>
      <c r="Q18" s="2" t="s">
        <v>27</v>
      </c>
    </row>
    <row r="19" spans="1:18" x14ac:dyDescent="0.15">
      <c r="A19" s="2">
        <v>1</v>
      </c>
      <c r="B19" s="2" t="s">
        <v>17</v>
      </c>
      <c r="H19" s="2" t="s">
        <v>37</v>
      </c>
      <c r="I19" s="2" t="s">
        <v>38</v>
      </c>
      <c r="J19" s="2" t="s">
        <v>39</v>
      </c>
      <c r="K19" s="2" t="s">
        <v>40</v>
      </c>
      <c r="R19" s="2" t="s">
        <v>28</v>
      </c>
    </row>
    <row r="20" spans="1:18" x14ac:dyDescent="0.15">
      <c r="A20" s="2">
        <v>2</v>
      </c>
      <c r="B20" s="2" t="s">
        <v>33</v>
      </c>
      <c r="H20" s="2" t="s">
        <v>41</v>
      </c>
      <c r="I20" s="2" t="s">
        <v>42</v>
      </c>
      <c r="J20" s="2" t="s">
        <v>43</v>
      </c>
      <c r="K20" s="2" t="s">
        <v>44</v>
      </c>
      <c r="P20" s="2" t="s">
        <v>34</v>
      </c>
      <c r="Q20" s="2" t="s">
        <v>43</v>
      </c>
      <c r="R20" s="2" t="s">
        <v>32</v>
      </c>
    </row>
    <row r="21" spans="1:18" x14ac:dyDescent="0.15">
      <c r="A21" s="2">
        <v>3</v>
      </c>
      <c r="B21" s="2" t="s">
        <v>25</v>
      </c>
      <c r="C21" s="2" t="s">
        <v>30</v>
      </c>
      <c r="P21" s="2" t="s">
        <v>26</v>
      </c>
      <c r="Q21" s="2" t="s">
        <v>35</v>
      </c>
      <c r="R21" s="2" t="s">
        <v>40</v>
      </c>
    </row>
    <row r="22" spans="1:18" x14ac:dyDescent="0.15">
      <c r="A22" s="2">
        <v>4</v>
      </c>
      <c r="B22" s="2" t="s">
        <v>37</v>
      </c>
      <c r="C22" s="2" t="s">
        <v>42</v>
      </c>
      <c r="P22" s="2" t="s">
        <v>18</v>
      </c>
      <c r="Q22" s="2" t="s">
        <v>23</v>
      </c>
    </row>
    <row r="23" spans="1:18" x14ac:dyDescent="0.15">
      <c r="A23" s="2">
        <v>5</v>
      </c>
      <c r="B23" s="2" t="s">
        <v>29</v>
      </c>
      <c r="C23" s="2" t="s">
        <v>22</v>
      </c>
      <c r="P23" s="2" t="s">
        <v>38</v>
      </c>
      <c r="Q23" s="2" t="s">
        <v>19</v>
      </c>
    </row>
    <row r="24" spans="1:18" x14ac:dyDescent="0.15">
      <c r="A24" s="2">
        <v>6</v>
      </c>
      <c r="B24" s="2" t="s">
        <v>41</v>
      </c>
      <c r="D24" s="2" t="s">
        <v>43</v>
      </c>
      <c r="R24" s="2" t="s">
        <v>20</v>
      </c>
    </row>
    <row r="25" spans="1:18" x14ac:dyDescent="0.15">
      <c r="A25" s="2">
        <v>7</v>
      </c>
      <c r="B25" s="2" t="s">
        <v>21</v>
      </c>
      <c r="D25" s="2" t="s">
        <v>35</v>
      </c>
      <c r="R25" s="2" t="s">
        <v>24</v>
      </c>
    </row>
    <row r="26" spans="1:18" x14ac:dyDescent="0.15">
      <c r="A26" s="2">
        <v>8</v>
      </c>
      <c r="D26" s="2" t="s">
        <v>31</v>
      </c>
      <c r="R26" s="2" t="s">
        <v>44</v>
      </c>
    </row>
    <row r="27" spans="1:18" x14ac:dyDescent="0.15">
      <c r="A27" s="2">
        <v>9</v>
      </c>
      <c r="D27" s="2" t="s">
        <v>27</v>
      </c>
      <c r="R27" s="2" t="s">
        <v>36</v>
      </c>
    </row>
    <row r="28" spans="1:18" x14ac:dyDescent="0.15">
      <c r="A28" s="2">
        <v>10</v>
      </c>
      <c r="E28" s="2" t="s">
        <v>28</v>
      </c>
    </row>
    <row r="29" spans="1:18" x14ac:dyDescent="0.15">
      <c r="A29" s="2">
        <v>11</v>
      </c>
      <c r="E29" s="2" t="s">
        <v>32</v>
      </c>
    </row>
    <row r="30" spans="1:18" x14ac:dyDescent="0.15">
      <c r="A30" s="2">
        <v>12</v>
      </c>
      <c r="E30" s="2" t="s">
        <v>40</v>
      </c>
    </row>
    <row r="31" spans="1:18" x14ac:dyDescent="0.15">
      <c r="A31" s="2">
        <v>13</v>
      </c>
      <c r="D31" s="2" t="s">
        <v>39</v>
      </c>
    </row>
    <row r="32" spans="1:18" x14ac:dyDescent="0.15">
      <c r="A32" s="2">
        <v>14</v>
      </c>
      <c r="C32" s="2" t="s">
        <v>34</v>
      </c>
      <c r="D32" s="2" t="s">
        <v>23</v>
      </c>
      <c r="F32" s="2" t="s">
        <v>20</v>
      </c>
    </row>
    <row r="33" spans="3:6" x14ac:dyDescent="0.15">
      <c r="C33" s="2" t="s">
        <v>26</v>
      </c>
      <c r="D33" s="2" t="s">
        <v>19</v>
      </c>
      <c r="F33" s="2" t="s">
        <v>24</v>
      </c>
    </row>
    <row r="34" spans="3:6" x14ac:dyDescent="0.15">
      <c r="C34" s="2" t="s">
        <v>18</v>
      </c>
      <c r="F34" s="2" t="s">
        <v>44</v>
      </c>
    </row>
    <row r="35" spans="3:6" x14ac:dyDescent="0.15">
      <c r="C35" s="2" t="s">
        <v>38</v>
      </c>
      <c r="F35" s="2" t="s">
        <v>36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PlantData</vt:lpstr>
      <vt:lpstr>Sheet2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flyer</cp:lastModifiedBy>
  <dcterms:created xsi:type="dcterms:W3CDTF">2018-01-26T12:49:06Z</dcterms:created>
  <dcterms:modified xsi:type="dcterms:W3CDTF">2025-10-14T12:04:57Z</dcterms:modified>
</cp:coreProperties>
</file>