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nimalData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0" i="2" l="1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29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N41" i="2"/>
  <c r="N42" i="2"/>
  <c r="N43" i="2"/>
  <c r="N30" i="2"/>
  <c r="N31" i="2"/>
  <c r="N32" i="2"/>
  <c r="N33" i="2"/>
  <c r="N34" i="2"/>
  <c r="N35" i="2"/>
  <c r="N36" i="2"/>
  <c r="N37" i="2"/>
  <c r="N38" i="2"/>
  <c r="N39" i="2"/>
  <c r="N40" i="2"/>
  <c r="N29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14" i="2"/>
</calcChain>
</file>

<file path=xl/comments1.xml><?xml version="1.0" encoding="utf-8"?>
<comments xmlns="http://schemas.openxmlformats.org/spreadsheetml/2006/main">
  <authors>
    <author>作者</author>
  </authors>
  <commentList>
    <comment ref="P2" authorId="0" shapeId="0">
      <text>
        <r>
          <rPr>
            <b/>
            <sz val="9"/>
            <color indexed="81"/>
            <rFont val="宋体"/>
            <family val="3"/>
            <charset val="134"/>
          </rPr>
          <t>状态名字/// 第几个状态/// 生长周期/// 产出？？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<sst xmlns="http://schemas.openxmlformats.org/spreadsheetml/2006/main" count="214" uniqueCount="125">
  <si>
    <t>鸡</t>
    <phoneticPr fontId="1" type="noConversion"/>
  </si>
  <si>
    <t>奶牛</t>
    <phoneticPr fontId="1" type="noConversion"/>
  </si>
  <si>
    <t>绵羊</t>
    <phoneticPr fontId="1" type="noConversion"/>
  </si>
  <si>
    <t>猪</t>
    <phoneticPr fontId="1" type="noConversion"/>
  </si>
  <si>
    <t>狗</t>
    <phoneticPr fontId="1" type="noConversion"/>
  </si>
  <si>
    <t>马</t>
    <phoneticPr fontId="1" type="noConversion"/>
  </si>
  <si>
    <t>刺猬</t>
    <phoneticPr fontId="1" type="noConversion"/>
  </si>
  <si>
    <t>蜜蜂</t>
    <phoneticPr fontId="1" type="noConversion"/>
  </si>
  <si>
    <t>兔子</t>
    <phoneticPr fontId="1" type="noConversion"/>
  </si>
  <si>
    <t>猪</t>
    <phoneticPr fontId="1" type="noConversion"/>
  </si>
  <si>
    <t>鹿</t>
    <phoneticPr fontId="1" type="noConversion"/>
  </si>
  <si>
    <t>松鼠</t>
    <phoneticPr fontId="1" type="noConversion"/>
  </si>
  <si>
    <t>企鹅</t>
    <phoneticPr fontId="1" type="noConversion"/>
  </si>
  <si>
    <t>animalName</t>
  </si>
  <si>
    <t>id</t>
    <phoneticPr fontId="1" type="noConversion"/>
  </si>
  <si>
    <t>goodId</t>
  </si>
  <si>
    <t>linkCharacter</t>
  </si>
  <si>
    <t>age</t>
  </si>
  <si>
    <t>foods</t>
  </si>
  <si>
    <t>produceCycle</t>
  </si>
  <si>
    <t>GrowthStageStr</t>
  </si>
  <si>
    <t xml:space="preserve">string </t>
    <phoneticPr fontId="1" type="noConversion"/>
  </si>
  <si>
    <t>int</t>
  </si>
  <si>
    <t>List&lt;int&gt;</t>
  </si>
  <si>
    <t>string</t>
  </si>
  <si>
    <t>behavior</t>
  </si>
  <si>
    <t>getFoodEmote</t>
  </si>
  <si>
    <t>hungerEmote</t>
  </si>
  <si>
    <t>productEmote</t>
  </si>
  <si>
    <t>大象</t>
    <phoneticPr fontId="1" type="noConversion"/>
  </si>
  <si>
    <t>鸡蛋</t>
    <phoneticPr fontId="1" type="noConversion"/>
  </si>
  <si>
    <t>松鼠</t>
    <phoneticPr fontId="1" type="noConversion"/>
  </si>
  <si>
    <t>鸭子</t>
    <phoneticPr fontId="1" type="noConversion"/>
  </si>
  <si>
    <t>鸭绒</t>
    <phoneticPr fontId="1" type="noConversion"/>
  </si>
  <si>
    <t>火烈鸟</t>
    <phoneticPr fontId="1" type="noConversion"/>
  </si>
  <si>
    <t>袋鼠</t>
    <phoneticPr fontId="1" type="noConversion"/>
  </si>
  <si>
    <t>商店</t>
    <phoneticPr fontId="1" type="noConversion"/>
  </si>
  <si>
    <t>捕捉</t>
    <phoneticPr fontId="1" type="noConversion"/>
  </si>
  <si>
    <t>猪</t>
    <phoneticPr fontId="1" type="noConversion"/>
  </si>
  <si>
    <t>动物</t>
    <phoneticPr fontId="1" type="noConversion"/>
  </si>
  <si>
    <t>松鼠</t>
    <phoneticPr fontId="1" type="noConversion"/>
  </si>
  <si>
    <t>野兔</t>
    <phoneticPr fontId="1" type="noConversion"/>
  </si>
  <si>
    <t>刺猬</t>
    <phoneticPr fontId="1" type="noConversion"/>
  </si>
  <si>
    <t>袋鼠</t>
    <phoneticPr fontId="4" type="noConversion"/>
  </si>
  <si>
    <t>鹿</t>
    <phoneticPr fontId="1" type="noConversion"/>
  </si>
  <si>
    <t>functionIds</t>
  </si>
  <si>
    <t>4,9,10,11</t>
    <phoneticPr fontId="4" type="noConversion"/>
  </si>
  <si>
    <t>猪粪</t>
    <phoneticPr fontId="1" type="noConversion"/>
  </si>
  <si>
    <t>马</t>
    <phoneticPr fontId="1" type="noConversion"/>
  </si>
  <si>
    <t>马尾</t>
    <phoneticPr fontId="1" type="noConversion"/>
  </si>
  <si>
    <t>牛奶</t>
    <phoneticPr fontId="1" type="noConversion"/>
  </si>
  <si>
    <t>猪肉</t>
    <phoneticPr fontId="1" type="noConversion"/>
  </si>
  <si>
    <t>羊毛</t>
    <phoneticPr fontId="1" type="noConversion"/>
  </si>
  <si>
    <t>兔耳</t>
    <phoneticPr fontId="1" type="noConversion"/>
  </si>
  <si>
    <t>productCount</t>
    <phoneticPr fontId="1" type="noConversion"/>
  </si>
  <si>
    <t>productCD</t>
    <phoneticPr fontId="1" type="noConversion"/>
  </si>
  <si>
    <t>幼鸡</t>
  </si>
  <si>
    <t>幼鸭</t>
  </si>
  <si>
    <t>幼兔</t>
  </si>
  <si>
    <t>幼绵羊</t>
  </si>
  <si>
    <t>幼猪</t>
  </si>
  <si>
    <t>幼牛</t>
  </si>
  <si>
    <t>幼马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</si>
  <si>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</si>
  <si>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</si>
  <si>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</si>
  <si>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</si>
  <si>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</si>
  <si>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</si>
  <si>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</si>
  <si>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</si>
  <si>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母鸡</t>
  </si>
  <si>
    <t>鸭子</t>
  </si>
  <si>
    <t>家兔</t>
  </si>
  <si>
    <t>绵羊</t>
  </si>
  <si>
    <t>猪</t>
  </si>
  <si>
    <t>奶牛</t>
  </si>
  <si>
    <t>马</t>
  </si>
  <si>
    <t>幼鸭,5,0,3002|鸭子,95,3007,3003|鸭子,100,0,3003</t>
  </si>
  <si>
    <t>幼绵羊,10,0,3006|绵羊,170,283,3007|绵羊,100,0,3007</t>
  </si>
  <si>
    <t>幼猪,10,0,3008|猪,170,3008,3009|猪,100,0,3009</t>
  </si>
  <si>
    <t>幼牛,10,0,3010|奶牛,230,3006,3011|奶牛,100,0,3011</t>
  </si>
  <si>
    <t>幼马,10,0,3013|马,230,276,3012|马,100,0,3012</t>
  </si>
  <si>
    <t>母鸡</t>
    <phoneticPr fontId="1" type="noConversion"/>
  </si>
  <si>
    <t>家兔</t>
    <phoneticPr fontId="1" type="noConversion"/>
  </si>
  <si>
    <t>奶牛</t>
    <phoneticPr fontId="1" type="noConversion"/>
  </si>
  <si>
    <t>马</t>
    <phoneticPr fontId="1" type="noConversion"/>
  </si>
  <si>
    <t>talkId</t>
  </si>
  <si>
    <t>int2</t>
    <phoneticPr fontId="1" type="noConversion"/>
  </si>
  <si>
    <t>绵羊</t>
    <phoneticPr fontId="1" type="noConversion"/>
  </si>
  <si>
    <t>猪</t>
    <phoneticPr fontId="1" type="noConversion"/>
  </si>
  <si>
    <t>8100,8101</t>
    <phoneticPr fontId="1" type="noConversion"/>
  </si>
  <si>
    <t>8102,8103</t>
    <phoneticPr fontId="1" type="noConversion"/>
  </si>
  <si>
    <t>8104,8104</t>
    <phoneticPr fontId="1" type="noConversion"/>
  </si>
  <si>
    <t>8105,8105</t>
    <phoneticPr fontId="1" type="noConversion"/>
  </si>
  <si>
    <t>8106,8106</t>
    <phoneticPr fontId="1" type="noConversion"/>
  </si>
  <si>
    <t>8107,8107</t>
    <phoneticPr fontId="1" type="noConversion"/>
  </si>
  <si>
    <t>8108,8108</t>
    <phoneticPr fontId="1" type="noConversion"/>
  </si>
  <si>
    <t>8109,8109</t>
    <phoneticPr fontId="1" type="noConversion"/>
  </si>
  <si>
    <t>8110,8110</t>
    <phoneticPr fontId="1" type="noConversion"/>
  </si>
  <si>
    <t>8111,8111</t>
    <phoneticPr fontId="1" type="noConversion"/>
  </si>
  <si>
    <t>dailyTasks</t>
    <phoneticPr fontId="1" type="noConversion"/>
  </si>
  <si>
    <t>20,21,22</t>
    <phoneticPr fontId="1" type="noConversion"/>
  </si>
  <si>
    <t>鸭子</t>
    <phoneticPr fontId="1" type="noConversion"/>
  </si>
  <si>
    <t>鸡</t>
    <phoneticPr fontId="1" type="noConversion"/>
  </si>
  <si>
    <t>兔子</t>
    <phoneticPr fontId="1" type="noConversion"/>
  </si>
  <si>
    <t>绵羊</t>
    <phoneticPr fontId="1" type="noConversion"/>
  </si>
  <si>
    <t>猪</t>
    <phoneticPr fontId="1" type="noConversion"/>
  </si>
  <si>
    <t>奶牛</t>
    <phoneticPr fontId="1" type="noConversion"/>
  </si>
  <si>
    <t>马</t>
    <phoneticPr fontId="1" type="noConversion"/>
  </si>
  <si>
    <t>山羊</t>
    <phoneticPr fontId="1" type="noConversion"/>
  </si>
  <si>
    <t>火鸡</t>
    <phoneticPr fontId="1" type="noConversion"/>
  </si>
  <si>
    <t>羊驼</t>
    <phoneticPr fontId="1" type="noConversion"/>
  </si>
  <si>
    <t>鸭子</t>
    <phoneticPr fontId="1" type="noConversion"/>
  </si>
  <si>
    <t>大象</t>
    <phoneticPr fontId="1" type="noConversion"/>
  </si>
  <si>
    <t>企鹅</t>
    <phoneticPr fontId="1" type="noConversion"/>
  </si>
  <si>
    <t>火烈鸟</t>
    <phoneticPr fontId="1" type="noConversion"/>
  </si>
  <si>
    <t>幼兔,6,0,3004|兔子,114,302,3005|兔子,100,0,3005</t>
    <phoneticPr fontId="1" type="noConversion"/>
  </si>
  <si>
    <t>山羊</t>
    <phoneticPr fontId="1" type="noConversion"/>
  </si>
  <si>
    <t>小鸡,5,0,3000|母鸡,95,301,3001|母鸡,100,0,3001</t>
    <phoneticPr fontId="1" type="noConversion"/>
  </si>
  <si>
    <t>火鸡</t>
    <phoneticPr fontId="1" type="noConversion"/>
  </si>
  <si>
    <t>羊驼</t>
    <phoneticPr fontId="1" type="noConversion"/>
  </si>
  <si>
    <t>幼山羊,10,0,3106|山羊,170,241,3106|山羊,100,0,3106</t>
    <phoneticPr fontId="1" type="noConversion"/>
  </si>
  <si>
    <t>幼火鸡,12,0,3112|火鸡,228,229,3112|火鸡,100,0,3112</t>
    <phoneticPr fontId="1" type="noConversion"/>
  </si>
  <si>
    <t>幼羊驼,15,0,3114|羊驼,225,203,3114|羊驼,100,0,3114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</si>
</sst>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0" borderId="0" xfId="0" applyNumberFormat="1"/>
    <xf numFmtId="49" fontId="0" fillId="0" borderId="0" xfId="0" applyNumberFormat="1"/>
    <xf numFmtId="0" fontId="0" fillId="0" borderId="0" xfId="0" applyFill="1"/>
    <xf numFmtId="0" fontId="0" fillId="4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Q13"/>
  <sheetViews>
    <sheetView tabSelected="1" zoomScaleNormal="100" workbookViewId="0">
      <selection activeCell="P15" sqref="P15"/>
    </sheetView>
  </sheetViews>
  <sheetFormatPr defaultColWidth="12.125" defaultRowHeight="14.25" x14ac:dyDescent="0.2"/>
  <cols>
    <col min="2" max="2" width="6.5" customWidth="1"/>
    <col min="3" max="3" width="8" customWidth="1"/>
    <col min="7" max="7" width="5.75" customWidth="1"/>
    <col min="8" max="8" width="19.875" style="7" customWidth="1"/>
    <col min="9" max="15" width="12.125" hidden="1" customWidth="1"/>
    <col min="16" max="16" width="47.875" customWidth="1"/>
  </cols>
  <sheetData>
    <row r="2" spans="1:17" x14ac:dyDescent="0.2">
      <c r="A2" t="s">
        <v>21</v>
      </c>
      <c r="B2" t="s">
        <v>22</v>
      </c>
      <c r="C2" t="s">
        <v>22</v>
      </c>
      <c r="D2" t="s">
        <v>22</v>
      </c>
      <c r="E2" t="s">
        <v>23</v>
      </c>
      <c r="F2" t="s">
        <v>21</v>
      </c>
      <c r="G2" t="s">
        <v>22</v>
      </c>
      <c r="H2" s="7" t="s">
        <v>88</v>
      </c>
      <c r="I2" t="s">
        <v>23</v>
      </c>
      <c r="J2" t="s">
        <v>22</v>
      </c>
      <c r="K2" t="s">
        <v>22</v>
      </c>
      <c r="L2" t="s">
        <v>22</v>
      </c>
      <c r="M2" t="s">
        <v>22</v>
      </c>
      <c r="N2" t="s">
        <v>22</v>
      </c>
      <c r="O2" t="s">
        <v>22</v>
      </c>
      <c r="P2" t="s">
        <v>24</v>
      </c>
      <c r="Q2" s="3" t="s">
        <v>23</v>
      </c>
    </row>
    <row r="3" spans="1:17" x14ac:dyDescent="0.2">
      <c r="A3" t="s">
        <v>13</v>
      </c>
      <c r="B3" t="s">
        <v>14</v>
      </c>
      <c r="C3" t="s">
        <v>15</v>
      </c>
      <c r="D3" t="s">
        <v>16</v>
      </c>
      <c r="E3" t="s">
        <v>101</v>
      </c>
      <c r="F3" t="s">
        <v>25</v>
      </c>
      <c r="G3" t="s">
        <v>17</v>
      </c>
      <c r="H3" s="7" t="s">
        <v>87</v>
      </c>
      <c r="I3" t="s">
        <v>18</v>
      </c>
      <c r="J3" t="s">
        <v>19</v>
      </c>
      <c r="K3" t="s">
        <v>54</v>
      </c>
      <c r="L3" t="s">
        <v>55</v>
      </c>
      <c r="M3" t="s">
        <v>26</v>
      </c>
      <c r="N3" t="s">
        <v>27</v>
      </c>
      <c r="O3" t="s">
        <v>28</v>
      </c>
      <c r="P3" t="s">
        <v>20</v>
      </c>
      <c r="Q3" s="3" t="s">
        <v>45</v>
      </c>
    </row>
    <row r="4" spans="1:17" x14ac:dyDescent="0.2">
      <c r="A4" t="s">
        <v>71</v>
      </c>
      <c r="B4">
        <v>3000</v>
      </c>
      <c r="C4">
        <v>0</v>
      </c>
      <c r="D4">
        <v>3000</v>
      </c>
      <c r="E4" t="s">
        <v>102</v>
      </c>
      <c r="F4" t="s">
        <v>39</v>
      </c>
      <c r="G4">
        <v>1</v>
      </c>
      <c r="H4" s="7" t="s">
        <v>91</v>
      </c>
      <c r="I4">
        <v>100</v>
      </c>
      <c r="J4">
        <v>2</v>
      </c>
      <c r="K4" s="5">
        <v>2</v>
      </c>
      <c r="L4" s="5">
        <v>2</v>
      </c>
      <c r="M4">
        <v>8</v>
      </c>
      <c r="N4">
        <v>24</v>
      </c>
      <c r="O4">
        <v>14</v>
      </c>
      <c r="P4" s="4" t="s">
        <v>119</v>
      </c>
      <c r="Q4" s="3" t="s">
        <v>46</v>
      </c>
    </row>
    <row r="5" spans="1:17" x14ac:dyDescent="0.2">
      <c r="A5" t="s">
        <v>113</v>
      </c>
      <c r="B5">
        <v>3002</v>
      </c>
      <c r="C5">
        <v>0</v>
      </c>
      <c r="D5">
        <v>3002</v>
      </c>
      <c r="E5" t="s">
        <v>102</v>
      </c>
      <c r="F5" t="s">
        <v>39</v>
      </c>
      <c r="G5">
        <v>1</v>
      </c>
      <c r="H5" s="7" t="s">
        <v>92</v>
      </c>
      <c r="I5">
        <v>100</v>
      </c>
      <c r="J5">
        <v>2</v>
      </c>
      <c r="K5" s="5">
        <v>1</v>
      </c>
      <c r="L5" s="5">
        <v>1</v>
      </c>
      <c r="M5">
        <v>8</v>
      </c>
      <c r="N5">
        <v>24</v>
      </c>
      <c r="O5">
        <v>14</v>
      </c>
      <c r="P5" s="4" t="s">
        <v>78</v>
      </c>
      <c r="Q5" s="3" t="s">
        <v>46</v>
      </c>
    </row>
    <row r="6" spans="1:17" x14ac:dyDescent="0.2">
      <c r="A6" t="s">
        <v>105</v>
      </c>
      <c r="B6">
        <v>3004</v>
      </c>
      <c r="C6">
        <v>0</v>
      </c>
      <c r="D6">
        <v>3004</v>
      </c>
      <c r="E6" t="s">
        <v>102</v>
      </c>
      <c r="F6" t="s">
        <v>39</v>
      </c>
      <c r="G6">
        <v>1</v>
      </c>
      <c r="H6" s="7" t="s">
        <v>93</v>
      </c>
      <c r="I6">
        <v>100</v>
      </c>
      <c r="J6">
        <v>2</v>
      </c>
      <c r="K6" s="5">
        <v>2</v>
      </c>
      <c r="L6" s="5">
        <v>3</v>
      </c>
      <c r="M6">
        <v>8</v>
      </c>
      <c r="N6">
        <v>24</v>
      </c>
      <c r="O6">
        <v>14</v>
      </c>
      <c r="P6" s="4" t="s">
        <v>117</v>
      </c>
      <c r="Q6" s="3" t="s">
        <v>46</v>
      </c>
    </row>
    <row r="7" spans="1:17" x14ac:dyDescent="0.2">
      <c r="A7" t="s">
        <v>74</v>
      </c>
      <c r="B7">
        <v>3006</v>
      </c>
      <c r="C7">
        <v>0</v>
      </c>
      <c r="D7">
        <v>3006</v>
      </c>
      <c r="E7" t="s">
        <v>102</v>
      </c>
      <c r="F7" t="s">
        <v>39</v>
      </c>
      <c r="G7">
        <v>1</v>
      </c>
      <c r="H7" s="7" t="s">
        <v>94</v>
      </c>
      <c r="I7">
        <v>100</v>
      </c>
      <c r="J7">
        <v>2</v>
      </c>
      <c r="K7" s="5">
        <v>7</v>
      </c>
      <c r="L7" s="5">
        <v>4</v>
      </c>
      <c r="M7">
        <v>8</v>
      </c>
      <c r="N7">
        <v>24</v>
      </c>
      <c r="O7">
        <v>14</v>
      </c>
      <c r="P7" s="4" t="s">
        <v>79</v>
      </c>
      <c r="Q7" s="3" t="s">
        <v>46</v>
      </c>
    </row>
    <row r="8" spans="1:17" x14ac:dyDescent="0.2">
      <c r="A8" t="s">
        <v>75</v>
      </c>
      <c r="B8">
        <v>3008</v>
      </c>
      <c r="C8">
        <v>0</v>
      </c>
      <c r="D8">
        <v>3008</v>
      </c>
      <c r="E8" t="s">
        <v>102</v>
      </c>
      <c r="F8" t="s">
        <v>39</v>
      </c>
      <c r="G8">
        <v>1</v>
      </c>
      <c r="H8" s="7" t="s">
        <v>95</v>
      </c>
      <c r="I8">
        <v>100</v>
      </c>
      <c r="J8">
        <v>2</v>
      </c>
      <c r="K8" s="5">
        <v>4</v>
      </c>
      <c r="L8" s="5">
        <v>6</v>
      </c>
      <c r="M8">
        <v>8</v>
      </c>
      <c r="N8">
        <v>24</v>
      </c>
      <c r="O8">
        <v>14</v>
      </c>
      <c r="P8" s="4" t="s">
        <v>80</v>
      </c>
      <c r="Q8" s="3" t="s">
        <v>46</v>
      </c>
    </row>
    <row r="9" spans="1:17" x14ac:dyDescent="0.2">
      <c r="A9" t="s">
        <v>76</v>
      </c>
      <c r="B9">
        <v>3010</v>
      </c>
      <c r="C9">
        <v>0</v>
      </c>
      <c r="D9">
        <v>3010</v>
      </c>
      <c r="E9" t="s">
        <v>102</v>
      </c>
      <c r="F9" t="s">
        <v>39</v>
      </c>
      <c r="G9">
        <v>1</v>
      </c>
      <c r="H9" s="7" t="s">
        <v>96</v>
      </c>
      <c r="I9">
        <v>100</v>
      </c>
      <c r="J9">
        <v>2</v>
      </c>
      <c r="K9" s="5">
        <v>4</v>
      </c>
      <c r="L9" s="5">
        <v>4</v>
      </c>
      <c r="M9">
        <v>8</v>
      </c>
      <c r="N9">
        <v>24</v>
      </c>
      <c r="O9">
        <v>14</v>
      </c>
      <c r="P9" s="4" t="s">
        <v>81</v>
      </c>
      <c r="Q9" s="3" t="s">
        <v>46</v>
      </c>
    </row>
    <row r="10" spans="1:17" x14ac:dyDescent="0.2">
      <c r="A10" t="s">
        <v>77</v>
      </c>
      <c r="B10">
        <v>3012</v>
      </c>
      <c r="C10">
        <v>0</v>
      </c>
      <c r="D10">
        <v>3012</v>
      </c>
      <c r="E10" t="s">
        <v>102</v>
      </c>
      <c r="F10" t="s">
        <v>39</v>
      </c>
      <c r="G10">
        <v>1</v>
      </c>
      <c r="H10" s="7" t="s">
        <v>97</v>
      </c>
      <c r="I10">
        <v>100</v>
      </c>
      <c r="J10">
        <v>2</v>
      </c>
      <c r="K10" s="5">
        <v>3</v>
      </c>
      <c r="L10" s="5">
        <v>4</v>
      </c>
      <c r="M10">
        <v>8</v>
      </c>
      <c r="N10">
        <v>24</v>
      </c>
      <c r="O10">
        <v>14</v>
      </c>
      <c r="P10" s="4" t="s">
        <v>82</v>
      </c>
      <c r="Q10" s="3" t="s">
        <v>46</v>
      </c>
    </row>
    <row r="11" spans="1:17" x14ac:dyDescent="0.2">
      <c r="A11" s="9" t="s">
        <v>118</v>
      </c>
      <c r="B11">
        <v>3014</v>
      </c>
      <c r="C11">
        <v>0</v>
      </c>
      <c r="D11">
        <v>3014</v>
      </c>
      <c r="E11" t="s">
        <v>102</v>
      </c>
      <c r="F11" t="s">
        <v>39</v>
      </c>
      <c r="G11">
        <v>1</v>
      </c>
      <c r="H11" s="7" t="s">
        <v>98</v>
      </c>
      <c r="I11">
        <v>100</v>
      </c>
      <c r="J11">
        <v>2</v>
      </c>
      <c r="K11" s="5">
        <v>2</v>
      </c>
      <c r="L11" s="5">
        <v>2</v>
      </c>
      <c r="M11">
        <v>8</v>
      </c>
      <c r="N11">
        <v>24</v>
      </c>
      <c r="O11">
        <v>14</v>
      </c>
      <c r="P11" s="4" t="s">
        <v>122</v>
      </c>
      <c r="Q11" s="3" t="s">
        <v>46</v>
      </c>
    </row>
    <row r="12" spans="1:17" x14ac:dyDescent="0.2">
      <c r="A12" s="9" t="s">
        <v>120</v>
      </c>
      <c r="B12">
        <v>3016</v>
      </c>
      <c r="C12">
        <v>0</v>
      </c>
      <c r="D12">
        <v>3016</v>
      </c>
      <c r="E12" t="s">
        <v>102</v>
      </c>
      <c r="F12" t="s">
        <v>39</v>
      </c>
      <c r="G12">
        <v>1</v>
      </c>
      <c r="H12" s="7" t="s">
        <v>99</v>
      </c>
      <c r="I12">
        <v>100</v>
      </c>
      <c r="J12">
        <v>2</v>
      </c>
      <c r="K12" s="5">
        <v>2</v>
      </c>
      <c r="L12" s="5">
        <v>6</v>
      </c>
      <c r="M12">
        <v>8</v>
      </c>
      <c r="N12">
        <v>24</v>
      </c>
      <c r="O12">
        <v>14</v>
      </c>
      <c r="P12" s="4" t="s">
        <v>123</v>
      </c>
      <c r="Q12" s="3" t="s">
        <v>46</v>
      </c>
    </row>
    <row r="13" spans="1:17" x14ac:dyDescent="0.2">
      <c r="A13" s="9" t="s">
        <v>121</v>
      </c>
      <c r="B13">
        <v>3018</v>
      </c>
      <c r="C13">
        <v>0</v>
      </c>
      <c r="D13">
        <v>3018</v>
      </c>
      <c r="E13" t="s">
        <v>102</v>
      </c>
      <c r="F13" t="s">
        <v>39</v>
      </c>
      <c r="G13">
        <v>1</v>
      </c>
      <c r="H13" s="7" t="s">
        <v>100</v>
      </c>
      <c r="I13">
        <v>100</v>
      </c>
      <c r="J13">
        <v>2</v>
      </c>
      <c r="K13" s="5">
        <v>1</v>
      </c>
      <c r="L13" s="5">
        <v>1</v>
      </c>
      <c r="M13">
        <v>8</v>
      </c>
      <c r="N13">
        <v>24</v>
      </c>
      <c r="O13">
        <v>14</v>
      </c>
      <c r="P13" s="4" t="s">
        <v>124</v>
      </c>
      <c r="Q13" s="3" t="s">
        <v>46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5"/>
  <sheetViews>
    <sheetView topLeftCell="A22" workbookViewId="0">
      <selection activeCell="D51" sqref="D51:D59"/>
    </sheetView>
  </sheetViews>
  <sheetFormatPr defaultRowHeight="14.25" x14ac:dyDescent="0.2"/>
  <cols>
    <col min="11" max="11" width="10.75" customWidth="1"/>
    <col min="12" max="13" width="7.25" customWidth="1"/>
    <col min="14" max="14" width="20.625" customWidth="1"/>
    <col min="15" max="15" width="7.25" customWidth="1"/>
    <col min="16" max="16" width="9.75" customWidth="1"/>
    <col min="17" max="17" width="6.125" customWidth="1"/>
    <col min="18" max="20" width="7.75" customWidth="1"/>
    <col min="21" max="21" width="8.25" customWidth="1"/>
  </cols>
  <sheetData>
    <row r="2" spans="1:24" x14ac:dyDescent="0.2">
      <c r="A2" t="s">
        <v>0</v>
      </c>
      <c r="D2" t="s">
        <v>0</v>
      </c>
    </row>
    <row r="3" spans="1:24" x14ac:dyDescent="0.2">
      <c r="A3" t="s">
        <v>1</v>
      </c>
      <c r="D3" t="s">
        <v>1</v>
      </c>
    </row>
    <row r="4" spans="1:24" x14ac:dyDescent="0.2">
      <c r="A4" t="s">
        <v>2</v>
      </c>
      <c r="D4" t="s">
        <v>2</v>
      </c>
    </row>
    <row r="5" spans="1:24" x14ac:dyDescent="0.2">
      <c r="A5" t="s">
        <v>3</v>
      </c>
      <c r="D5" t="s">
        <v>8</v>
      </c>
    </row>
    <row r="6" spans="1:24" x14ac:dyDescent="0.2">
      <c r="A6" t="s">
        <v>4</v>
      </c>
      <c r="D6" t="s">
        <v>9</v>
      </c>
    </row>
    <row r="7" spans="1:24" x14ac:dyDescent="0.2">
      <c r="A7" t="s">
        <v>5</v>
      </c>
      <c r="D7" t="s">
        <v>10</v>
      </c>
    </row>
    <row r="11" spans="1:24" x14ac:dyDescent="0.2">
      <c r="D11" t="s">
        <v>7</v>
      </c>
    </row>
    <row r="12" spans="1:24" x14ac:dyDescent="0.2">
      <c r="D12" t="s">
        <v>12</v>
      </c>
    </row>
    <row r="13" spans="1:24" x14ac:dyDescent="0.2">
      <c r="E13" t="s">
        <v>11</v>
      </c>
    </row>
    <row r="14" spans="1:24" x14ac:dyDescent="0.2">
      <c r="B14" s="2" t="s">
        <v>32</v>
      </c>
      <c r="C14" t="s">
        <v>33</v>
      </c>
      <c r="D14" t="s">
        <v>36</v>
      </c>
      <c r="I14" s="5">
        <v>100</v>
      </c>
      <c r="K14" t="s">
        <v>56</v>
      </c>
      <c r="L14">
        <v>5</v>
      </c>
      <c r="M14">
        <v>0</v>
      </c>
      <c r="N14">
        <v>3000</v>
      </c>
      <c r="P14" t="s">
        <v>71</v>
      </c>
      <c r="Q14" s="6">
        <f>I14-L14</f>
        <v>95</v>
      </c>
      <c r="R14">
        <v>301</v>
      </c>
      <c r="S14">
        <v>3001</v>
      </c>
      <c r="U14" t="s">
        <v>71</v>
      </c>
      <c r="V14">
        <v>100</v>
      </c>
      <c r="W14">
        <v>0</v>
      </c>
      <c r="X14">
        <v>3001</v>
      </c>
    </row>
    <row r="15" spans="1:24" x14ac:dyDescent="0.2">
      <c r="B15" s="2" t="s">
        <v>0</v>
      </c>
      <c r="C15" t="s">
        <v>30</v>
      </c>
      <c r="D15" t="s">
        <v>36</v>
      </c>
      <c r="I15" s="5">
        <v>100</v>
      </c>
      <c r="K15" t="s">
        <v>57</v>
      </c>
      <c r="L15">
        <v>5</v>
      </c>
      <c r="M15">
        <v>0</v>
      </c>
      <c r="N15">
        <v>3002</v>
      </c>
      <c r="P15" t="s">
        <v>72</v>
      </c>
      <c r="Q15" s="6">
        <f t="shared" ref="Q15:Q28" si="0">I15-L15</f>
        <v>95</v>
      </c>
      <c r="R15">
        <v>3007</v>
      </c>
      <c r="S15">
        <v>3003</v>
      </c>
      <c r="U15" t="s">
        <v>72</v>
      </c>
      <c r="V15">
        <v>100</v>
      </c>
      <c r="W15">
        <v>0</v>
      </c>
      <c r="X15">
        <v>3003</v>
      </c>
    </row>
    <row r="16" spans="1:24" x14ac:dyDescent="0.2">
      <c r="B16" s="1" t="s">
        <v>8</v>
      </c>
      <c r="C16" t="s">
        <v>53</v>
      </c>
      <c r="D16" t="s">
        <v>36</v>
      </c>
      <c r="I16" s="5">
        <v>120</v>
      </c>
      <c r="K16" t="s">
        <v>58</v>
      </c>
      <c r="L16">
        <v>6</v>
      </c>
      <c r="M16">
        <v>0</v>
      </c>
      <c r="N16">
        <v>3004</v>
      </c>
      <c r="P16" t="s">
        <v>73</v>
      </c>
      <c r="Q16" s="6">
        <f t="shared" si="0"/>
        <v>114</v>
      </c>
      <c r="R16">
        <v>302</v>
      </c>
      <c r="S16">
        <v>3005</v>
      </c>
      <c r="U16" t="s">
        <v>73</v>
      </c>
      <c r="V16">
        <v>100</v>
      </c>
      <c r="W16">
        <v>0</v>
      </c>
      <c r="X16">
        <v>3005</v>
      </c>
    </row>
    <row r="17" spans="2:24" x14ac:dyDescent="0.2">
      <c r="B17" s="2" t="s">
        <v>2</v>
      </c>
      <c r="C17" t="s">
        <v>52</v>
      </c>
      <c r="D17" t="s">
        <v>36</v>
      </c>
      <c r="I17" s="5">
        <v>180</v>
      </c>
      <c r="K17" t="s">
        <v>59</v>
      </c>
      <c r="L17">
        <v>10</v>
      </c>
      <c r="M17">
        <v>0</v>
      </c>
      <c r="N17">
        <v>3006</v>
      </c>
      <c r="P17" t="s">
        <v>74</v>
      </c>
      <c r="Q17" s="6">
        <f t="shared" si="0"/>
        <v>170</v>
      </c>
      <c r="R17">
        <v>283</v>
      </c>
      <c r="S17">
        <v>3007</v>
      </c>
      <c r="U17" t="s">
        <v>74</v>
      </c>
      <c r="V17">
        <v>100</v>
      </c>
      <c r="W17">
        <v>0</v>
      </c>
      <c r="X17">
        <v>3007</v>
      </c>
    </row>
    <row r="18" spans="2:24" x14ac:dyDescent="0.2">
      <c r="B18" s="2" t="s">
        <v>38</v>
      </c>
      <c r="C18" t="s">
        <v>51</v>
      </c>
      <c r="D18" t="s">
        <v>36</v>
      </c>
      <c r="E18" t="s">
        <v>47</v>
      </c>
      <c r="I18" s="5">
        <v>180</v>
      </c>
      <c r="K18" t="s">
        <v>60</v>
      </c>
      <c r="L18">
        <v>10</v>
      </c>
      <c r="M18">
        <v>0</v>
      </c>
      <c r="N18">
        <v>3008</v>
      </c>
      <c r="P18" t="s">
        <v>75</v>
      </c>
      <c r="Q18" s="6">
        <f t="shared" si="0"/>
        <v>170</v>
      </c>
      <c r="R18">
        <v>3008</v>
      </c>
      <c r="S18">
        <v>3009</v>
      </c>
      <c r="U18" t="s">
        <v>75</v>
      </c>
      <c r="V18">
        <v>100</v>
      </c>
      <c r="W18">
        <v>0</v>
      </c>
      <c r="X18">
        <v>3009</v>
      </c>
    </row>
    <row r="19" spans="2:24" x14ac:dyDescent="0.2">
      <c r="B19" s="2" t="s">
        <v>1</v>
      </c>
      <c r="C19" t="s">
        <v>50</v>
      </c>
      <c r="D19" t="s">
        <v>36</v>
      </c>
      <c r="I19" s="5">
        <v>240</v>
      </c>
      <c r="K19" t="s">
        <v>61</v>
      </c>
      <c r="L19">
        <v>10</v>
      </c>
      <c r="M19">
        <v>0</v>
      </c>
      <c r="N19">
        <v>3010</v>
      </c>
      <c r="P19" t="s">
        <v>76</v>
      </c>
      <c r="Q19" s="6">
        <f t="shared" si="0"/>
        <v>230</v>
      </c>
      <c r="R19">
        <v>3006</v>
      </c>
      <c r="S19">
        <v>3011</v>
      </c>
      <c r="U19" t="s">
        <v>76</v>
      </c>
      <c r="V19">
        <v>100</v>
      </c>
      <c r="W19">
        <v>0</v>
      </c>
      <c r="X19">
        <v>3011</v>
      </c>
    </row>
    <row r="20" spans="2:24" x14ac:dyDescent="0.2">
      <c r="B20" s="1" t="s">
        <v>48</v>
      </c>
      <c r="C20" t="s">
        <v>49</v>
      </c>
      <c r="D20" t="s">
        <v>36</v>
      </c>
      <c r="I20" s="5">
        <v>240</v>
      </c>
      <c r="K20" t="s">
        <v>62</v>
      </c>
      <c r="L20">
        <v>10</v>
      </c>
      <c r="M20">
        <v>0</v>
      </c>
      <c r="N20">
        <v>3013</v>
      </c>
      <c r="P20" t="s">
        <v>77</v>
      </c>
      <c r="Q20" s="6">
        <f t="shared" si="0"/>
        <v>230</v>
      </c>
      <c r="R20">
        <v>276</v>
      </c>
      <c r="S20">
        <v>3012</v>
      </c>
      <c r="U20" t="s">
        <v>77</v>
      </c>
      <c r="V20">
        <v>100</v>
      </c>
      <c r="W20">
        <v>0</v>
      </c>
      <c r="X20">
        <v>3012</v>
      </c>
    </row>
    <row r="21" spans="2:24" x14ac:dyDescent="0.2">
      <c r="I21" s="5">
        <v>100</v>
      </c>
      <c r="K21" t="s">
        <v>63</v>
      </c>
      <c r="L21">
        <v>5</v>
      </c>
      <c r="M21">
        <v>0</v>
      </c>
      <c r="N21">
        <v>3100</v>
      </c>
      <c r="P21" t="s">
        <v>63</v>
      </c>
      <c r="Q21" s="6">
        <f t="shared" si="0"/>
        <v>95</v>
      </c>
      <c r="R21">
        <v>235</v>
      </c>
      <c r="S21">
        <v>3100</v>
      </c>
      <c r="U21" t="s">
        <v>63</v>
      </c>
      <c r="V21">
        <v>100</v>
      </c>
      <c r="W21">
        <v>0</v>
      </c>
      <c r="X21">
        <v>3100</v>
      </c>
    </row>
    <row r="22" spans="2:24" x14ac:dyDescent="0.2">
      <c r="B22" s="1" t="s">
        <v>6</v>
      </c>
      <c r="D22" t="s">
        <v>37</v>
      </c>
      <c r="I22" s="5">
        <v>100</v>
      </c>
      <c r="K22" t="s">
        <v>64</v>
      </c>
      <c r="L22">
        <v>5</v>
      </c>
      <c r="M22">
        <v>0</v>
      </c>
      <c r="N22">
        <v>3102</v>
      </c>
      <c r="P22" t="s">
        <v>64</v>
      </c>
      <c r="Q22" s="6">
        <f t="shared" si="0"/>
        <v>95</v>
      </c>
      <c r="R22">
        <v>302</v>
      </c>
      <c r="S22">
        <v>3102</v>
      </c>
      <c r="U22" t="s">
        <v>64</v>
      </c>
      <c r="V22">
        <v>100</v>
      </c>
      <c r="W22">
        <v>0</v>
      </c>
      <c r="X22">
        <v>3102</v>
      </c>
    </row>
    <row r="23" spans="2:24" x14ac:dyDescent="0.2">
      <c r="B23" s="2" t="s">
        <v>10</v>
      </c>
      <c r="D23" t="s">
        <v>37</v>
      </c>
      <c r="I23" s="5">
        <v>180</v>
      </c>
      <c r="K23" t="s">
        <v>65</v>
      </c>
      <c r="L23">
        <v>6</v>
      </c>
      <c r="M23">
        <v>0</v>
      </c>
      <c r="N23">
        <v>3104</v>
      </c>
      <c r="P23" t="s">
        <v>65</v>
      </c>
      <c r="Q23" s="6">
        <f t="shared" si="0"/>
        <v>174</v>
      </c>
      <c r="R23">
        <v>297</v>
      </c>
      <c r="S23">
        <v>3104</v>
      </c>
      <c r="U23" t="s">
        <v>65</v>
      </c>
      <c r="V23">
        <v>100</v>
      </c>
      <c r="W23">
        <v>0</v>
      </c>
      <c r="X23">
        <v>3104</v>
      </c>
    </row>
    <row r="24" spans="2:24" x14ac:dyDescent="0.2">
      <c r="B24" s="1" t="s">
        <v>31</v>
      </c>
      <c r="D24" t="s">
        <v>37</v>
      </c>
      <c r="I24" s="5">
        <v>180</v>
      </c>
      <c r="K24" t="s">
        <v>66</v>
      </c>
      <c r="L24">
        <v>10</v>
      </c>
      <c r="M24">
        <v>0</v>
      </c>
      <c r="N24">
        <v>3106</v>
      </c>
      <c r="P24" t="s">
        <v>66</v>
      </c>
      <c r="Q24" s="6">
        <f t="shared" si="0"/>
        <v>170</v>
      </c>
      <c r="R24">
        <v>222</v>
      </c>
      <c r="S24">
        <v>3106</v>
      </c>
      <c r="U24" t="s">
        <v>66</v>
      </c>
      <c r="V24">
        <v>100</v>
      </c>
      <c r="W24">
        <v>0</v>
      </c>
      <c r="X24">
        <v>3106</v>
      </c>
    </row>
    <row r="25" spans="2:24" x14ac:dyDescent="0.2">
      <c r="B25" s="1" t="s">
        <v>34</v>
      </c>
      <c r="D25" t="s">
        <v>37</v>
      </c>
      <c r="I25" s="5">
        <v>180</v>
      </c>
      <c r="K25" t="s">
        <v>67</v>
      </c>
      <c r="L25">
        <v>6</v>
      </c>
      <c r="M25">
        <v>0</v>
      </c>
      <c r="N25">
        <v>3108</v>
      </c>
      <c r="P25" t="s">
        <v>67</v>
      </c>
      <c r="Q25" s="6">
        <f t="shared" si="0"/>
        <v>174</v>
      </c>
      <c r="R25">
        <v>213</v>
      </c>
      <c r="S25">
        <v>3108</v>
      </c>
      <c r="U25" t="s">
        <v>67</v>
      </c>
      <c r="V25">
        <v>100</v>
      </c>
      <c r="W25">
        <v>0</v>
      </c>
      <c r="X25">
        <v>3108</v>
      </c>
    </row>
    <row r="26" spans="2:24" x14ac:dyDescent="0.2">
      <c r="B26" s="2" t="s">
        <v>29</v>
      </c>
      <c r="D26" t="s">
        <v>37</v>
      </c>
      <c r="I26" s="5">
        <v>240</v>
      </c>
      <c r="K26" t="s">
        <v>68</v>
      </c>
      <c r="L26">
        <v>20</v>
      </c>
      <c r="M26">
        <v>0</v>
      </c>
      <c r="N26">
        <v>3110</v>
      </c>
      <c r="P26" t="s">
        <v>68</v>
      </c>
      <c r="Q26" s="6">
        <f t="shared" si="0"/>
        <v>220</v>
      </c>
      <c r="R26">
        <v>240</v>
      </c>
      <c r="S26">
        <v>3110</v>
      </c>
      <c r="U26" t="s">
        <v>68</v>
      </c>
      <c r="V26">
        <v>100</v>
      </c>
      <c r="W26">
        <v>0</v>
      </c>
      <c r="X26">
        <v>3110</v>
      </c>
    </row>
    <row r="27" spans="2:24" x14ac:dyDescent="0.2">
      <c r="B27" s="2" t="s">
        <v>12</v>
      </c>
      <c r="D27" t="s">
        <v>37</v>
      </c>
      <c r="I27" s="5">
        <v>240</v>
      </c>
      <c r="K27" t="s">
        <v>69</v>
      </c>
      <c r="L27">
        <v>12</v>
      </c>
      <c r="M27">
        <v>0</v>
      </c>
      <c r="N27">
        <v>3112</v>
      </c>
      <c r="P27" t="s">
        <v>69</v>
      </c>
      <c r="Q27" s="6">
        <f t="shared" si="0"/>
        <v>228</v>
      </c>
      <c r="R27">
        <v>260</v>
      </c>
      <c r="S27">
        <v>3112</v>
      </c>
      <c r="U27" t="s">
        <v>69</v>
      </c>
      <c r="V27">
        <v>100</v>
      </c>
      <c r="W27">
        <v>0</v>
      </c>
      <c r="X27">
        <v>3112</v>
      </c>
    </row>
    <row r="28" spans="2:24" x14ac:dyDescent="0.2">
      <c r="B28" s="1" t="s">
        <v>35</v>
      </c>
      <c r="D28" t="s">
        <v>37</v>
      </c>
      <c r="I28" s="5">
        <v>240</v>
      </c>
      <c r="K28" t="s">
        <v>70</v>
      </c>
      <c r="L28">
        <v>15</v>
      </c>
      <c r="M28">
        <v>0</v>
      </c>
      <c r="N28">
        <v>3114</v>
      </c>
      <c r="P28" t="s">
        <v>70</v>
      </c>
      <c r="Q28" s="6">
        <f t="shared" si="0"/>
        <v>225</v>
      </c>
      <c r="R28">
        <v>203</v>
      </c>
      <c r="S28">
        <v>3114</v>
      </c>
      <c r="U28" t="s">
        <v>70</v>
      </c>
      <c r="V28">
        <v>100</v>
      </c>
      <c r="W28">
        <v>0</v>
      </c>
      <c r="X28">
        <v>3114</v>
      </c>
    </row>
    <row r="29" spans="2:24" x14ac:dyDescent="0.2">
      <c r="F29" t="str">
        <f>N29&amp;"|"&amp;S29&amp;"|"&amp;X29</f>
        <v>幼鸡,5,0,3000|母鸡,95,301,3001|母鸡,100,0,3001</v>
      </c>
      <c r="N29" t="str">
        <f>K14&amp;","&amp;L14&amp;","&amp;M14&amp;","&amp;N14</f>
        <v>幼鸡,5,0,3000</v>
      </c>
      <c r="S29" t="str">
        <f>P14&amp;","&amp;Q14&amp;","&amp;R14&amp;","&amp;S14</f>
        <v>母鸡,95,301,3001</v>
      </c>
      <c r="X29" t="str">
        <f>U14&amp;","&amp;V14&amp;","&amp;W14&amp;","&amp;X14</f>
        <v>母鸡,100,0,3001</v>
      </c>
    </row>
    <row r="30" spans="2:24" x14ac:dyDescent="0.2">
      <c r="F30" t="str">
        <f t="shared" ref="F30:F43" si="1">N30&amp;"|"&amp;S30&amp;"|"&amp;X30</f>
        <v>幼鸭,5,0,3002|鸭子,95,3007,3003|鸭子,100,0,3003</v>
      </c>
      <c r="N30" t="str">
        <f t="shared" ref="N30:N43" si="2">K15&amp;","&amp;L15&amp;","&amp;M15&amp;","&amp;N15</f>
        <v>幼鸭,5,0,3002</v>
      </c>
      <c r="S30" t="str">
        <f t="shared" ref="S30:S43" si="3">P15&amp;","&amp;Q15&amp;","&amp;R15&amp;","&amp;S15</f>
        <v>鸭子,95,3007,3003</v>
      </c>
      <c r="X30" t="str">
        <f t="shared" ref="X30:X43" si="4">U15&amp;","&amp;V15&amp;","&amp;W15&amp;","&amp;X15</f>
        <v>鸭子,100,0,3003</v>
      </c>
    </row>
    <row r="31" spans="2:24" x14ac:dyDescent="0.2">
      <c r="F31" t="str">
        <f t="shared" si="1"/>
        <v>幼兔,6,0,3004|家兔,114,302,3005|家兔,100,0,3005</v>
      </c>
      <c r="N31" t="str">
        <f t="shared" si="2"/>
        <v>幼兔,6,0,3004</v>
      </c>
      <c r="S31" t="str">
        <f t="shared" si="3"/>
        <v>家兔,114,302,3005</v>
      </c>
      <c r="X31" t="str">
        <f t="shared" si="4"/>
        <v>家兔,100,0,3005</v>
      </c>
    </row>
    <row r="32" spans="2:24" x14ac:dyDescent="0.2">
      <c r="F32" t="str">
        <f t="shared" si="1"/>
        <v>幼绵羊,10,0,3006|绵羊,170,283,3007|绵羊,100,0,3007</v>
      </c>
      <c r="N32" t="str">
        <f t="shared" si="2"/>
        <v>幼绵羊,10,0,3006</v>
      </c>
      <c r="S32" t="str">
        <f t="shared" si="3"/>
        <v>绵羊,170,283,3007</v>
      </c>
      <c r="X32" t="str">
        <f t="shared" si="4"/>
        <v>绵羊,100,0,3007</v>
      </c>
    </row>
    <row r="33" spans="6:24" x14ac:dyDescent="0.2">
      <c r="F33" t="str">
        <f t="shared" si="1"/>
        <v>幼猪,10,0,3008|猪,170,3008,3009|猪,100,0,3009</v>
      </c>
      <c r="N33" t="str">
        <f t="shared" si="2"/>
        <v>幼猪,10,0,3008</v>
      </c>
      <c r="S33" t="str">
        <f t="shared" si="3"/>
        <v>猪,170,3008,3009</v>
      </c>
      <c r="X33" t="str">
        <f t="shared" si="4"/>
        <v>猪,100,0,3009</v>
      </c>
    </row>
    <row r="34" spans="6:24" x14ac:dyDescent="0.2">
      <c r="F34" t="str">
        <f t="shared" si="1"/>
        <v>幼牛,10,0,3010|奶牛,230,3006,3011|奶牛,100,0,3011</v>
      </c>
      <c r="N34" t="str">
        <f t="shared" si="2"/>
        <v>幼牛,10,0,3010</v>
      </c>
      <c r="S34" t="str">
        <f t="shared" si="3"/>
        <v>奶牛,230,3006,3011</v>
      </c>
      <c r="X34" t="str">
        <f t="shared" si="4"/>
        <v>奶牛,100,0,3011</v>
      </c>
    </row>
    <row r="35" spans="6:24" x14ac:dyDescent="0.2">
      <c r="F35" t="str">
        <f t="shared" si="1"/>
        <v>幼马,10,0,3013|马,230,276,3012|马,100,0,3012</v>
      </c>
      <c r="N35" t="str">
        <f t="shared" si="2"/>
        <v>幼马,10,0,3013</v>
      </c>
      <c r="S35" t="str">
        <f t="shared" si="3"/>
        <v>马,230,276,3012</v>
      </c>
      <c r="X35" t="str">
        <f t="shared" si="4"/>
        <v>马,100,0,3012</v>
      </c>
    </row>
    <row r="36" spans="6:24" x14ac:dyDescent="0.2">
      <c r="F36" t="str">
        <f t="shared" si="1"/>
        <v>松鼠,5,0,3100|松鼠,95,235,3100|松鼠,100,0,3100</v>
      </c>
      <c r="N36" t="str">
        <f t="shared" si="2"/>
        <v>松鼠,5,0,3100</v>
      </c>
      <c r="S36" t="str">
        <f t="shared" si="3"/>
        <v>松鼠,95,235,3100</v>
      </c>
      <c r="X36" t="str">
        <f t="shared" si="4"/>
        <v>松鼠,100,0,3100</v>
      </c>
    </row>
    <row r="37" spans="6:24" x14ac:dyDescent="0.2">
      <c r="F37" t="str">
        <f t="shared" si="1"/>
        <v>野兔,5,0,3102|野兔,95,302,3102|野兔,100,0,3102</v>
      </c>
      <c r="N37" t="str">
        <f t="shared" si="2"/>
        <v>野兔,5,0,3102</v>
      </c>
      <c r="S37" t="str">
        <f t="shared" si="3"/>
        <v>野兔,95,302,3102</v>
      </c>
      <c r="X37" t="str">
        <f t="shared" si="4"/>
        <v>野兔,100,0,3102</v>
      </c>
    </row>
    <row r="38" spans="6:24" x14ac:dyDescent="0.2">
      <c r="F38" t="str">
        <f t="shared" si="1"/>
        <v>火烈鸟,6,0,3104|火烈鸟,174,297,3104|火烈鸟,100,0,3104</v>
      </c>
      <c r="N38" t="str">
        <f t="shared" si="2"/>
        <v>火烈鸟,6,0,3104</v>
      </c>
      <c r="S38" t="str">
        <f t="shared" si="3"/>
        <v>火烈鸟,174,297,3104</v>
      </c>
      <c r="X38" t="str">
        <f t="shared" si="4"/>
        <v>火烈鸟,100,0,3104</v>
      </c>
    </row>
    <row r="39" spans="6:24" x14ac:dyDescent="0.2">
      <c r="F39" t="str">
        <f t="shared" si="1"/>
        <v>鹿,10,0,3106|鹿,170,222,3106|鹿,100,0,3106</v>
      </c>
      <c r="N39" t="str">
        <f t="shared" si="2"/>
        <v>鹿,10,0,3106</v>
      </c>
      <c r="S39" t="str">
        <f t="shared" si="3"/>
        <v>鹿,170,222,3106</v>
      </c>
      <c r="X39" t="str">
        <f t="shared" si="4"/>
        <v>鹿,100,0,3106</v>
      </c>
    </row>
    <row r="40" spans="6:24" x14ac:dyDescent="0.2">
      <c r="F40" t="str">
        <f t="shared" si="1"/>
        <v>刺猬,6,0,3108|刺猬,174,213,3108|刺猬,100,0,3108</v>
      </c>
      <c r="N40" t="str">
        <f t="shared" si="2"/>
        <v>刺猬,6,0,3108</v>
      </c>
      <c r="S40" t="str">
        <f t="shared" si="3"/>
        <v>刺猬,174,213,3108</v>
      </c>
      <c r="X40" t="str">
        <f t="shared" si="4"/>
        <v>刺猬,100,0,3108</v>
      </c>
    </row>
    <row r="41" spans="6:24" x14ac:dyDescent="0.2">
      <c r="F41" t="str">
        <f t="shared" si="1"/>
        <v>大象,20,0,3110|大象,220,240,3110|大象,100,0,3110</v>
      </c>
      <c r="N41" t="str">
        <f>K26&amp;","&amp;L26&amp;","&amp;M26&amp;","&amp;N26</f>
        <v>大象,20,0,3110</v>
      </c>
      <c r="S41" t="str">
        <f>P26&amp;","&amp;Q26&amp;","&amp;R26&amp;","&amp;S26</f>
        <v>大象,220,240,3110</v>
      </c>
      <c r="X41" t="str">
        <f>U26&amp;","&amp;V26&amp;","&amp;W26&amp;","&amp;X26</f>
        <v>大象,100,0,3110</v>
      </c>
    </row>
    <row r="42" spans="6:24" x14ac:dyDescent="0.2">
      <c r="F42" t="str">
        <f t="shared" si="1"/>
        <v>企鹅,12,0,3112|企鹅,228,260,3112|企鹅,100,0,3112</v>
      </c>
      <c r="N42" t="str">
        <f t="shared" si="2"/>
        <v>企鹅,12,0,3112</v>
      </c>
      <c r="S42" t="str">
        <f t="shared" si="3"/>
        <v>企鹅,228,260,3112</v>
      </c>
      <c r="X42" t="str">
        <f t="shared" si="4"/>
        <v>企鹅,100,0,3112</v>
      </c>
    </row>
    <row r="43" spans="6:24" x14ac:dyDescent="0.2">
      <c r="F43" t="str">
        <f t="shared" si="1"/>
        <v>袋鼠,15,0,3114|袋鼠,225,203,3114|袋鼠,100,0,3114</v>
      </c>
      <c r="N43" t="str">
        <f t="shared" si="2"/>
        <v>袋鼠,15,0,3114</v>
      </c>
      <c r="S43" t="str">
        <f t="shared" si="3"/>
        <v>袋鼠,225,203,3114</v>
      </c>
      <c r="X43" t="str">
        <f t="shared" si="4"/>
        <v>袋鼠,100,0,3114</v>
      </c>
    </row>
    <row r="51" spans="2:5" x14ac:dyDescent="0.2">
      <c r="B51" s="1" t="s">
        <v>83</v>
      </c>
      <c r="D51" t="s">
        <v>104</v>
      </c>
    </row>
    <row r="52" spans="2:5" x14ac:dyDescent="0.2">
      <c r="B52" s="1" t="s">
        <v>103</v>
      </c>
      <c r="D52" t="s">
        <v>105</v>
      </c>
    </row>
    <row r="53" spans="2:5" x14ac:dyDescent="0.2">
      <c r="B53" s="1" t="s">
        <v>84</v>
      </c>
      <c r="D53" t="s">
        <v>106</v>
      </c>
    </row>
    <row r="54" spans="2:5" x14ac:dyDescent="0.2">
      <c r="B54" s="1" t="s">
        <v>89</v>
      </c>
      <c r="D54" t="s">
        <v>107</v>
      </c>
    </row>
    <row r="55" spans="2:5" x14ac:dyDescent="0.2">
      <c r="B55" s="1" t="s">
        <v>90</v>
      </c>
      <c r="D55" t="s">
        <v>108</v>
      </c>
    </row>
    <row r="56" spans="2:5" x14ac:dyDescent="0.2">
      <c r="B56" s="1" t="s">
        <v>85</v>
      </c>
      <c r="D56" t="s">
        <v>109</v>
      </c>
    </row>
    <row r="57" spans="2:5" x14ac:dyDescent="0.2">
      <c r="B57" s="1" t="s">
        <v>86</v>
      </c>
      <c r="D57" t="s">
        <v>110</v>
      </c>
    </row>
    <row r="58" spans="2:5" x14ac:dyDescent="0.2">
      <c r="B58" s="1" t="s">
        <v>40</v>
      </c>
      <c r="D58" t="s">
        <v>111</v>
      </c>
    </row>
    <row r="59" spans="2:5" x14ac:dyDescent="0.2">
      <c r="B59" s="1" t="s">
        <v>41</v>
      </c>
      <c r="D59" t="s">
        <v>112</v>
      </c>
    </row>
    <row r="60" spans="2:5" x14ac:dyDescent="0.2">
      <c r="B60" s="8" t="s">
        <v>116</v>
      </c>
      <c r="E60" s="1"/>
    </row>
    <row r="61" spans="2:5" x14ac:dyDescent="0.2">
      <c r="B61" s="1" t="s">
        <v>44</v>
      </c>
      <c r="E61" s="1"/>
    </row>
    <row r="62" spans="2:5" x14ac:dyDescent="0.2">
      <c r="B62" s="1" t="s">
        <v>42</v>
      </c>
    </row>
    <row r="63" spans="2:5" x14ac:dyDescent="0.2">
      <c r="B63" s="1" t="s">
        <v>114</v>
      </c>
    </row>
    <row r="64" spans="2:5" x14ac:dyDescent="0.2">
      <c r="B64" s="8" t="s">
        <v>115</v>
      </c>
    </row>
    <row r="65" spans="2:2" x14ac:dyDescent="0.2">
      <c r="B65" s="3" t="s">
        <v>43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AnimalData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2025-04-12T18:24:17Z</dcterms:modified>
</cp:coreProperties>
</file>