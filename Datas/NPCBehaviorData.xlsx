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NPCBehaviorData" sheetId="1" r:id="rId1"/>
    <sheet name="Sheet1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6" i="1" l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4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4" i="1"/>
</calcChain>
</file>

<file path=xl/sharedStrings.xml><?xml version="1.0" encoding="utf-8"?>
<sst xmlns="http://schemas.openxmlformats.org/spreadsheetml/2006/main" count="351" uniqueCount="191">
  <si>
    <t>int</t>
    <phoneticPr fontId="1" type="noConversion"/>
  </si>
  <si>
    <t>likeTalk</t>
    <phoneticPr fontId="1" type="noConversion"/>
  </si>
  <si>
    <t>unlikeTalk</t>
    <phoneticPr fontId="1" type="noConversion"/>
  </si>
  <si>
    <t>likeEmote</t>
    <phoneticPr fontId="1" type="noConversion"/>
  </si>
  <si>
    <t>unlikeEmote</t>
    <phoneticPr fontId="1" type="noConversion"/>
  </si>
  <si>
    <t>马</t>
    <phoneticPr fontId="1" type="noConversion"/>
  </si>
  <si>
    <t>home</t>
    <phoneticPr fontId="1" type="noConversion"/>
  </si>
  <si>
    <t>3115,1164186</t>
    <phoneticPr fontId="1" type="noConversion"/>
  </si>
  <si>
    <t>艾琳娜</t>
    <phoneticPr fontId="1" type="noConversion"/>
  </si>
  <si>
    <t>1112,1090312</t>
    <phoneticPr fontId="1" type="noConversion"/>
  </si>
  <si>
    <t>1112,1090881</t>
    <phoneticPr fontId="1" type="noConversion"/>
  </si>
  <si>
    <t>5013,1154408</t>
    <phoneticPr fontId="1" type="noConversion"/>
  </si>
  <si>
    <t>希贝儿</t>
    <phoneticPr fontId="1" type="noConversion"/>
  </si>
  <si>
    <t>梅林</t>
    <phoneticPr fontId="1" type="noConversion"/>
  </si>
  <si>
    <t>2497,1116139</t>
    <phoneticPr fontId="1" type="noConversion"/>
  </si>
  <si>
    <t>1014,1088635</t>
    <phoneticPr fontId="1" type="noConversion"/>
  </si>
  <si>
    <t>string</t>
    <phoneticPr fontId="1" type="noConversion"/>
  </si>
  <si>
    <t>List&lt;int&gt;</t>
    <phoneticPr fontId="1" type="noConversion"/>
  </si>
  <si>
    <t>int</t>
    <phoneticPr fontId="1" type="noConversion"/>
  </si>
  <si>
    <t>List&lt;int2&gt;</t>
    <phoneticPr fontId="1" type="noConversion"/>
  </si>
  <si>
    <t>List&lt;int2&gt;</t>
    <phoneticPr fontId="1" type="noConversion"/>
  </si>
  <si>
    <t>int[]</t>
    <phoneticPr fontId="1" type="noConversion"/>
  </si>
  <si>
    <t>id</t>
    <phoneticPr fontId="1" type="noConversion"/>
  </si>
  <si>
    <t>npcName</t>
    <phoneticPr fontId="1" type="noConversion"/>
  </si>
  <si>
    <t>defaultTalk</t>
    <phoneticPr fontId="1" type="noConversion"/>
  </si>
  <si>
    <t>defaultEmote</t>
    <phoneticPr fontId="1" type="noConversion"/>
  </si>
  <si>
    <t>behaviorName</t>
    <phoneticPr fontId="1" type="noConversion"/>
  </si>
  <si>
    <t>dailyTasks</t>
    <phoneticPr fontId="1" type="noConversion"/>
  </si>
  <si>
    <t>beds</t>
    <phoneticPr fontId="1" type="noConversion"/>
  </si>
  <si>
    <t>gameTimeRanges</t>
    <phoneticPr fontId="1" type="noConversion"/>
  </si>
  <si>
    <t>visitMaps</t>
    <phoneticPr fontId="1" type="noConversion"/>
  </si>
  <si>
    <t>班尼迪克</t>
    <phoneticPr fontId="1" type="noConversion"/>
  </si>
  <si>
    <t>Default</t>
    <phoneticPr fontId="1" type="noConversion"/>
  </si>
  <si>
    <t>0,1,2,3</t>
    <phoneticPr fontId="1" type="noConversion"/>
  </si>
  <si>
    <t>1014,1089143</t>
    <phoneticPr fontId="1" type="noConversion"/>
  </si>
  <si>
    <t>Default</t>
    <phoneticPr fontId="1" type="noConversion"/>
  </si>
  <si>
    <t>玛德琳</t>
    <phoneticPr fontId="1" type="noConversion"/>
  </si>
  <si>
    <t>0,1,2,3</t>
    <phoneticPr fontId="1" type="noConversion"/>
  </si>
  <si>
    <t>948,1070089</t>
    <phoneticPr fontId="1" type="noConversion"/>
  </si>
  <si>
    <t>948,1068306</t>
    <phoneticPr fontId="1" type="noConversion"/>
  </si>
  <si>
    <t>布莱兹</t>
    <phoneticPr fontId="1" type="noConversion"/>
  </si>
  <si>
    <t>0,1,2,3</t>
    <phoneticPr fontId="1" type="noConversion"/>
  </si>
  <si>
    <t>948,1071156</t>
    <phoneticPr fontId="1" type="noConversion"/>
  </si>
  <si>
    <t>948,1068306</t>
    <phoneticPr fontId="1" type="noConversion"/>
  </si>
  <si>
    <t>丝特芬妮</t>
    <phoneticPr fontId="1" type="noConversion"/>
  </si>
  <si>
    <t>900,1081513</t>
    <phoneticPr fontId="1" type="noConversion"/>
  </si>
  <si>
    <t>900,1079546</t>
    <phoneticPr fontId="1" type="noConversion"/>
  </si>
  <si>
    <t>格吉尔</t>
    <phoneticPr fontId="1" type="noConversion"/>
  </si>
  <si>
    <t>Default</t>
    <phoneticPr fontId="1" type="noConversion"/>
  </si>
  <si>
    <t>0,1,2,3</t>
    <phoneticPr fontId="1" type="noConversion"/>
  </si>
  <si>
    <t>900,1080132</t>
    <phoneticPr fontId="1" type="noConversion"/>
  </si>
  <si>
    <t>亚度尼斯</t>
    <phoneticPr fontId="1" type="noConversion"/>
  </si>
  <si>
    <t>琼</t>
    <phoneticPr fontId="1" type="noConversion"/>
  </si>
  <si>
    <t>强尼</t>
    <phoneticPr fontId="1" type="noConversion"/>
  </si>
  <si>
    <t>占卜婆婆</t>
    <phoneticPr fontId="1" type="noConversion"/>
  </si>
  <si>
    <t>坎蒂丝</t>
    <phoneticPr fontId="1" type="noConversion"/>
  </si>
  <si>
    <t>Default</t>
    <phoneticPr fontId="1" type="noConversion"/>
  </si>
  <si>
    <t>黛芙妮</t>
    <phoneticPr fontId="1" type="noConversion"/>
  </si>
  <si>
    <t>2180,1166370</t>
    <phoneticPr fontId="1" type="noConversion"/>
  </si>
  <si>
    <t>奥蒂莉亚</t>
    <phoneticPr fontId="1" type="noConversion"/>
  </si>
  <si>
    <t>希拉</t>
    <phoneticPr fontId="1" type="noConversion"/>
  </si>
  <si>
    <t>夏佐</t>
    <phoneticPr fontId="1" type="noConversion"/>
  </si>
  <si>
    <t>希尔达</t>
    <phoneticPr fontId="1" type="noConversion"/>
  </si>
  <si>
    <t>5013,1154408</t>
    <phoneticPr fontId="1" type="noConversion"/>
  </si>
  <si>
    <t>爱丽丝</t>
    <phoneticPr fontId="1" type="noConversion"/>
  </si>
  <si>
    <t>莱特</t>
    <phoneticPr fontId="1" type="noConversion"/>
  </si>
  <si>
    <t>Default</t>
    <phoneticPr fontId="1" type="noConversion"/>
  </si>
  <si>
    <t>1756,1019120</t>
    <phoneticPr fontId="1" type="noConversion"/>
  </si>
  <si>
    <t>布拉德利</t>
    <phoneticPr fontId="1" type="noConversion"/>
  </si>
  <si>
    <t>1756,1019120</t>
    <phoneticPr fontId="1" type="noConversion"/>
  </si>
  <si>
    <t>布蓝达</t>
    <phoneticPr fontId="1" type="noConversion"/>
  </si>
  <si>
    <t>帕特里克</t>
    <phoneticPr fontId="1" type="noConversion"/>
  </si>
  <si>
    <t>朵儿洁</t>
    <phoneticPr fontId="1" type="noConversion"/>
  </si>
  <si>
    <t>阿普敦</t>
    <phoneticPr fontId="1" type="noConversion"/>
  </si>
  <si>
    <t>摩尔根</t>
    <phoneticPr fontId="1" type="noConversion"/>
  </si>
  <si>
    <t>考波特</t>
    <phoneticPr fontId="1" type="noConversion"/>
  </si>
  <si>
    <t>马勒第兹</t>
    <phoneticPr fontId="1" type="noConversion"/>
  </si>
  <si>
    <t>爱格伯特</t>
    <phoneticPr fontId="1" type="noConversion"/>
  </si>
  <si>
    <t>瓦尔特</t>
    <phoneticPr fontId="1" type="noConversion"/>
  </si>
  <si>
    <t>阿尔杰农</t>
    <phoneticPr fontId="1" type="noConversion"/>
  </si>
  <si>
    <t>5170,1156253</t>
    <phoneticPr fontId="1" type="noConversion"/>
  </si>
  <si>
    <t>5170,1156284</t>
    <phoneticPr fontId="1" type="noConversion"/>
  </si>
  <si>
    <t>5170,1156900</t>
    <phoneticPr fontId="1" type="noConversion"/>
  </si>
  <si>
    <t>2270,1167153</t>
    <phoneticPr fontId="1" type="noConversion"/>
  </si>
  <si>
    <t>2270,1166370</t>
    <phoneticPr fontId="1" type="noConversion"/>
  </si>
  <si>
    <t>2270,1167418</t>
    <phoneticPr fontId="1" type="noConversion"/>
  </si>
  <si>
    <t>4918,1147517</t>
    <phoneticPr fontId="1" type="noConversion"/>
  </si>
  <si>
    <t>5013,1153081</t>
    <phoneticPr fontId="1" type="noConversion"/>
  </si>
  <si>
    <t>5013,1153488</t>
    <phoneticPr fontId="1" type="noConversion"/>
  </si>
  <si>
    <t>1856,1071058</t>
    <phoneticPr fontId="1" type="noConversion"/>
  </si>
  <si>
    <t>1856,1080475</t>
    <phoneticPr fontId="1" type="noConversion"/>
  </si>
  <si>
    <t>3300,1070049</t>
    <phoneticPr fontId="1" type="noConversion"/>
  </si>
  <si>
    <t>3056,1166131</t>
    <phoneticPr fontId="1" type="noConversion"/>
  </si>
  <si>
    <t>3056,1166294</t>
    <phoneticPr fontId="1" type="noConversion"/>
  </si>
  <si>
    <t>2015,1071591</t>
    <phoneticPr fontId="1" type="noConversion"/>
  </si>
  <si>
    <t>4765,1139029</t>
    <phoneticPr fontId="1" type="noConversion"/>
  </si>
  <si>
    <t>4696,1042715</t>
    <phoneticPr fontId="1" type="noConversion"/>
  </si>
  <si>
    <t>2902,1168177</t>
    <phoneticPr fontId="1" type="noConversion"/>
  </si>
  <si>
    <t>5476,1162796</t>
    <phoneticPr fontId="1" type="noConversion"/>
  </si>
  <si>
    <t>5476,1001440</t>
    <phoneticPr fontId="1" type="noConversion"/>
  </si>
  <si>
    <t>5293,1001490</t>
    <phoneticPr fontId="1" type="noConversion"/>
  </si>
  <si>
    <t>1912,1080779</t>
    <phoneticPr fontId="1" type="noConversion"/>
  </si>
  <si>
    <t>1912,1080613</t>
    <phoneticPr fontId="1" type="noConversion"/>
  </si>
  <si>
    <t>4800,1144907</t>
    <phoneticPr fontId="1" type="noConversion"/>
  </si>
  <si>
    <t>Default</t>
    <phoneticPr fontId="1" type="noConversion"/>
  </si>
  <si>
    <t>纺织婆婆</t>
    <phoneticPr fontId="1" type="noConversion"/>
  </si>
  <si>
    <t>5309,1081691</t>
    <phoneticPr fontId="1" type="noConversion"/>
  </si>
  <si>
    <t>5309,1159783</t>
    <phoneticPr fontId="1" type="noConversion"/>
  </si>
  <si>
    <t>6,0,9,0,9,0,17,30,17,30,19,30,19,30, 22,0,22,0,24,0</t>
  </si>
  <si>
    <t>60001,60002,60003,60004,60005</t>
  </si>
  <si>
    <t>6,0,9,0,9,0,17,30,17,30,19,30,19,30, 22,0,22,0,24,0</t>
    <phoneticPr fontId="1" type="noConversion"/>
  </si>
  <si>
    <t>3056,1019972</t>
    <phoneticPr fontId="1" type="noConversion"/>
  </si>
  <si>
    <t>2180,1165443</t>
    <phoneticPr fontId="1" type="noConversion"/>
  </si>
  <si>
    <t>4800,1143244</t>
    <phoneticPr fontId="1" type="noConversion"/>
  </si>
  <si>
    <t>10,11,12,3</t>
    <phoneticPr fontId="1" type="noConversion"/>
  </si>
  <si>
    <t>workMap</t>
    <phoneticPr fontId="1" type="noConversion"/>
  </si>
  <si>
    <t>List&lt;int2&gt;</t>
    <phoneticPr fontId="1" type="noConversion"/>
  </si>
  <si>
    <t>1000,500|1001,500|1002,500|1003,500|1004,500|1005,500|1006,500|1007,500|1008,500|1009,500|1010,500|1011,500</t>
  </si>
  <si>
    <t>workItems</t>
    <phoneticPr fontId="1" type="noConversion"/>
  </si>
  <si>
    <t>homeAreas</t>
    <phoneticPr fontId="1" type="noConversion"/>
  </si>
  <si>
    <t>visitShops</t>
    <phoneticPr fontId="1" type="noConversion"/>
  </si>
  <si>
    <t>List&lt;int&gt;</t>
  </si>
  <si>
    <t>workMapAreas</t>
    <phoneticPr fontId="1" type="noConversion"/>
  </si>
  <si>
    <t>npcFriends</t>
  </si>
  <si>
    <t>List&lt;int2&gt;</t>
    <phoneticPr fontId="1" type="noConversion"/>
  </si>
  <si>
    <t>5,100|9,100|10,100|12,100|21,100|23,100|25,100|26,100|27,100|30,100|35,100|36,100|39,100|41,100|37,100</t>
  </si>
  <si>
    <t>3,100|9,100|10,100|12,100|21,100|23,100|25,100|26,100|27,100|30,100|35,100|36,100|39,100|41,100|7,100|18,100|24,100|16,100|17,100</t>
  </si>
  <si>
    <t>5,100|12,100|14,100|16,100|17,100|21,100|22,100|24,100|36,100|38,100|41,100|40,100|23,100|10,100</t>
  </si>
  <si>
    <t>5,100|3,100|10,100|17,100|12,100|6,100|23,100|25,100|26,100|28,100|29,100|30,100|32,100|35,100|39,100|41,100</t>
  </si>
  <si>
    <t>5,100|3,100|27,100|35,100|39,100|41,100|25,100|29,100</t>
  </si>
  <si>
    <t>3,100|5,100|7,100|10,100|12,100|16,100|17,100|18,100|21,100|22,100|36,100|14,100|38,100|41,100|23,100</t>
  </si>
  <si>
    <t>3,100|9,100|10,100|12,100|21,100|23,100|25,100|26,100|27,100|30,100|35,100|5,100|39,100|41,100|7,100|18,100|24,100|16,100|17,100</t>
  </si>
  <si>
    <t>3,100|5,100|7,100|10,100|12,100|16,100|17,100|18,100|21,100|22,100|36,100|38,100|40,100|41,100|23,100</t>
  </si>
  <si>
    <t>12,100|21,100|35,100|41,100|5,100|25,100</t>
  </si>
  <si>
    <t>3,100|5,100|7,100|10,100|12,100|16,100|17,100|18,100|21,100|22,100|36,100|14,100|40,100|41,100|23,100</t>
  </si>
  <si>
    <t>3,100|5,100|6,100|7,100|10,100|9,100|12,100|16,100|17,100|18,100|23,100|27,100|28,100|29,100|30,100|35,100|36,100|37,100|39,100|41,100</t>
  </si>
  <si>
    <t>5,100|12,100|14,100|16,100|17,100|21,100|7,100|24,100|36,100|38,100|41,100|40,100|23,100|10,100</t>
  </si>
  <si>
    <t>12,100|41,100|35,100|21,100|5,100|29,100|3,100|27,100|39,100</t>
  </si>
  <si>
    <t>10,100|12,100|21,100|35,100|41,100|5,100|25,100</t>
  </si>
  <si>
    <t>5,100|9,100|10,100|12,100|21,100|23,100|25,100|26,100|27,100|30,100|3,100|36,100|39,100|41,100|37,100</t>
  </si>
  <si>
    <t>5,100|9,100|10,100|12,100|21,100|23,100|25,100|26,100|3,100|30,100|35,100|36,100|39,100|41,100|37,100</t>
  </si>
  <si>
    <t>5,100|3,100|10,100|17,100|12,100|6,100|23,100|25,100|26,100|28,100|29,100|9,100|32,100|35,100|39,100|41,100</t>
  </si>
  <si>
    <t>5,100|9,100|10,100|12,100|21,100|23,100|25,100|26,100|27,100|30,100|35,100|36,100|3,100|41,100|37,100</t>
  </si>
  <si>
    <t>3,100|9,100|10,100|12,100|21,100|23,100|25,100|26,100|27,100|30,100|35,100|36,100|39,100|5,100|7,100|18,100|24,100|16,100|17,100</t>
  </si>
  <si>
    <t>8,100|9,100|10,100|12,100|14,100|16,100|18,100|19,100|22,100|23,100|26,100|28,100|30,100|34,100|38,100|41,100|40,100</t>
  </si>
  <si>
    <t>3,100|5,100|6,100|7,100|8,100|9,100|10,100|12,100|14,100|16,100|17,100|18,100|19,100|21,100|22,100|23,100|24,100|25,100|26,100|27,100|28,100|29,100|30,100|31,100|34,100|35,100|36,100|37,100|38,100|39,100|40,100|41,100</t>
  </si>
  <si>
    <t>3,100|5,100|6,100|8,100|9,100|10,100|12,100|21,100|23,100|26,100|27,100|28,100|29,100|30,100|34,100|35,100|36,100|37,100|39,100|41,100</t>
  </si>
  <si>
    <t>3,100|5,100|6,100|7,100|9,100|10,100|12,100|16,100|17,100|18,100|19,100|21,100|25,100|26,100|27,100|28,100|29,100|30,100|31,100|34,100|35,100|36,100|37,100|39,100|41,100</t>
  </si>
  <si>
    <t>8,100|9,100|10,100|12,100|14,100|16,100|18,100|19,100|6,100|22,100|23,100|28,100|30,100|34,100|38,100|41,100|40,100</t>
  </si>
  <si>
    <t>3,100|6,100|9,100|12,100|18,100|19,100|21,100|22,100|26,100|27,100|8,100|30,100|29,100|34,100|35,100|39,100|41,100|31,100</t>
  </si>
  <si>
    <t>3,100|6,100|9,100|12,100|18,100|19,100|21,100|22,100|26,100|27,100|28,100|30,100|29,100|34,100|35,100|39,100|41,100|8,100</t>
  </si>
  <si>
    <t>3,100|6,100|9,100|12,100|18,100|19,100|21,100|22,100|26,100|27,100|28,100|30,100|29,100|31,100|35,100|39,100|41,100|8,100</t>
  </si>
  <si>
    <t>3,100|6,100|9,100|12,100|18,100|19,100|21,100|22,100|26,100|27,100|28,100|30,100|29,100|34,100|35,100|39,100|41,100|31,100</t>
  </si>
  <si>
    <t>8,100|9,100|10,100|12,100|14,100|16,100|18,100|19,100|22,100|23,100|28,100|30,100|34,100|38,100|41,100|40,100</t>
  </si>
  <si>
    <t>3,100|5,100|7,100|10,100|12,100|16,100|17,100|18,100|21,100|22,100|36,100|38,100|40,100|41,100|14,100|23,100|30,100|39,100</t>
  </si>
  <si>
    <t>3,100|5,100|7,100|10,100|12,100|16,100|18,100|21,100|22,100|36,100|38,100|40,100|41,100|14,100|23,100|30,100|39,100</t>
  </si>
  <si>
    <t>3,100|5,100|7,100|10,100|12,100|16,100|21,100|22,100|36,100|38,100|40,100|41,100|14,100|23,100|30,100|39,100|17,100</t>
  </si>
  <si>
    <t>likeItem</t>
    <phoneticPr fontId="1" type="noConversion"/>
  </si>
  <si>
    <t>unLikeItem</t>
    <phoneticPr fontId="1" type="noConversion"/>
  </si>
  <si>
    <t>班尼迪克</t>
  </si>
  <si>
    <t>玛德琳</t>
  </si>
  <si>
    <t>布莱兹</t>
  </si>
  <si>
    <t>丝特芬妮</t>
  </si>
  <si>
    <t>格吉尔</t>
  </si>
  <si>
    <t>亚度尼斯</t>
  </si>
  <si>
    <t>琼</t>
  </si>
  <si>
    <t>占卜婆婆</t>
  </si>
  <si>
    <t>奥蒂莉亚</t>
  </si>
  <si>
    <t>坎蒂丝</t>
  </si>
  <si>
    <t>希拉</t>
  </si>
  <si>
    <t>希尔达</t>
  </si>
  <si>
    <t>布拉德利</t>
  </si>
  <si>
    <t>布蓝达</t>
  </si>
  <si>
    <t>希贝儿</t>
  </si>
  <si>
    <t>帕特里克</t>
  </si>
  <si>
    <t>朵儿洁</t>
  </si>
  <si>
    <t>梅林</t>
  </si>
  <si>
    <t>摩尔根</t>
  </si>
  <si>
    <t>马勒第兹</t>
  </si>
  <si>
    <t>考波特</t>
  </si>
  <si>
    <t>夏佐</t>
  </si>
  <si>
    <t>爱格伯特</t>
  </si>
  <si>
    <t>强尼</t>
  </si>
  <si>
    <t>瓦尔特</t>
  </si>
  <si>
    <t>阿普敦</t>
  </si>
  <si>
    <t>艾琳娜</t>
  </si>
  <si>
    <t>莱特</t>
  </si>
  <si>
    <t>爱丽丝</t>
  </si>
  <si>
    <t>阿尔杰农</t>
  </si>
  <si>
    <t>黛芙妮</t>
  </si>
  <si>
    <t>艾德文娜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</si>
</sst>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 applyAlignment="1">
      <alignment vertical="center" wrapText="1"/>
    </xf>
    <xf numFmtId="49" fontId="0" fillId="0" borderId="0" xfId="0" applyNumberFormat="1" applyFill="1" applyAlignment="1">
      <alignment vertical="center" wrapText="1"/>
    </xf>
    <xf numFmtId="0" fontId="0" fillId="2" borderId="0" xfId="0" applyFill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V36"/>
  <sheetViews>
    <sheetView tabSelected="1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H5" sqref="H5"/>
    </sheetView>
  </sheetViews>
  <sheetFormatPr defaultRowHeight="14.25" x14ac:dyDescent="0.2"/>
  <cols>
    <col min="1" max="6" width="9" style="1"/>
    <col min="7" max="7" width="52" style="1" customWidth="1"/>
    <col min="8" max="9" width="16.25" style="3" customWidth="1"/>
    <col min="10" max="11" width="8.875" style="1" customWidth="1"/>
    <col min="12" max="13" width="9.25" style="1" customWidth="1"/>
    <col min="14" max="15" width="10.75" style="1" customWidth="1"/>
    <col min="16" max="16" width="16.25" style="1" customWidth="1"/>
    <col min="17" max="17" width="11.25" style="1" customWidth="1"/>
    <col min="18" max="19" width="16.25" style="2" customWidth="1"/>
    <col min="20" max="20" width="35.375" style="2" customWidth="1"/>
    <col min="21" max="21" width="42.875" style="2" customWidth="1"/>
    <col min="22" max="22" width="47.625" style="2" customWidth="1"/>
    <col min="23" max="16384" width="9" style="1"/>
  </cols>
  <sheetData>
    <row r="2" spans="1:22" x14ac:dyDescent="0.2">
      <c r="A2" s="1" t="s">
        <v>0</v>
      </c>
      <c r="B2" s="1" t="s">
        <v>16</v>
      </c>
      <c r="C2" s="1" t="s">
        <v>0</v>
      </c>
      <c r="D2" s="1" t="s">
        <v>17</v>
      </c>
      <c r="E2" s="1" t="s">
        <v>0</v>
      </c>
      <c r="F2" s="1" t="s">
        <v>121</v>
      </c>
      <c r="G2" s="1" t="s">
        <v>116</v>
      </c>
      <c r="H2" s="3" t="s">
        <v>0</v>
      </c>
      <c r="I2" s="3" t="s">
        <v>0</v>
      </c>
      <c r="J2" s="1" t="s">
        <v>18</v>
      </c>
      <c r="K2" s="1" t="s">
        <v>0</v>
      </c>
      <c r="L2" s="1" t="s">
        <v>0</v>
      </c>
      <c r="M2" s="1" t="s">
        <v>0</v>
      </c>
      <c r="N2" s="1" t="s">
        <v>0</v>
      </c>
      <c r="O2" s="1" t="s">
        <v>0</v>
      </c>
      <c r="P2" s="1" t="s">
        <v>16</v>
      </c>
      <c r="Q2" s="1" t="s">
        <v>17</v>
      </c>
      <c r="R2" s="2" t="s">
        <v>19</v>
      </c>
      <c r="S2" s="2" t="s">
        <v>20</v>
      </c>
      <c r="T2" s="2" t="s">
        <v>124</v>
      </c>
      <c r="U2" s="2" t="s">
        <v>21</v>
      </c>
      <c r="V2" s="2" t="s">
        <v>21</v>
      </c>
    </row>
    <row r="3" spans="1:22" ht="28.5" x14ac:dyDescent="0.2">
      <c r="A3" s="1" t="s">
        <v>22</v>
      </c>
      <c r="B3" s="1" t="s">
        <v>23</v>
      </c>
      <c r="C3" s="1" t="s">
        <v>6</v>
      </c>
      <c r="D3" s="1" t="s">
        <v>119</v>
      </c>
      <c r="E3" s="1" t="s">
        <v>115</v>
      </c>
      <c r="F3" s="1" t="s">
        <v>122</v>
      </c>
      <c r="G3" s="1" t="s">
        <v>120</v>
      </c>
      <c r="H3" s="3" t="s">
        <v>157</v>
      </c>
      <c r="I3" s="3" t="s">
        <v>158</v>
      </c>
      <c r="J3" s="1" t="s">
        <v>1</v>
      </c>
      <c r="K3" s="1" t="s">
        <v>2</v>
      </c>
      <c r="L3" s="1" t="s">
        <v>3</v>
      </c>
      <c r="M3" s="1" t="s">
        <v>4</v>
      </c>
      <c r="N3" s="1" t="s">
        <v>24</v>
      </c>
      <c r="O3" s="1" t="s">
        <v>25</v>
      </c>
      <c r="P3" s="1" t="s">
        <v>26</v>
      </c>
      <c r="Q3" s="1" t="s">
        <v>27</v>
      </c>
      <c r="R3" s="2" t="s">
        <v>28</v>
      </c>
      <c r="S3" s="2" t="s">
        <v>118</v>
      </c>
      <c r="T3" s="2" t="s">
        <v>123</v>
      </c>
      <c r="U3" s="2" t="s">
        <v>29</v>
      </c>
      <c r="V3" s="2" t="s">
        <v>30</v>
      </c>
    </row>
    <row r="4" spans="1:22" ht="42.75" x14ac:dyDescent="0.2">
      <c r="A4" s="1">
        <v>3</v>
      </c>
      <c r="B4" s="1" t="s">
        <v>31</v>
      </c>
      <c r="C4" s="1">
        <v>1014</v>
      </c>
      <c r="E4" s="1">
        <v>0</v>
      </c>
      <c r="G4" s="1" t="s">
        <v>117</v>
      </c>
      <c r="H4" s="3">
        <f>VLOOKUP(B4,Sheet1!$E$2:$G$33,2,FALSE)</f>
        <v>13</v>
      </c>
      <c r="I4" s="3">
        <f>VLOOKUP(B4,Sheet1!$E$2:$G$33,3,FALSE)</f>
        <v>15</v>
      </c>
      <c r="J4" s="1">
        <v>30000</v>
      </c>
      <c r="K4" s="1">
        <v>30001</v>
      </c>
      <c r="L4" s="1">
        <v>30002</v>
      </c>
      <c r="M4" s="1">
        <v>30003</v>
      </c>
      <c r="N4" s="1">
        <v>30004</v>
      </c>
      <c r="O4" s="1">
        <v>30005</v>
      </c>
      <c r="P4" s="1" t="s">
        <v>104</v>
      </c>
      <c r="Q4" s="1" t="s">
        <v>114</v>
      </c>
      <c r="R4" s="2" t="s">
        <v>34</v>
      </c>
      <c r="T4" s="2" t="s">
        <v>125</v>
      </c>
      <c r="U4" s="2" t="s">
        <v>110</v>
      </c>
      <c r="V4" s="2" t="s">
        <v>109</v>
      </c>
    </row>
    <row r="5" spans="1:22" x14ac:dyDescent="0.2">
      <c r="A5" s="1">
        <v>4</v>
      </c>
      <c r="B5" s="1" t="s">
        <v>5</v>
      </c>
      <c r="C5" s="1">
        <v>0</v>
      </c>
      <c r="E5" s="1">
        <v>0</v>
      </c>
      <c r="H5" s="3">
        <v>0</v>
      </c>
      <c r="I5" s="3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Q5" s="2"/>
    </row>
    <row r="6" spans="1:22" ht="57" x14ac:dyDescent="0.2">
      <c r="A6" s="1">
        <v>5</v>
      </c>
      <c r="B6" s="1" t="s">
        <v>36</v>
      </c>
      <c r="C6" s="1">
        <v>948</v>
      </c>
      <c r="E6" s="1">
        <v>948</v>
      </c>
      <c r="G6" s="1" t="s">
        <v>117</v>
      </c>
      <c r="H6" s="3">
        <f>VLOOKUP(B6,Sheet1!$E$2:$G$33,2,FALSE)</f>
        <v>24</v>
      </c>
      <c r="I6" s="3">
        <f>VLOOKUP(B6,Sheet1!$E$2:$G$33,3,FALSE)</f>
        <v>11</v>
      </c>
      <c r="J6" s="1">
        <v>30000</v>
      </c>
      <c r="K6" s="1">
        <v>30001</v>
      </c>
      <c r="L6" s="1">
        <v>30002</v>
      </c>
      <c r="M6" s="1">
        <v>30003</v>
      </c>
      <c r="N6" s="1">
        <v>30004</v>
      </c>
      <c r="O6" s="1">
        <v>30005</v>
      </c>
      <c r="P6" s="1" t="s">
        <v>35</v>
      </c>
      <c r="Q6" s="1" t="s">
        <v>37</v>
      </c>
      <c r="R6" s="2" t="s">
        <v>38</v>
      </c>
      <c r="S6" s="2" t="s">
        <v>39</v>
      </c>
      <c r="T6" s="2" t="s">
        <v>126</v>
      </c>
      <c r="U6" s="2" t="s">
        <v>108</v>
      </c>
      <c r="V6" s="2" t="s">
        <v>109</v>
      </c>
    </row>
    <row r="7" spans="1:22" ht="42.75" x14ac:dyDescent="0.2">
      <c r="A7" s="1">
        <v>6</v>
      </c>
      <c r="B7" s="1" t="s">
        <v>40</v>
      </c>
      <c r="C7" s="1">
        <v>948</v>
      </c>
      <c r="E7" s="1">
        <v>948</v>
      </c>
      <c r="G7" s="1" t="s">
        <v>117</v>
      </c>
      <c r="H7" s="3">
        <f>VLOOKUP(B7,Sheet1!$E$2:$G$33,2,FALSE)</f>
        <v>25</v>
      </c>
      <c r="I7" s="3">
        <f>VLOOKUP(B7,Sheet1!$E$2:$G$33,3,FALSE)</f>
        <v>1</v>
      </c>
      <c r="J7" s="1">
        <v>30000</v>
      </c>
      <c r="K7" s="1">
        <v>30001</v>
      </c>
      <c r="L7" s="1">
        <v>30002</v>
      </c>
      <c r="M7" s="1">
        <v>30003</v>
      </c>
      <c r="N7" s="1">
        <v>30004</v>
      </c>
      <c r="O7" s="1">
        <v>30005</v>
      </c>
      <c r="P7" s="1" t="s">
        <v>35</v>
      </c>
      <c r="Q7" s="1" t="s">
        <v>41</v>
      </c>
      <c r="R7" s="2" t="s">
        <v>42</v>
      </c>
      <c r="S7" s="2" t="s">
        <v>43</v>
      </c>
      <c r="T7" s="2" t="s">
        <v>144</v>
      </c>
      <c r="U7" s="2" t="s">
        <v>108</v>
      </c>
      <c r="V7" s="2" t="s">
        <v>109</v>
      </c>
    </row>
    <row r="8" spans="1:22" ht="42.75" x14ac:dyDescent="0.2">
      <c r="A8" s="1">
        <v>7</v>
      </c>
      <c r="B8" s="1" t="s">
        <v>44</v>
      </c>
      <c r="C8" s="1">
        <v>900</v>
      </c>
      <c r="E8" s="1">
        <v>900</v>
      </c>
      <c r="G8" s="1" t="s">
        <v>117</v>
      </c>
      <c r="H8" s="3">
        <f>VLOOKUP(B8,Sheet1!$E$2:$G$33,2,FALSE)</f>
        <v>8</v>
      </c>
      <c r="I8" s="3">
        <f>VLOOKUP(B8,Sheet1!$E$2:$G$33,3,FALSE)</f>
        <v>4</v>
      </c>
      <c r="J8" s="1">
        <v>30000</v>
      </c>
      <c r="K8" s="1">
        <v>30001</v>
      </c>
      <c r="L8" s="1">
        <v>30002</v>
      </c>
      <c r="M8" s="1">
        <v>30003</v>
      </c>
      <c r="N8" s="1">
        <v>30004</v>
      </c>
      <c r="O8" s="1">
        <v>30005</v>
      </c>
      <c r="P8" s="1" t="s">
        <v>35</v>
      </c>
      <c r="Q8" s="1" t="s">
        <v>33</v>
      </c>
      <c r="R8" s="2" t="s">
        <v>45</v>
      </c>
      <c r="S8" s="2" t="s">
        <v>46</v>
      </c>
      <c r="T8" s="2" t="s">
        <v>127</v>
      </c>
      <c r="U8" s="2" t="s">
        <v>108</v>
      </c>
      <c r="V8" s="2" t="s">
        <v>109</v>
      </c>
    </row>
    <row r="9" spans="1:22" ht="42.75" x14ac:dyDescent="0.2">
      <c r="A9" s="1">
        <v>8</v>
      </c>
      <c r="B9" s="1" t="s">
        <v>47</v>
      </c>
      <c r="C9" s="1">
        <v>900</v>
      </c>
      <c r="E9" s="1">
        <v>900</v>
      </c>
      <c r="G9" s="1" t="s">
        <v>117</v>
      </c>
      <c r="H9" s="3">
        <f>VLOOKUP(B9,Sheet1!$E$2:$G$33,2,FALSE)</f>
        <v>4</v>
      </c>
      <c r="I9" s="3">
        <f>VLOOKUP(B9,Sheet1!$E$2:$G$33,3,FALSE)</f>
        <v>6</v>
      </c>
      <c r="J9" s="1">
        <v>30000</v>
      </c>
      <c r="K9" s="1">
        <v>30001</v>
      </c>
      <c r="L9" s="1">
        <v>30002</v>
      </c>
      <c r="M9" s="1">
        <v>30003</v>
      </c>
      <c r="N9" s="1">
        <v>30004</v>
      </c>
      <c r="O9" s="1">
        <v>30005</v>
      </c>
      <c r="P9" s="1" t="s">
        <v>48</v>
      </c>
      <c r="Q9" s="1" t="s">
        <v>49</v>
      </c>
      <c r="R9" s="2" t="s">
        <v>50</v>
      </c>
      <c r="S9" s="2" t="s">
        <v>46</v>
      </c>
      <c r="T9" s="2" t="s">
        <v>152</v>
      </c>
      <c r="U9" s="2" t="s">
        <v>108</v>
      </c>
      <c r="V9" s="2" t="s">
        <v>109</v>
      </c>
    </row>
    <row r="10" spans="1:22" ht="42.75" x14ac:dyDescent="0.2">
      <c r="A10" s="1">
        <v>9</v>
      </c>
      <c r="B10" s="1" t="s">
        <v>51</v>
      </c>
      <c r="C10" s="1">
        <v>5170</v>
      </c>
      <c r="D10" s="1">
        <v>51702</v>
      </c>
      <c r="E10" s="1">
        <v>0</v>
      </c>
      <c r="G10" s="1" t="s">
        <v>117</v>
      </c>
      <c r="H10" s="3">
        <f>VLOOKUP(B10,Sheet1!$E$2:$G$33,2,FALSE)</f>
        <v>10</v>
      </c>
      <c r="I10" s="3">
        <f>VLOOKUP(B10,Sheet1!$E$2:$G$33,3,FALSE)</f>
        <v>20</v>
      </c>
      <c r="J10" s="1">
        <v>30000</v>
      </c>
      <c r="K10" s="1">
        <v>30001</v>
      </c>
      <c r="L10" s="1">
        <v>30002</v>
      </c>
      <c r="M10" s="1">
        <v>30003</v>
      </c>
      <c r="N10" s="1">
        <v>30004</v>
      </c>
      <c r="O10" s="1">
        <v>30005</v>
      </c>
      <c r="P10" s="1" t="s">
        <v>35</v>
      </c>
      <c r="Q10" s="1" t="s">
        <v>114</v>
      </c>
      <c r="R10" s="2" t="s">
        <v>80</v>
      </c>
      <c r="T10" s="2" t="s">
        <v>128</v>
      </c>
      <c r="U10" s="2" t="s">
        <v>108</v>
      </c>
      <c r="V10" s="2" t="s">
        <v>109</v>
      </c>
    </row>
    <row r="11" spans="1:22" ht="85.5" x14ac:dyDescent="0.2">
      <c r="A11" s="1">
        <v>10</v>
      </c>
      <c r="B11" s="1" t="s">
        <v>52</v>
      </c>
      <c r="C11" s="1">
        <v>5170</v>
      </c>
      <c r="D11" s="1">
        <v>51700</v>
      </c>
      <c r="E11" s="1">
        <v>3115</v>
      </c>
      <c r="G11" s="1" t="s">
        <v>117</v>
      </c>
      <c r="H11" s="3">
        <f>VLOOKUP(B11,Sheet1!$E$2:$G$33,2,FALSE)</f>
        <v>23</v>
      </c>
      <c r="I11" s="3">
        <f>VLOOKUP(B11,Sheet1!$E$2:$G$33,3,FALSE)</f>
        <v>21</v>
      </c>
      <c r="J11" s="1">
        <v>30000</v>
      </c>
      <c r="K11" s="1">
        <v>30001</v>
      </c>
      <c r="L11" s="1">
        <v>30002</v>
      </c>
      <c r="M11" s="1">
        <v>30003</v>
      </c>
      <c r="N11" s="1">
        <v>30004</v>
      </c>
      <c r="O11" s="1">
        <v>30005</v>
      </c>
      <c r="P11" s="1" t="s">
        <v>35</v>
      </c>
      <c r="Q11" s="1" t="s">
        <v>49</v>
      </c>
      <c r="R11" s="2" t="s">
        <v>81</v>
      </c>
      <c r="S11" s="2" t="s">
        <v>7</v>
      </c>
      <c r="T11" s="2" t="s">
        <v>145</v>
      </c>
      <c r="U11" s="2" t="s">
        <v>108</v>
      </c>
      <c r="V11" s="2" t="s">
        <v>109</v>
      </c>
    </row>
    <row r="12" spans="1:22" ht="42.75" x14ac:dyDescent="0.2">
      <c r="A12" s="1">
        <v>31</v>
      </c>
      <c r="B12" s="1" t="s">
        <v>53</v>
      </c>
      <c r="C12" s="1">
        <v>5170</v>
      </c>
      <c r="D12" s="1">
        <v>51701</v>
      </c>
      <c r="E12" s="1">
        <v>3115</v>
      </c>
      <c r="G12" s="1" t="s">
        <v>117</v>
      </c>
      <c r="H12" s="3">
        <f>VLOOKUP(B12,Sheet1!$E$2:$G$33,2,FALSE)</f>
        <v>9</v>
      </c>
      <c r="I12" s="3">
        <f>VLOOKUP(B12,Sheet1!$E$2:$G$33,3,FALSE)</f>
        <v>20</v>
      </c>
      <c r="J12" s="1">
        <v>30000</v>
      </c>
      <c r="K12" s="1">
        <v>30001</v>
      </c>
      <c r="L12" s="1">
        <v>30002</v>
      </c>
      <c r="M12" s="1">
        <v>30003</v>
      </c>
      <c r="N12" s="1">
        <v>30004</v>
      </c>
      <c r="O12" s="1">
        <v>30005</v>
      </c>
      <c r="P12" s="1" t="s">
        <v>35</v>
      </c>
      <c r="Q12" s="1" t="s">
        <v>33</v>
      </c>
      <c r="R12" s="2" t="s">
        <v>82</v>
      </c>
      <c r="S12" s="2" t="s">
        <v>7</v>
      </c>
      <c r="T12" s="2" t="s">
        <v>150</v>
      </c>
      <c r="U12" s="2" t="s">
        <v>108</v>
      </c>
      <c r="V12" s="2" t="s">
        <v>109</v>
      </c>
    </row>
    <row r="13" spans="1:22" ht="28.5" x14ac:dyDescent="0.2">
      <c r="A13" s="1">
        <v>12</v>
      </c>
      <c r="B13" s="1" t="s">
        <v>54</v>
      </c>
      <c r="C13" s="1">
        <v>4800</v>
      </c>
      <c r="E13" s="1">
        <v>4800</v>
      </c>
      <c r="G13" s="1" t="s">
        <v>117</v>
      </c>
      <c r="H13" s="3">
        <f>VLOOKUP(B13,Sheet1!$E$2:$G$33,2,FALSE)</f>
        <v>21</v>
      </c>
      <c r="I13" s="3">
        <f>VLOOKUP(B13,Sheet1!$E$2:$G$33,3,FALSE)</f>
        <v>23</v>
      </c>
      <c r="J13" s="1">
        <v>30000</v>
      </c>
      <c r="K13" s="1">
        <v>30001</v>
      </c>
      <c r="L13" s="1">
        <v>30002</v>
      </c>
      <c r="M13" s="1">
        <v>30003</v>
      </c>
      <c r="N13" s="1">
        <v>30004</v>
      </c>
      <c r="O13" s="1">
        <v>30005</v>
      </c>
      <c r="P13" s="1" t="s">
        <v>35</v>
      </c>
      <c r="Q13" s="1" t="s">
        <v>49</v>
      </c>
      <c r="R13" s="2" t="s">
        <v>113</v>
      </c>
      <c r="S13" s="2" t="s">
        <v>103</v>
      </c>
      <c r="T13" s="2" t="s">
        <v>129</v>
      </c>
      <c r="U13" s="2" t="s">
        <v>108</v>
      </c>
      <c r="V13" s="2" t="s">
        <v>109</v>
      </c>
    </row>
    <row r="14" spans="1:22" ht="42.75" x14ac:dyDescent="0.2">
      <c r="A14" s="1">
        <v>14</v>
      </c>
      <c r="B14" s="1" t="s">
        <v>59</v>
      </c>
      <c r="C14" s="1">
        <v>1112</v>
      </c>
      <c r="E14" s="1">
        <v>1014</v>
      </c>
      <c r="G14" s="1" t="s">
        <v>117</v>
      </c>
      <c r="H14" s="3">
        <f>VLOOKUP(B14,Sheet1!$E$2:$G$33,2,FALSE)</f>
        <v>29</v>
      </c>
      <c r="I14" s="3">
        <f>VLOOKUP(B14,Sheet1!$E$2:$G$33,3,FALSE)</f>
        <v>14</v>
      </c>
      <c r="J14" s="1">
        <v>30000</v>
      </c>
      <c r="K14" s="1">
        <v>30001</v>
      </c>
      <c r="L14" s="1">
        <v>30002</v>
      </c>
      <c r="M14" s="1">
        <v>30003</v>
      </c>
      <c r="N14" s="1">
        <v>30004</v>
      </c>
      <c r="O14" s="1">
        <v>30005</v>
      </c>
      <c r="P14" s="1" t="s">
        <v>35</v>
      </c>
      <c r="Q14" s="1" t="s">
        <v>33</v>
      </c>
      <c r="R14" s="2" t="s">
        <v>9</v>
      </c>
      <c r="S14" s="2" t="s">
        <v>15</v>
      </c>
      <c r="T14" s="2" t="s">
        <v>154</v>
      </c>
      <c r="U14" s="2" t="s">
        <v>108</v>
      </c>
      <c r="V14" s="2" t="s">
        <v>109</v>
      </c>
    </row>
    <row r="15" spans="1:22" ht="42.75" x14ac:dyDescent="0.2">
      <c r="A15" s="1">
        <v>40</v>
      </c>
      <c r="B15" s="1" t="s">
        <v>57</v>
      </c>
      <c r="C15" s="1">
        <v>2270</v>
      </c>
      <c r="E15" s="1">
        <v>2180</v>
      </c>
      <c r="G15" s="1" t="s">
        <v>117</v>
      </c>
      <c r="H15" s="3">
        <f>VLOOKUP(B15,Sheet1!$E$2:$G$33,2,FALSE)</f>
        <v>15</v>
      </c>
      <c r="I15" s="3">
        <f>VLOOKUP(B15,Sheet1!$E$2:$G$33,3,FALSE)</f>
        <v>17</v>
      </c>
      <c r="J15" s="1">
        <v>30000</v>
      </c>
      <c r="K15" s="1">
        <v>30001</v>
      </c>
      <c r="L15" s="1">
        <v>30002</v>
      </c>
      <c r="M15" s="1">
        <v>30003</v>
      </c>
      <c r="N15" s="1">
        <v>30004</v>
      </c>
      <c r="O15" s="1">
        <v>30005</v>
      </c>
      <c r="P15" s="1" t="s">
        <v>35</v>
      </c>
      <c r="Q15" s="1" t="s">
        <v>37</v>
      </c>
      <c r="R15" s="2" t="s">
        <v>83</v>
      </c>
      <c r="S15" s="2" t="s">
        <v>112</v>
      </c>
      <c r="T15" s="2" t="s">
        <v>130</v>
      </c>
      <c r="U15" s="2" t="s">
        <v>108</v>
      </c>
      <c r="V15" s="2" t="s">
        <v>109</v>
      </c>
    </row>
    <row r="16" spans="1:22" ht="57" x14ac:dyDescent="0.2">
      <c r="A16" s="1">
        <v>36</v>
      </c>
      <c r="B16" s="1" t="s">
        <v>8</v>
      </c>
      <c r="C16" s="1">
        <v>2270</v>
      </c>
      <c r="E16" s="1">
        <v>2180</v>
      </c>
      <c r="G16" s="1" t="s">
        <v>117</v>
      </c>
      <c r="H16" s="3">
        <f>VLOOKUP(B16,Sheet1!$E$2:$G$33,2,FALSE)</f>
        <v>2</v>
      </c>
      <c r="I16" s="3">
        <f>VLOOKUP(B16,Sheet1!$E$2:$G$33,3,FALSE)</f>
        <v>28</v>
      </c>
      <c r="J16" s="1">
        <v>30000</v>
      </c>
      <c r="K16" s="1">
        <v>30001</v>
      </c>
      <c r="L16" s="1">
        <v>30002</v>
      </c>
      <c r="M16" s="1">
        <v>30003</v>
      </c>
      <c r="N16" s="1">
        <v>30004</v>
      </c>
      <c r="O16" s="1">
        <v>30005</v>
      </c>
      <c r="P16" s="1" t="s">
        <v>35</v>
      </c>
      <c r="Q16" s="1" t="s">
        <v>33</v>
      </c>
      <c r="R16" s="2" t="s">
        <v>84</v>
      </c>
      <c r="S16" s="2" t="s">
        <v>58</v>
      </c>
      <c r="T16" s="2" t="s">
        <v>131</v>
      </c>
      <c r="U16" s="2" t="s">
        <v>108</v>
      </c>
      <c r="V16" s="2" t="s">
        <v>109</v>
      </c>
    </row>
    <row r="17" spans="1:22" ht="42.75" x14ac:dyDescent="0.2">
      <c r="A17" s="1">
        <v>16</v>
      </c>
      <c r="B17" s="1" t="s">
        <v>55</v>
      </c>
      <c r="C17" s="1">
        <v>2270</v>
      </c>
      <c r="E17" s="1">
        <v>2180</v>
      </c>
      <c r="G17" s="1" t="s">
        <v>117</v>
      </c>
      <c r="H17" s="3">
        <f>VLOOKUP(B17,Sheet1!$E$2:$G$33,2,FALSE)</f>
        <v>26</v>
      </c>
      <c r="I17" s="3">
        <f>VLOOKUP(B17,Sheet1!$E$2:$G$33,3,FALSE)</f>
        <v>16</v>
      </c>
      <c r="J17" s="1">
        <v>30000</v>
      </c>
      <c r="K17" s="1">
        <v>30001</v>
      </c>
      <c r="L17" s="1">
        <v>30002</v>
      </c>
      <c r="M17" s="1">
        <v>30003</v>
      </c>
      <c r="N17" s="1">
        <v>30004</v>
      </c>
      <c r="O17" s="1">
        <v>30005</v>
      </c>
      <c r="P17" s="1" t="s">
        <v>56</v>
      </c>
      <c r="Q17" s="1" t="s">
        <v>33</v>
      </c>
      <c r="R17" s="2" t="s">
        <v>85</v>
      </c>
      <c r="S17" s="2" t="s">
        <v>112</v>
      </c>
      <c r="T17" s="2" t="s">
        <v>132</v>
      </c>
      <c r="U17" s="2" t="s">
        <v>108</v>
      </c>
      <c r="V17" s="2" t="s">
        <v>109</v>
      </c>
    </row>
    <row r="18" spans="1:22" ht="42.75" x14ac:dyDescent="0.2">
      <c r="A18" s="1">
        <v>17</v>
      </c>
      <c r="B18" s="1" t="s">
        <v>60</v>
      </c>
      <c r="C18" s="1">
        <v>1112</v>
      </c>
      <c r="E18" s="1">
        <v>1014</v>
      </c>
      <c r="G18" s="1" t="s">
        <v>117</v>
      </c>
      <c r="H18" s="3">
        <f>VLOOKUP(B18,Sheet1!$E$2:$G$33,2,FALSE)</f>
        <v>16</v>
      </c>
      <c r="I18" s="3">
        <f>VLOOKUP(B18,Sheet1!$E$2:$G$33,3,FALSE)</f>
        <v>26</v>
      </c>
      <c r="J18" s="1">
        <v>30000</v>
      </c>
      <c r="K18" s="1">
        <v>30001</v>
      </c>
      <c r="L18" s="1">
        <v>30002</v>
      </c>
      <c r="M18" s="1">
        <v>30003</v>
      </c>
      <c r="N18" s="1">
        <v>30004</v>
      </c>
      <c r="O18" s="1">
        <v>30005</v>
      </c>
      <c r="P18" s="1" t="s">
        <v>32</v>
      </c>
      <c r="Q18" s="1" t="s">
        <v>114</v>
      </c>
      <c r="R18" s="2" t="s">
        <v>10</v>
      </c>
      <c r="T18" s="2" t="s">
        <v>155</v>
      </c>
      <c r="U18" s="2" t="s">
        <v>108</v>
      </c>
      <c r="V18" s="2" t="s">
        <v>109</v>
      </c>
    </row>
    <row r="19" spans="1:22" ht="28.5" x14ac:dyDescent="0.2">
      <c r="A19" s="1">
        <v>29</v>
      </c>
      <c r="B19" s="1" t="s">
        <v>61</v>
      </c>
      <c r="C19" s="1">
        <v>4918</v>
      </c>
      <c r="E19" s="1">
        <v>0</v>
      </c>
      <c r="G19" s="1" t="s">
        <v>117</v>
      </c>
      <c r="H19" s="3">
        <f>VLOOKUP(B19,Sheet1!$E$2:$G$33,2,FALSE)</f>
        <v>27</v>
      </c>
      <c r="I19" s="3">
        <f>VLOOKUP(B19,Sheet1!$E$2:$G$33,3,FALSE)</f>
        <v>8</v>
      </c>
      <c r="J19" s="1">
        <v>30000</v>
      </c>
      <c r="K19" s="1">
        <v>30001</v>
      </c>
      <c r="L19" s="1">
        <v>30002</v>
      </c>
      <c r="M19" s="1">
        <v>30003</v>
      </c>
      <c r="N19" s="1">
        <v>30004</v>
      </c>
      <c r="O19" s="1">
        <v>30005</v>
      </c>
      <c r="P19" s="1" t="s">
        <v>35</v>
      </c>
      <c r="Q19" s="1" t="s">
        <v>114</v>
      </c>
      <c r="R19" s="2" t="s">
        <v>86</v>
      </c>
      <c r="T19" s="2" t="s">
        <v>133</v>
      </c>
      <c r="U19" s="2" t="s">
        <v>108</v>
      </c>
      <c r="V19" s="2" t="s">
        <v>109</v>
      </c>
    </row>
    <row r="20" spans="1:22" ht="42.75" x14ac:dyDescent="0.2">
      <c r="A20" s="1">
        <v>18</v>
      </c>
      <c r="B20" s="1" t="s">
        <v>62</v>
      </c>
      <c r="C20" s="1">
        <v>5013</v>
      </c>
      <c r="E20" s="1">
        <v>5013</v>
      </c>
      <c r="G20" s="1" t="s">
        <v>117</v>
      </c>
      <c r="H20" s="3">
        <f>VLOOKUP(B20,Sheet1!$E$2:$G$33,2,FALSE)</f>
        <v>3</v>
      </c>
      <c r="I20" s="3">
        <f>VLOOKUP(B20,Sheet1!$E$2:$G$33,3,FALSE)</f>
        <v>30</v>
      </c>
      <c r="J20" s="1">
        <v>30000</v>
      </c>
      <c r="K20" s="1">
        <v>30001</v>
      </c>
      <c r="L20" s="1">
        <v>30002</v>
      </c>
      <c r="M20" s="1">
        <v>30003</v>
      </c>
      <c r="N20" s="1">
        <v>30004</v>
      </c>
      <c r="O20" s="1">
        <v>30005</v>
      </c>
      <c r="P20" s="1" t="s">
        <v>35</v>
      </c>
      <c r="Q20" s="1" t="s">
        <v>33</v>
      </c>
      <c r="R20" s="2" t="s">
        <v>87</v>
      </c>
      <c r="S20" s="2" t="s">
        <v>63</v>
      </c>
      <c r="T20" s="2" t="s">
        <v>156</v>
      </c>
      <c r="U20" s="2" t="s">
        <v>108</v>
      </c>
      <c r="V20" s="2" t="s">
        <v>109</v>
      </c>
    </row>
    <row r="21" spans="1:22" ht="42.75" x14ac:dyDescent="0.2">
      <c r="A21" s="1">
        <v>38</v>
      </c>
      <c r="B21" s="1" t="s">
        <v>64</v>
      </c>
      <c r="C21" s="1">
        <v>5013</v>
      </c>
      <c r="E21" s="1">
        <v>5013</v>
      </c>
      <c r="G21" s="1" t="s">
        <v>117</v>
      </c>
      <c r="H21" s="3">
        <f>VLOOKUP(B21,Sheet1!$E$2:$G$33,2,FALSE)</f>
        <v>26</v>
      </c>
      <c r="I21" s="3">
        <f>VLOOKUP(B21,Sheet1!$E$2:$G$33,3,FALSE)</f>
        <v>15</v>
      </c>
      <c r="J21" s="1">
        <v>30000</v>
      </c>
      <c r="K21" s="1">
        <v>30001</v>
      </c>
      <c r="L21" s="1">
        <v>30002</v>
      </c>
      <c r="M21" s="1">
        <v>30003</v>
      </c>
      <c r="N21" s="1">
        <v>30004</v>
      </c>
      <c r="O21" s="1">
        <v>30005</v>
      </c>
      <c r="P21" s="1" t="s">
        <v>32</v>
      </c>
      <c r="Q21" s="1" t="s">
        <v>33</v>
      </c>
      <c r="R21" s="2" t="s">
        <v>88</v>
      </c>
      <c r="S21" s="2" t="s">
        <v>11</v>
      </c>
      <c r="T21" s="2" t="s">
        <v>134</v>
      </c>
      <c r="U21" s="2" t="s">
        <v>108</v>
      </c>
      <c r="V21" s="2" t="s">
        <v>109</v>
      </c>
    </row>
    <row r="22" spans="1:22" ht="42.75" x14ac:dyDescent="0.2">
      <c r="A22" s="1">
        <v>37</v>
      </c>
      <c r="B22" s="1" t="s">
        <v>65</v>
      </c>
      <c r="C22" s="1">
        <v>1856</v>
      </c>
      <c r="E22" s="1">
        <v>1756</v>
      </c>
      <c r="G22" s="1" t="s">
        <v>117</v>
      </c>
      <c r="H22" s="3">
        <f>VLOOKUP(B22,Sheet1!$E$2:$G$33,2,FALSE)</f>
        <v>14</v>
      </c>
      <c r="I22" s="3">
        <f>VLOOKUP(B22,Sheet1!$E$2:$G$33,3,FALSE)</f>
        <v>5</v>
      </c>
      <c r="J22" s="1">
        <v>30000</v>
      </c>
      <c r="K22" s="1">
        <v>30001</v>
      </c>
      <c r="L22" s="1">
        <v>30002</v>
      </c>
      <c r="M22" s="1">
        <v>30003</v>
      </c>
      <c r="N22" s="1">
        <v>30004</v>
      </c>
      <c r="O22" s="1">
        <v>30005</v>
      </c>
      <c r="P22" s="1" t="s">
        <v>66</v>
      </c>
      <c r="Q22" s="1" t="s">
        <v>41</v>
      </c>
      <c r="R22" s="2" t="s">
        <v>89</v>
      </c>
      <c r="S22" s="2" t="s">
        <v>67</v>
      </c>
      <c r="T22" s="2" t="s">
        <v>153</v>
      </c>
      <c r="U22" s="2" t="s">
        <v>108</v>
      </c>
      <c r="V22" s="2" t="s">
        <v>109</v>
      </c>
    </row>
    <row r="23" spans="1:22" ht="57" x14ac:dyDescent="0.2">
      <c r="A23" s="1">
        <v>19</v>
      </c>
      <c r="B23" s="1" t="s">
        <v>68</v>
      </c>
      <c r="C23" s="1">
        <v>1856</v>
      </c>
      <c r="E23" s="1">
        <v>1756</v>
      </c>
      <c r="G23" s="1" t="s">
        <v>117</v>
      </c>
      <c r="H23" s="3">
        <f>VLOOKUP(B23,Sheet1!$E$2:$G$33,2,FALSE)</f>
        <v>28</v>
      </c>
      <c r="I23" s="3">
        <f>VLOOKUP(B23,Sheet1!$E$2:$G$33,3,FALSE)</f>
        <v>12</v>
      </c>
      <c r="J23" s="1">
        <v>30000</v>
      </c>
      <c r="K23" s="1">
        <v>30001</v>
      </c>
      <c r="L23" s="1">
        <v>30002</v>
      </c>
      <c r="M23" s="1">
        <v>30003</v>
      </c>
      <c r="N23" s="1">
        <v>30004</v>
      </c>
      <c r="O23" s="1">
        <v>30005</v>
      </c>
      <c r="P23" s="1" t="s">
        <v>35</v>
      </c>
      <c r="Q23" s="1" t="s">
        <v>33</v>
      </c>
      <c r="R23" s="2" t="s">
        <v>90</v>
      </c>
      <c r="S23" s="2" t="s">
        <v>69</v>
      </c>
      <c r="T23" s="2" t="s">
        <v>146</v>
      </c>
      <c r="U23" s="2" t="s">
        <v>108</v>
      </c>
      <c r="V23" s="2" t="s">
        <v>109</v>
      </c>
    </row>
    <row r="24" spans="1:22" ht="57" x14ac:dyDescent="0.2">
      <c r="A24" s="1">
        <v>21</v>
      </c>
      <c r="B24" s="1" t="s">
        <v>70</v>
      </c>
      <c r="C24" s="1">
        <v>3300</v>
      </c>
      <c r="E24" s="1">
        <v>3297</v>
      </c>
      <c r="G24" s="1" t="s">
        <v>117</v>
      </c>
      <c r="H24" s="3">
        <f>VLOOKUP(B24,Sheet1!$E$2:$G$33,2,FALSE)</f>
        <v>19</v>
      </c>
      <c r="I24" s="3">
        <f>VLOOKUP(B24,Sheet1!$E$2:$G$33,3,FALSE)</f>
        <v>18</v>
      </c>
      <c r="J24" s="1">
        <v>30000</v>
      </c>
      <c r="K24" s="1">
        <v>30001</v>
      </c>
      <c r="L24" s="1">
        <v>30002</v>
      </c>
      <c r="M24" s="1">
        <v>30003</v>
      </c>
      <c r="N24" s="1">
        <v>30004</v>
      </c>
      <c r="O24" s="1">
        <v>30005</v>
      </c>
      <c r="P24" s="1" t="s">
        <v>35</v>
      </c>
      <c r="Q24" s="1" t="s">
        <v>114</v>
      </c>
      <c r="R24" s="2" t="s">
        <v>91</v>
      </c>
      <c r="T24" s="2" t="s">
        <v>135</v>
      </c>
      <c r="U24" s="2" t="s">
        <v>108</v>
      </c>
      <c r="V24" s="2" t="s">
        <v>109</v>
      </c>
    </row>
    <row r="25" spans="1:22" ht="42.75" x14ac:dyDescent="0.2">
      <c r="A25" s="1">
        <v>22</v>
      </c>
      <c r="B25" s="1" t="s">
        <v>12</v>
      </c>
      <c r="C25" s="1">
        <v>3056</v>
      </c>
      <c r="E25" s="1">
        <v>3056</v>
      </c>
      <c r="G25" s="1" t="s">
        <v>117</v>
      </c>
      <c r="H25" s="3">
        <f>VLOOKUP(B25,Sheet1!$E$2:$G$33,2,FALSE)</f>
        <v>20</v>
      </c>
      <c r="I25" s="3">
        <f>VLOOKUP(B25,Sheet1!$E$2:$G$33,3,FALSE)</f>
        <v>22</v>
      </c>
      <c r="J25" s="1">
        <v>30000</v>
      </c>
      <c r="K25" s="1">
        <v>30001</v>
      </c>
      <c r="L25" s="1">
        <v>30002</v>
      </c>
      <c r="M25" s="1">
        <v>30003</v>
      </c>
      <c r="N25" s="1">
        <v>30004</v>
      </c>
      <c r="O25" s="1">
        <v>30005</v>
      </c>
      <c r="P25" s="1" t="s">
        <v>35</v>
      </c>
      <c r="Q25" s="1" t="s">
        <v>33</v>
      </c>
      <c r="R25" s="2" t="s">
        <v>92</v>
      </c>
      <c r="S25" s="2" t="s">
        <v>111</v>
      </c>
      <c r="T25" s="2" t="s">
        <v>136</v>
      </c>
      <c r="U25" s="2" t="s">
        <v>108</v>
      </c>
      <c r="V25" s="2" t="s">
        <v>109</v>
      </c>
    </row>
    <row r="26" spans="1:22" ht="28.5" x14ac:dyDescent="0.2">
      <c r="A26" s="1">
        <v>25</v>
      </c>
      <c r="B26" s="1" t="s">
        <v>13</v>
      </c>
      <c r="C26" s="1">
        <v>3056</v>
      </c>
      <c r="E26" s="1">
        <v>3056</v>
      </c>
      <c r="G26" s="1" t="s">
        <v>117</v>
      </c>
      <c r="H26" s="3">
        <f>VLOOKUP(B26,Sheet1!$E$2:$G$33,2,FALSE)</f>
        <v>17</v>
      </c>
      <c r="I26" s="3">
        <f>VLOOKUP(B26,Sheet1!$E$2:$G$33,3,FALSE)</f>
        <v>1</v>
      </c>
      <c r="J26" s="1">
        <v>30000</v>
      </c>
      <c r="K26" s="1">
        <v>30001</v>
      </c>
      <c r="L26" s="1">
        <v>30002</v>
      </c>
      <c r="M26" s="1">
        <v>30003</v>
      </c>
      <c r="N26" s="1">
        <v>30004</v>
      </c>
      <c r="O26" s="1">
        <v>30005</v>
      </c>
      <c r="P26" s="1" t="s">
        <v>35</v>
      </c>
      <c r="Q26" s="1" t="s">
        <v>114</v>
      </c>
      <c r="R26" s="2" t="s">
        <v>93</v>
      </c>
      <c r="T26" s="2" t="s">
        <v>137</v>
      </c>
      <c r="U26" s="2" t="s">
        <v>108</v>
      </c>
      <c r="V26" s="2" t="s">
        <v>109</v>
      </c>
    </row>
    <row r="27" spans="1:22" ht="71.25" x14ac:dyDescent="0.2">
      <c r="A27" s="1">
        <v>23</v>
      </c>
      <c r="B27" s="1" t="s">
        <v>71</v>
      </c>
      <c r="C27" s="1">
        <v>2015</v>
      </c>
      <c r="E27" s="1">
        <v>0</v>
      </c>
      <c r="G27" s="1" t="s">
        <v>117</v>
      </c>
      <c r="H27" s="3">
        <f>VLOOKUP(B27,Sheet1!$E$2:$G$33,2,FALSE)</f>
        <v>16</v>
      </c>
      <c r="I27" s="3">
        <f>VLOOKUP(B27,Sheet1!$E$2:$G$33,3,FALSE)</f>
        <v>27</v>
      </c>
      <c r="J27" s="1">
        <v>30000</v>
      </c>
      <c r="K27" s="1">
        <v>30001</v>
      </c>
      <c r="L27" s="1">
        <v>30002</v>
      </c>
      <c r="M27" s="1">
        <v>30003</v>
      </c>
      <c r="N27" s="1">
        <v>30004</v>
      </c>
      <c r="O27" s="1">
        <v>30005</v>
      </c>
      <c r="P27" s="1" t="s">
        <v>35</v>
      </c>
      <c r="Q27" s="1" t="s">
        <v>114</v>
      </c>
      <c r="R27" s="2" t="s">
        <v>94</v>
      </c>
      <c r="T27" s="2" t="s">
        <v>147</v>
      </c>
      <c r="U27" s="2" t="s">
        <v>108</v>
      </c>
      <c r="V27" s="2" t="s">
        <v>109</v>
      </c>
    </row>
    <row r="28" spans="1:22" ht="28.5" x14ac:dyDescent="0.2">
      <c r="A28" s="1">
        <v>24</v>
      </c>
      <c r="B28" s="1" t="s">
        <v>72</v>
      </c>
      <c r="C28" s="1">
        <v>4765</v>
      </c>
      <c r="E28" s="1">
        <v>0</v>
      </c>
      <c r="G28" s="1" t="s">
        <v>117</v>
      </c>
      <c r="H28" s="3">
        <f>VLOOKUP(B28,Sheet1!$E$2:$G$33,2,FALSE)</f>
        <v>5</v>
      </c>
      <c r="I28" s="3">
        <f>VLOOKUP(B28,Sheet1!$E$2:$G$33,3,FALSE)</f>
        <v>1</v>
      </c>
      <c r="J28" s="1">
        <v>30000</v>
      </c>
      <c r="K28" s="1">
        <v>30001</v>
      </c>
      <c r="L28" s="1">
        <v>30002</v>
      </c>
      <c r="M28" s="1">
        <v>30003</v>
      </c>
      <c r="N28" s="1">
        <v>30004</v>
      </c>
      <c r="O28" s="1">
        <v>30005</v>
      </c>
      <c r="P28" s="1" t="s">
        <v>35</v>
      </c>
      <c r="Q28" s="1" t="s">
        <v>114</v>
      </c>
      <c r="R28" s="2" t="s">
        <v>95</v>
      </c>
      <c r="T28" s="2" t="s">
        <v>138</v>
      </c>
      <c r="U28" s="2" t="s">
        <v>108</v>
      </c>
      <c r="V28" s="2" t="s">
        <v>109</v>
      </c>
    </row>
    <row r="29" spans="1:22" ht="42.75" x14ac:dyDescent="0.2">
      <c r="A29" s="1">
        <v>35</v>
      </c>
      <c r="B29" s="1" t="s">
        <v>73</v>
      </c>
      <c r="C29" s="1">
        <v>4696</v>
      </c>
      <c r="E29" s="1">
        <v>0</v>
      </c>
      <c r="G29" s="1" t="s">
        <v>117</v>
      </c>
      <c r="H29" s="3">
        <f>VLOOKUP(B29,Sheet1!$E$2:$G$33,2,FALSE)</f>
        <v>18</v>
      </c>
      <c r="I29" s="3">
        <f>VLOOKUP(B29,Sheet1!$E$2:$G$33,3,FALSE)</f>
        <v>2</v>
      </c>
      <c r="J29" s="1">
        <v>30000</v>
      </c>
      <c r="K29" s="1">
        <v>30001</v>
      </c>
      <c r="L29" s="1">
        <v>30002</v>
      </c>
      <c r="M29" s="1">
        <v>30003</v>
      </c>
      <c r="N29" s="1">
        <v>30004</v>
      </c>
      <c r="O29" s="1">
        <v>30005</v>
      </c>
      <c r="P29" s="1" t="s">
        <v>56</v>
      </c>
      <c r="Q29" s="1" t="s">
        <v>114</v>
      </c>
      <c r="R29" s="2" t="s">
        <v>96</v>
      </c>
      <c r="T29" s="2" t="s">
        <v>139</v>
      </c>
      <c r="U29" s="2" t="s">
        <v>108</v>
      </c>
      <c r="V29" s="2" t="s">
        <v>109</v>
      </c>
    </row>
    <row r="30" spans="1:22" ht="42.75" x14ac:dyDescent="0.2">
      <c r="A30" s="1">
        <v>26</v>
      </c>
      <c r="B30" s="1" t="s">
        <v>74</v>
      </c>
      <c r="C30" s="1">
        <v>2902</v>
      </c>
      <c r="E30" s="1">
        <v>0</v>
      </c>
      <c r="G30" s="1" t="s">
        <v>117</v>
      </c>
      <c r="H30" s="3">
        <f>VLOOKUP(B30,Sheet1!$E$2:$G$33,2,FALSE)</f>
        <v>1</v>
      </c>
      <c r="I30" s="3">
        <f>VLOOKUP(B30,Sheet1!$E$2:$G$33,3,FALSE)</f>
        <v>24</v>
      </c>
      <c r="J30" s="1">
        <v>30000</v>
      </c>
      <c r="K30" s="1">
        <v>30001</v>
      </c>
      <c r="L30" s="1">
        <v>30002</v>
      </c>
      <c r="M30" s="1">
        <v>30003</v>
      </c>
      <c r="N30" s="1">
        <v>30004</v>
      </c>
      <c r="O30" s="1">
        <v>30005</v>
      </c>
      <c r="P30" s="1" t="s">
        <v>35</v>
      </c>
      <c r="Q30" s="1" t="s">
        <v>33</v>
      </c>
      <c r="R30" s="2" t="s">
        <v>97</v>
      </c>
      <c r="S30" s="2" t="s">
        <v>14</v>
      </c>
      <c r="T30" s="2" t="s">
        <v>148</v>
      </c>
      <c r="U30" s="2" t="s">
        <v>108</v>
      </c>
      <c r="V30" s="2" t="s">
        <v>109</v>
      </c>
    </row>
    <row r="31" spans="1:22" ht="42.75" x14ac:dyDescent="0.2">
      <c r="A31" s="1">
        <v>28</v>
      </c>
      <c r="B31" s="1" t="s">
        <v>75</v>
      </c>
      <c r="C31" s="1">
        <v>5476</v>
      </c>
      <c r="D31" s="1">
        <v>547601</v>
      </c>
      <c r="E31" s="1">
        <v>0</v>
      </c>
      <c r="G31" s="1" t="s">
        <v>117</v>
      </c>
      <c r="H31" s="3">
        <f>VLOOKUP(B31,Sheet1!$E$2:$G$33,2,FALSE)</f>
        <v>11</v>
      </c>
      <c r="I31" s="3">
        <f>VLOOKUP(B31,Sheet1!$E$2:$G$33,3,FALSE)</f>
        <v>25</v>
      </c>
      <c r="J31" s="1">
        <v>30000</v>
      </c>
      <c r="K31" s="1">
        <v>30001</v>
      </c>
      <c r="L31" s="1">
        <v>30002</v>
      </c>
      <c r="M31" s="1">
        <v>30003</v>
      </c>
      <c r="N31" s="1">
        <v>30004</v>
      </c>
      <c r="O31" s="1">
        <v>30005</v>
      </c>
      <c r="P31" s="1" t="s">
        <v>35</v>
      </c>
      <c r="Q31" s="1" t="s">
        <v>114</v>
      </c>
      <c r="R31" s="2" t="s">
        <v>98</v>
      </c>
      <c r="T31" s="2" t="s">
        <v>149</v>
      </c>
      <c r="U31" s="2" t="s">
        <v>108</v>
      </c>
      <c r="V31" s="2" t="s">
        <v>109</v>
      </c>
    </row>
    <row r="32" spans="1:22" ht="42.75" x14ac:dyDescent="0.2">
      <c r="A32" s="1">
        <v>27</v>
      </c>
      <c r="B32" s="1" t="s">
        <v>76</v>
      </c>
      <c r="C32" s="1">
        <v>5476</v>
      </c>
      <c r="D32" s="1">
        <v>547600</v>
      </c>
      <c r="E32" s="1">
        <v>0</v>
      </c>
      <c r="G32" s="1" t="s">
        <v>117</v>
      </c>
      <c r="H32" s="3">
        <f>VLOOKUP(B32,Sheet1!$E$2:$G$33,2,FALSE)</f>
        <v>30</v>
      </c>
      <c r="I32" s="3">
        <f>VLOOKUP(B32,Sheet1!$E$2:$G$33,3,FALSE)</f>
        <v>3</v>
      </c>
      <c r="J32" s="1">
        <v>30000</v>
      </c>
      <c r="K32" s="1">
        <v>30001</v>
      </c>
      <c r="L32" s="1">
        <v>30002</v>
      </c>
      <c r="M32" s="1">
        <v>30003</v>
      </c>
      <c r="N32" s="1">
        <v>30004</v>
      </c>
      <c r="O32" s="1">
        <v>30005</v>
      </c>
      <c r="P32" s="1" t="s">
        <v>35</v>
      </c>
      <c r="Q32" s="1" t="s">
        <v>114</v>
      </c>
      <c r="R32" s="2" t="s">
        <v>99</v>
      </c>
      <c r="T32" s="2" t="s">
        <v>140</v>
      </c>
      <c r="U32" s="2" t="s">
        <v>108</v>
      </c>
      <c r="V32" s="2" t="s">
        <v>109</v>
      </c>
    </row>
    <row r="33" spans="1:22" ht="42.75" x14ac:dyDescent="0.2">
      <c r="A33" s="1">
        <v>30</v>
      </c>
      <c r="B33" s="1" t="s">
        <v>77</v>
      </c>
      <c r="C33" s="1">
        <v>5293</v>
      </c>
      <c r="E33" s="1">
        <v>0</v>
      </c>
      <c r="G33" s="1" t="s">
        <v>117</v>
      </c>
      <c r="H33" s="3">
        <f>VLOOKUP(B33,Sheet1!$E$2:$G$33,2,FALSE)</f>
        <v>22</v>
      </c>
      <c r="I33" s="3">
        <f>VLOOKUP(B33,Sheet1!$E$2:$G$33,3,FALSE)</f>
        <v>10</v>
      </c>
      <c r="J33" s="1">
        <v>30000</v>
      </c>
      <c r="K33" s="1">
        <v>30001</v>
      </c>
      <c r="L33" s="1">
        <v>30002</v>
      </c>
      <c r="M33" s="1">
        <v>30003</v>
      </c>
      <c r="N33" s="1">
        <v>30004</v>
      </c>
      <c r="O33" s="1">
        <v>30005</v>
      </c>
      <c r="P33" s="1" t="s">
        <v>35</v>
      </c>
      <c r="Q33" s="1" t="s">
        <v>114</v>
      </c>
      <c r="R33" s="2" t="s">
        <v>100</v>
      </c>
      <c r="T33" s="2" t="s">
        <v>141</v>
      </c>
      <c r="U33" s="2" t="s">
        <v>108</v>
      </c>
      <c r="V33" s="2" t="s">
        <v>109</v>
      </c>
    </row>
    <row r="34" spans="1:22" ht="42.75" x14ac:dyDescent="0.2">
      <c r="A34" s="1">
        <v>34</v>
      </c>
      <c r="B34" s="1" t="s">
        <v>78</v>
      </c>
      <c r="C34" s="1">
        <v>1912</v>
      </c>
      <c r="E34" s="1">
        <v>0</v>
      </c>
      <c r="G34" s="1" t="s">
        <v>117</v>
      </c>
      <c r="H34" s="3">
        <f>VLOOKUP(B34,Sheet1!$E$2:$G$33,2,FALSE)</f>
        <v>6</v>
      </c>
      <c r="I34" s="3">
        <f>VLOOKUP(B34,Sheet1!$E$2:$G$33,3,FALSE)</f>
        <v>12</v>
      </c>
      <c r="J34" s="1">
        <v>30000</v>
      </c>
      <c r="K34" s="1">
        <v>30001</v>
      </c>
      <c r="L34" s="1">
        <v>30002</v>
      </c>
      <c r="M34" s="1">
        <v>30003</v>
      </c>
      <c r="N34" s="1">
        <v>30004</v>
      </c>
      <c r="O34" s="1">
        <v>30005</v>
      </c>
      <c r="P34" s="1" t="s">
        <v>66</v>
      </c>
      <c r="Q34" s="1" t="s">
        <v>114</v>
      </c>
      <c r="R34" s="2" t="s">
        <v>101</v>
      </c>
      <c r="T34" s="2" t="s">
        <v>151</v>
      </c>
      <c r="U34" s="2" t="s">
        <v>108</v>
      </c>
      <c r="V34" s="2" t="s">
        <v>109</v>
      </c>
    </row>
    <row r="35" spans="1:22" ht="42.75" x14ac:dyDescent="0.2">
      <c r="A35" s="1">
        <v>39</v>
      </c>
      <c r="B35" s="1" t="s">
        <v>79</v>
      </c>
      <c r="C35" s="1">
        <v>1912</v>
      </c>
      <c r="E35" s="1">
        <v>0</v>
      </c>
      <c r="G35" s="1" t="s">
        <v>117</v>
      </c>
      <c r="H35" s="3">
        <f>VLOOKUP(B35,Sheet1!$E$2:$G$33,2,FALSE)</f>
        <v>1</v>
      </c>
      <c r="I35" s="3">
        <f>VLOOKUP(B35,Sheet1!$E$2:$G$33,3,FALSE)</f>
        <v>29</v>
      </c>
      <c r="J35" s="1">
        <v>30000</v>
      </c>
      <c r="K35" s="1">
        <v>30001</v>
      </c>
      <c r="L35" s="1">
        <v>30002</v>
      </c>
      <c r="M35" s="1">
        <v>30003</v>
      </c>
      <c r="N35" s="1">
        <v>30004</v>
      </c>
      <c r="O35" s="1">
        <v>30005</v>
      </c>
      <c r="P35" s="1" t="s">
        <v>35</v>
      </c>
      <c r="Q35" s="1" t="s">
        <v>114</v>
      </c>
      <c r="R35" s="2" t="s">
        <v>102</v>
      </c>
      <c r="T35" s="2" t="s">
        <v>142</v>
      </c>
      <c r="U35" s="2" t="s">
        <v>108</v>
      </c>
      <c r="V35" s="2" t="s">
        <v>109</v>
      </c>
    </row>
    <row r="36" spans="1:22" ht="57" x14ac:dyDescent="0.2">
      <c r="A36" s="1">
        <v>41</v>
      </c>
      <c r="B36" s="1" t="s">
        <v>105</v>
      </c>
      <c r="C36" s="1">
        <v>5309</v>
      </c>
      <c r="D36" s="1">
        <v>530900</v>
      </c>
      <c r="E36" s="1">
        <v>5309</v>
      </c>
      <c r="F36" s="1">
        <v>539001</v>
      </c>
      <c r="G36" s="1" t="s">
        <v>117</v>
      </c>
      <c r="H36" s="3">
        <v>12</v>
      </c>
      <c r="I36" s="3">
        <v>19</v>
      </c>
      <c r="J36" s="1">
        <v>30000</v>
      </c>
      <c r="K36" s="1">
        <v>30001</v>
      </c>
      <c r="L36" s="1">
        <v>30002</v>
      </c>
      <c r="M36" s="1">
        <v>30003</v>
      </c>
      <c r="N36" s="1">
        <v>30004</v>
      </c>
      <c r="O36" s="1">
        <v>30005</v>
      </c>
      <c r="P36" s="1" t="s">
        <v>35</v>
      </c>
      <c r="Q36" s="1" t="s">
        <v>33</v>
      </c>
      <c r="R36" s="2" t="s">
        <v>106</v>
      </c>
      <c r="S36" s="2" t="s">
        <v>107</v>
      </c>
      <c r="T36" s="2" t="s">
        <v>143</v>
      </c>
      <c r="U36" s="2" t="s">
        <v>108</v>
      </c>
      <c r="V36" s="2" t="s">
        <v>109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2:G33"/>
  <sheetViews>
    <sheetView workbookViewId="0">
      <selection activeCell="E2" sqref="E2:E33"/>
    </sheetView>
  </sheetViews>
  <sheetFormatPr defaultRowHeight="14.25" x14ac:dyDescent="0.2"/>
  <sheetData>
    <row r="2" spans="5:7" x14ac:dyDescent="0.2">
      <c r="E2" t="s">
        <v>159</v>
      </c>
      <c r="F2">
        <v>13</v>
      </c>
      <c r="G2">
        <v>15</v>
      </c>
    </row>
    <row r="3" spans="5:7" x14ac:dyDescent="0.2">
      <c r="E3" t="s">
        <v>160</v>
      </c>
      <c r="F3">
        <v>24</v>
      </c>
      <c r="G3">
        <v>11</v>
      </c>
    </row>
    <row r="4" spans="5:7" x14ac:dyDescent="0.2">
      <c r="E4" t="s">
        <v>161</v>
      </c>
      <c r="F4">
        <v>25</v>
      </c>
      <c r="G4">
        <v>1</v>
      </c>
    </row>
    <row r="5" spans="5:7" x14ac:dyDescent="0.2">
      <c r="E5" t="s">
        <v>162</v>
      </c>
      <c r="F5">
        <v>8</v>
      </c>
      <c r="G5">
        <v>4</v>
      </c>
    </row>
    <row r="6" spans="5:7" x14ac:dyDescent="0.2">
      <c r="E6" t="s">
        <v>163</v>
      </c>
      <c r="F6">
        <v>4</v>
      </c>
      <c r="G6">
        <v>6</v>
      </c>
    </row>
    <row r="7" spans="5:7" x14ac:dyDescent="0.2">
      <c r="E7" t="s">
        <v>164</v>
      </c>
      <c r="F7">
        <v>10</v>
      </c>
      <c r="G7">
        <v>20</v>
      </c>
    </row>
    <row r="8" spans="5:7" x14ac:dyDescent="0.2">
      <c r="E8" t="s">
        <v>165</v>
      </c>
      <c r="F8">
        <v>23</v>
      </c>
      <c r="G8">
        <v>21</v>
      </c>
    </row>
    <row r="9" spans="5:7" x14ac:dyDescent="0.2">
      <c r="E9" t="s">
        <v>166</v>
      </c>
      <c r="F9">
        <v>21</v>
      </c>
      <c r="G9">
        <v>23</v>
      </c>
    </row>
    <row r="10" spans="5:7" x14ac:dyDescent="0.2">
      <c r="E10" t="s">
        <v>167</v>
      </c>
      <c r="F10">
        <v>29</v>
      </c>
      <c r="G10">
        <v>14</v>
      </c>
    </row>
    <row r="11" spans="5:7" x14ac:dyDescent="0.2">
      <c r="E11" t="s">
        <v>168</v>
      </c>
      <c r="F11">
        <v>26</v>
      </c>
      <c r="G11">
        <v>16</v>
      </c>
    </row>
    <row r="12" spans="5:7" x14ac:dyDescent="0.2">
      <c r="E12" t="s">
        <v>169</v>
      </c>
      <c r="F12">
        <v>16</v>
      </c>
      <c r="G12">
        <v>26</v>
      </c>
    </row>
    <row r="13" spans="5:7" x14ac:dyDescent="0.2">
      <c r="E13" t="s">
        <v>170</v>
      </c>
      <c r="F13">
        <v>3</v>
      </c>
      <c r="G13">
        <v>30</v>
      </c>
    </row>
    <row r="14" spans="5:7" x14ac:dyDescent="0.2">
      <c r="E14" t="s">
        <v>171</v>
      </c>
      <c r="F14">
        <v>28</v>
      </c>
      <c r="G14">
        <v>12</v>
      </c>
    </row>
    <row r="15" spans="5:7" x14ac:dyDescent="0.2">
      <c r="E15" t="s">
        <v>172</v>
      </c>
      <c r="F15">
        <v>19</v>
      </c>
      <c r="G15">
        <v>18</v>
      </c>
    </row>
    <row r="16" spans="5:7" x14ac:dyDescent="0.2">
      <c r="E16" t="s">
        <v>173</v>
      </c>
      <c r="F16">
        <v>20</v>
      </c>
      <c r="G16">
        <v>22</v>
      </c>
    </row>
    <row r="17" spans="5:7" x14ac:dyDescent="0.2">
      <c r="E17" t="s">
        <v>174</v>
      </c>
      <c r="F17">
        <v>16</v>
      </c>
      <c r="G17">
        <v>27</v>
      </c>
    </row>
    <row r="18" spans="5:7" x14ac:dyDescent="0.2">
      <c r="E18" t="s">
        <v>175</v>
      </c>
      <c r="F18">
        <v>5</v>
      </c>
      <c r="G18">
        <v>1</v>
      </c>
    </row>
    <row r="19" spans="5:7" x14ac:dyDescent="0.2">
      <c r="E19" t="s">
        <v>176</v>
      </c>
      <c r="F19">
        <v>17</v>
      </c>
      <c r="G19">
        <v>1</v>
      </c>
    </row>
    <row r="20" spans="5:7" x14ac:dyDescent="0.2">
      <c r="E20" t="s">
        <v>177</v>
      </c>
      <c r="F20">
        <v>1</v>
      </c>
      <c r="G20">
        <v>24</v>
      </c>
    </row>
    <row r="21" spans="5:7" x14ac:dyDescent="0.2">
      <c r="E21" t="s">
        <v>178</v>
      </c>
      <c r="F21">
        <v>30</v>
      </c>
      <c r="G21">
        <v>3</v>
      </c>
    </row>
    <row r="22" spans="5:7" x14ac:dyDescent="0.2">
      <c r="E22" t="s">
        <v>179</v>
      </c>
      <c r="F22">
        <v>11</v>
      </c>
      <c r="G22">
        <v>25</v>
      </c>
    </row>
    <row r="23" spans="5:7" x14ac:dyDescent="0.2">
      <c r="E23" t="s">
        <v>180</v>
      </c>
      <c r="F23">
        <v>27</v>
      </c>
      <c r="G23">
        <v>8</v>
      </c>
    </row>
    <row r="24" spans="5:7" x14ac:dyDescent="0.2">
      <c r="E24" t="s">
        <v>181</v>
      </c>
      <c r="F24">
        <v>22</v>
      </c>
      <c r="G24">
        <v>10</v>
      </c>
    </row>
    <row r="25" spans="5:7" x14ac:dyDescent="0.2">
      <c r="E25" t="s">
        <v>182</v>
      </c>
      <c r="F25">
        <v>9</v>
      </c>
      <c r="G25">
        <v>20</v>
      </c>
    </row>
    <row r="26" spans="5:7" x14ac:dyDescent="0.2">
      <c r="E26" t="s">
        <v>183</v>
      </c>
      <c r="F26">
        <v>6</v>
      </c>
      <c r="G26">
        <v>12</v>
      </c>
    </row>
    <row r="27" spans="5:7" x14ac:dyDescent="0.2">
      <c r="E27" t="s">
        <v>184</v>
      </c>
      <c r="F27">
        <v>18</v>
      </c>
      <c r="G27">
        <v>2</v>
      </c>
    </row>
    <row r="28" spans="5:7" x14ac:dyDescent="0.2">
      <c r="E28" t="s">
        <v>185</v>
      </c>
      <c r="F28">
        <v>2</v>
      </c>
      <c r="G28">
        <v>28</v>
      </c>
    </row>
    <row r="29" spans="5:7" x14ac:dyDescent="0.2">
      <c r="E29" t="s">
        <v>186</v>
      </c>
      <c r="F29">
        <v>14</v>
      </c>
      <c r="G29">
        <v>5</v>
      </c>
    </row>
    <row r="30" spans="5:7" x14ac:dyDescent="0.2">
      <c r="E30" t="s">
        <v>187</v>
      </c>
      <c r="F30">
        <v>26</v>
      </c>
      <c r="G30">
        <v>15</v>
      </c>
    </row>
    <row r="31" spans="5:7" x14ac:dyDescent="0.2">
      <c r="E31" t="s">
        <v>188</v>
      </c>
      <c r="F31">
        <v>1</v>
      </c>
      <c r="G31">
        <v>29</v>
      </c>
    </row>
    <row r="32" spans="5:7" x14ac:dyDescent="0.2">
      <c r="E32" t="s">
        <v>189</v>
      </c>
      <c r="F32">
        <v>15</v>
      </c>
      <c r="G32">
        <v>17</v>
      </c>
    </row>
    <row r="33" spans="5:7" x14ac:dyDescent="0.2">
      <c r="E33" t="s">
        <v>190</v>
      </c>
      <c r="F33">
        <v>12</v>
      </c>
      <c r="G33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NPCBehaviorData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2025-01-04T17:23:53Z</dcterms:modified>
</cp:coreProperties>
</file>