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ightMap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2" l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</calcChain>
</file>

<file path=xl/sharedStrings.xml><?xml version="1.0" encoding="utf-8"?>
<sst xmlns="http://schemas.openxmlformats.org/spreadsheetml/2006/main" count="175" uniqueCount="109">
  <si>
    <t>string</t>
    <phoneticPr fontId="1" type="noConversion"/>
  </si>
  <si>
    <t>id</t>
    <phoneticPr fontId="1" type="noConversion"/>
  </si>
  <si>
    <t>season</t>
  </si>
  <si>
    <t>int</t>
    <phoneticPr fontId="1" type="noConversion"/>
  </si>
  <si>
    <t>FightMapData</t>
  </si>
  <si>
    <t>mapName</t>
  </si>
  <si>
    <t>fightMapObjName</t>
  </si>
  <si>
    <t>float</t>
    <phoneticPr fontId="1" type="noConversion"/>
  </si>
  <si>
    <t>cycleSize</t>
  </si>
  <si>
    <t>monsterDeploys</t>
  </si>
  <si>
    <t>endMonsterEvents</t>
  </si>
  <si>
    <t>isOpen</t>
  </si>
  <si>
    <t>isZeroTeam</t>
  </si>
  <si>
    <t>beforeActionId</t>
  </si>
  <si>
    <t>afterActionId</t>
  </si>
  <si>
    <t>failureEventId</t>
  </si>
  <si>
    <t>successEventId</t>
  </si>
  <si>
    <t>battleNotice</t>
  </si>
  <si>
    <t>string</t>
  </si>
  <si>
    <t>int</t>
  </si>
  <si>
    <t>bool</t>
  </si>
  <si>
    <t>List&lt;int&gt;</t>
  </si>
  <si>
    <t>海滨</t>
  </si>
  <si>
    <t>fightMapDatas</t>
    <phoneticPr fontId="1" type="noConversion"/>
  </si>
  <si>
    <t>春之山脉</t>
    <phoneticPr fontId="2" type="noConversion"/>
  </si>
  <si>
    <t>SpringMount</t>
  </si>
  <si>
    <t>4002,4003,4011</t>
    <phoneticPr fontId="2" type="noConversion"/>
  </si>
  <si>
    <t>偶尔出现风属性的怪物,与暗属性的人一起探险更容易。</t>
    <phoneticPr fontId="2" type="noConversion"/>
  </si>
  <si>
    <t>瀑布洞穴</t>
    <phoneticPr fontId="2" type="noConversion"/>
  </si>
  <si>
    <t>WaterfallCave</t>
  </si>
  <si>
    <t>4012</t>
    <phoneticPr fontId="2" type="noConversion"/>
  </si>
  <si>
    <t>偶尔出现冰属性的怪物,与风属性的人一起探险更容易。</t>
    <phoneticPr fontId="2" type="noConversion"/>
  </si>
  <si>
    <t>夏之丛林</t>
    <phoneticPr fontId="2" type="noConversion"/>
  </si>
  <si>
    <t>SummerJungle</t>
  </si>
  <si>
    <t>4004,4005,4013</t>
    <phoneticPr fontId="2" type="noConversion"/>
  </si>
  <si>
    <t>偶尔出现火属性的怪物,与冰属性的人一起探险更容易。</t>
    <phoneticPr fontId="2" type="noConversion"/>
  </si>
  <si>
    <t>和风海岸</t>
    <phoneticPr fontId="2" type="noConversion"/>
  </si>
  <si>
    <t>WindCoast</t>
  </si>
  <si>
    <t>偶尔出现光属性的怪物,与火属性的人一起探险更容易。</t>
    <phoneticPr fontId="2" type="noConversion"/>
  </si>
  <si>
    <t>秋风之谷</t>
    <phoneticPr fontId="2" type="noConversion"/>
  </si>
  <si>
    <t>AutumnValley</t>
  </si>
  <si>
    <t>4006,4007,4015</t>
    <phoneticPr fontId="2" type="noConversion"/>
  </si>
  <si>
    <t>偶尔出现风属性的怪物,与暗属性的人一起探险更容易。</t>
    <phoneticPr fontId="2" type="noConversion"/>
  </si>
  <si>
    <t>迷之废墟</t>
    <phoneticPr fontId="2" type="noConversion"/>
  </si>
  <si>
    <t>UnnamedRuins</t>
  </si>
  <si>
    <t>4016</t>
    <phoneticPr fontId="2" type="noConversion"/>
  </si>
  <si>
    <t>偶尔出现暗属性的怪物,与光属性的人一起探险更容易。</t>
    <phoneticPr fontId="2" type="noConversion"/>
  </si>
  <si>
    <t>冬之雪原</t>
    <phoneticPr fontId="2" type="noConversion"/>
  </si>
  <si>
    <t>WinterSnowfield</t>
  </si>
  <si>
    <t>4008,4017</t>
    <phoneticPr fontId="2" type="noConversion"/>
  </si>
  <si>
    <t>偶尔出现暗属性的怪物,与光属性的人一起探险更容易。</t>
    <phoneticPr fontId="2" type="noConversion"/>
  </si>
  <si>
    <t>极寒冰隙</t>
    <phoneticPr fontId="2" type="noConversion"/>
  </si>
  <si>
    <t>IceGap</t>
  </si>
  <si>
    <t>4018</t>
    <phoneticPr fontId="2" type="noConversion"/>
  </si>
  <si>
    <t>偶尔出现冰属性的怪物,与风属性的人一起探险更容易。</t>
    <phoneticPr fontId="2" type="noConversion"/>
  </si>
  <si>
    <t>items</t>
  </si>
  <si>
    <t>skyDisplay</t>
    <phoneticPr fontId="1" type="noConversion"/>
  </si>
  <si>
    <t>白天</t>
  </si>
  <si>
    <t>黄昏</t>
  </si>
  <si>
    <t>黎明</t>
  </si>
  <si>
    <t>晚上</t>
  </si>
  <si>
    <t>室内晚上</t>
  </si>
  <si>
    <t>室内黎明</t>
  </si>
  <si>
    <t>室内白天</t>
  </si>
  <si>
    <t>室内黄昏</t>
  </si>
  <si>
    <t>dayEnvironmentDataName</t>
    <phoneticPr fontId="1" type="noConversion"/>
  </si>
  <si>
    <t>duskEnvironmentDataName</t>
    <phoneticPr fontId="1" type="noConversion"/>
  </si>
  <si>
    <t>dawnEnvironmentDataName</t>
    <phoneticPr fontId="1" type="noConversion"/>
  </si>
  <si>
    <t>nightEnvironmentDataName</t>
    <phoneticPr fontId="1" type="noConversion"/>
  </si>
  <si>
    <t>春之山脉</t>
    <phoneticPr fontId="2" type="noConversion"/>
  </si>
  <si>
    <t>瀑布洞穴</t>
    <phoneticPr fontId="2" type="noConversion"/>
  </si>
  <si>
    <t>沙漠废墟</t>
    <phoneticPr fontId="1" type="noConversion"/>
  </si>
  <si>
    <t>秋风之谷</t>
    <phoneticPr fontId="2" type="noConversion"/>
  </si>
  <si>
    <t>冬之雪原</t>
    <phoneticPr fontId="2" type="noConversion"/>
  </si>
  <si>
    <t>极寒冰隙</t>
    <phoneticPr fontId="2" type="noConversion"/>
  </si>
  <si>
    <t>110,111,112,113,114</t>
  </si>
  <si>
    <t>120,121,122,123,124</t>
  </si>
  <si>
    <t>130,131,132,133,134</t>
  </si>
  <si>
    <t>140,141,142,143,144</t>
  </si>
  <si>
    <t>150,151,152,153,154</t>
  </si>
  <si>
    <t>160,161,162,163,164</t>
  </si>
  <si>
    <t>170,171,172,173,174</t>
  </si>
  <si>
    <t>180,181,182,183,184</t>
  </si>
  <si>
    <t>201,105,241,202,296,203,297,204,104,274,273,207,280,208</t>
  </si>
  <si>
    <t>278,210,201,211,213,214,286,274,216,205,234,296,3003,218</t>
  </si>
  <si>
    <t>287,102,291,220,293,228,221,105,222,203,3005,239,223,280,270,251,238,224,296</t>
  </si>
  <si>
    <t>225,200,213,278,227,272,228,214,229,297,230,205,282,296,232,290,255,234,265</t>
  </si>
  <si>
    <t>297,223,236,212,237,104,218,296,203,238,254,239,214,289,3005,240,288,241,294,274,280,259,285</t>
  </si>
  <si>
    <t>284,296,244,200,278,245,214,255,246,292,247,3005,281,204,256,224,248,264,275,250,229,274</t>
  </si>
  <si>
    <t>251,223,269,208,290,211,253,200,261,254,288,255,236,256,246,257,270,258,285,259,279,245</t>
  </si>
  <si>
    <t>260,261,232,292,272,296,285,263,253,264,293,265,241,237,267,257,268,246</t>
  </si>
  <si>
    <t>沙漠白天</t>
    <phoneticPr fontId="1" type="noConversion"/>
  </si>
  <si>
    <t>沙漠黄昏</t>
    <phoneticPr fontId="1" type="noConversion"/>
  </si>
  <si>
    <t>沙漠黎明</t>
    <phoneticPr fontId="1" type="noConversion"/>
  </si>
  <si>
    <t>沙漠晚上</t>
    <phoneticPr fontId="1" type="noConversion"/>
  </si>
  <si>
    <t>春之山脉</t>
    <phoneticPr fontId="2" type="noConversion"/>
  </si>
  <si>
    <t>夏之丛林</t>
    <phoneticPr fontId="2" type="noConversion"/>
  </si>
  <si>
    <t>冬之雪原</t>
    <phoneticPr fontId="2" type="noConversion"/>
  </si>
  <si>
    <t>秋风之谷</t>
    <phoneticPr fontId="2" type="noConversion"/>
  </si>
  <si>
    <t>fightBGMStr</t>
  </si>
  <si>
    <t>bossBGMStr</t>
  </si>
  <si>
    <t>exploreBGMStr</t>
  </si>
  <si>
    <t>Boss战</t>
  </si>
  <si>
    <t>战斗6</t>
  </si>
  <si>
    <t>战斗7</t>
  </si>
  <si>
    <t>战斗8</t>
  </si>
  <si>
    <t>战斗3</t>
  </si>
  <si>
    <t>战斗4</t>
  </si>
  <si>
    <t>战斗1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</si>
</sst>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/>
    <xf numFmtId="49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abSelected="1" topLeftCell="B1" workbookViewId="0">
      <selection activeCell="W13" sqref="W13"/>
    </sheetView>
  </sheetViews>
  <sheetFormatPr defaultRowHeight="14.25" x14ac:dyDescent="0.2"/>
  <cols>
    <col min="1" max="1" width="16.375" style="1" customWidth="1"/>
    <col min="2" max="2" width="12.875" style="1" customWidth="1"/>
    <col min="3" max="3" width="12.25" style="1" customWidth="1"/>
    <col min="4" max="5" width="9" style="1" customWidth="1"/>
    <col min="6" max="6" width="24.25" style="4" customWidth="1"/>
    <col min="7" max="7" width="15.125" style="5" customWidth="1"/>
    <col min="8" max="16384" width="9" style="1"/>
  </cols>
  <sheetData>
    <row r="1" spans="1:23" x14ac:dyDescent="0.2">
      <c r="A1" s="1" t="s">
        <v>4</v>
      </c>
      <c r="B1" s="1" t="s">
        <v>23</v>
      </c>
    </row>
    <row r="2" spans="1:23" x14ac:dyDescent="0.2">
      <c r="A2" s="1" t="s">
        <v>0</v>
      </c>
      <c r="B2" s="1" t="s">
        <v>3</v>
      </c>
      <c r="C2" s="1" t="s">
        <v>0</v>
      </c>
      <c r="D2" s="1" t="s">
        <v>3</v>
      </c>
      <c r="E2" s="1" t="s">
        <v>7</v>
      </c>
      <c r="F2" s="4" t="s">
        <v>21</v>
      </c>
      <c r="G2" s="5" t="s">
        <v>21</v>
      </c>
      <c r="H2" s="1" t="s">
        <v>21</v>
      </c>
      <c r="I2" s="1" t="s">
        <v>20</v>
      </c>
      <c r="J2" s="1" t="s">
        <v>20</v>
      </c>
      <c r="K2" s="1" t="s">
        <v>20</v>
      </c>
      <c r="L2" s="1" t="s">
        <v>19</v>
      </c>
      <c r="M2" s="1" t="s">
        <v>19</v>
      </c>
      <c r="N2" s="1" t="s">
        <v>19</v>
      </c>
      <c r="O2" s="1" t="s">
        <v>19</v>
      </c>
      <c r="P2" s="1" t="s">
        <v>18</v>
      </c>
      <c r="Q2" s="1" t="s">
        <v>18</v>
      </c>
      <c r="R2" s="1" t="s">
        <v>18</v>
      </c>
      <c r="S2" s="1" t="s">
        <v>18</v>
      </c>
      <c r="T2" s="1" t="s">
        <v>18</v>
      </c>
      <c r="U2" s="1" t="s">
        <v>18</v>
      </c>
      <c r="V2" s="1" t="s">
        <v>18</v>
      </c>
      <c r="W2" s="1" t="s">
        <v>18</v>
      </c>
    </row>
    <row r="3" spans="1:23" ht="42.75" x14ac:dyDescent="0.2">
      <c r="A3" s="1" t="s">
        <v>5</v>
      </c>
      <c r="B3" s="1" t="s">
        <v>1</v>
      </c>
      <c r="C3" s="1" t="s">
        <v>6</v>
      </c>
      <c r="D3" s="1" t="s">
        <v>2</v>
      </c>
      <c r="E3" s="1" t="s">
        <v>8</v>
      </c>
      <c r="F3" s="4" t="s">
        <v>55</v>
      </c>
      <c r="G3" s="5" t="s">
        <v>9</v>
      </c>
      <c r="H3" s="1" t="s">
        <v>10</v>
      </c>
      <c r="I3" s="1" t="s">
        <v>56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65</v>
      </c>
      <c r="R3" s="1" t="s">
        <v>66</v>
      </c>
      <c r="S3" s="1" t="s">
        <v>67</v>
      </c>
      <c r="T3" s="1" t="s">
        <v>68</v>
      </c>
      <c r="U3" s="1" t="s">
        <v>101</v>
      </c>
      <c r="V3" s="1" t="s">
        <v>99</v>
      </c>
      <c r="W3" s="1" t="s">
        <v>100</v>
      </c>
    </row>
    <row r="4" spans="1:23" x14ac:dyDescent="0.2">
      <c r="A4" s="1" t="s">
        <v>22</v>
      </c>
      <c r="B4" s="1">
        <v>0</v>
      </c>
      <c r="D4" s="1">
        <v>0</v>
      </c>
      <c r="E4" s="1">
        <v>-8.52</v>
      </c>
      <c r="G4" s="5">
        <v>102</v>
      </c>
      <c r="I4" s="1" t="b">
        <v>1</v>
      </c>
      <c r="J4" s="1" t="b">
        <v>1</v>
      </c>
      <c r="K4" s="1" t="b">
        <v>0</v>
      </c>
      <c r="L4" s="1">
        <v>0</v>
      </c>
      <c r="M4" s="1">
        <v>12</v>
      </c>
      <c r="N4" s="1">
        <v>0</v>
      </c>
      <c r="O4" s="1">
        <v>22</v>
      </c>
      <c r="Q4" s="1" t="s">
        <v>57</v>
      </c>
      <c r="R4" s="1" t="s">
        <v>58</v>
      </c>
      <c r="S4" s="1" t="s">
        <v>59</v>
      </c>
      <c r="T4" s="1" t="s">
        <v>60</v>
      </c>
      <c r="U4" s="2" t="s">
        <v>36</v>
      </c>
      <c r="V4" s="1" t="s">
        <v>107</v>
      </c>
      <c r="W4" s="1" t="s">
        <v>102</v>
      </c>
    </row>
    <row r="5" spans="1:23" ht="28.5" x14ac:dyDescent="0.2">
      <c r="A5" s="2" t="s">
        <v>69</v>
      </c>
      <c r="B5" s="2">
        <v>4001</v>
      </c>
      <c r="C5" s="2" t="s">
        <v>95</v>
      </c>
      <c r="D5" s="1">
        <v>1</v>
      </c>
      <c r="E5" s="1">
        <v>-8.52</v>
      </c>
      <c r="F5" s="4" t="s">
        <v>83</v>
      </c>
      <c r="G5" s="5" t="s">
        <v>75</v>
      </c>
      <c r="I5" s="1" t="b">
        <v>1</v>
      </c>
      <c r="J5" s="1" t="b">
        <v>1</v>
      </c>
      <c r="K5" s="1" t="b">
        <v>0</v>
      </c>
      <c r="L5" s="1">
        <v>0</v>
      </c>
      <c r="M5" s="1">
        <v>0</v>
      </c>
      <c r="N5" s="1">
        <v>0</v>
      </c>
      <c r="O5" s="1">
        <v>23</v>
      </c>
      <c r="Q5" s="1" t="s">
        <v>57</v>
      </c>
      <c r="R5" s="1" t="s">
        <v>58</v>
      </c>
      <c r="S5" s="1" t="s">
        <v>59</v>
      </c>
      <c r="T5" s="1" t="s">
        <v>60</v>
      </c>
      <c r="U5" s="2" t="s">
        <v>95</v>
      </c>
      <c r="V5" s="1" t="s">
        <v>108</v>
      </c>
      <c r="W5" s="1" t="s">
        <v>102</v>
      </c>
    </row>
    <row r="6" spans="1:23" ht="28.5" x14ac:dyDescent="0.2">
      <c r="A6" s="2" t="s">
        <v>70</v>
      </c>
      <c r="B6" s="2">
        <v>4002</v>
      </c>
      <c r="C6" s="2" t="s">
        <v>28</v>
      </c>
      <c r="D6" s="1">
        <v>1</v>
      </c>
      <c r="E6" s="1">
        <v>-8.52</v>
      </c>
      <c r="F6" s="4" t="s">
        <v>84</v>
      </c>
      <c r="G6" s="5" t="s">
        <v>76</v>
      </c>
      <c r="I6" s="1" t="b">
        <v>1</v>
      </c>
      <c r="J6" s="1" t="b">
        <v>0</v>
      </c>
      <c r="K6" s="1" t="b">
        <v>0</v>
      </c>
      <c r="L6" s="1">
        <v>0</v>
      </c>
      <c r="M6" s="1">
        <v>0</v>
      </c>
      <c r="N6" s="1">
        <v>0</v>
      </c>
      <c r="O6" s="1">
        <v>24</v>
      </c>
      <c r="Q6" s="1" t="s">
        <v>63</v>
      </c>
      <c r="R6" s="1" t="s">
        <v>64</v>
      </c>
      <c r="S6" s="1" t="s">
        <v>62</v>
      </c>
      <c r="T6" s="1" t="s">
        <v>61</v>
      </c>
      <c r="U6" s="2" t="s">
        <v>28</v>
      </c>
      <c r="V6" s="1" t="s">
        <v>105</v>
      </c>
      <c r="W6" s="1" t="s">
        <v>102</v>
      </c>
    </row>
    <row r="7" spans="1:23" ht="28.5" x14ac:dyDescent="0.2">
      <c r="A7" s="2" t="s">
        <v>32</v>
      </c>
      <c r="B7" s="2">
        <v>4003</v>
      </c>
      <c r="C7" s="2" t="s">
        <v>96</v>
      </c>
      <c r="D7" s="1">
        <v>2</v>
      </c>
      <c r="E7" s="1">
        <v>-8.52</v>
      </c>
      <c r="F7" s="4" t="s">
        <v>85</v>
      </c>
      <c r="G7" s="5" t="s">
        <v>77</v>
      </c>
      <c r="I7" s="1" t="b">
        <v>1</v>
      </c>
      <c r="J7" s="1" t="b">
        <v>0</v>
      </c>
      <c r="K7" s="1" t="b">
        <v>0</v>
      </c>
      <c r="L7" s="1">
        <v>0</v>
      </c>
      <c r="M7" s="1">
        <v>0</v>
      </c>
      <c r="N7" s="1">
        <v>0</v>
      </c>
      <c r="O7" s="1">
        <v>25</v>
      </c>
      <c r="Q7" s="1" t="s">
        <v>57</v>
      </c>
      <c r="R7" s="1" t="s">
        <v>58</v>
      </c>
      <c r="S7" s="1" t="s">
        <v>59</v>
      </c>
      <c r="T7" s="1" t="s">
        <v>60</v>
      </c>
      <c r="U7" s="2" t="s">
        <v>96</v>
      </c>
      <c r="V7" s="1" t="s">
        <v>106</v>
      </c>
      <c r="W7" s="1" t="s">
        <v>102</v>
      </c>
    </row>
    <row r="8" spans="1:23" ht="28.5" x14ac:dyDescent="0.2">
      <c r="A8" s="2" t="s">
        <v>36</v>
      </c>
      <c r="B8" s="2">
        <v>4004</v>
      </c>
      <c r="C8" s="2" t="s">
        <v>36</v>
      </c>
      <c r="D8" s="1">
        <v>2</v>
      </c>
      <c r="E8" s="1">
        <v>-8.52</v>
      </c>
      <c r="F8" s="4" t="s">
        <v>86</v>
      </c>
      <c r="G8" s="5" t="s">
        <v>78</v>
      </c>
      <c r="I8" s="1" t="b">
        <v>1</v>
      </c>
      <c r="J8" s="1" t="b">
        <v>0</v>
      </c>
      <c r="K8" s="1" t="b">
        <v>0</v>
      </c>
      <c r="L8" s="1">
        <v>0</v>
      </c>
      <c r="M8" s="1">
        <v>0</v>
      </c>
      <c r="N8" s="1">
        <v>0</v>
      </c>
      <c r="O8" s="1">
        <v>26</v>
      </c>
      <c r="Q8" s="1" t="s">
        <v>91</v>
      </c>
      <c r="R8" s="1" t="s">
        <v>92</v>
      </c>
      <c r="S8" s="1" t="s">
        <v>93</v>
      </c>
      <c r="T8" s="1" t="s">
        <v>94</v>
      </c>
      <c r="U8" s="2" t="s">
        <v>36</v>
      </c>
      <c r="V8" s="1" t="s">
        <v>107</v>
      </c>
      <c r="W8" s="1" t="s">
        <v>102</v>
      </c>
    </row>
    <row r="9" spans="1:23" ht="28.5" x14ac:dyDescent="0.2">
      <c r="A9" s="2" t="s">
        <v>72</v>
      </c>
      <c r="B9" s="2">
        <v>4005</v>
      </c>
      <c r="C9" s="2" t="s">
        <v>98</v>
      </c>
      <c r="D9" s="1">
        <v>3</v>
      </c>
      <c r="E9" s="1">
        <v>-8.52</v>
      </c>
      <c r="F9" s="4" t="s">
        <v>87</v>
      </c>
      <c r="G9" s="5" t="s">
        <v>79</v>
      </c>
      <c r="I9" s="1" t="b">
        <v>1</v>
      </c>
      <c r="J9" s="1" t="b">
        <v>0</v>
      </c>
      <c r="K9" s="1" t="b">
        <v>0</v>
      </c>
      <c r="L9" s="1">
        <v>0</v>
      </c>
      <c r="M9" s="1">
        <v>0</v>
      </c>
      <c r="N9" s="1">
        <v>0</v>
      </c>
      <c r="O9" s="1">
        <v>27</v>
      </c>
      <c r="Q9" s="1" t="s">
        <v>57</v>
      </c>
      <c r="R9" s="1" t="s">
        <v>58</v>
      </c>
      <c r="S9" s="1" t="s">
        <v>59</v>
      </c>
      <c r="T9" s="1" t="s">
        <v>60</v>
      </c>
      <c r="U9" s="2" t="s">
        <v>98</v>
      </c>
      <c r="V9" s="1" t="s">
        <v>108</v>
      </c>
      <c r="W9" s="1" t="s">
        <v>102</v>
      </c>
    </row>
    <row r="10" spans="1:23" ht="28.5" x14ac:dyDescent="0.2">
      <c r="A10" s="2" t="s">
        <v>71</v>
      </c>
      <c r="B10" s="2">
        <v>4006</v>
      </c>
      <c r="C10" s="2" t="s">
        <v>71</v>
      </c>
      <c r="D10" s="1">
        <v>3</v>
      </c>
      <c r="E10" s="1">
        <v>-8.52</v>
      </c>
      <c r="F10" s="4" t="s">
        <v>88</v>
      </c>
      <c r="G10" s="5" t="s">
        <v>80</v>
      </c>
      <c r="I10" s="1" t="b">
        <v>1</v>
      </c>
      <c r="J10" s="1" t="b">
        <v>0</v>
      </c>
      <c r="K10" s="1" t="b">
        <v>0</v>
      </c>
      <c r="L10" s="1">
        <v>0</v>
      </c>
      <c r="M10" s="1">
        <v>0</v>
      </c>
      <c r="N10" s="1">
        <v>0</v>
      </c>
      <c r="O10" s="1">
        <v>28</v>
      </c>
      <c r="Q10" s="1" t="s">
        <v>91</v>
      </c>
      <c r="R10" s="1" t="s">
        <v>92</v>
      </c>
      <c r="S10" s="1" t="s">
        <v>93</v>
      </c>
      <c r="T10" s="1" t="s">
        <v>94</v>
      </c>
      <c r="U10" s="2" t="s">
        <v>71</v>
      </c>
      <c r="V10" s="1" t="s">
        <v>103</v>
      </c>
      <c r="W10" s="1" t="s">
        <v>102</v>
      </c>
    </row>
    <row r="11" spans="1:23" ht="28.5" x14ac:dyDescent="0.2">
      <c r="A11" s="2" t="s">
        <v>73</v>
      </c>
      <c r="B11" s="2">
        <v>4007</v>
      </c>
      <c r="C11" s="2" t="s">
        <v>97</v>
      </c>
      <c r="D11" s="1">
        <v>4</v>
      </c>
      <c r="E11" s="1">
        <v>-8.52</v>
      </c>
      <c r="F11" s="4" t="s">
        <v>89</v>
      </c>
      <c r="G11" s="5" t="s">
        <v>81</v>
      </c>
      <c r="I11" s="1" t="b">
        <v>1</v>
      </c>
      <c r="J11" s="1" t="b">
        <v>0</v>
      </c>
      <c r="K11" s="1" t="b">
        <v>0</v>
      </c>
      <c r="L11" s="1">
        <v>0</v>
      </c>
      <c r="M11" s="1">
        <v>0</v>
      </c>
      <c r="N11" s="1">
        <v>0</v>
      </c>
      <c r="O11" s="1">
        <v>29</v>
      </c>
      <c r="Q11" s="1" t="s">
        <v>91</v>
      </c>
      <c r="R11" s="1" t="s">
        <v>92</v>
      </c>
      <c r="S11" s="1" t="s">
        <v>93</v>
      </c>
      <c r="T11" s="1" t="s">
        <v>94</v>
      </c>
      <c r="U11" s="2" t="s">
        <v>97</v>
      </c>
      <c r="V11" s="1" t="s">
        <v>104</v>
      </c>
      <c r="W11" s="1" t="s">
        <v>102</v>
      </c>
    </row>
    <row r="12" spans="1:23" ht="28.5" x14ac:dyDescent="0.2">
      <c r="A12" s="2" t="s">
        <v>74</v>
      </c>
      <c r="B12" s="2">
        <v>4008</v>
      </c>
      <c r="C12" s="2" t="s">
        <v>51</v>
      </c>
      <c r="D12" s="1">
        <v>4</v>
      </c>
      <c r="E12" s="1">
        <v>-8.52</v>
      </c>
      <c r="F12" s="4" t="s">
        <v>90</v>
      </c>
      <c r="G12" s="5" t="s">
        <v>82</v>
      </c>
      <c r="I12" s="1" t="b">
        <v>1</v>
      </c>
      <c r="J12" s="1" t="b">
        <v>0</v>
      </c>
      <c r="K12" s="1" t="b">
        <v>0</v>
      </c>
      <c r="L12" s="1">
        <v>0</v>
      </c>
      <c r="M12" s="1">
        <v>0</v>
      </c>
      <c r="N12" s="1">
        <v>0</v>
      </c>
      <c r="O12" s="1">
        <v>30</v>
      </c>
      <c r="Q12" s="1" t="s">
        <v>63</v>
      </c>
      <c r="R12" s="1" t="s">
        <v>64</v>
      </c>
      <c r="S12" s="1" t="s">
        <v>62</v>
      </c>
      <c r="T12" s="1" t="s">
        <v>61</v>
      </c>
      <c r="U12" s="2" t="s">
        <v>51</v>
      </c>
      <c r="V12" s="1" t="s">
        <v>105</v>
      </c>
      <c r="W12" s="1" t="s">
        <v>102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5"/>
  <sheetViews>
    <sheetView topLeftCell="A10" workbookViewId="0">
      <selection activeCell="E31" sqref="E31"/>
    </sheetView>
  </sheetViews>
  <sheetFormatPr defaultRowHeight="14.25" x14ac:dyDescent="0.2"/>
  <sheetData>
    <row r="3" spans="2:10" x14ac:dyDescent="0.2">
      <c r="B3" s="2">
        <v>4001</v>
      </c>
      <c r="C3" s="2" t="s">
        <v>24</v>
      </c>
      <c r="D3" s="2" t="s">
        <v>25</v>
      </c>
      <c r="E3" s="2">
        <v>4</v>
      </c>
      <c r="F3" s="2">
        <v>40000</v>
      </c>
      <c r="G3" s="3" t="s">
        <v>26</v>
      </c>
      <c r="H3" s="2" t="s">
        <v>27</v>
      </c>
      <c r="I3" s="2">
        <v>0</v>
      </c>
      <c r="J3" s="2">
        <v>4</v>
      </c>
    </row>
    <row r="4" spans="2:10" x14ac:dyDescent="0.2">
      <c r="B4" s="2">
        <v>4002</v>
      </c>
      <c r="C4" s="2" t="s">
        <v>28</v>
      </c>
      <c r="D4" s="2" t="s">
        <v>29</v>
      </c>
      <c r="E4" s="2">
        <v>4</v>
      </c>
      <c r="F4" s="2">
        <v>40100</v>
      </c>
      <c r="G4" s="3" t="s">
        <v>30</v>
      </c>
      <c r="H4" s="2" t="s">
        <v>31</v>
      </c>
      <c r="I4" s="2">
        <v>0</v>
      </c>
      <c r="J4" s="2">
        <v>5</v>
      </c>
    </row>
    <row r="5" spans="2:10" x14ac:dyDescent="0.2">
      <c r="B5" s="2">
        <v>4003</v>
      </c>
      <c r="C5" s="2" t="s">
        <v>32</v>
      </c>
      <c r="D5" s="2" t="s">
        <v>33</v>
      </c>
      <c r="E5" s="2">
        <v>4</v>
      </c>
      <c r="F5" s="2">
        <v>40200</v>
      </c>
      <c r="G5" s="3" t="s">
        <v>34</v>
      </c>
      <c r="H5" s="2" t="s">
        <v>35</v>
      </c>
      <c r="I5" s="2">
        <v>0</v>
      </c>
      <c r="J5" s="2">
        <v>1</v>
      </c>
    </row>
    <row r="6" spans="2:10" x14ac:dyDescent="0.2">
      <c r="B6" s="2">
        <v>4004</v>
      </c>
      <c r="C6" s="2" t="s">
        <v>36</v>
      </c>
      <c r="D6" s="2" t="s">
        <v>37</v>
      </c>
      <c r="E6" s="2">
        <v>4</v>
      </c>
      <c r="F6" s="2">
        <v>40300</v>
      </c>
      <c r="G6" s="3">
        <v>4014</v>
      </c>
      <c r="H6" s="2" t="s">
        <v>38</v>
      </c>
      <c r="I6" s="2">
        <v>0</v>
      </c>
      <c r="J6" s="2">
        <v>2</v>
      </c>
    </row>
    <row r="7" spans="2:10" x14ac:dyDescent="0.2">
      <c r="B7" s="2">
        <v>4005</v>
      </c>
      <c r="C7" s="2" t="s">
        <v>39</v>
      </c>
      <c r="D7" s="2" t="s">
        <v>40</v>
      </c>
      <c r="E7" s="2">
        <v>4</v>
      </c>
      <c r="F7" s="2">
        <v>40400</v>
      </c>
      <c r="G7" s="3" t="s">
        <v>41</v>
      </c>
      <c r="H7" s="2" t="s">
        <v>42</v>
      </c>
      <c r="I7" s="2">
        <v>0</v>
      </c>
      <c r="J7" s="2">
        <v>4</v>
      </c>
    </row>
    <row r="8" spans="2:10" x14ac:dyDescent="0.2">
      <c r="B8" s="2">
        <v>4006</v>
      </c>
      <c r="C8" s="2" t="s">
        <v>43</v>
      </c>
      <c r="D8" s="2" t="s">
        <v>44</v>
      </c>
      <c r="E8" s="2">
        <v>4</v>
      </c>
      <c r="F8" s="2">
        <v>40500</v>
      </c>
      <c r="G8" s="3" t="s">
        <v>45</v>
      </c>
      <c r="H8" s="2" t="s">
        <v>46</v>
      </c>
      <c r="I8" s="2">
        <v>0</v>
      </c>
      <c r="J8" s="2">
        <v>3</v>
      </c>
    </row>
    <row r="9" spans="2:10" x14ac:dyDescent="0.2">
      <c r="B9" s="2">
        <v>4007</v>
      </c>
      <c r="C9" s="2" t="s">
        <v>47</v>
      </c>
      <c r="D9" s="2" t="s">
        <v>48</v>
      </c>
      <c r="E9" s="2">
        <v>4</v>
      </c>
      <c r="F9" s="2">
        <v>40600</v>
      </c>
      <c r="G9" s="3" t="s">
        <v>49</v>
      </c>
      <c r="H9" s="2" t="s">
        <v>50</v>
      </c>
      <c r="I9" s="2">
        <v>0</v>
      </c>
      <c r="J9" s="2">
        <v>3</v>
      </c>
    </row>
    <row r="10" spans="2:10" x14ac:dyDescent="0.2">
      <c r="B10" s="2">
        <v>4008</v>
      </c>
      <c r="C10" s="2" t="s">
        <v>51</v>
      </c>
      <c r="D10" s="2" t="s">
        <v>52</v>
      </c>
      <c r="E10" s="2">
        <v>4</v>
      </c>
      <c r="F10" s="2">
        <v>40700</v>
      </c>
      <c r="G10" s="3" t="s">
        <v>53</v>
      </c>
      <c r="H10" s="2" t="s">
        <v>54</v>
      </c>
      <c r="I10" s="2">
        <v>0</v>
      </c>
      <c r="J10" s="2">
        <v>5</v>
      </c>
    </row>
    <row r="14" spans="2:10" x14ac:dyDescent="0.2">
      <c r="D14" s="1">
        <v>260</v>
      </c>
      <c r="E14">
        <f>D14</f>
        <v>260</v>
      </c>
    </row>
    <row r="15" spans="2:10" x14ac:dyDescent="0.2">
      <c r="D15" s="1">
        <v>261</v>
      </c>
      <c r="E15" t="str">
        <f>E14&amp;","&amp;D15</f>
        <v>260,261</v>
      </c>
    </row>
    <row r="16" spans="2:10" x14ac:dyDescent="0.2">
      <c r="D16" s="1">
        <v>232</v>
      </c>
      <c r="E16" t="str">
        <f t="shared" ref="E16:E31" si="0">E15&amp;","&amp;D16</f>
        <v>260,261,232</v>
      </c>
    </row>
    <row r="17" spans="4:5" x14ac:dyDescent="0.2">
      <c r="D17" s="1">
        <v>292</v>
      </c>
      <c r="E17" t="str">
        <f t="shared" si="0"/>
        <v>260,261,232,292</v>
      </c>
    </row>
    <row r="18" spans="4:5" x14ac:dyDescent="0.2">
      <c r="D18" s="1">
        <v>272</v>
      </c>
      <c r="E18" t="str">
        <f t="shared" si="0"/>
        <v>260,261,232,292,272</v>
      </c>
    </row>
    <row r="19" spans="4:5" x14ac:dyDescent="0.2">
      <c r="D19" s="1">
        <v>296</v>
      </c>
      <c r="E19" t="str">
        <f t="shared" si="0"/>
        <v>260,261,232,292,272,296</v>
      </c>
    </row>
    <row r="20" spans="4:5" x14ac:dyDescent="0.2">
      <c r="D20" s="1">
        <v>285</v>
      </c>
      <c r="E20" t="str">
        <f t="shared" si="0"/>
        <v>260,261,232,292,272,296,285</v>
      </c>
    </row>
    <row r="21" spans="4:5" x14ac:dyDescent="0.2">
      <c r="D21" s="1">
        <v>263</v>
      </c>
      <c r="E21" t="str">
        <f t="shared" si="0"/>
        <v>260,261,232,292,272,296,285,263</v>
      </c>
    </row>
    <row r="22" spans="4:5" x14ac:dyDescent="0.2">
      <c r="D22" s="1">
        <v>253</v>
      </c>
      <c r="E22" t="str">
        <f t="shared" si="0"/>
        <v>260,261,232,292,272,296,285,263,253</v>
      </c>
    </row>
    <row r="23" spans="4:5" x14ac:dyDescent="0.2">
      <c r="D23" s="1">
        <v>264</v>
      </c>
      <c r="E23" t="str">
        <f t="shared" si="0"/>
        <v>260,261,232,292,272,296,285,263,253,264</v>
      </c>
    </row>
    <row r="24" spans="4:5" x14ac:dyDescent="0.2">
      <c r="D24" s="1">
        <v>293</v>
      </c>
      <c r="E24" t="str">
        <f t="shared" si="0"/>
        <v>260,261,232,292,272,296,285,263,253,264,293</v>
      </c>
    </row>
    <row r="25" spans="4:5" x14ac:dyDescent="0.2">
      <c r="D25" s="1">
        <v>265</v>
      </c>
      <c r="E25" t="str">
        <f t="shared" si="0"/>
        <v>260,261,232,292,272,296,285,263,253,264,293,265</v>
      </c>
    </row>
    <row r="26" spans="4:5" x14ac:dyDescent="0.2">
      <c r="D26" s="1">
        <v>241</v>
      </c>
      <c r="E26" t="str">
        <f t="shared" si="0"/>
        <v>260,261,232,292,272,296,285,263,253,264,293,265,241</v>
      </c>
    </row>
    <row r="27" spans="4:5" x14ac:dyDescent="0.2">
      <c r="D27" s="1">
        <v>237</v>
      </c>
      <c r="E27" t="str">
        <f t="shared" si="0"/>
        <v>260,261,232,292,272,296,285,263,253,264,293,265,241,237</v>
      </c>
    </row>
    <row r="28" spans="4:5" x14ac:dyDescent="0.2">
      <c r="D28" s="1">
        <v>267</v>
      </c>
      <c r="E28" t="str">
        <f t="shared" si="0"/>
        <v>260,261,232,292,272,296,285,263,253,264,293,265,241,237,267</v>
      </c>
    </row>
    <row r="29" spans="4:5" x14ac:dyDescent="0.2">
      <c r="D29" s="1">
        <v>257</v>
      </c>
      <c r="E29" t="str">
        <f t="shared" si="0"/>
        <v>260,261,232,292,272,296,285,263,253,264,293,265,241,237,267,257</v>
      </c>
    </row>
    <row r="30" spans="4:5" x14ac:dyDescent="0.2">
      <c r="D30" s="1">
        <v>268</v>
      </c>
      <c r="E30" t="str">
        <f t="shared" si="0"/>
        <v>260,261,232,292,272,296,285,263,253,264,293,265,241,237,267,257,268</v>
      </c>
    </row>
    <row r="31" spans="4:5" x14ac:dyDescent="0.2">
      <c r="D31" s="1">
        <v>246</v>
      </c>
      <c r="E31" t="str">
        <f t="shared" si="0"/>
        <v>260,261,232,292,272,296,285,263,253,264,293,265,241,237,267,257,268,246</v>
      </c>
    </row>
    <row r="32" spans="4:5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FightMapData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2024-10-25T13:48:54Z</dcterms:modified>
</cp:coreProperties>
</file>