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mpCharacterCreat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5" i="2" l="1"/>
  <c r="U6" i="2" s="1"/>
  <c r="U7" i="2" s="1"/>
  <c r="U8" i="2" s="1"/>
  <c r="U9" i="2" s="1"/>
  <c r="U4" i="2"/>
  <c r="U3" i="2"/>
  <c r="Q4" i="2" l="1"/>
  <c r="Q5" i="2"/>
  <c r="Q6" i="2"/>
  <c r="Q7" i="2"/>
  <c r="Q8" i="2"/>
  <c r="Q9" i="2"/>
  <c r="Q3" i="2"/>
  <c r="R3" i="2" s="1"/>
  <c r="R4" i="2" s="1"/>
  <c r="R5" i="2" s="1"/>
  <c r="R6" i="2" s="1"/>
  <c r="R7" i="2" s="1"/>
  <c r="R8" i="2" s="1"/>
  <c r="R9" i="2" s="1"/>
  <c r="E4" i="2"/>
  <c r="E5" i="2"/>
  <c r="E6" i="2"/>
  <c r="E7" i="2"/>
  <c r="E8" i="2"/>
  <c r="E9" i="2"/>
  <c r="E3" i="2"/>
  <c r="D3" i="2" s="1"/>
  <c r="D4" i="2" l="1"/>
  <c r="D5" i="2" s="1"/>
  <c r="D6" i="2" s="1"/>
  <c r="D7" i="2" s="1"/>
  <c r="D8" i="2" s="1"/>
  <c r="D9" i="2" s="1"/>
</calcChain>
</file>

<file path=xl/sharedStrings.xml><?xml version="1.0" encoding="utf-8"?>
<sst xmlns="http://schemas.openxmlformats.org/spreadsheetml/2006/main" count="140" uniqueCount="57">
  <si>
    <t>creatName</t>
  </si>
  <si>
    <t>maxCharacterCount</t>
  </si>
  <si>
    <t>tempCharacters</t>
  </si>
  <si>
    <t>int</t>
  </si>
  <si>
    <t>string</t>
  </si>
  <si>
    <t>int</t>
    <phoneticPr fontId="1" type="noConversion"/>
  </si>
  <si>
    <t>id</t>
    <phoneticPr fontId="1" type="noConversion"/>
  </si>
  <si>
    <t>住宅区人群</t>
    <phoneticPr fontId="1" type="noConversion"/>
  </si>
  <si>
    <t>nt[]</t>
  </si>
  <si>
    <t>cds</t>
  </si>
  <si>
    <t>int[]</t>
  </si>
  <si>
    <t xml:space="preserve">int[] </t>
  </si>
  <si>
    <t>tempTimeRanges</t>
  </si>
  <si>
    <t>6,0,8,0,8,0,17,0,17,0,19,0,19,0,23,0,23,0,24,0,0,0,2,0,2,0,6,0</t>
  </si>
  <si>
    <t>8,16,4,8,6,12,8,16,16,32,32,64,600,600</t>
  </si>
  <si>
    <t>老公公</t>
  </si>
  <si>
    <t>老英雄</t>
  </si>
  <si>
    <t>小孩</t>
  </si>
  <si>
    <t>小花</t>
  </si>
  <si>
    <t>小丑</t>
    <phoneticPr fontId="1" type="noConversion"/>
  </si>
  <si>
    <t>匪徒</t>
  </si>
  <si>
    <t>格斗家</t>
  </si>
  <si>
    <t>官员</t>
  </si>
  <si>
    <t>贵族骑士</t>
    <phoneticPr fontId="1" type="noConversion"/>
  </si>
  <si>
    <t>女轻战士</t>
  </si>
  <si>
    <t>女战士</t>
  </si>
  <si>
    <t>骑士</t>
  </si>
  <si>
    <t>轻战士</t>
  </si>
  <si>
    <t>商人</t>
  </si>
  <si>
    <t>双辫女孩</t>
  </si>
  <si>
    <t>兔女郎</t>
  </si>
  <si>
    <t>武士</t>
  </si>
  <si>
    <t>小混混</t>
  </si>
  <si>
    <t>小美</t>
  </si>
  <si>
    <t>小男孩</t>
  </si>
  <si>
    <t>小男孩2</t>
  </si>
  <si>
    <t>小女孩</t>
  </si>
  <si>
    <t>小女孩2</t>
  </si>
  <si>
    <t>异国女子</t>
  </si>
  <si>
    <t>勇者男</t>
  </si>
  <si>
    <t>勇者女</t>
  </si>
  <si>
    <t>游侠</t>
  </si>
  <si>
    <t>战斗学者</t>
  </si>
  <si>
    <t>侦探</t>
  </si>
  <si>
    <t>制服小孩</t>
  </si>
  <si>
    <t>重装女战士</t>
  </si>
  <si>
    <t>重装战士</t>
  </si>
  <si>
    <t>老公公</t>
    <phoneticPr fontId="1" type="noConversion"/>
  </si>
  <si>
    <t>50000,50001,50002,50003,50004,50005,0</t>
  </si>
  <si>
    <t>gameTimeRanges</t>
    <phoneticPr fontId="1" type="noConversion"/>
  </si>
  <si>
    <t>测试消费</t>
    <phoneticPr fontId="1" type="noConversion"/>
  </si>
  <si>
    <t>路人女</t>
  </si>
  <si>
    <t>路人男</t>
  </si>
  <si>
    <t>中年路人女</t>
  </si>
  <si>
    <t>中年路人男</t>
  </si>
  <si>
    <t>红发小孩</t>
  </si>
  <si>
    <t>黄衣服小女孩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</si>
</sst>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3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5"/>
  <sheetViews>
    <sheetView tabSelected="1" workbookViewId="0">
      <selection activeCell="F20" sqref="F20"/>
    </sheetView>
  </sheetViews>
  <sheetFormatPr defaultRowHeight="14.25" x14ac:dyDescent="0.2"/>
  <cols>
    <col min="2" max="2" width="16.625" customWidth="1"/>
    <col min="3" max="3" width="17.5" customWidth="1"/>
    <col min="4" max="4" width="26" style="1" customWidth="1"/>
    <col min="5" max="5" width="29.125" style="1" customWidth="1"/>
    <col min="6" max="6" width="35.25" style="1" customWidth="1"/>
    <col min="7" max="7" width="16.625" customWidth="1"/>
  </cols>
  <sheetData>
    <row r="2" spans="1:7" x14ac:dyDescent="0.2">
      <c r="A2" t="s">
        <v>5</v>
      </c>
      <c r="B2" t="s">
        <v>4</v>
      </c>
      <c r="C2" t="s">
        <v>3</v>
      </c>
      <c r="D2" s="1" t="s">
        <v>8</v>
      </c>
      <c r="E2" s="1" t="s">
        <v>10</v>
      </c>
      <c r="F2" s="1" t="s">
        <v>8</v>
      </c>
      <c r="G2" t="s">
        <v>11</v>
      </c>
    </row>
    <row r="3" spans="1:7" s="1" customFormat="1" x14ac:dyDescent="0.2">
      <c r="A3" s="1" t="s">
        <v>6</v>
      </c>
      <c r="B3" s="1" t="s">
        <v>0</v>
      </c>
      <c r="C3" s="1" t="s">
        <v>1</v>
      </c>
      <c r="D3" s="1" t="s">
        <v>49</v>
      </c>
      <c r="E3" s="1" t="s">
        <v>9</v>
      </c>
      <c r="F3" s="1" t="s">
        <v>12</v>
      </c>
      <c r="G3" s="1" t="s">
        <v>2</v>
      </c>
    </row>
    <row r="4" spans="1:7" ht="42.75" x14ac:dyDescent="0.2">
      <c r="A4">
        <v>1</v>
      </c>
      <c r="B4" t="s">
        <v>50</v>
      </c>
      <c r="C4">
        <v>10</v>
      </c>
      <c r="D4" s="1" t="s">
        <v>13</v>
      </c>
      <c r="E4" s="1" t="s">
        <v>14</v>
      </c>
      <c r="F4" s="1" t="s">
        <v>13</v>
      </c>
      <c r="G4" s="1" t="s">
        <v>48</v>
      </c>
    </row>
    <row r="5" spans="1:7" ht="42.75" x14ac:dyDescent="0.2">
      <c r="A5">
        <v>1000</v>
      </c>
      <c r="B5" t="s">
        <v>7</v>
      </c>
      <c r="C5">
        <v>10</v>
      </c>
      <c r="D5" s="1" t="s">
        <v>13</v>
      </c>
      <c r="E5" s="1" t="s">
        <v>14</v>
      </c>
      <c r="F5" s="1" t="s">
        <v>13</v>
      </c>
      <c r="G5" s="1" t="s">
        <v>48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AN29"/>
  <sheetViews>
    <sheetView topLeftCell="Q1" workbookViewId="0">
      <selection activeCell="AE19" sqref="AE19"/>
    </sheetView>
  </sheetViews>
  <sheetFormatPr defaultRowHeight="14.25" x14ac:dyDescent="0.2"/>
  <cols>
    <col min="6" max="12" width="3.5" customWidth="1"/>
    <col min="18" max="18" width="27.125" customWidth="1"/>
    <col min="20" max="20" width="11.125" customWidth="1"/>
  </cols>
  <sheetData>
    <row r="3" spans="4:40" x14ac:dyDescent="0.2">
      <c r="D3" t="str">
        <f>E3</f>
        <v>6,0,8,0</v>
      </c>
      <c r="E3" t="str">
        <f>F3&amp;","&amp;G3&amp;","&amp;H3&amp;","&amp;I3</f>
        <v>6,0,8,0</v>
      </c>
      <c r="F3">
        <v>6</v>
      </c>
      <c r="G3">
        <v>0</v>
      </c>
      <c r="H3">
        <v>8</v>
      </c>
      <c r="I3">
        <v>0</v>
      </c>
      <c r="N3">
        <v>8</v>
      </c>
      <c r="O3">
        <v>16</v>
      </c>
      <c r="Q3" t="str">
        <f>N3&amp;","&amp;O3</f>
        <v>8,16</v>
      </c>
      <c r="R3" t="str">
        <f>Q3</f>
        <v>8,16</v>
      </c>
      <c r="T3">
        <v>50000</v>
      </c>
      <c r="U3">
        <f>T3</f>
        <v>50000</v>
      </c>
      <c r="V3" s="1" t="s">
        <v>47</v>
      </c>
      <c r="W3" s="2" t="s">
        <v>16</v>
      </c>
      <c r="X3" s="1" t="s">
        <v>17</v>
      </c>
      <c r="Y3" s="1" t="s">
        <v>18</v>
      </c>
      <c r="Z3" s="1" t="s">
        <v>34</v>
      </c>
      <c r="AA3" s="1" t="s">
        <v>36</v>
      </c>
      <c r="AB3" s="1" t="s">
        <v>33</v>
      </c>
      <c r="AC3" s="2" t="s">
        <v>31</v>
      </c>
      <c r="AD3" s="2" t="s">
        <v>38</v>
      </c>
      <c r="AF3" t="s">
        <v>51</v>
      </c>
      <c r="AG3" t="s">
        <v>52</v>
      </c>
    </row>
    <row r="4" spans="4:40" ht="28.5" x14ac:dyDescent="0.2">
      <c r="D4" t="str">
        <f>D3&amp;","&amp;E4</f>
        <v>6,0,8,0,8,0,17,0</v>
      </c>
      <c r="E4" t="str">
        <f t="shared" ref="E4:E9" si="0">F4&amp;","&amp;G4&amp;","&amp;H4&amp;","&amp;I4</f>
        <v>8,0,17,0</v>
      </c>
      <c r="F4">
        <v>8</v>
      </c>
      <c r="G4">
        <v>0</v>
      </c>
      <c r="H4">
        <v>17</v>
      </c>
      <c r="I4">
        <v>0</v>
      </c>
      <c r="N4">
        <v>4</v>
      </c>
      <c r="O4">
        <v>8</v>
      </c>
      <c r="Q4" t="str">
        <f t="shared" ref="Q4:Q9" si="1">N4&amp;","&amp;O4</f>
        <v>4,8</v>
      </c>
      <c r="R4" t="str">
        <f>R3&amp;","&amp;Q4</f>
        <v>8,16,4,8</v>
      </c>
      <c r="T4">
        <v>50001</v>
      </c>
      <c r="U4" t="str">
        <f>U3&amp;","&amp;T4</f>
        <v>50000,50001</v>
      </c>
      <c r="V4" s="1" t="s">
        <v>47</v>
      </c>
      <c r="W4" s="1" t="s">
        <v>17</v>
      </c>
      <c r="X4" s="1" t="s">
        <v>18</v>
      </c>
      <c r="Y4" s="1" t="s">
        <v>34</v>
      </c>
      <c r="Z4" s="1" t="s">
        <v>36</v>
      </c>
      <c r="AA4" s="1" t="s">
        <v>31</v>
      </c>
      <c r="AB4" s="1" t="s">
        <v>38</v>
      </c>
      <c r="AC4" s="1" t="s">
        <v>24</v>
      </c>
      <c r="AD4" s="1" t="s">
        <v>25</v>
      </c>
      <c r="AE4" s="2" t="s">
        <v>39</v>
      </c>
      <c r="AF4" s="2" t="s">
        <v>40</v>
      </c>
      <c r="AG4" s="2" t="s">
        <v>45</v>
      </c>
      <c r="AH4" s="2" t="s">
        <v>46</v>
      </c>
      <c r="AI4" s="3" t="s">
        <v>53</v>
      </c>
      <c r="AJ4" s="3" t="s">
        <v>54</v>
      </c>
      <c r="AK4" s="3" t="s">
        <v>51</v>
      </c>
      <c r="AL4" s="3" t="s">
        <v>52</v>
      </c>
    </row>
    <row r="5" spans="4:40" ht="28.5" x14ac:dyDescent="0.2">
      <c r="D5" t="str">
        <f t="shared" ref="D5:D9" si="2">D4&amp;","&amp;E5</f>
        <v>6,0,8,0,8,0,17,0,17,0,19,0</v>
      </c>
      <c r="E5" t="str">
        <f t="shared" si="0"/>
        <v>17,0,19,0</v>
      </c>
      <c r="F5">
        <v>17</v>
      </c>
      <c r="G5">
        <v>0</v>
      </c>
      <c r="H5">
        <v>19</v>
      </c>
      <c r="I5">
        <v>0</v>
      </c>
      <c r="N5">
        <v>6</v>
      </c>
      <c r="O5">
        <v>12</v>
      </c>
      <c r="Q5" t="str">
        <f t="shared" si="1"/>
        <v>6,12</v>
      </c>
      <c r="R5" t="str">
        <f t="shared" ref="R5:R9" si="3">R4&amp;","&amp;Q5</f>
        <v>8,16,4,8,6,12</v>
      </c>
      <c r="T5">
        <v>50002</v>
      </c>
      <c r="U5" t="str">
        <f t="shared" ref="U5:U9" si="4">U4&amp;","&amp;T5</f>
        <v>50000,50001,50002</v>
      </c>
      <c r="V5" s="1" t="s">
        <v>47</v>
      </c>
      <c r="W5" s="1" t="s">
        <v>22</v>
      </c>
      <c r="X5" s="1" t="s">
        <v>23</v>
      </c>
      <c r="Y5" s="1" t="s">
        <v>28</v>
      </c>
      <c r="Z5" s="1" t="s">
        <v>31</v>
      </c>
      <c r="AA5" s="1" t="s">
        <v>38</v>
      </c>
      <c r="AB5" s="1" t="s">
        <v>24</v>
      </c>
      <c r="AC5" s="1" t="s">
        <v>25</v>
      </c>
      <c r="AD5" s="1" t="s">
        <v>39</v>
      </c>
      <c r="AE5" s="1" t="s">
        <v>40</v>
      </c>
      <c r="AF5" s="2" t="s">
        <v>45</v>
      </c>
      <c r="AG5" s="2" t="s">
        <v>46</v>
      </c>
      <c r="AH5" s="1" t="s">
        <v>33</v>
      </c>
      <c r="AI5" s="3" t="s">
        <v>55</v>
      </c>
      <c r="AJ5" s="3" t="s">
        <v>56</v>
      </c>
      <c r="AK5" s="3" t="s">
        <v>53</v>
      </c>
      <c r="AL5" s="3" t="s">
        <v>54</v>
      </c>
      <c r="AM5" s="3" t="s">
        <v>51</v>
      </c>
      <c r="AN5" s="3" t="s">
        <v>52</v>
      </c>
    </row>
    <row r="6" spans="4:40" x14ac:dyDescent="0.2">
      <c r="D6" t="str">
        <f t="shared" si="2"/>
        <v>6,0,8,0,8,0,17,0,17,0,19,0,19,0,23,0</v>
      </c>
      <c r="E6" t="str">
        <f t="shared" si="0"/>
        <v>19,0,23,0</v>
      </c>
      <c r="F6">
        <v>19</v>
      </c>
      <c r="G6">
        <v>0</v>
      </c>
      <c r="H6">
        <v>23</v>
      </c>
      <c r="I6">
        <v>0</v>
      </c>
      <c r="N6">
        <v>8</v>
      </c>
      <c r="O6">
        <v>16</v>
      </c>
      <c r="Q6" t="str">
        <f t="shared" si="1"/>
        <v>8,16</v>
      </c>
      <c r="R6" t="str">
        <f t="shared" si="3"/>
        <v>8,16,4,8,6,12,8,16</v>
      </c>
      <c r="T6">
        <v>50003</v>
      </c>
      <c r="U6" t="str">
        <f t="shared" si="4"/>
        <v>50000,50001,50002,50003</v>
      </c>
      <c r="V6" s="1" t="s">
        <v>47</v>
      </c>
      <c r="W6" s="1" t="s">
        <v>19</v>
      </c>
      <c r="X6" s="1" t="s">
        <v>30</v>
      </c>
      <c r="Y6" s="1" t="s">
        <v>20</v>
      </c>
      <c r="Z6" s="1" t="s">
        <v>21</v>
      </c>
      <c r="AA6" s="1" t="s">
        <v>32</v>
      </c>
      <c r="AB6" s="1" t="s">
        <v>41</v>
      </c>
      <c r="AC6" s="1" t="s">
        <v>42</v>
      </c>
      <c r="AD6" s="1" t="s">
        <v>43</v>
      </c>
      <c r="AE6" s="1" t="s">
        <v>16</v>
      </c>
      <c r="AF6" s="1" t="s">
        <v>18</v>
      </c>
      <c r="AG6" s="1" t="s">
        <v>33</v>
      </c>
      <c r="AH6" s="3" t="s">
        <v>53</v>
      </c>
      <c r="AI6" s="3" t="s">
        <v>54</v>
      </c>
      <c r="AJ6" s="3" t="s">
        <v>51</v>
      </c>
      <c r="AK6" s="3" t="s">
        <v>52</v>
      </c>
      <c r="AL6" s="3" t="s">
        <v>55</v>
      </c>
      <c r="AM6" s="3" t="s">
        <v>56</v>
      </c>
    </row>
    <row r="7" spans="4:40" x14ac:dyDescent="0.2">
      <c r="D7" t="str">
        <f t="shared" si="2"/>
        <v>6,0,8,0,8,0,17,0,17,0,19,0,19,0,23,0,23,0,24,0</v>
      </c>
      <c r="E7" t="str">
        <f t="shared" si="0"/>
        <v>23,0,24,0</v>
      </c>
      <c r="F7">
        <v>23</v>
      </c>
      <c r="G7">
        <v>0</v>
      </c>
      <c r="H7">
        <v>24</v>
      </c>
      <c r="I7">
        <v>0</v>
      </c>
      <c r="N7">
        <v>16</v>
      </c>
      <c r="O7">
        <v>32</v>
      </c>
      <c r="Q7" t="str">
        <f t="shared" si="1"/>
        <v>16,32</v>
      </c>
      <c r="R7" t="str">
        <f t="shared" si="3"/>
        <v>8,16,4,8,6,12,8,16,16,32</v>
      </c>
      <c r="T7">
        <v>50004</v>
      </c>
      <c r="U7" t="str">
        <f t="shared" si="4"/>
        <v>50000,50001,50002,50003,50004</v>
      </c>
      <c r="V7" s="1" t="s">
        <v>19</v>
      </c>
      <c r="W7" s="1" t="s">
        <v>30</v>
      </c>
      <c r="X7" s="1" t="s">
        <v>20</v>
      </c>
      <c r="Y7" s="1" t="s">
        <v>21</v>
      </c>
      <c r="Z7" s="1" t="s">
        <v>32</v>
      </c>
      <c r="AA7" s="1" t="s">
        <v>41</v>
      </c>
      <c r="AB7" s="1" t="s">
        <v>42</v>
      </c>
      <c r="AC7" s="1" t="s">
        <v>43</v>
      </c>
      <c r="AD7" s="3" t="s">
        <v>53</v>
      </c>
      <c r="AE7" s="3" t="s">
        <v>54</v>
      </c>
      <c r="AF7" s="3" t="s">
        <v>51</v>
      </c>
      <c r="AG7" s="3" t="s">
        <v>52</v>
      </c>
    </row>
    <row r="8" spans="4:40" x14ac:dyDescent="0.2">
      <c r="D8" t="str">
        <f t="shared" si="2"/>
        <v>6,0,8,0,8,0,17,0,17,0,19,0,19,0,23,0,23,0,24,0,0,0,2,0</v>
      </c>
      <c r="E8" t="str">
        <f t="shared" si="0"/>
        <v>0,0,2,0</v>
      </c>
      <c r="F8">
        <v>0</v>
      </c>
      <c r="G8">
        <v>0</v>
      </c>
      <c r="H8">
        <v>2</v>
      </c>
      <c r="I8">
        <v>0</v>
      </c>
      <c r="N8">
        <v>32</v>
      </c>
      <c r="O8">
        <v>64</v>
      </c>
      <c r="Q8" t="str">
        <f t="shared" si="1"/>
        <v>32,64</v>
      </c>
      <c r="R8" t="str">
        <f t="shared" si="3"/>
        <v>8,16,4,8,6,12,8,16,16,32,32,64</v>
      </c>
      <c r="T8">
        <v>50005</v>
      </c>
      <c r="U8" t="str">
        <f t="shared" si="4"/>
        <v>50000,50001,50002,50003,50004,50005</v>
      </c>
      <c r="V8" t="s">
        <v>20</v>
      </c>
      <c r="W8" t="s">
        <v>21</v>
      </c>
      <c r="X8" t="s">
        <v>32</v>
      </c>
      <c r="Y8" t="s">
        <v>41</v>
      </c>
      <c r="Z8" t="s">
        <v>42</v>
      </c>
      <c r="AA8" t="s">
        <v>43</v>
      </c>
      <c r="AB8" s="3" t="s">
        <v>53</v>
      </c>
      <c r="AC8" s="3" t="s">
        <v>54</v>
      </c>
    </row>
    <row r="9" spans="4:40" x14ac:dyDescent="0.2">
      <c r="D9" t="str">
        <f t="shared" si="2"/>
        <v>6,0,8,0,8,0,17,0,17,0,19,0,19,0,23,0,23,0,24,0,0,0,2,0,2,0,6,0</v>
      </c>
      <c r="E9" t="str">
        <f t="shared" si="0"/>
        <v>2,0,6,0</v>
      </c>
      <c r="F9">
        <v>2</v>
      </c>
      <c r="G9">
        <v>0</v>
      </c>
      <c r="H9">
        <v>6</v>
      </c>
      <c r="I9">
        <v>0</v>
      </c>
      <c r="N9">
        <v>600</v>
      </c>
      <c r="O9">
        <v>600</v>
      </c>
      <c r="Q9" t="str">
        <f t="shared" si="1"/>
        <v>600,600</v>
      </c>
      <c r="R9" t="str">
        <f t="shared" si="3"/>
        <v>8,16,4,8,6,12,8,16,16,32,32,64,600,600</v>
      </c>
      <c r="T9">
        <v>0</v>
      </c>
      <c r="U9" t="str">
        <f t="shared" si="4"/>
        <v>50000,50001,50002,50003,50004,50005,0</v>
      </c>
      <c r="V9" t="s">
        <v>32</v>
      </c>
    </row>
    <row r="17" spans="18:25" x14ac:dyDescent="0.2">
      <c r="R17" s="1" t="s">
        <v>15</v>
      </c>
      <c r="U17" s="1" t="s">
        <v>19</v>
      </c>
      <c r="W17" s="1" t="s">
        <v>22</v>
      </c>
      <c r="Y17" s="1" t="s">
        <v>24</v>
      </c>
    </row>
    <row r="18" spans="18:25" x14ac:dyDescent="0.2">
      <c r="R18" s="1" t="s">
        <v>16</v>
      </c>
      <c r="U18" s="1" t="s">
        <v>30</v>
      </c>
      <c r="W18" s="1" t="s">
        <v>23</v>
      </c>
      <c r="Y18" s="1" t="s">
        <v>25</v>
      </c>
    </row>
    <row r="19" spans="18:25" x14ac:dyDescent="0.2">
      <c r="U19" s="1" t="s">
        <v>20</v>
      </c>
      <c r="W19" s="1" t="s">
        <v>28</v>
      </c>
      <c r="Y19" s="1" t="s">
        <v>26</v>
      </c>
    </row>
    <row r="20" spans="18:25" x14ac:dyDescent="0.2">
      <c r="U20" s="1" t="s">
        <v>21</v>
      </c>
      <c r="Y20" s="1" t="s">
        <v>27</v>
      </c>
    </row>
    <row r="21" spans="18:25" x14ac:dyDescent="0.2">
      <c r="R21" s="1" t="s">
        <v>17</v>
      </c>
      <c r="U21" s="1" t="s">
        <v>32</v>
      </c>
    </row>
    <row r="22" spans="18:25" x14ac:dyDescent="0.2">
      <c r="R22" s="1" t="s">
        <v>18</v>
      </c>
      <c r="U22" s="1" t="s">
        <v>41</v>
      </c>
    </row>
    <row r="23" spans="18:25" x14ac:dyDescent="0.2">
      <c r="R23" s="1" t="s">
        <v>29</v>
      </c>
      <c r="U23" s="1" t="s">
        <v>42</v>
      </c>
      <c r="Y23" s="1" t="s">
        <v>39</v>
      </c>
    </row>
    <row r="24" spans="18:25" x14ac:dyDescent="0.2">
      <c r="R24" s="1" t="s">
        <v>33</v>
      </c>
      <c r="U24" s="1" t="s">
        <v>43</v>
      </c>
      <c r="Y24" s="1" t="s">
        <v>40</v>
      </c>
    </row>
    <row r="25" spans="18:25" ht="28.5" x14ac:dyDescent="0.2">
      <c r="R25" s="1" t="s">
        <v>34</v>
      </c>
      <c r="Y25" s="1" t="s">
        <v>45</v>
      </c>
    </row>
    <row r="26" spans="18:25" x14ac:dyDescent="0.2">
      <c r="R26" s="1" t="s">
        <v>35</v>
      </c>
      <c r="Y26" s="1" t="s">
        <v>46</v>
      </c>
    </row>
    <row r="27" spans="18:25" x14ac:dyDescent="0.2">
      <c r="R27" s="1" t="s">
        <v>36</v>
      </c>
    </row>
    <row r="28" spans="18:25" x14ac:dyDescent="0.2">
      <c r="R28" s="1" t="s">
        <v>37</v>
      </c>
    </row>
    <row r="29" spans="18:25" x14ac:dyDescent="0.2">
      <c r="R29" s="1" t="s">
        <v>44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TempCharacterCreatData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2024-07-14T14:45:58Z</dcterms:modified>
</cp:coreProperties>
</file>