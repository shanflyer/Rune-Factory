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0" yWindow="0" windowWidth="28800" windowHeight="12120"/>
  </bookViews>
  <sheets>
    <sheet name="MonsterData" sheetId="1" r:id="rId1"/>
    <sheet name="Sheet2" sheetId="2" r:id="rId2"/>
    <sheet name="Sheet3" sheetId="3" r:id="rId3"/>
    <sheet name="Sheet1" sheetId="4" r:id="rId4"/>
  </sheets>
  <externalReferences>
    <externalReference r:id="rId5"/>
  </externalReferences>
  <definedNames>
    <definedName name="_xlnm._FilterDatabase" localSheetId="1" hidden="1">Sheet2!$H$16:$J$100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04" i="2" l="1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D183" i="2"/>
  <c r="D103" i="2"/>
  <c r="E104" i="2"/>
  <c r="F104" i="2" s="1"/>
  <c r="E105" i="2"/>
  <c r="E106" i="2"/>
  <c r="E107" i="2"/>
  <c r="E108" i="2"/>
  <c r="E109" i="2"/>
  <c r="E110" i="2"/>
  <c r="F110" i="2" s="1"/>
  <c r="E111" i="2"/>
  <c r="E112" i="2"/>
  <c r="F112" i="2" s="1"/>
  <c r="E113" i="2"/>
  <c r="E114" i="2"/>
  <c r="E115" i="2"/>
  <c r="E116" i="2"/>
  <c r="E117" i="2"/>
  <c r="F117" i="2" s="1"/>
  <c r="E118" i="2"/>
  <c r="E119" i="2"/>
  <c r="E120" i="2"/>
  <c r="F120" i="2" s="1"/>
  <c r="E121" i="2"/>
  <c r="E122" i="2"/>
  <c r="E123" i="2"/>
  <c r="E124" i="2"/>
  <c r="E125" i="2"/>
  <c r="E126" i="2"/>
  <c r="F126" i="2" s="1"/>
  <c r="E127" i="2"/>
  <c r="E128" i="2"/>
  <c r="F128" i="2" s="1"/>
  <c r="E129" i="2"/>
  <c r="E130" i="2"/>
  <c r="E131" i="2"/>
  <c r="E132" i="2"/>
  <c r="E133" i="2"/>
  <c r="F133" i="2" s="1"/>
  <c r="E134" i="2"/>
  <c r="E135" i="2"/>
  <c r="E136" i="2"/>
  <c r="F136" i="2" s="1"/>
  <c r="E137" i="2"/>
  <c r="E138" i="2"/>
  <c r="E139" i="2"/>
  <c r="E140" i="2"/>
  <c r="E141" i="2"/>
  <c r="E142" i="2"/>
  <c r="F142" i="2" s="1"/>
  <c r="E143" i="2"/>
  <c r="E144" i="2"/>
  <c r="F144" i="2" s="1"/>
  <c r="E145" i="2"/>
  <c r="E146" i="2"/>
  <c r="E147" i="2"/>
  <c r="E148" i="2"/>
  <c r="E149" i="2"/>
  <c r="F149" i="2" s="1"/>
  <c r="E150" i="2"/>
  <c r="E151" i="2"/>
  <c r="E152" i="2"/>
  <c r="F152" i="2" s="1"/>
  <c r="E153" i="2"/>
  <c r="E154" i="2"/>
  <c r="E155" i="2"/>
  <c r="E156" i="2"/>
  <c r="E157" i="2"/>
  <c r="E158" i="2"/>
  <c r="F158" i="2" s="1"/>
  <c r="E159" i="2"/>
  <c r="E160" i="2"/>
  <c r="F160" i="2" s="1"/>
  <c r="E161" i="2"/>
  <c r="E162" i="2"/>
  <c r="E163" i="2"/>
  <c r="E164" i="2"/>
  <c r="E165" i="2"/>
  <c r="F165" i="2" s="1"/>
  <c r="E166" i="2"/>
  <c r="E167" i="2"/>
  <c r="E168" i="2"/>
  <c r="F168" i="2" s="1"/>
  <c r="E169" i="2"/>
  <c r="E170" i="2"/>
  <c r="E171" i="2"/>
  <c r="E172" i="2"/>
  <c r="E173" i="2"/>
  <c r="E174" i="2"/>
  <c r="F174" i="2" s="1"/>
  <c r="E175" i="2"/>
  <c r="E176" i="2"/>
  <c r="F176" i="2" s="1"/>
  <c r="E177" i="2"/>
  <c r="E178" i="2"/>
  <c r="E179" i="2"/>
  <c r="E180" i="2"/>
  <c r="E181" i="2"/>
  <c r="F181" i="2" s="1"/>
  <c r="E182" i="2"/>
  <c r="E183" i="2"/>
  <c r="E103" i="2"/>
  <c r="F105" i="2"/>
  <c r="F106" i="2"/>
  <c r="F107" i="2"/>
  <c r="F108" i="2"/>
  <c r="F109" i="2"/>
  <c r="F111" i="2"/>
  <c r="F113" i="2"/>
  <c r="F114" i="2"/>
  <c r="F115" i="2"/>
  <c r="F116" i="2"/>
  <c r="F118" i="2"/>
  <c r="F119" i="2"/>
  <c r="F121" i="2"/>
  <c r="F122" i="2"/>
  <c r="F123" i="2"/>
  <c r="F124" i="2"/>
  <c r="F125" i="2"/>
  <c r="F127" i="2"/>
  <c r="F129" i="2"/>
  <c r="F130" i="2"/>
  <c r="F131" i="2"/>
  <c r="F132" i="2"/>
  <c r="F134" i="2"/>
  <c r="F135" i="2"/>
  <c r="F137" i="2"/>
  <c r="F138" i="2"/>
  <c r="F139" i="2"/>
  <c r="F140" i="2"/>
  <c r="F141" i="2"/>
  <c r="F143" i="2"/>
  <c r="F145" i="2"/>
  <c r="F146" i="2"/>
  <c r="F147" i="2"/>
  <c r="F148" i="2"/>
  <c r="F150" i="2"/>
  <c r="F151" i="2"/>
  <c r="F153" i="2"/>
  <c r="F154" i="2"/>
  <c r="F155" i="2"/>
  <c r="F156" i="2"/>
  <c r="F157" i="2"/>
  <c r="F159" i="2"/>
  <c r="F161" i="2"/>
  <c r="F162" i="2"/>
  <c r="F163" i="2"/>
  <c r="F164" i="2"/>
  <c r="F166" i="2"/>
  <c r="F167" i="2"/>
  <c r="F169" i="2"/>
  <c r="F170" i="2"/>
  <c r="F171" i="2"/>
  <c r="F172" i="2"/>
  <c r="F173" i="2"/>
  <c r="F175" i="2"/>
  <c r="F177" i="2"/>
  <c r="F178" i="2"/>
  <c r="F179" i="2"/>
  <c r="F180" i="2"/>
  <c r="F182" i="2"/>
  <c r="F183" i="2"/>
  <c r="F103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9" i="2"/>
  <c r="U5" i="3" l="1"/>
  <c r="V5" i="3"/>
  <c r="W5" i="3"/>
  <c r="U6" i="3"/>
  <c r="V6" i="3"/>
  <c r="W6" i="3"/>
  <c r="U7" i="3"/>
  <c r="V7" i="3"/>
  <c r="W7" i="3"/>
  <c r="U8" i="3"/>
  <c r="V8" i="3"/>
  <c r="W8" i="3"/>
  <c r="U9" i="3"/>
  <c r="V9" i="3"/>
  <c r="W9" i="3"/>
  <c r="U10" i="3"/>
  <c r="V10" i="3"/>
  <c r="W10" i="3"/>
  <c r="U11" i="3"/>
  <c r="V11" i="3"/>
  <c r="W11" i="3"/>
  <c r="U12" i="3"/>
  <c r="V12" i="3"/>
  <c r="W12" i="3"/>
  <c r="U13" i="3"/>
  <c r="V13" i="3"/>
  <c r="W13" i="3"/>
  <c r="U14" i="3"/>
  <c r="V14" i="3"/>
  <c r="W14" i="3"/>
  <c r="U15" i="3"/>
  <c r="V15" i="3"/>
  <c r="W15" i="3"/>
  <c r="U16" i="3"/>
  <c r="V16" i="3"/>
  <c r="W16" i="3"/>
  <c r="U17" i="3"/>
  <c r="V17" i="3"/>
  <c r="W17" i="3"/>
  <c r="U18" i="3"/>
  <c r="V18" i="3"/>
  <c r="W18" i="3"/>
  <c r="U19" i="3"/>
  <c r="V19" i="3"/>
  <c r="W19" i="3"/>
  <c r="U20" i="3"/>
  <c r="V20" i="3"/>
  <c r="W20" i="3"/>
  <c r="U21" i="3"/>
  <c r="V21" i="3"/>
  <c r="W21" i="3"/>
  <c r="U22" i="3"/>
  <c r="V22" i="3"/>
  <c r="W22" i="3"/>
  <c r="U23" i="3"/>
  <c r="V23" i="3"/>
  <c r="W23" i="3"/>
  <c r="U24" i="3"/>
  <c r="V24" i="3"/>
  <c r="W24" i="3"/>
  <c r="U25" i="3"/>
  <c r="V25" i="3"/>
  <c r="W25" i="3"/>
  <c r="U26" i="3"/>
  <c r="V26" i="3"/>
  <c r="W26" i="3"/>
  <c r="U27" i="3"/>
  <c r="V27" i="3"/>
  <c r="W27" i="3"/>
  <c r="U28" i="3"/>
  <c r="V28" i="3"/>
  <c r="W28" i="3"/>
  <c r="U29" i="3"/>
  <c r="V29" i="3"/>
  <c r="W29" i="3"/>
  <c r="U30" i="3"/>
  <c r="V30" i="3"/>
  <c r="W30" i="3"/>
  <c r="U31" i="3"/>
  <c r="V31" i="3"/>
  <c r="W31" i="3"/>
  <c r="U32" i="3"/>
  <c r="V32" i="3"/>
  <c r="W32" i="3"/>
  <c r="U33" i="3"/>
  <c r="V33" i="3"/>
  <c r="W33" i="3"/>
  <c r="U34" i="3"/>
  <c r="V34" i="3"/>
  <c r="W34" i="3"/>
  <c r="U35" i="3"/>
  <c r="V35" i="3"/>
  <c r="W35" i="3"/>
  <c r="U36" i="3"/>
  <c r="V36" i="3"/>
  <c r="W36" i="3"/>
  <c r="U37" i="3"/>
  <c r="V37" i="3"/>
  <c r="W37" i="3"/>
  <c r="U38" i="3"/>
  <c r="V38" i="3"/>
  <c r="W38" i="3"/>
  <c r="U39" i="3"/>
  <c r="V39" i="3"/>
  <c r="W39" i="3"/>
  <c r="U40" i="3"/>
  <c r="V40" i="3"/>
  <c r="W40" i="3"/>
  <c r="U41" i="3"/>
  <c r="V41" i="3"/>
  <c r="W41" i="3"/>
  <c r="U42" i="3"/>
  <c r="V42" i="3"/>
  <c r="W42" i="3"/>
  <c r="U43" i="3"/>
  <c r="V43" i="3"/>
  <c r="W43" i="3"/>
  <c r="U44" i="3"/>
  <c r="V44" i="3"/>
  <c r="W44" i="3"/>
  <c r="U45" i="3"/>
  <c r="V45" i="3"/>
  <c r="W45" i="3"/>
  <c r="U46" i="3"/>
  <c r="V46" i="3"/>
  <c r="W46" i="3"/>
  <c r="U47" i="3"/>
  <c r="V47" i="3"/>
  <c r="W47" i="3"/>
  <c r="U48" i="3"/>
  <c r="V48" i="3"/>
  <c r="W48" i="3"/>
  <c r="U49" i="3"/>
  <c r="V49" i="3"/>
  <c r="W49" i="3"/>
  <c r="U50" i="3"/>
  <c r="V50" i="3"/>
  <c r="W50" i="3"/>
  <c r="U51" i="3"/>
  <c r="V51" i="3"/>
  <c r="W51" i="3"/>
  <c r="U52" i="3"/>
  <c r="V52" i="3"/>
  <c r="W52" i="3"/>
  <c r="U53" i="3"/>
  <c r="V53" i="3"/>
  <c r="W53" i="3"/>
  <c r="U54" i="3"/>
  <c r="V54" i="3"/>
  <c r="W54" i="3"/>
  <c r="U55" i="3"/>
  <c r="V55" i="3"/>
  <c r="W55" i="3"/>
  <c r="U56" i="3"/>
  <c r="V56" i="3"/>
  <c r="W56" i="3"/>
  <c r="U57" i="3"/>
  <c r="V57" i="3"/>
  <c r="W57" i="3"/>
  <c r="U58" i="3"/>
  <c r="V58" i="3"/>
  <c r="W58" i="3"/>
  <c r="U59" i="3"/>
  <c r="V59" i="3"/>
  <c r="W59" i="3"/>
  <c r="U60" i="3"/>
  <c r="V60" i="3"/>
  <c r="W60" i="3"/>
  <c r="U61" i="3"/>
  <c r="V61" i="3"/>
  <c r="W61" i="3"/>
  <c r="U62" i="3"/>
  <c r="V62" i="3"/>
  <c r="W62" i="3"/>
  <c r="U63" i="3"/>
  <c r="V63" i="3"/>
  <c r="W63" i="3"/>
  <c r="U64" i="3"/>
  <c r="V64" i="3"/>
  <c r="W64" i="3"/>
  <c r="U65" i="3"/>
  <c r="V65" i="3"/>
  <c r="W65" i="3"/>
  <c r="U66" i="3"/>
  <c r="V66" i="3"/>
  <c r="W66" i="3"/>
  <c r="U67" i="3"/>
  <c r="V67" i="3"/>
  <c r="W67" i="3"/>
  <c r="U68" i="3"/>
  <c r="V68" i="3"/>
  <c r="W68" i="3"/>
  <c r="U69" i="3"/>
  <c r="V69" i="3"/>
  <c r="W69" i="3"/>
  <c r="U70" i="3"/>
  <c r="V70" i="3"/>
  <c r="W70" i="3"/>
  <c r="U71" i="3"/>
  <c r="V71" i="3"/>
  <c r="W71" i="3"/>
  <c r="U72" i="3"/>
  <c r="V72" i="3"/>
  <c r="W72" i="3"/>
  <c r="U73" i="3"/>
  <c r="V73" i="3"/>
  <c r="W73" i="3"/>
  <c r="U74" i="3"/>
  <c r="V74" i="3"/>
  <c r="W74" i="3"/>
  <c r="U75" i="3"/>
  <c r="V75" i="3"/>
  <c r="W75" i="3"/>
  <c r="U76" i="3"/>
  <c r="V76" i="3"/>
  <c r="W76" i="3"/>
  <c r="U77" i="3"/>
  <c r="V77" i="3"/>
  <c r="W77" i="3"/>
  <c r="U78" i="3"/>
  <c r="V78" i="3"/>
  <c r="W78" i="3"/>
  <c r="U79" i="3"/>
  <c r="V79" i="3"/>
  <c r="W79" i="3"/>
  <c r="U80" i="3"/>
  <c r="V80" i="3"/>
  <c r="W80" i="3"/>
  <c r="U81" i="3"/>
  <c r="V81" i="3"/>
  <c r="W81" i="3"/>
  <c r="U82" i="3"/>
  <c r="V82" i="3"/>
  <c r="W82" i="3"/>
  <c r="U83" i="3"/>
  <c r="V83" i="3"/>
  <c r="W83" i="3"/>
  <c r="U84" i="3"/>
  <c r="V84" i="3"/>
  <c r="W84" i="3"/>
  <c r="V4" i="3"/>
  <c r="W4" i="3"/>
  <c r="U4" i="3"/>
</calcChain>
</file>

<file path=xl/comments1.xml><?xml version="1.0" encoding="utf-8"?>
<comments xmlns="http://schemas.openxmlformats.org/spreadsheetml/2006/main">
  <authors>
    <author>flyer</author>
  </authors>
  <commentList>
    <comment ref="K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默认0   刀剑攻击1 长矛攻击2 斧子攻击3 咬4 爪5 鞭6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<sst xmlns="http://schemas.openxmlformats.org/spreadsheetml/2006/main" count="1204" uniqueCount="572">
  <si>
    <t>int</t>
  </si>
  <si>
    <t>string</t>
  </si>
  <si>
    <t>float</t>
  </si>
  <si>
    <t>List&lt;int&gt;</t>
  </si>
  <si>
    <t>id</t>
  </si>
  <si>
    <t>monsterName</t>
  </si>
  <si>
    <t>HP</t>
  </si>
  <si>
    <t>AT</t>
  </si>
  <si>
    <t>DF</t>
  </si>
  <si>
    <t>Lucky</t>
  </si>
  <si>
    <t>attributeType</t>
  </si>
  <si>
    <t>monsterDescription</t>
  </si>
  <si>
    <t>SpriteName</t>
  </si>
  <si>
    <t>scale</t>
  </si>
  <si>
    <t>skills</t>
  </si>
  <si>
    <t>dropId</t>
  </si>
  <si>
    <t>exp</t>
  </si>
  <si>
    <t>behaviorId</t>
  </si>
  <si>
    <t>史莱姆</t>
  </si>
  <si>
    <t>测试怪物</t>
  </si>
  <si>
    <t>抱石溪蛙</t>
  </si>
  <si>
    <t>翼耳兽</t>
  </si>
  <si>
    <t>绿毛龟</t>
  </si>
  <si>
    <t>长颈兽</t>
  </si>
  <si>
    <t>哥布林</t>
  </si>
  <si>
    <t>豺狼哥布林</t>
  </si>
  <si>
    <t>忍者龟</t>
  </si>
  <si>
    <t>史莱克</t>
  </si>
  <si>
    <t>功夫青蛙</t>
  </si>
  <si>
    <t>风之精灵</t>
  </si>
  <si>
    <t>粘液史莱姆</t>
  </si>
  <si>
    <t>岩蚁</t>
  </si>
  <si>
    <t>狼蝠</t>
  </si>
  <si>
    <t>刺猬</t>
  </si>
  <si>
    <t>蜘蛛</t>
  </si>
  <si>
    <t>岩石怪</t>
  </si>
  <si>
    <t>穴居怪</t>
  </si>
  <si>
    <t>地下鱼人</t>
  </si>
  <si>
    <t>蚁王</t>
  </si>
  <si>
    <t>石巨人</t>
  </si>
  <si>
    <t>小毒菇</t>
  </si>
  <si>
    <t>枯树精</t>
  </si>
  <si>
    <t>邪眼</t>
  </si>
  <si>
    <t>彩虹鸟</t>
  </si>
  <si>
    <t>藤蔓怪</t>
  </si>
  <si>
    <t>鹿</t>
  </si>
  <si>
    <t>蜜蜂</t>
  </si>
  <si>
    <t>幼虎</t>
  </si>
  <si>
    <t>狮蛇兽</t>
  </si>
  <si>
    <t>绿皮怪</t>
  </si>
  <si>
    <t>水母</t>
  </si>
  <si>
    <t>海胆</t>
  </si>
  <si>
    <t>水族</t>
  </si>
  <si>
    <t>海盗鸟</t>
  </si>
  <si>
    <t>火烈鸟</t>
  </si>
  <si>
    <t>寄居蟹</t>
  </si>
  <si>
    <t>蓝鳄</t>
  </si>
  <si>
    <t>水之精灵</t>
  </si>
  <si>
    <t>巨齿鲨</t>
  </si>
  <si>
    <t>螺巨人</t>
  </si>
  <si>
    <t>松鼠</t>
  </si>
  <si>
    <t>貘</t>
  </si>
  <si>
    <t>部落巫医</t>
  </si>
  <si>
    <t>土龙</t>
  </si>
  <si>
    <t>毒蛇</t>
  </si>
  <si>
    <t>大黄蜂</t>
  </si>
  <si>
    <t>食人花</t>
  </si>
  <si>
    <t>大象</t>
  </si>
  <si>
    <t>牛头酋长</t>
  </si>
  <si>
    <t>猪人首领</t>
  </si>
  <si>
    <t>沙漠巨蝎</t>
  </si>
  <si>
    <t>尖叫仙人掌</t>
  </si>
  <si>
    <t>木乃伊</t>
  </si>
  <si>
    <t>牛头恶灵</t>
  </si>
  <si>
    <t>黄金蚂蚁</t>
  </si>
  <si>
    <t>邪法师</t>
  </si>
  <si>
    <t>沙兀鹫</t>
  </si>
  <si>
    <t>小偷</t>
  </si>
  <si>
    <t>宝箱恶魔</t>
  </si>
  <si>
    <t>骷髅战士</t>
  </si>
  <si>
    <t>雪兔</t>
  </si>
  <si>
    <t>幻影猫</t>
  </si>
  <si>
    <t>灰狼</t>
  </si>
  <si>
    <t>雪人</t>
  </si>
  <si>
    <t>雪原熊</t>
  </si>
  <si>
    <t>扭曲僵尸</t>
  </si>
  <si>
    <t>骷髅咒师</t>
  </si>
  <si>
    <t>幽灵</t>
  </si>
  <si>
    <t>巨狼</t>
  </si>
  <si>
    <t>吸血鬼</t>
  </si>
  <si>
    <t>企鹅</t>
  </si>
  <si>
    <t>冰恶魔</t>
  </si>
  <si>
    <t>冰霜史莱姆</t>
  </si>
  <si>
    <t>梦魇</t>
  </si>
  <si>
    <t>寒冬渡鸦</t>
  </si>
  <si>
    <t>魅魔</t>
  </si>
  <si>
    <t>恶魔之眼</t>
  </si>
  <si>
    <t>冰牛怪</t>
  </si>
  <si>
    <t>异鬼</t>
  </si>
  <si>
    <t>死神</t>
  </si>
  <si>
    <t>竹笋</t>
  </si>
  <si>
    <t>向日葵</t>
  </si>
  <si>
    <t>海风草</t>
  </si>
  <si>
    <t>雏菊</t>
  </si>
  <si>
    <t>蔓越莓</t>
  </si>
  <si>
    <t>桔梗</t>
  </si>
  <si>
    <t>椰子</t>
  </si>
  <si>
    <t>核桃</t>
  </si>
  <si>
    <t>铃兰</t>
  </si>
  <si>
    <t>蘑菇</t>
  </si>
  <si>
    <t>香蕉</t>
  </si>
  <si>
    <t>桃花</t>
  </si>
  <si>
    <t>桃子</t>
  </si>
  <si>
    <t>海螺</t>
  </si>
  <si>
    <t>疾风草</t>
  </si>
  <si>
    <t>闪避草</t>
  </si>
  <si>
    <t>玻璃瓶</t>
  </si>
  <si>
    <t>玫瑰</t>
  </si>
  <si>
    <t>树枝</t>
  </si>
  <si>
    <t>石块</t>
  </si>
  <si>
    <t>纯净之水</t>
  </si>
  <si>
    <t>芜菁种子</t>
  </si>
  <si>
    <t>干草</t>
  </si>
  <si>
    <t>龟壳</t>
  </si>
  <si>
    <t>废铁</t>
  </si>
  <si>
    <t>兽皮</t>
  </si>
  <si>
    <t>刀刃</t>
  </si>
  <si>
    <t>布片</t>
  </si>
  <si>
    <t>木棒</t>
  </si>
  <si>
    <t>焦炭</t>
  </si>
  <si>
    <t>鳞片</t>
  </si>
  <si>
    <t>石英砂</t>
  </si>
  <si>
    <t>草药茶</t>
  </si>
  <si>
    <t>武道精华</t>
  </si>
  <si>
    <t>风晶石</t>
  </si>
  <si>
    <t>幻影水晶</t>
  </si>
  <si>
    <t>粘液</t>
  </si>
  <si>
    <t>化石</t>
  </si>
  <si>
    <t>花</t>
  </si>
  <si>
    <t>野果</t>
  </si>
  <si>
    <t>珠宝</t>
  </si>
  <si>
    <t>琥珀</t>
  </si>
  <si>
    <t>狼牙</t>
  </si>
  <si>
    <t>尖刺</t>
  </si>
  <si>
    <t>蛛丝</t>
  </si>
  <si>
    <t>粘土</t>
  </si>
  <si>
    <t>魔力之土</t>
  </si>
  <si>
    <t>盐矿</t>
  </si>
  <si>
    <t>珍珠</t>
  </si>
  <si>
    <t>酸味香料</t>
  </si>
  <si>
    <t>铁矿</t>
  </si>
  <si>
    <t>土晶石</t>
  </si>
  <si>
    <t>迷幻孢子</t>
  </si>
  <si>
    <t>原木</t>
  </si>
  <si>
    <t>萤火树汁</t>
  </si>
  <si>
    <t>眼球</t>
  </si>
  <si>
    <t>魅惑药水</t>
  </si>
  <si>
    <t>彩色羽毛</t>
  </si>
  <si>
    <t>植物的藤</t>
  </si>
  <si>
    <t>鹿角</t>
  </si>
  <si>
    <t>蜂蜜</t>
  </si>
  <si>
    <t>魔兽皮毛</t>
  </si>
  <si>
    <t>雷鸣宝珠</t>
  </si>
  <si>
    <t>妖精粉</t>
  </si>
  <si>
    <t>奇美拉之翼</t>
  </si>
  <si>
    <t>野兔</t>
  </si>
  <si>
    <t>牧草</t>
  </si>
  <si>
    <t>电偶瓶</t>
  </si>
  <si>
    <t>珊瑚</t>
  </si>
  <si>
    <t>火晶石</t>
  </si>
  <si>
    <t>防水皮革</t>
  </si>
  <si>
    <t>水晶石</t>
  </si>
  <si>
    <t>月之光华</t>
  </si>
  <si>
    <t>亡者之土</t>
  </si>
  <si>
    <t>星的眼泪</t>
  </si>
  <si>
    <t>松果</t>
  </si>
  <si>
    <t>神奇泥浆</t>
  </si>
  <si>
    <t>银块</t>
  </si>
  <si>
    <t>蛇皮</t>
  </si>
  <si>
    <t>蜂刺</t>
  </si>
  <si>
    <t>毒淤泥</t>
  </si>
  <si>
    <t>象牙</t>
  </si>
  <si>
    <t>兽角</t>
  </si>
  <si>
    <t>恶魔花瓣</t>
  </si>
  <si>
    <t>仙人掌</t>
  </si>
  <si>
    <t>脏绷带</t>
  </si>
  <si>
    <t>力量果实</t>
  </si>
  <si>
    <t>图腾号角</t>
  </si>
  <si>
    <t>幽魂</t>
  </si>
  <si>
    <t>魔族之血</t>
  </si>
  <si>
    <t>暮光结晶</t>
  </si>
  <si>
    <t>金块</t>
  </si>
  <si>
    <t>白磷粉末</t>
  </si>
  <si>
    <t>木材</t>
  </si>
  <si>
    <t>暗夜之露</t>
  </si>
  <si>
    <t>远古的硬币</t>
  </si>
  <si>
    <t>遗骨</t>
  </si>
  <si>
    <t>木炭</t>
  </si>
  <si>
    <t>贤者晶石</t>
  </si>
  <si>
    <t>雪球</t>
  </si>
  <si>
    <t>夜之幕</t>
  </si>
  <si>
    <t>骑士之证</t>
  </si>
  <si>
    <t>咒术药水</t>
  </si>
  <si>
    <t>诅咒宝珠</t>
  </si>
  <si>
    <t>人狼之证</t>
  </si>
  <si>
    <t>冰晶石</t>
  </si>
  <si>
    <t>冰的结晶</t>
  </si>
  <si>
    <t>彩色的布</t>
  </si>
  <si>
    <t>石化之眼</t>
  </si>
  <si>
    <t>贵族徽章</t>
  </si>
  <si>
    <t>寒冰气息</t>
  </si>
  <si>
    <t>寒冰火种</t>
  </si>
  <si>
    <t>纯净之水</t>
    <phoneticPr fontId="1" type="noConversion"/>
  </si>
  <si>
    <t>纯净之水</t>
    <phoneticPr fontId="1" type="noConversion"/>
  </si>
  <si>
    <t>废铁</t>
    <phoneticPr fontId="1" type="noConversion"/>
  </si>
  <si>
    <t>兽皮</t>
    <phoneticPr fontId="1" type="noConversion"/>
  </si>
  <si>
    <t>布片</t>
    <phoneticPr fontId="1" type="noConversion"/>
  </si>
  <si>
    <t>刀刃</t>
    <phoneticPr fontId="1" type="noConversion"/>
  </si>
  <si>
    <t>鳞片</t>
    <phoneticPr fontId="1" type="noConversion"/>
  </si>
  <si>
    <t>珍珠</t>
    <phoneticPr fontId="1" type="noConversion"/>
  </si>
  <si>
    <t>琥珀</t>
    <phoneticPr fontId="1" type="noConversion"/>
  </si>
  <si>
    <t>盐矿</t>
    <phoneticPr fontId="1" type="noConversion"/>
  </si>
  <si>
    <t>石块</t>
    <phoneticPr fontId="1" type="noConversion"/>
  </si>
  <si>
    <t>龟壳</t>
    <phoneticPr fontId="1" type="noConversion"/>
  </si>
  <si>
    <t>蜂刺</t>
    <phoneticPr fontId="1" type="noConversion"/>
  </si>
  <si>
    <t>蜂蜜</t>
    <phoneticPr fontId="1" type="noConversion"/>
  </si>
  <si>
    <t>蛇皮</t>
    <phoneticPr fontId="1" type="noConversion"/>
  </si>
  <si>
    <t>武道精华</t>
    <phoneticPr fontId="1" type="noConversion"/>
  </si>
  <si>
    <t>木棒</t>
    <phoneticPr fontId="1" type="noConversion"/>
  </si>
  <si>
    <t>银块</t>
    <phoneticPr fontId="1" type="noConversion"/>
  </si>
  <si>
    <t>恶魔花瓣</t>
    <phoneticPr fontId="1" type="noConversion"/>
  </si>
  <si>
    <t>草药茶</t>
    <phoneticPr fontId="1" type="noConversion"/>
  </si>
  <si>
    <t>象牙</t>
    <phoneticPr fontId="1" type="noConversion"/>
  </si>
  <si>
    <t>神奇泥浆</t>
    <phoneticPr fontId="1" type="noConversion"/>
  </si>
  <si>
    <t>魔兽皮毛</t>
    <phoneticPr fontId="1" type="noConversion"/>
  </si>
  <si>
    <t>土晶石</t>
    <phoneticPr fontId="1" type="noConversion"/>
  </si>
  <si>
    <t>兽皮</t>
    <phoneticPr fontId="1" type="noConversion"/>
  </si>
  <si>
    <t>粘液</t>
    <phoneticPr fontId="1" type="noConversion"/>
  </si>
  <si>
    <t>暮光结晶</t>
    <phoneticPr fontId="1" type="noConversion"/>
  </si>
  <si>
    <t>蜂蜜</t>
    <phoneticPr fontId="1" type="noConversion"/>
  </si>
  <si>
    <t>彩色的布</t>
    <phoneticPr fontId="1" type="noConversion"/>
  </si>
  <si>
    <t>尖刺</t>
    <phoneticPr fontId="1" type="noConversion"/>
  </si>
  <si>
    <t>彩色羽毛</t>
    <phoneticPr fontId="1" type="noConversion"/>
  </si>
  <si>
    <t>恶魔花瓣</t>
    <phoneticPr fontId="1" type="noConversion"/>
  </si>
  <si>
    <t>龟壳</t>
    <phoneticPr fontId="1" type="noConversion"/>
  </si>
  <si>
    <t>幻影水晶</t>
    <phoneticPr fontId="1" type="noConversion"/>
  </si>
  <si>
    <t>狼牙</t>
    <phoneticPr fontId="1" type="noConversion"/>
  </si>
  <si>
    <t>兽皮</t>
    <phoneticPr fontId="1" type="noConversion"/>
  </si>
  <si>
    <t>粘土</t>
    <phoneticPr fontId="1" type="noConversion"/>
  </si>
  <si>
    <t>彩色的布</t>
    <phoneticPr fontId="1" type="noConversion"/>
  </si>
  <si>
    <t>鹿角</t>
    <phoneticPr fontId="1" type="noConversion"/>
  </si>
  <si>
    <t>鹿角</t>
    <phoneticPr fontId="1" type="noConversion"/>
  </si>
  <si>
    <t>蛛丝</t>
    <phoneticPr fontId="1" type="noConversion"/>
  </si>
  <si>
    <t>蛛丝</t>
    <phoneticPr fontId="1" type="noConversion"/>
  </si>
  <si>
    <t>兽角</t>
    <phoneticPr fontId="1" type="noConversion"/>
  </si>
  <si>
    <t>纯净之水</t>
    <phoneticPr fontId="1" type="noConversion"/>
  </si>
  <si>
    <t>废铁</t>
    <phoneticPr fontId="1" type="noConversion"/>
  </si>
  <si>
    <t>焦炭</t>
    <phoneticPr fontId="1" type="noConversion"/>
  </si>
  <si>
    <t>Speed</t>
    <phoneticPr fontId="1" type="noConversion"/>
  </si>
  <si>
    <t>召唤小青蛙</t>
    <phoneticPr fontId="1" type="noConversion"/>
  </si>
  <si>
    <t>眩晕</t>
  </si>
  <si>
    <t>眩晕</t>
    <phoneticPr fontId="1" type="noConversion"/>
  </si>
  <si>
    <t>中毒</t>
  </si>
  <si>
    <t>中毒</t>
    <phoneticPr fontId="1" type="noConversion"/>
  </si>
  <si>
    <t>致幻</t>
    <phoneticPr fontId="1" type="noConversion"/>
  </si>
  <si>
    <t>利爪</t>
    <phoneticPr fontId="1" type="noConversion"/>
  </si>
  <si>
    <t>电击1</t>
    <phoneticPr fontId="1" type="noConversion"/>
  </si>
  <si>
    <t>流血</t>
  </si>
  <si>
    <t>流血</t>
    <phoneticPr fontId="1" type="noConversion"/>
  </si>
  <si>
    <t>振奋</t>
    <phoneticPr fontId="1" type="noConversion"/>
  </si>
  <si>
    <t>减速</t>
    <phoneticPr fontId="1" type="noConversion"/>
  </si>
  <si>
    <t>召唤</t>
    <phoneticPr fontId="1" type="noConversion"/>
  </si>
  <si>
    <t>分裂</t>
    <phoneticPr fontId="1" type="noConversion"/>
  </si>
  <si>
    <t>攻击</t>
    <phoneticPr fontId="1" type="noConversion"/>
  </si>
  <si>
    <t>吸血</t>
    <phoneticPr fontId="1" type="noConversion"/>
  </si>
  <si>
    <t>石化</t>
    <phoneticPr fontId="1" type="noConversion"/>
  </si>
  <si>
    <t>收割</t>
    <phoneticPr fontId="1" type="noConversion"/>
  </si>
  <si>
    <t>镜之刃</t>
  </si>
  <si>
    <t>自动反击</t>
  </si>
  <si>
    <t>剑刃波动</t>
  </si>
  <si>
    <t>刀剑架势</t>
    <phoneticPr fontId="1" type="noConversion"/>
  </si>
  <si>
    <t>一定几率反射敌人攻击造成的一半伤害</t>
  </si>
  <si>
    <t>一定几率受到攻击后自动进行反击</t>
  </si>
  <si>
    <t>攻击单个敌人时低概率处罚额外的溅射伤害</t>
  </si>
  <si>
    <t>一定几率大幅提升本回合的灵巧值</t>
  </si>
  <si>
    <t>奇迹斩</t>
    <phoneticPr fontId="1" type="noConversion"/>
  </si>
  <si>
    <t>隼之斩</t>
  </si>
  <si>
    <t>剑舞</t>
  </si>
  <si>
    <t>横扫千军</t>
  </si>
  <si>
    <t>强力斩</t>
  </si>
  <si>
    <t>刃之防御</t>
  </si>
  <si>
    <t>对单个敌人进行2次高速的攻击</t>
  </si>
  <si>
    <t>随机对敌人攻击4次</t>
  </si>
  <si>
    <t>对全体敌人造成巨大伤害</t>
  </si>
  <si>
    <t>对单个敌人造成巨大伤害的攻击</t>
  </si>
  <si>
    <t>提升一名同伴的防御力3个回合</t>
  </si>
  <si>
    <t>对敌单体攻击，并恢复一定血量</t>
    <phoneticPr fontId="1" type="noConversion"/>
  </si>
  <si>
    <t>沉睡之剑</t>
    <phoneticPr fontId="1" type="noConversion"/>
  </si>
  <si>
    <t>攻击单个敌人，一定概率使其睡眠</t>
  </si>
  <si>
    <t>疾风爪</t>
  </si>
  <si>
    <t>裂钢爪</t>
  </si>
  <si>
    <t>虎搏爪</t>
    <phoneticPr fontId="1" type="noConversion"/>
  </si>
  <si>
    <t>龙击爪</t>
  </si>
  <si>
    <t>对一个敌人快速攻击两次</t>
  </si>
  <si>
    <t>对单个敌人进行强力攻击并降防御3回合</t>
  </si>
  <si>
    <t>对单个敌人进行强力攻击并一定几率使其眩晕2回合</t>
  </si>
  <si>
    <t>对一个敌人的要害进行极其强烈的攻击</t>
  </si>
  <si>
    <t>睡神猎杀</t>
  </si>
  <si>
    <t>死神狩猎</t>
  </si>
  <si>
    <t>对睡眠等定身的敌人造成6倍伤害</t>
  </si>
  <si>
    <t>对流血等持续受伤的敌人造成6倍伤害</t>
  </si>
  <si>
    <t>爆裂爪</t>
  </si>
  <si>
    <t>爆裂</t>
  </si>
  <si>
    <t>鹰切爪</t>
  </si>
  <si>
    <t>涂毒</t>
  </si>
  <si>
    <t>晶石风暴</t>
  </si>
  <si>
    <t>攻击一个敌人并对其他敌人造成溅射伤害。</t>
    <phoneticPr fontId="1" type="noConversion"/>
  </si>
  <si>
    <t>对单个敌人进行强力攻击并一定几率使其流血</t>
  </si>
  <si>
    <t>对武器涂抹毒药，3回合内一定几率使敌人中毒</t>
  </si>
  <si>
    <t>一次性抛出1000晶石，无视敌方防御造成100伤害</t>
  </si>
  <si>
    <t>name</t>
  </si>
  <si>
    <t>刀剑架势</t>
  </si>
  <si>
    <t>暗影步伐</t>
  </si>
  <si>
    <t>晶石之手</t>
  </si>
  <si>
    <t>偷窃之手</t>
  </si>
  <si>
    <t>神秘之悟</t>
  </si>
  <si>
    <t>回音之悟</t>
  </si>
  <si>
    <t>元素之悟</t>
  </si>
  <si>
    <t>魔道之悟</t>
  </si>
  <si>
    <t>圣女守护</t>
  </si>
  <si>
    <t>圣主眷恋</t>
  </si>
  <si>
    <t>祷告微风</t>
  </si>
  <si>
    <t>英灵守护</t>
  </si>
  <si>
    <t>斩击</t>
  </si>
  <si>
    <t>爪击</t>
  </si>
  <si>
    <t>敲击</t>
  </si>
  <si>
    <t>奥术弹</t>
  </si>
  <si>
    <t>撞击</t>
  </si>
  <si>
    <t>冲刺</t>
  </si>
  <si>
    <t>咬击</t>
  </si>
  <si>
    <t>史莱姆水滴</t>
  </si>
  <si>
    <t>十字冲击</t>
  </si>
  <si>
    <t>怪物飞弹</t>
  </si>
  <si>
    <t>奇迹斩</t>
  </si>
  <si>
    <t>急救电击</t>
  </si>
  <si>
    <t>保护</t>
  </si>
  <si>
    <t>口哨</t>
  </si>
  <si>
    <t>沉睡之剑</t>
  </si>
  <si>
    <t>虎搏爪</t>
  </si>
  <si>
    <t>蓄力</t>
  </si>
  <si>
    <t>沉睡诅咒</t>
  </si>
  <si>
    <t>封魔秘术</t>
  </si>
  <si>
    <t>会心必中</t>
  </si>
  <si>
    <t>万物归零</t>
  </si>
  <si>
    <t>奥术之星</t>
  </si>
  <si>
    <t>极寒冰箭</t>
  </si>
  <si>
    <t>雷电之罚</t>
  </si>
  <si>
    <t>沙尘风暴</t>
  </si>
  <si>
    <t>烈焰冲击</t>
  </si>
  <si>
    <t>魔女之吻</t>
  </si>
  <si>
    <t>奥术觉醒</t>
  </si>
  <si>
    <t>魔结界</t>
  </si>
  <si>
    <t>冥想</t>
  </si>
  <si>
    <t>祝福之杖</t>
  </si>
  <si>
    <t>治愈之杖</t>
  </si>
  <si>
    <t>复活之杖</t>
  </si>
  <si>
    <t>苏醒之杖</t>
  </si>
  <si>
    <t>能量传递</t>
  </si>
  <si>
    <t>祝福之雨</t>
  </si>
  <si>
    <t>恶灵驱逐</t>
  </si>
  <si>
    <t>圣愈之风</t>
  </si>
  <si>
    <t>牺牲惩戒</t>
  </si>
  <si>
    <t>光之波动</t>
  </si>
  <si>
    <t>怪物火弹</t>
  </si>
  <si>
    <t>火之息</t>
  </si>
  <si>
    <t>怪物电弹</t>
  </si>
  <si>
    <t>冰之息</t>
  </si>
  <si>
    <t>冰弹</t>
  </si>
  <si>
    <t>箭矢</t>
  </si>
  <si>
    <t>激光眼</t>
  </si>
  <si>
    <t>投石</t>
  </si>
  <si>
    <t>地刺</t>
  </si>
  <si>
    <t>紧缚</t>
  </si>
  <si>
    <t>风之刃</t>
  </si>
  <si>
    <t>奥术冰弹</t>
  </si>
  <si>
    <t>喷冰2</t>
  </si>
  <si>
    <t>烈焰枪</t>
  </si>
  <si>
    <t>熔岩地刺</t>
  </si>
  <si>
    <t>爆裂咬</t>
  </si>
  <si>
    <t>冰弹齐射</t>
  </si>
  <si>
    <t>投冰块</t>
  </si>
  <si>
    <t>雪崩</t>
  </si>
  <si>
    <t>切割</t>
  </si>
  <si>
    <t>抛骨头</t>
  </si>
  <si>
    <t>刀波</t>
  </si>
  <si>
    <t>震地</t>
  </si>
  <si>
    <t>爆裂刺杀</t>
  </si>
  <si>
    <t>致盲黑云</t>
  </si>
  <si>
    <t>奇迹斩(怪物)</t>
  </si>
  <si>
    <t>喷火(怪物)</t>
  </si>
  <si>
    <t>横扫千军(怪物)</t>
  </si>
  <si>
    <t>自我恢复(怪物)</t>
  </si>
  <si>
    <t>喷冰(怪物)</t>
  </si>
  <si>
    <t>祝福之雨(怪物)</t>
  </si>
  <si>
    <t>震地（牛）</t>
  </si>
  <si>
    <t>斩击(流血)</t>
  </si>
  <si>
    <t>咬击(中毒)</t>
  </si>
  <si>
    <t>怪物飞弹(致盲)</t>
  </si>
  <si>
    <t>咬击（火螃蟹）</t>
  </si>
  <si>
    <t>敲击(晕</t>
  </si>
  <si>
    <t>爪击(流血)</t>
  </si>
  <si>
    <t>怪物飞弹(沉睡)</t>
  </si>
  <si>
    <t>怪物飞弹(混乱)</t>
  </si>
  <si>
    <t>怪物飞弹(分散)</t>
  </si>
  <si>
    <t>音波</t>
  </si>
  <si>
    <t>震地（da）</t>
  </si>
  <si>
    <t>沉睡</t>
  </si>
  <si>
    <t>复活</t>
  </si>
  <si>
    <t>回春</t>
  </si>
  <si>
    <t>自我恢复</t>
  </si>
  <si>
    <t>减少防御</t>
  </si>
  <si>
    <t>冰冻</t>
  </si>
  <si>
    <t>雷霆眩晕</t>
  </si>
  <si>
    <t>致盲</t>
  </si>
  <si>
    <t>燃烧</t>
  </si>
  <si>
    <t>牺牲</t>
  </si>
  <si>
    <t>祷告</t>
  </si>
  <si>
    <t>恢复能量</t>
  </si>
  <si>
    <t>回春(道具）</t>
  </si>
  <si>
    <t>回春0</t>
  </si>
  <si>
    <t>回春1</t>
  </si>
  <si>
    <t>回春2</t>
  </si>
  <si>
    <t>疗毒0</t>
  </si>
  <si>
    <t>疗毒1</t>
  </si>
  <si>
    <t>疗毒2</t>
  </si>
  <si>
    <t>苏醒0</t>
  </si>
  <si>
    <t>苏醒1</t>
  </si>
  <si>
    <t>苏醒2</t>
  </si>
  <si>
    <t>混乱恢复</t>
  </si>
  <si>
    <t>万能药</t>
  </si>
  <si>
    <t>全恢复</t>
  </si>
  <si>
    <t>回能0</t>
  </si>
  <si>
    <t>回能1</t>
  </si>
  <si>
    <t>醒2</t>
  </si>
  <si>
    <t>混乱药</t>
  </si>
  <si>
    <t>减少速度</t>
  </si>
  <si>
    <t>烧伤</t>
  </si>
  <si>
    <t>混乱</t>
  </si>
  <si>
    <t>增加攻击</t>
  </si>
  <si>
    <t>增加防御</t>
  </si>
  <si>
    <t>减少攻击</t>
  </si>
  <si>
    <t>火之力量</t>
  </si>
  <si>
    <t>冰之力量</t>
  </si>
  <si>
    <t>光之力量</t>
  </si>
  <si>
    <t>暗之力量</t>
  </si>
  <si>
    <t>风之力量</t>
  </si>
  <si>
    <t>火焰旋律</t>
  </si>
  <si>
    <t>冰雪旋律</t>
  </si>
  <si>
    <t>光之旋律</t>
  </si>
  <si>
    <t>暗之旋律</t>
  </si>
  <si>
    <t>风之旋律</t>
  </si>
  <si>
    <t>notice</t>
  </si>
  <si>
    <t>对敌人攻击时一定几率偷得一定数量的晶石</t>
  </si>
  <si>
    <t>对敌人攻击时一定几率偷得特定的道具</t>
  </si>
  <si>
    <t>一定几率使魔法消耗能量减半</t>
  </si>
  <si>
    <t>一定几率提升元素攻击力</t>
  </si>
  <si>
    <t>一定几率提升暴击率</t>
  </si>
  <si>
    <t>一定几率提升防御力</t>
  </si>
  <si>
    <t>一定几率在回合结束后自动回复部分HP</t>
  </si>
  <si>
    <t>一定几率额外恢复部分能量</t>
  </si>
  <si>
    <t>在死亡后有一定几率自动复活</t>
  </si>
  <si>
    <t>对单个敌人造成普通伤害</t>
  </si>
  <si>
    <t>对敌单体攻击，并恢复一定血量</t>
  </si>
  <si>
    <t>对死亡的同伴进行急救，一定概率使其复活，并恢复一半HP</t>
  </si>
  <si>
    <t>本回合代替指定的一名同伴承受所有攻击</t>
  </si>
  <si>
    <t>吹口哨吸引一个敌人攻击自己</t>
  </si>
  <si>
    <t>使下回合攻击力提升</t>
  </si>
  <si>
    <t>攻击一个敌人并对其他敌人造成溅射伤害。</t>
  </si>
  <si>
    <t>一定几率使一名敌人进入沉睡</t>
  </si>
  <si>
    <t>一定几率封印一名敌人的能量增长</t>
  </si>
  <si>
    <t>使一名同伴的攻击必然会心</t>
  </si>
  <si>
    <t>解除一名敌人身上所有有益状态</t>
  </si>
  <si>
    <t>使用奥术能量随机对敌人攻击4次</t>
  </si>
  <si>
    <t>对全体敌人造成冰属性伤害，并有一定几率使其冰冻</t>
  </si>
  <si>
    <t>对全体敌人造成光属性伤害，并有一定几率使其眩晕</t>
  </si>
  <si>
    <t>对全体敌人造成风属性伤害，并有一定几率使其致盲</t>
  </si>
  <si>
    <t>对全体敌人造成火属性伤害，并有一定几率使其燃烧</t>
  </si>
  <si>
    <t>对全体敌人造成暗属性伤害，并有一定几率使其虚弱</t>
  </si>
  <si>
    <t>一定几率使单个敌人混乱</t>
  </si>
  <si>
    <t>大幅增加攻击伤害2回合</t>
  </si>
  <si>
    <t>减弱敌人对元素伤害的抵抗力</t>
  </si>
  <si>
    <t>快速回复能量</t>
  </si>
  <si>
    <t>回复一名队友的HP</t>
  </si>
  <si>
    <t>使一名队友的HP全满</t>
  </si>
  <si>
    <t>复活一名队友，并使其HP回复一半</t>
  </si>
  <si>
    <t>使沉睡的队友苏醒</t>
  </si>
  <si>
    <t>将自己的一半能量传输给同伴</t>
  </si>
  <si>
    <t>回复全体同伴的HP</t>
  </si>
  <si>
    <t>驱逐单个同伴身上的有害状态</t>
  </si>
  <si>
    <t>复活所有死亡的队友，并使其HP回复一半</t>
  </si>
  <si>
    <t>以牺牲自己为代价对单个敌人造成巨大伤害</t>
  </si>
  <si>
    <t>驱逐将全体同伴的有害状态，并唤醒睡眠的同伴</t>
  </si>
  <si>
    <t>对群体伤害</t>
  </si>
  <si>
    <t>对群体造成火属性伤害</t>
  </si>
  <si>
    <t>对全体敌人造成伤害</t>
  </si>
  <si>
    <t>使敌人眩晕2个回合</t>
  </si>
  <si>
    <t>对单个敌人造成风属性伤害</t>
  </si>
  <si>
    <t>对单个敌人造成火属性伤害</t>
  </si>
  <si>
    <t>对全体敌人造成火属性伤害</t>
  </si>
  <si>
    <t>对单个敌人造成普通伤害，并有一定几率使其流血</t>
  </si>
  <si>
    <t>对全体敌人造成伤害，并有一定几率是其眩晕</t>
  </si>
  <si>
    <t>生成黑云遮蔽一个敌人的视线</t>
  </si>
  <si>
    <t>对全体敌人造成普通伤害</t>
  </si>
  <si>
    <t>，一定概率使其复活，并恢复一半HP</t>
  </si>
  <si>
    <t>降低防御</t>
  </si>
  <si>
    <t>疗毒</t>
  </si>
  <si>
    <t>使眩晕的队友苏醒</t>
  </si>
  <si>
    <t>我方单体解除混乱</t>
  </si>
  <si>
    <t>回能</t>
  </si>
  <si>
    <t>使睡眠的队友苏醒</t>
  </si>
  <si>
    <t>增加速度</t>
  </si>
  <si>
    <t>为一名同伴的攻击附加火属性</t>
  </si>
  <si>
    <t>为一名同伴的攻击附加冰属性</t>
  </si>
  <si>
    <t>为一名同伴的攻击附加光属性</t>
  </si>
  <si>
    <t>为一名同伴的攻击附加暗属性</t>
  </si>
  <si>
    <t>为一名同伴的攻击附加风属性</t>
  </si>
  <si>
    <t>减轻一名同伴所受到的火属性伤害</t>
  </si>
  <si>
    <t>减轻一名同伴所受到的冰属性伤害</t>
  </si>
  <si>
    <t>减轻一名同伴所受到的光属性伤害</t>
  </si>
  <si>
    <t>减轻一名同伴所受到的暗属性伤害</t>
  </si>
  <si>
    <t>减轻一名同伴所受到的风属性伤害</t>
  </si>
  <si>
    <t>长剑</t>
  </si>
  <si>
    <t>烈焰之刃</t>
  </si>
  <si>
    <t>大地之剑</t>
  </si>
  <si>
    <t>冰之刃</t>
  </si>
  <si>
    <t>铁枪</t>
  </si>
  <si>
    <t>骑士长枪</t>
  </si>
  <si>
    <t>血腥之枪</t>
  </si>
  <si>
    <t>三叉戟</t>
  </si>
  <si>
    <t>战斧</t>
  </si>
  <si>
    <t>毒蜥之牙</t>
  </si>
  <si>
    <t>恶魔之斧</t>
  </si>
  <si>
    <t>蛇皮鞭</t>
  </si>
  <si>
    <t>藤鞭</t>
  </si>
  <si>
    <t>女王鞭</t>
  </si>
  <si>
    <t>蛇牙鞭</t>
  </si>
  <si>
    <t>暴雪斧</t>
  </si>
  <si>
    <t>秘银长剑</t>
  </si>
  <si>
    <t>幻影长枪</t>
  </si>
  <si>
    <t>雷神之鞭</t>
  </si>
  <si>
    <t>死亡之鞭</t>
  </si>
  <si>
    <t>烈焰斩</t>
    <phoneticPr fontId="1" type="noConversion"/>
  </si>
  <si>
    <t>鹰切爪</t>
    <phoneticPr fontId="1" type="noConversion"/>
  </si>
  <si>
    <t>幻影突刺</t>
    <phoneticPr fontId="1" type="noConversion"/>
  </si>
  <si>
    <t>幽冥黑洞</t>
    <phoneticPr fontId="1" type="noConversion"/>
  </si>
  <si>
    <t>骑士冲击</t>
    <phoneticPr fontId="1" type="noConversion"/>
  </si>
  <si>
    <t>奇迹斩</t>
    <phoneticPr fontId="1" type="noConversion"/>
  </si>
  <si>
    <t>诅咒之剑</t>
    <phoneticPr fontId="1" type="noConversion"/>
  </si>
  <si>
    <t>毒爆</t>
    <phoneticPr fontId="1" type="noConversion"/>
  </si>
  <si>
    <t>地刺</t>
    <phoneticPr fontId="1" type="noConversion"/>
  </si>
  <si>
    <t>诅咒猎杀</t>
    <phoneticPr fontId="1" type="noConversion"/>
  </si>
  <si>
    <t>寒冰斩</t>
    <phoneticPr fontId="1" type="noConversion"/>
  </si>
  <si>
    <t>血腥囚笼</t>
    <phoneticPr fontId="1" type="noConversion"/>
  </si>
  <si>
    <t>龙卷风</t>
    <phoneticPr fontId="1" type="noConversion"/>
  </si>
  <si>
    <t>恶魔幻影</t>
    <phoneticPr fontId="1" type="noConversion"/>
  </si>
  <si>
    <t>暴风雪</t>
    <phoneticPr fontId="1" type="noConversion"/>
  </si>
  <si>
    <t>幽冥黑洞</t>
    <phoneticPr fontId="1" type="noConversion"/>
  </si>
  <si>
    <t>女王之春</t>
    <phoneticPr fontId="1" type="noConversion"/>
  </si>
  <si>
    <t>雷暴</t>
    <phoneticPr fontId="1" type="noConversion"/>
  </si>
  <si>
    <t>刺颈鞭挞</t>
    <phoneticPr fontId="1" type="noConversion"/>
  </si>
  <si>
    <t>风刃</t>
    <phoneticPr fontId="1" type="noConversion"/>
  </si>
  <si>
    <t>attackType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</si>
</sst>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rgb="FFFF0000"/>
      <name val="等线"/>
      <family val="3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4" borderId="0" xfId="0" applyFill="1">
      <alignment vertical="center"/>
    </xf>
    <xf numFmtId="0" fontId="2" fillId="3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0" borderId="0" xfId="0" applyFill="1">
      <alignment vertical="center"/>
    </xf>
    <xf numFmtId="0" fontId="0" fillId="5" borderId="0" xfId="0" applyFill="1">
      <alignment vertical="center"/>
    </xf>
    <xf numFmtId="0" fontId="0" fillId="0" borderId="0" xfId="0" applyAlignment="1">
      <alignment vertical="center"/>
    </xf>
    <xf numFmtId="0" fontId="0" fillId="0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tem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temData"/>
      <sheetName val="Sheet13"/>
      <sheetName val="Sheet2"/>
      <sheetName val="Sheet3"/>
      <sheetName val="Sheet1"/>
      <sheetName val="Sheet5"/>
      <sheetName val="植物"/>
      <sheetName val="动物"/>
      <sheetName val="装备"/>
      <sheetName val="Sheet8"/>
      <sheetName val="材料"/>
      <sheetName val="食物"/>
      <sheetName val="鱼"/>
    </sheetNames>
    <sheetDataSet>
      <sheetData sheetId="0">
        <row r="2">
          <cell r="A2" t="str">
            <v>string</v>
          </cell>
          <cell r="B2" t="str">
            <v>int</v>
          </cell>
        </row>
        <row r="3">
          <cell r="A3" t="str">
            <v>itemName</v>
          </cell>
          <cell r="B3" t="str">
            <v>id</v>
          </cell>
        </row>
        <row r="4">
          <cell r="A4" t="str">
            <v>未知的物品</v>
          </cell>
          <cell r="B4">
            <v>1</v>
          </cell>
        </row>
        <row r="5">
          <cell r="A5" t="str">
            <v>失败的徒手</v>
          </cell>
          <cell r="B5">
            <v>20</v>
          </cell>
        </row>
        <row r="6">
          <cell r="A6" t="str">
            <v>失败的搅拌</v>
          </cell>
          <cell r="B6">
            <v>21</v>
          </cell>
        </row>
        <row r="7">
          <cell r="A7" t="str">
            <v>失败的烘烤</v>
          </cell>
          <cell r="B7">
            <v>22</v>
          </cell>
        </row>
        <row r="8">
          <cell r="A8" t="str">
            <v>失败的蒸煮</v>
          </cell>
          <cell r="B8">
            <v>23</v>
          </cell>
        </row>
        <row r="9">
          <cell r="A9" t="str">
            <v>失败的酿造</v>
          </cell>
          <cell r="B9">
            <v>24</v>
          </cell>
        </row>
        <row r="10">
          <cell r="A10" t="str">
            <v>失败的铸造</v>
          </cell>
          <cell r="B10">
            <v>25</v>
          </cell>
        </row>
        <row r="11">
          <cell r="A11" t="str">
            <v>失败的缝纫</v>
          </cell>
          <cell r="B11">
            <v>26</v>
          </cell>
        </row>
        <row r="12">
          <cell r="A12" t="str">
            <v>失败的绘写</v>
          </cell>
          <cell r="B12">
            <v>27</v>
          </cell>
        </row>
        <row r="13">
          <cell r="A13" t="str">
            <v>传送卷轴</v>
          </cell>
          <cell r="B13">
            <v>11</v>
          </cell>
        </row>
        <row r="14">
          <cell r="A14" t="str">
            <v>鱼饵</v>
          </cell>
          <cell r="B14">
            <v>12</v>
          </cell>
        </row>
        <row r="15">
          <cell r="A15" t="str">
            <v>食物配方</v>
          </cell>
          <cell r="B15">
            <v>20</v>
          </cell>
        </row>
        <row r="16">
          <cell r="A16" t="str">
            <v>酒水配方</v>
          </cell>
          <cell r="B16">
            <v>21</v>
          </cell>
        </row>
        <row r="17">
          <cell r="A17" t="str">
            <v>铸造配方</v>
          </cell>
          <cell r="B17">
            <v>22</v>
          </cell>
        </row>
        <row r="18">
          <cell r="A18" t="str">
            <v>缝纫配方</v>
          </cell>
          <cell r="B18">
            <v>23</v>
          </cell>
        </row>
        <row r="19">
          <cell r="A19" t="str">
            <v>书写配方</v>
          </cell>
          <cell r="B19">
            <v>24</v>
          </cell>
        </row>
        <row r="20">
          <cell r="A20" t="str">
            <v>牧草</v>
          </cell>
          <cell r="B20">
            <v>100</v>
          </cell>
        </row>
        <row r="21">
          <cell r="A21" t="str">
            <v>木材</v>
          </cell>
          <cell r="B21">
            <v>101</v>
          </cell>
        </row>
        <row r="22">
          <cell r="A22" t="str">
            <v>原木</v>
          </cell>
          <cell r="B22">
            <v>102</v>
          </cell>
        </row>
        <row r="23">
          <cell r="A23" t="str">
            <v>木柴</v>
          </cell>
          <cell r="B23">
            <v>103</v>
          </cell>
        </row>
        <row r="24">
          <cell r="A24" t="str">
            <v>木棒</v>
          </cell>
          <cell r="B24">
            <v>104</v>
          </cell>
        </row>
        <row r="25">
          <cell r="A25" t="str">
            <v>干草</v>
          </cell>
          <cell r="B25">
            <v>105</v>
          </cell>
        </row>
        <row r="26">
          <cell r="A26" t="str">
            <v>纯净水</v>
          </cell>
          <cell r="B26">
            <v>200</v>
          </cell>
        </row>
        <row r="27">
          <cell r="A27" t="str">
            <v>石块</v>
          </cell>
          <cell r="B27">
            <v>201</v>
          </cell>
        </row>
        <row r="28">
          <cell r="A28" t="str">
            <v>龟壳</v>
          </cell>
          <cell r="B28">
            <v>202</v>
          </cell>
        </row>
        <row r="29">
          <cell r="A29" t="str">
            <v>兽皮</v>
          </cell>
          <cell r="B29">
            <v>203</v>
          </cell>
        </row>
        <row r="30">
          <cell r="A30" t="str">
            <v>布片</v>
          </cell>
          <cell r="B30">
            <v>204</v>
          </cell>
        </row>
        <row r="31">
          <cell r="A31" t="str">
            <v>石英砂</v>
          </cell>
          <cell r="B31">
            <v>205</v>
          </cell>
        </row>
        <row r="32">
          <cell r="A32" t="str">
            <v>草药茶</v>
          </cell>
          <cell r="B32">
            <v>207</v>
          </cell>
        </row>
        <row r="33">
          <cell r="A33" t="str">
            <v>风晶石</v>
          </cell>
          <cell r="B33">
            <v>208</v>
          </cell>
        </row>
        <row r="34">
          <cell r="A34" t="str">
            <v>琥珀</v>
          </cell>
          <cell r="B34">
            <v>210</v>
          </cell>
        </row>
        <row r="35">
          <cell r="A35" t="str">
            <v>狼牙</v>
          </cell>
          <cell r="B35">
            <v>211</v>
          </cell>
        </row>
        <row r="36">
          <cell r="A36" t="str">
            <v>粘土</v>
          </cell>
          <cell r="B36">
            <v>212</v>
          </cell>
        </row>
        <row r="37">
          <cell r="A37" t="str">
            <v>尖刺</v>
          </cell>
          <cell r="B37">
            <v>213</v>
          </cell>
        </row>
        <row r="38">
          <cell r="A38" t="str">
            <v>蛛丝</v>
          </cell>
          <cell r="B38">
            <v>214</v>
          </cell>
        </row>
        <row r="39">
          <cell r="A39" t="str">
            <v>铁矿</v>
          </cell>
          <cell r="B39">
            <v>215</v>
          </cell>
        </row>
        <row r="40">
          <cell r="A40" t="str">
            <v>盐矿</v>
          </cell>
          <cell r="B40">
            <v>216</v>
          </cell>
        </row>
        <row r="41">
          <cell r="A41" t="str">
            <v>肥皂</v>
          </cell>
          <cell r="B41">
            <v>217</v>
          </cell>
        </row>
        <row r="42">
          <cell r="A42" t="str">
            <v>土晶石</v>
          </cell>
          <cell r="B42">
            <v>218</v>
          </cell>
        </row>
        <row r="43">
          <cell r="A43" t="str">
            <v>迷幻菇</v>
          </cell>
          <cell r="B43">
            <v>219</v>
          </cell>
        </row>
        <row r="44">
          <cell r="A44" t="str">
            <v>眼球</v>
          </cell>
          <cell r="B44">
            <v>220</v>
          </cell>
        </row>
        <row r="45">
          <cell r="A45" t="str">
            <v>植物的藤</v>
          </cell>
          <cell r="B45">
            <v>221</v>
          </cell>
        </row>
        <row r="46">
          <cell r="A46" t="str">
            <v>鹿角</v>
          </cell>
          <cell r="B46">
            <v>222</v>
          </cell>
        </row>
        <row r="47">
          <cell r="A47" t="str">
            <v>魔兽皮毛</v>
          </cell>
          <cell r="B47">
            <v>223</v>
          </cell>
        </row>
        <row r="48">
          <cell r="A48" t="str">
            <v>奇美拉之翼</v>
          </cell>
          <cell r="B48">
            <v>224</v>
          </cell>
        </row>
        <row r="49">
          <cell r="A49" t="str">
            <v>电偶瓶</v>
          </cell>
          <cell r="B49">
            <v>225</v>
          </cell>
        </row>
        <row r="50">
          <cell r="A50" t="str">
            <v>海胆</v>
          </cell>
          <cell r="B50">
            <v>226</v>
          </cell>
        </row>
        <row r="51">
          <cell r="A51" t="str">
            <v>珊瑚</v>
          </cell>
          <cell r="B51">
            <v>227</v>
          </cell>
        </row>
        <row r="52">
          <cell r="A52" t="str">
            <v>彩色羽毛</v>
          </cell>
          <cell r="B52">
            <v>228</v>
          </cell>
        </row>
        <row r="53">
          <cell r="A53" t="str">
            <v>火晶石</v>
          </cell>
          <cell r="B53">
            <v>229</v>
          </cell>
        </row>
        <row r="54">
          <cell r="A54" t="str">
            <v>玻璃瓶</v>
          </cell>
          <cell r="B54">
            <v>230</v>
          </cell>
        </row>
        <row r="55">
          <cell r="A55" t="str">
            <v>水晶石</v>
          </cell>
          <cell r="B55">
            <v>232</v>
          </cell>
        </row>
        <row r="56">
          <cell r="A56" t="str">
            <v>珍珠</v>
          </cell>
          <cell r="B56">
            <v>234</v>
          </cell>
        </row>
        <row r="57">
          <cell r="A57" t="str">
            <v>松果</v>
          </cell>
          <cell r="B57">
            <v>235</v>
          </cell>
        </row>
        <row r="58">
          <cell r="A58" t="str">
            <v>神奇泥浆</v>
          </cell>
          <cell r="B58">
            <v>236</v>
          </cell>
        </row>
        <row r="59">
          <cell r="A59" t="str">
            <v>银块</v>
          </cell>
          <cell r="B59">
            <v>237</v>
          </cell>
        </row>
        <row r="60">
          <cell r="A60" t="str">
            <v>蛇皮</v>
          </cell>
          <cell r="B60">
            <v>238</v>
          </cell>
        </row>
        <row r="61">
          <cell r="A61" t="str">
            <v>蜂刺</v>
          </cell>
          <cell r="B61">
            <v>239</v>
          </cell>
        </row>
        <row r="62">
          <cell r="A62" t="str">
            <v>象牙</v>
          </cell>
          <cell r="B62">
            <v>240</v>
          </cell>
        </row>
        <row r="63">
          <cell r="A63" t="str">
            <v>兽角</v>
          </cell>
          <cell r="B63">
            <v>241</v>
          </cell>
        </row>
        <row r="64">
          <cell r="A64" t="str">
            <v>水晶球</v>
          </cell>
          <cell r="B64">
            <v>242</v>
          </cell>
        </row>
        <row r="65">
          <cell r="A65" t="str">
            <v>蝎尾</v>
          </cell>
          <cell r="B65">
            <v>243</v>
          </cell>
        </row>
        <row r="66">
          <cell r="A66" t="str">
            <v>仙人掌</v>
          </cell>
          <cell r="B66">
            <v>244</v>
          </cell>
        </row>
        <row r="67">
          <cell r="A67" t="str">
            <v>脏绷带</v>
          </cell>
          <cell r="B67">
            <v>245</v>
          </cell>
        </row>
        <row r="68">
          <cell r="A68" t="str">
            <v>幽魂</v>
          </cell>
          <cell r="B68">
            <v>246</v>
          </cell>
        </row>
        <row r="69">
          <cell r="A69" t="str">
            <v>金块</v>
          </cell>
          <cell r="B69">
            <v>247</v>
          </cell>
        </row>
        <row r="70">
          <cell r="A70" t="str">
            <v>远古的硬币</v>
          </cell>
          <cell r="B70">
            <v>248</v>
          </cell>
        </row>
        <row r="71">
          <cell r="A71" t="str">
            <v>铁钉</v>
          </cell>
          <cell r="B71">
            <v>249</v>
          </cell>
        </row>
        <row r="72">
          <cell r="A72" t="str">
            <v>遗骨</v>
          </cell>
          <cell r="B72">
            <v>250</v>
          </cell>
        </row>
        <row r="73">
          <cell r="A73" t="str">
            <v>妖精粉</v>
          </cell>
          <cell r="B73">
            <v>251</v>
          </cell>
        </row>
        <row r="74">
          <cell r="A74" t="str">
            <v>雪球</v>
          </cell>
          <cell r="B74">
            <v>253</v>
          </cell>
        </row>
        <row r="75">
          <cell r="A75" t="str">
            <v>毒淤泥</v>
          </cell>
          <cell r="B75">
            <v>254</v>
          </cell>
        </row>
        <row r="76">
          <cell r="A76" t="str">
            <v>亡者之土</v>
          </cell>
          <cell r="B76">
            <v>255</v>
          </cell>
        </row>
        <row r="77">
          <cell r="A77" t="str">
            <v>咒术药水</v>
          </cell>
          <cell r="B77">
            <v>256</v>
          </cell>
        </row>
        <row r="78">
          <cell r="A78" t="str">
            <v>诅咒宝珠</v>
          </cell>
          <cell r="B78">
            <v>257</v>
          </cell>
        </row>
        <row r="79">
          <cell r="A79" t="str">
            <v>人狼之证</v>
          </cell>
          <cell r="B79">
            <v>258</v>
          </cell>
        </row>
        <row r="80">
          <cell r="A80" t="str">
            <v>魔族之血</v>
          </cell>
          <cell r="B80">
            <v>259</v>
          </cell>
        </row>
        <row r="81">
          <cell r="A81" t="str">
            <v>冰晶石</v>
          </cell>
          <cell r="B81">
            <v>260</v>
          </cell>
        </row>
        <row r="82">
          <cell r="A82" t="str">
            <v>冰的结晶</v>
          </cell>
          <cell r="B82">
            <v>261</v>
          </cell>
        </row>
        <row r="83">
          <cell r="A83" t="str">
            <v>石化之眼</v>
          </cell>
          <cell r="B83">
            <v>263</v>
          </cell>
        </row>
        <row r="84">
          <cell r="A84" t="str">
            <v>夜之幕</v>
          </cell>
          <cell r="B84">
            <v>264</v>
          </cell>
        </row>
        <row r="85">
          <cell r="A85" t="str">
            <v>星的眼泪</v>
          </cell>
          <cell r="B85">
            <v>265</v>
          </cell>
        </row>
        <row r="86">
          <cell r="A86" t="str">
            <v>冰牛角</v>
          </cell>
          <cell r="B86">
            <v>266</v>
          </cell>
        </row>
        <row r="87">
          <cell r="A87" t="str">
            <v>寒冰气息</v>
          </cell>
          <cell r="B87">
            <v>267</v>
          </cell>
        </row>
        <row r="88">
          <cell r="A88" t="str">
            <v>寒冰火种</v>
          </cell>
          <cell r="B88">
            <v>268</v>
          </cell>
        </row>
        <row r="89">
          <cell r="A89" t="str">
            <v>幻影水晶</v>
          </cell>
          <cell r="B89">
            <v>269</v>
          </cell>
        </row>
        <row r="90">
          <cell r="A90" t="str">
            <v>雷鸣宝珠</v>
          </cell>
          <cell r="B90">
            <v>270</v>
          </cell>
        </row>
        <row r="91">
          <cell r="A91" t="str">
            <v>皮革</v>
          </cell>
          <cell r="B91">
            <v>271</v>
          </cell>
        </row>
        <row r="92">
          <cell r="A92" t="str">
            <v>彩色的布</v>
          </cell>
          <cell r="B92">
            <v>272</v>
          </cell>
        </row>
        <row r="93">
          <cell r="A93" t="str">
            <v>鳞片</v>
          </cell>
          <cell r="B93">
            <v>273</v>
          </cell>
        </row>
        <row r="94">
          <cell r="A94" t="str">
            <v>刀刃</v>
          </cell>
          <cell r="B94">
            <v>274</v>
          </cell>
        </row>
        <row r="95">
          <cell r="A95" t="str">
            <v>骑士之证</v>
          </cell>
          <cell r="B95">
            <v>275</v>
          </cell>
        </row>
        <row r="96">
          <cell r="A96" t="str">
            <v>马尾</v>
          </cell>
          <cell r="B96">
            <v>276</v>
          </cell>
        </row>
        <row r="97">
          <cell r="A97" t="str">
            <v>毛线</v>
          </cell>
          <cell r="B97">
            <v>277</v>
          </cell>
        </row>
        <row r="98">
          <cell r="A98" t="str">
            <v>粘液</v>
          </cell>
          <cell r="B98">
            <v>278</v>
          </cell>
        </row>
        <row r="99">
          <cell r="A99" t="str">
            <v>贵族徽章</v>
          </cell>
          <cell r="B99">
            <v>279</v>
          </cell>
        </row>
        <row r="100">
          <cell r="A100" t="str">
            <v>武道精华</v>
          </cell>
          <cell r="B100">
            <v>280</v>
          </cell>
        </row>
        <row r="101">
          <cell r="A101" t="str">
            <v>贤者晶石</v>
          </cell>
          <cell r="B101">
            <v>281</v>
          </cell>
        </row>
        <row r="102">
          <cell r="A102" t="str">
            <v>防水皮革</v>
          </cell>
          <cell r="B102">
            <v>282</v>
          </cell>
        </row>
        <row r="103">
          <cell r="A103" t="str">
            <v>羊毛</v>
          </cell>
          <cell r="B103">
            <v>283</v>
          </cell>
        </row>
        <row r="104">
          <cell r="A104" t="str">
            <v>白磷粉末</v>
          </cell>
          <cell r="B104">
            <v>284</v>
          </cell>
        </row>
        <row r="105">
          <cell r="A105" t="str">
            <v>暮光结晶</v>
          </cell>
          <cell r="B105">
            <v>285</v>
          </cell>
        </row>
        <row r="106">
          <cell r="A106" t="str">
            <v>魔力之土</v>
          </cell>
          <cell r="B106">
            <v>286</v>
          </cell>
        </row>
        <row r="107">
          <cell r="A107" t="str">
            <v>迷幻孢子</v>
          </cell>
          <cell r="B107">
            <v>287</v>
          </cell>
        </row>
        <row r="108">
          <cell r="A108" t="str">
            <v>力量果实</v>
          </cell>
          <cell r="B108">
            <v>288</v>
          </cell>
        </row>
        <row r="109">
          <cell r="A109" t="str">
            <v>恶魔花瓣</v>
          </cell>
          <cell r="B109">
            <v>289</v>
          </cell>
        </row>
        <row r="110">
          <cell r="A110" t="str">
            <v>月之光华</v>
          </cell>
          <cell r="B110">
            <v>290</v>
          </cell>
        </row>
        <row r="111">
          <cell r="A111" t="str">
            <v>萤火树汁</v>
          </cell>
          <cell r="B111">
            <v>291</v>
          </cell>
        </row>
        <row r="112">
          <cell r="A112" t="str">
            <v>暗夜之露</v>
          </cell>
          <cell r="B112">
            <v>292</v>
          </cell>
        </row>
        <row r="113">
          <cell r="A113" t="str">
            <v>魅惑药水</v>
          </cell>
          <cell r="B113">
            <v>293</v>
          </cell>
        </row>
        <row r="114">
          <cell r="A114" t="str">
            <v>图腾号角</v>
          </cell>
          <cell r="B114">
            <v>294</v>
          </cell>
        </row>
        <row r="115">
          <cell r="A115" t="str">
            <v>空白卷轴</v>
          </cell>
          <cell r="B115">
            <v>295</v>
          </cell>
        </row>
        <row r="116">
          <cell r="A116" t="str">
            <v>废铁</v>
          </cell>
          <cell r="B116">
            <v>296</v>
          </cell>
        </row>
        <row r="117">
          <cell r="A117" t="str">
            <v>焦炭</v>
          </cell>
          <cell r="B117">
            <v>297</v>
          </cell>
        </row>
        <row r="118">
          <cell r="A118" t="str">
            <v>铁块</v>
          </cell>
          <cell r="B118">
            <v>298</v>
          </cell>
        </row>
        <row r="119">
          <cell r="A119" t="str">
            <v>钢</v>
          </cell>
          <cell r="B119">
            <v>299</v>
          </cell>
        </row>
        <row r="120">
          <cell r="A120" t="str">
            <v>猪粪</v>
          </cell>
          <cell r="B120">
            <v>300</v>
          </cell>
        </row>
        <row r="121">
          <cell r="A121" t="str">
            <v>鸭绒</v>
          </cell>
          <cell r="B121">
            <v>301</v>
          </cell>
        </row>
        <row r="122">
          <cell r="A122" t="str">
            <v>兔子脚</v>
          </cell>
          <cell r="B122">
            <v>302</v>
          </cell>
        </row>
        <row r="123">
          <cell r="A123" t="str">
            <v>芜菁</v>
          </cell>
          <cell r="B123">
            <v>1001</v>
          </cell>
        </row>
        <row r="124">
          <cell r="A124" t="str">
            <v>卷心菜</v>
          </cell>
          <cell r="B124">
            <v>1002</v>
          </cell>
        </row>
        <row r="125">
          <cell r="A125" t="str">
            <v>葱</v>
          </cell>
          <cell r="B125">
            <v>1003</v>
          </cell>
        </row>
        <row r="126">
          <cell r="A126" t="str">
            <v>萝卜</v>
          </cell>
          <cell r="B126">
            <v>1004</v>
          </cell>
        </row>
        <row r="127">
          <cell r="A127" t="str">
            <v>紫甘蓝</v>
          </cell>
          <cell r="B127">
            <v>1005</v>
          </cell>
        </row>
        <row r="128">
          <cell r="A128" t="str">
            <v>黄瓜</v>
          </cell>
          <cell r="B128">
            <v>1006</v>
          </cell>
        </row>
        <row r="129">
          <cell r="A129" t="str">
            <v>西兰花</v>
          </cell>
          <cell r="B129">
            <v>1007</v>
          </cell>
        </row>
        <row r="130">
          <cell r="A130" t="str">
            <v>番茄</v>
          </cell>
          <cell r="B130">
            <v>1008</v>
          </cell>
        </row>
        <row r="131">
          <cell r="A131" t="str">
            <v>胡萝卜</v>
          </cell>
          <cell r="B131">
            <v>1009</v>
          </cell>
        </row>
        <row r="132">
          <cell r="A132" t="str">
            <v>西瓜</v>
          </cell>
          <cell r="B132">
            <v>1010</v>
          </cell>
        </row>
        <row r="133">
          <cell r="A133" t="str">
            <v>辣椒</v>
          </cell>
          <cell r="B133">
            <v>1011</v>
          </cell>
        </row>
        <row r="134">
          <cell r="A134" t="str">
            <v>奇异果</v>
          </cell>
          <cell r="B134">
            <v>1012</v>
          </cell>
        </row>
        <row r="135">
          <cell r="A135" t="str">
            <v>茄子</v>
          </cell>
          <cell r="B135">
            <v>1013</v>
          </cell>
        </row>
        <row r="136">
          <cell r="A136" t="str">
            <v>豌豆</v>
          </cell>
          <cell r="B136">
            <v>1014</v>
          </cell>
        </row>
        <row r="137">
          <cell r="A137" t="str">
            <v>土豆</v>
          </cell>
          <cell r="B137">
            <v>1015</v>
          </cell>
        </row>
        <row r="138">
          <cell r="A138" t="str">
            <v>大蒜</v>
          </cell>
          <cell r="B138">
            <v>1016</v>
          </cell>
        </row>
        <row r="139">
          <cell r="A139" t="str">
            <v>芦笋</v>
          </cell>
          <cell r="B139">
            <v>1017</v>
          </cell>
        </row>
        <row r="140">
          <cell r="A140" t="str">
            <v>南瓜</v>
          </cell>
          <cell r="B140">
            <v>1018</v>
          </cell>
        </row>
        <row r="141">
          <cell r="A141" t="str">
            <v>玉米</v>
          </cell>
          <cell r="B141">
            <v>1019</v>
          </cell>
        </row>
        <row r="142">
          <cell r="A142" t="str">
            <v>大麦</v>
          </cell>
          <cell r="B142">
            <v>1020</v>
          </cell>
        </row>
        <row r="143">
          <cell r="A143" t="str">
            <v>啤酒花</v>
          </cell>
          <cell r="B143">
            <v>1021</v>
          </cell>
        </row>
        <row r="144">
          <cell r="A144" t="str">
            <v>葡萄</v>
          </cell>
          <cell r="B144">
            <v>1022</v>
          </cell>
        </row>
        <row r="145">
          <cell r="A145" t="str">
            <v>菠萝</v>
          </cell>
          <cell r="B145">
            <v>1023</v>
          </cell>
        </row>
        <row r="146">
          <cell r="A146" t="str">
            <v>咖啡</v>
          </cell>
          <cell r="B146">
            <v>1024</v>
          </cell>
        </row>
        <row r="147">
          <cell r="A147" t="str">
            <v>草莓</v>
          </cell>
          <cell r="B147">
            <v>1025</v>
          </cell>
        </row>
        <row r="148">
          <cell r="A148" t="str">
            <v>蓝莓</v>
          </cell>
          <cell r="B148">
            <v>1026</v>
          </cell>
        </row>
        <row r="149">
          <cell r="A149" t="str">
            <v>红薯</v>
          </cell>
          <cell r="B149">
            <v>1027</v>
          </cell>
        </row>
        <row r="150">
          <cell r="A150" t="str">
            <v>甜菜</v>
          </cell>
          <cell r="B150">
            <v>1028</v>
          </cell>
        </row>
        <row r="151">
          <cell r="A151" t="str">
            <v>芜菁种子</v>
          </cell>
          <cell r="B151">
            <v>1101</v>
          </cell>
        </row>
        <row r="152">
          <cell r="A152" t="str">
            <v>卷心菜种子</v>
          </cell>
          <cell r="B152">
            <v>1102</v>
          </cell>
        </row>
        <row r="153">
          <cell r="A153" t="str">
            <v>葱种子</v>
          </cell>
          <cell r="B153">
            <v>1103</v>
          </cell>
        </row>
        <row r="154">
          <cell r="A154" t="str">
            <v>萝卜种子</v>
          </cell>
          <cell r="B154">
            <v>1104</v>
          </cell>
        </row>
        <row r="155">
          <cell r="A155" t="str">
            <v>紫甘蓝种子</v>
          </cell>
          <cell r="B155">
            <v>1105</v>
          </cell>
        </row>
        <row r="156">
          <cell r="A156" t="str">
            <v>黄瓜种子</v>
          </cell>
          <cell r="B156">
            <v>1106</v>
          </cell>
        </row>
        <row r="157">
          <cell r="A157" t="str">
            <v>西兰花种子</v>
          </cell>
          <cell r="B157">
            <v>1107</v>
          </cell>
        </row>
        <row r="158">
          <cell r="A158" t="str">
            <v>番茄种子</v>
          </cell>
          <cell r="B158">
            <v>1108</v>
          </cell>
        </row>
        <row r="159">
          <cell r="A159" t="str">
            <v>胡萝卜种子</v>
          </cell>
          <cell r="B159">
            <v>1109</v>
          </cell>
        </row>
        <row r="160">
          <cell r="A160" t="str">
            <v>西瓜种子</v>
          </cell>
          <cell r="B160">
            <v>1110</v>
          </cell>
        </row>
        <row r="161">
          <cell r="A161" t="str">
            <v>辣椒种子</v>
          </cell>
          <cell r="B161">
            <v>1111</v>
          </cell>
        </row>
        <row r="162">
          <cell r="A162" t="str">
            <v>奇异果种子</v>
          </cell>
          <cell r="B162">
            <v>1112</v>
          </cell>
        </row>
        <row r="163">
          <cell r="A163" t="str">
            <v>茄子种子</v>
          </cell>
          <cell r="B163">
            <v>1113</v>
          </cell>
        </row>
        <row r="164">
          <cell r="A164" t="str">
            <v>豌豆种子</v>
          </cell>
          <cell r="B164">
            <v>1114</v>
          </cell>
        </row>
        <row r="165">
          <cell r="A165" t="str">
            <v>土豆种子</v>
          </cell>
          <cell r="B165">
            <v>1115</v>
          </cell>
        </row>
        <row r="166">
          <cell r="A166" t="str">
            <v>大蒜种子</v>
          </cell>
          <cell r="B166">
            <v>1116</v>
          </cell>
        </row>
        <row r="167">
          <cell r="A167" t="str">
            <v>芦笋种子</v>
          </cell>
          <cell r="B167">
            <v>1117</v>
          </cell>
        </row>
        <row r="168">
          <cell r="A168" t="str">
            <v>南瓜种子</v>
          </cell>
          <cell r="B168">
            <v>1118</v>
          </cell>
        </row>
        <row r="169">
          <cell r="A169" t="str">
            <v>玉米种子</v>
          </cell>
          <cell r="B169">
            <v>1119</v>
          </cell>
        </row>
        <row r="170">
          <cell r="A170" t="str">
            <v>大麦种子</v>
          </cell>
          <cell r="B170">
            <v>1120</v>
          </cell>
        </row>
        <row r="171">
          <cell r="A171" t="str">
            <v>啤酒花种子</v>
          </cell>
          <cell r="B171">
            <v>1121</v>
          </cell>
        </row>
        <row r="172">
          <cell r="A172" t="str">
            <v>葡萄种子</v>
          </cell>
          <cell r="B172">
            <v>1122</v>
          </cell>
        </row>
        <row r="173">
          <cell r="A173" t="str">
            <v>菠萝种子</v>
          </cell>
          <cell r="B173">
            <v>1123</v>
          </cell>
        </row>
        <row r="174">
          <cell r="A174" t="str">
            <v>咖啡种子</v>
          </cell>
          <cell r="B174">
            <v>1124</v>
          </cell>
        </row>
        <row r="175">
          <cell r="A175" t="str">
            <v>草莓种子</v>
          </cell>
          <cell r="B175">
            <v>1125</v>
          </cell>
        </row>
        <row r="176">
          <cell r="A176" t="str">
            <v>蓝莓种子</v>
          </cell>
          <cell r="B176">
            <v>1126</v>
          </cell>
        </row>
        <row r="177">
          <cell r="A177" t="str">
            <v>红薯种子</v>
          </cell>
          <cell r="B177">
            <v>1127</v>
          </cell>
        </row>
        <row r="178">
          <cell r="A178" t="str">
            <v>甜菜种子</v>
          </cell>
          <cell r="B178">
            <v>1128</v>
          </cell>
        </row>
        <row r="179">
          <cell r="A179" t="str">
            <v>长剑</v>
          </cell>
          <cell r="B179">
            <v>1600</v>
          </cell>
        </row>
        <row r="180">
          <cell r="A180" t="str">
            <v>诅咒之剑</v>
          </cell>
          <cell r="B180">
            <v>1601</v>
          </cell>
        </row>
        <row r="181">
          <cell r="A181" t="str">
            <v>烈焰之刃</v>
          </cell>
          <cell r="B181">
            <v>1602</v>
          </cell>
        </row>
        <row r="182">
          <cell r="A182" t="str">
            <v>大地之剑</v>
          </cell>
          <cell r="B182">
            <v>1603</v>
          </cell>
        </row>
        <row r="183">
          <cell r="A183" t="str">
            <v>冰之刃</v>
          </cell>
          <cell r="B183">
            <v>1604</v>
          </cell>
        </row>
        <row r="184">
          <cell r="A184" t="str">
            <v>铁枪</v>
          </cell>
          <cell r="B184">
            <v>1605</v>
          </cell>
        </row>
        <row r="185">
          <cell r="A185" t="str">
            <v>骑士长枪</v>
          </cell>
          <cell r="B185">
            <v>1606</v>
          </cell>
        </row>
        <row r="186">
          <cell r="A186" t="str">
            <v>血腥之矛</v>
          </cell>
          <cell r="B186">
            <v>1607</v>
          </cell>
        </row>
        <row r="187">
          <cell r="A187" t="str">
            <v>三叉戟</v>
          </cell>
          <cell r="B187">
            <v>1608</v>
          </cell>
        </row>
        <row r="188">
          <cell r="A188" t="str">
            <v>战斧</v>
          </cell>
          <cell r="B188">
            <v>1609</v>
          </cell>
        </row>
        <row r="189">
          <cell r="A189" t="str">
            <v>毒蜥之牙</v>
          </cell>
          <cell r="B189">
            <v>1610</v>
          </cell>
        </row>
        <row r="190">
          <cell r="A190" t="str">
            <v>恶魔之斧</v>
          </cell>
          <cell r="B190">
            <v>1611</v>
          </cell>
        </row>
        <row r="191">
          <cell r="A191" t="str">
            <v>蛇皮鞭</v>
          </cell>
          <cell r="B191">
            <v>1612</v>
          </cell>
        </row>
        <row r="192">
          <cell r="A192" t="str">
            <v>荆棘鞭</v>
          </cell>
          <cell r="B192">
            <v>1613</v>
          </cell>
        </row>
        <row r="193">
          <cell r="A193" t="str">
            <v>女王之鞭</v>
          </cell>
          <cell r="B193">
            <v>1614</v>
          </cell>
        </row>
        <row r="194">
          <cell r="A194" t="str">
            <v>蛇牙鞭</v>
          </cell>
          <cell r="B194">
            <v>1615</v>
          </cell>
        </row>
        <row r="195">
          <cell r="A195" t="str">
            <v>暴雪斧</v>
          </cell>
          <cell r="B195">
            <v>1616</v>
          </cell>
        </row>
        <row r="196">
          <cell r="A196" t="str">
            <v>秘银长剑</v>
          </cell>
          <cell r="B196">
            <v>1617</v>
          </cell>
        </row>
        <row r="197">
          <cell r="A197" t="str">
            <v>幻影长枪</v>
          </cell>
          <cell r="B197">
            <v>1618</v>
          </cell>
        </row>
        <row r="198">
          <cell r="A198" t="str">
            <v>雷神之鞭</v>
          </cell>
          <cell r="B198">
            <v>1619</v>
          </cell>
        </row>
        <row r="199">
          <cell r="A199" t="str">
            <v>死亡之鞭</v>
          </cell>
          <cell r="B199">
            <v>1620</v>
          </cell>
        </row>
        <row r="200">
          <cell r="A200" t="str">
            <v>布衣</v>
          </cell>
          <cell r="B200">
            <v>1650</v>
          </cell>
        </row>
        <row r="201">
          <cell r="A201" t="str">
            <v>皮铠</v>
          </cell>
          <cell r="B201">
            <v>1651</v>
          </cell>
        </row>
        <row r="202">
          <cell r="A202" t="str">
            <v>锁子甲</v>
          </cell>
          <cell r="B202">
            <v>1652</v>
          </cell>
        </row>
        <row r="203">
          <cell r="A203" t="str">
            <v>毛皮斗篷</v>
          </cell>
          <cell r="B203">
            <v>1653</v>
          </cell>
        </row>
        <row r="204">
          <cell r="A204" t="str">
            <v>铁铠甲</v>
          </cell>
          <cell r="B204">
            <v>1654</v>
          </cell>
        </row>
        <row r="205">
          <cell r="A205" t="str">
            <v>红莲之铠</v>
          </cell>
          <cell r="B205">
            <v>1655</v>
          </cell>
        </row>
        <row r="206">
          <cell r="A206" t="str">
            <v>铁龟铠</v>
          </cell>
          <cell r="B206">
            <v>1656</v>
          </cell>
        </row>
        <row r="207">
          <cell r="A207" t="str">
            <v>华丽背心</v>
          </cell>
          <cell r="B207">
            <v>1657</v>
          </cell>
        </row>
        <row r="208">
          <cell r="A208" t="str">
            <v>鳞铠</v>
          </cell>
          <cell r="B208">
            <v>1658</v>
          </cell>
        </row>
        <row r="209">
          <cell r="A209" t="str">
            <v>暗之袍</v>
          </cell>
          <cell r="B209">
            <v>1659</v>
          </cell>
        </row>
        <row r="210">
          <cell r="A210" t="str">
            <v>疾风背心</v>
          </cell>
          <cell r="B210">
            <v>1660</v>
          </cell>
        </row>
        <row r="211">
          <cell r="A211" t="str">
            <v>魔法铠甲</v>
          </cell>
          <cell r="B211">
            <v>1661</v>
          </cell>
        </row>
        <row r="212">
          <cell r="A212" t="str">
            <v>钢刃锁甲</v>
          </cell>
          <cell r="B212">
            <v>1662</v>
          </cell>
        </row>
        <row r="213">
          <cell r="A213" t="str">
            <v>丝织长袍</v>
          </cell>
          <cell r="B213">
            <v>1663</v>
          </cell>
        </row>
        <row r="214">
          <cell r="A214" t="str">
            <v>水之羽衣</v>
          </cell>
          <cell r="B214">
            <v>1664</v>
          </cell>
        </row>
        <row r="215">
          <cell r="A215" t="str">
            <v>贵族长裙</v>
          </cell>
          <cell r="B215">
            <v>1665</v>
          </cell>
        </row>
        <row r="216">
          <cell r="A216" t="str">
            <v>幸运之衣</v>
          </cell>
          <cell r="B216">
            <v>1666</v>
          </cell>
        </row>
        <row r="217">
          <cell r="A217" t="str">
            <v>布鞋</v>
          </cell>
          <cell r="B217">
            <v>1700</v>
          </cell>
        </row>
        <row r="218">
          <cell r="A218" t="str">
            <v>皮鞋</v>
          </cell>
          <cell r="B218">
            <v>1701</v>
          </cell>
        </row>
        <row r="219">
          <cell r="A219" t="str">
            <v>士兵长靴</v>
          </cell>
          <cell r="B219">
            <v>1702</v>
          </cell>
        </row>
        <row r="220">
          <cell r="A220" t="str">
            <v>登山者之靴</v>
          </cell>
          <cell r="B220">
            <v>1703</v>
          </cell>
        </row>
        <row r="221">
          <cell r="A221" t="str">
            <v>运动鞋</v>
          </cell>
          <cell r="B221">
            <v>1704</v>
          </cell>
        </row>
        <row r="222">
          <cell r="A222" t="str">
            <v>贵族长靴</v>
          </cell>
          <cell r="B222">
            <v>1705</v>
          </cell>
        </row>
        <row r="223">
          <cell r="A223" t="str">
            <v>武道鞋</v>
          </cell>
          <cell r="B223">
            <v>1706</v>
          </cell>
        </row>
        <row r="224">
          <cell r="A224" t="str">
            <v>骑士护胫</v>
          </cell>
          <cell r="B224">
            <v>1707</v>
          </cell>
        </row>
        <row r="225">
          <cell r="A225" t="str">
            <v>贤者之履</v>
          </cell>
          <cell r="B225">
            <v>1708</v>
          </cell>
        </row>
        <row r="226">
          <cell r="A226" t="str">
            <v>风神之履</v>
          </cell>
          <cell r="B226">
            <v>1709</v>
          </cell>
        </row>
        <row r="227">
          <cell r="A227" t="str">
            <v>踏浪长靴</v>
          </cell>
          <cell r="B227">
            <v>1710</v>
          </cell>
        </row>
        <row r="228">
          <cell r="A228" t="str">
            <v>草帽</v>
          </cell>
          <cell r="B228">
            <v>1800</v>
          </cell>
        </row>
        <row r="229">
          <cell r="A229" t="str">
            <v>阳光草帽</v>
          </cell>
          <cell r="B229">
            <v>1801</v>
          </cell>
        </row>
        <row r="230">
          <cell r="A230" t="str">
            <v>法师帽</v>
          </cell>
          <cell r="B230">
            <v>1802</v>
          </cell>
        </row>
        <row r="231">
          <cell r="A231" t="str">
            <v>士兵头盔</v>
          </cell>
          <cell r="B231">
            <v>1803</v>
          </cell>
        </row>
        <row r="232">
          <cell r="A232" t="str">
            <v>尖角头盔</v>
          </cell>
          <cell r="B232">
            <v>1804</v>
          </cell>
        </row>
        <row r="233">
          <cell r="A233" t="str">
            <v>幸运头巾</v>
          </cell>
          <cell r="B233">
            <v>1805</v>
          </cell>
        </row>
        <row r="234">
          <cell r="A234" t="str">
            <v>绅士礼帽</v>
          </cell>
          <cell r="B234">
            <v>1806</v>
          </cell>
        </row>
        <row r="235">
          <cell r="A235" t="str">
            <v>贵族头巾</v>
          </cell>
          <cell r="B235">
            <v>1807</v>
          </cell>
        </row>
        <row r="236">
          <cell r="A236" t="str">
            <v>战争头盔</v>
          </cell>
          <cell r="B236">
            <v>1808</v>
          </cell>
        </row>
        <row r="237">
          <cell r="A237" t="str">
            <v>锄头</v>
          </cell>
          <cell r="B237">
            <v>2000</v>
          </cell>
        </row>
        <row r="238">
          <cell r="A238" t="str">
            <v>洒水壶</v>
          </cell>
          <cell r="B238">
            <v>2001</v>
          </cell>
        </row>
        <row r="239">
          <cell r="A239" t="str">
            <v>斧头</v>
          </cell>
          <cell r="B239">
            <v>2002</v>
          </cell>
        </row>
        <row r="240">
          <cell r="A240" t="str">
            <v>镰刀</v>
          </cell>
          <cell r="B240">
            <v>2003</v>
          </cell>
        </row>
        <row r="241">
          <cell r="A241" t="str">
            <v>鱼竿</v>
          </cell>
          <cell r="B241">
            <v>2004</v>
          </cell>
        </row>
        <row r="242">
          <cell r="A242" t="str">
            <v>缝纫机</v>
          </cell>
          <cell r="B242">
            <v>2100</v>
          </cell>
        </row>
        <row r="243">
          <cell r="A243" t="str">
            <v>锻造炉</v>
          </cell>
          <cell r="B243">
            <v>2101</v>
          </cell>
        </row>
        <row r="244">
          <cell r="A244" t="str">
            <v>烘烤炉</v>
          </cell>
          <cell r="B244">
            <v>2102</v>
          </cell>
        </row>
        <row r="245">
          <cell r="A245" t="str">
            <v>炖煮锅</v>
          </cell>
          <cell r="B245">
            <v>2103</v>
          </cell>
        </row>
        <row r="246">
          <cell r="A246" t="str">
            <v>冷餐台</v>
          </cell>
          <cell r="B246">
            <v>2104</v>
          </cell>
        </row>
        <row r="247">
          <cell r="A247" t="str">
            <v>酿造桶</v>
          </cell>
          <cell r="B247">
            <v>2105</v>
          </cell>
        </row>
        <row r="248">
          <cell r="A248" t="str">
            <v>绘写台</v>
          </cell>
          <cell r="B248">
            <v>2106</v>
          </cell>
        </row>
        <row r="249">
          <cell r="A249" t="str">
            <v>冰箱</v>
          </cell>
          <cell r="B249">
            <v>2107</v>
          </cell>
        </row>
        <row r="250">
          <cell r="A250" t="str">
            <v>储物箱(木)</v>
          </cell>
          <cell r="B250">
            <v>2108</v>
          </cell>
        </row>
        <row r="251">
          <cell r="A251" t="str">
            <v>储物箱(银)</v>
          </cell>
          <cell r="B251">
            <v>2109</v>
          </cell>
        </row>
        <row r="252">
          <cell r="A252" t="str">
            <v>储物箱(金)</v>
          </cell>
          <cell r="B252">
            <v>2110</v>
          </cell>
        </row>
        <row r="253">
          <cell r="A253" t="str">
            <v>普通柜台</v>
          </cell>
          <cell r="B253">
            <v>2111</v>
          </cell>
        </row>
        <row r="254">
          <cell r="A254" t="str">
            <v>服饰架</v>
          </cell>
          <cell r="B254">
            <v>2113</v>
          </cell>
        </row>
        <row r="255">
          <cell r="A255" t="str">
            <v>沙发</v>
          </cell>
          <cell r="B255">
            <v>2200</v>
          </cell>
        </row>
        <row r="256">
          <cell r="A256" t="str">
            <v>搅拌器</v>
          </cell>
          <cell r="B256">
            <v>2114</v>
          </cell>
        </row>
        <row r="257">
          <cell r="A257" t="str">
            <v>双人床</v>
          </cell>
          <cell r="B257">
            <v>2201</v>
          </cell>
        </row>
        <row r="258">
          <cell r="A258" t="str">
            <v>鲫鱼</v>
          </cell>
          <cell r="B258">
            <v>4000</v>
          </cell>
        </row>
        <row r="259">
          <cell r="A259" t="str">
            <v>小龙虾</v>
          </cell>
          <cell r="B259">
            <v>4003</v>
          </cell>
        </row>
        <row r="260">
          <cell r="A260" t="str">
            <v>鲤鱼</v>
          </cell>
          <cell r="B260">
            <v>4004</v>
          </cell>
        </row>
        <row r="261">
          <cell r="A261" t="str">
            <v>鲮鱼</v>
          </cell>
          <cell r="B261">
            <v>4006</v>
          </cell>
        </row>
        <row r="262">
          <cell r="A262" t="str">
            <v>手套蟹</v>
          </cell>
          <cell r="B262">
            <v>4007</v>
          </cell>
        </row>
        <row r="263">
          <cell r="A263" t="str">
            <v>鲶鱼</v>
          </cell>
          <cell r="B263">
            <v>4008</v>
          </cell>
        </row>
        <row r="264">
          <cell r="A264" t="str">
            <v>丁鱼</v>
          </cell>
          <cell r="B264">
            <v>4009</v>
          </cell>
        </row>
        <row r="265">
          <cell r="A265" t="str">
            <v>锦鲤</v>
          </cell>
          <cell r="B265">
            <v>4010</v>
          </cell>
        </row>
        <row r="266">
          <cell r="A266" t="str">
            <v>线鱼</v>
          </cell>
          <cell r="B266">
            <v>4011</v>
          </cell>
        </row>
        <row r="267">
          <cell r="A267" t="str">
            <v>梭鲈</v>
          </cell>
          <cell r="B267">
            <v>4012</v>
          </cell>
        </row>
        <row r="268">
          <cell r="A268" t="str">
            <v>兰寿金鱼</v>
          </cell>
          <cell r="B268">
            <v>4013</v>
          </cell>
        </row>
        <row r="269">
          <cell r="A269" t="str">
            <v>樱桃鲑鱼</v>
          </cell>
          <cell r="B269">
            <v>4014</v>
          </cell>
        </row>
        <row r="270">
          <cell r="A270" t="str">
            <v>虹鳟鱼</v>
          </cell>
          <cell r="B270">
            <v>4015</v>
          </cell>
        </row>
        <row r="271">
          <cell r="A271" t="str">
            <v>鲷鱼</v>
          </cell>
          <cell r="B271">
            <v>4016</v>
          </cell>
        </row>
        <row r="272">
          <cell r="A272" t="str">
            <v>金鳟鱼</v>
          </cell>
          <cell r="B272">
            <v>4017</v>
          </cell>
        </row>
        <row r="273">
          <cell r="A273" t="str">
            <v>霓虹脂鲤</v>
          </cell>
          <cell r="B273">
            <v>4018</v>
          </cell>
        </row>
        <row r="274">
          <cell r="A274" t="str">
            <v>桃花鱼</v>
          </cell>
          <cell r="B274">
            <v>4020</v>
          </cell>
        </row>
        <row r="275">
          <cell r="A275" t="str">
            <v>鲑鱼</v>
          </cell>
          <cell r="B275">
            <v>4021</v>
          </cell>
        </row>
        <row r="276">
          <cell r="A276" t="str">
            <v>孔雀鱼</v>
          </cell>
          <cell r="B276">
            <v>4022</v>
          </cell>
        </row>
        <row r="277">
          <cell r="A277" t="str">
            <v>银龙鱼</v>
          </cell>
          <cell r="B277">
            <v>4023</v>
          </cell>
        </row>
        <row r="278">
          <cell r="A278" t="str">
            <v>洞穴天使鱼</v>
          </cell>
          <cell r="B278">
            <v>4024</v>
          </cell>
        </row>
        <row r="279">
          <cell r="A279" t="str">
            <v>沙丁鱼</v>
          </cell>
          <cell r="B279">
            <v>4100</v>
          </cell>
        </row>
        <row r="280">
          <cell r="A280" t="str">
            <v>竹荚鱼</v>
          </cell>
          <cell r="B280">
            <v>4101</v>
          </cell>
        </row>
        <row r="281">
          <cell r="A281" t="str">
            <v>海鳗</v>
          </cell>
          <cell r="B281">
            <v>4103</v>
          </cell>
        </row>
        <row r="282">
          <cell r="A282" t="str">
            <v>章鱼</v>
          </cell>
          <cell r="B282">
            <v>4105</v>
          </cell>
        </row>
        <row r="283">
          <cell r="A283" t="str">
            <v>比目鱼</v>
          </cell>
          <cell r="B283">
            <v>4106</v>
          </cell>
        </row>
        <row r="284">
          <cell r="A284" t="str">
            <v>河豚</v>
          </cell>
          <cell r="B284">
            <v>4109</v>
          </cell>
        </row>
        <row r="285">
          <cell r="A285" t="str">
            <v>水母</v>
          </cell>
          <cell r="B285">
            <v>4110</v>
          </cell>
        </row>
        <row r="286">
          <cell r="A286" t="str">
            <v>条石鲷</v>
          </cell>
          <cell r="B286">
            <v>4111</v>
          </cell>
        </row>
        <row r="287">
          <cell r="A287" t="str">
            <v>红鲷鱼</v>
          </cell>
          <cell r="B287">
            <v>4112</v>
          </cell>
        </row>
        <row r="288">
          <cell r="A288" t="str">
            <v>蓝蟹</v>
          </cell>
          <cell r="B288">
            <v>4113</v>
          </cell>
        </row>
        <row r="289">
          <cell r="A289" t="str">
            <v>鲯鳅鱼</v>
          </cell>
          <cell r="B289">
            <v>4114</v>
          </cell>
        </row>
        <row r="290">
          <cell r="A290" t="str">
            <v>龙虾</v>
          </cell>
          <cell r="B290">
            <v>4115</v>
          </cell>
        </row>
        <row r="291">
          <cell r="A291" t="str">
            <v>金枪鱼</v>
          </cell>
          <cell r="B291">
            <v>4116</v>
          </cell>
        </row>
        <row r="292">
          <cell r="A292" t="str">
            <v>斑马狮子鱼</v>
          </cell>
          <cell r="B292">
            <v>4117</v>
          </cell>
        </row>
        <row r="293">
          <cell r="A293" t="str">
            <v>米饭</v>
          </cell>
          <cell r="B293">
            <v>3000</v>
          </cell>
        </row>
        <row r="294">
          <cell r="A294" t="str">
            <v>发酵粉</v>
          </cell>
          <cell r="B294">
            <v>3001</v>
          </cell>
        </row>
        <row r="295">
          <cell r="A295" t="str">
            <v>盐</v>
          </cell>
          <cell r="B295">
            <v>3002</v>
          </cell>
        </row>
        <row r="296">
          <cell r="A296" t="str">
            <v>酸味香料</v>
          </cell>
          <cell r="B296">
            <v>3003</v>
          </cell>
        </row>
        <row r="297">
          <cell r="A297" t="str">
            <v>蜂蜜</v>
          </cell>
          <cell r="B297">
            <v>3005</v>
          </cell>
        </row>
        <row r="298">
          <cell r="A298" t="str">
            <v>牛奶</v>
          </cell>
          <cell r="B298">
            <v>3006</v>
          </cell>
        </row>
        <row r="299">
          <cell r="A299" t="str">
            <v>鸡蛋</v>
          </cell>
          <cell r="B299">
            <v>3007</v>
          </cell>
        </row>
        <row r="300">
          <cell r="A300" t="str">
            <v>猪肉</v>
          </cell>
          <cell r="B300">
            <v>3008</v>
          </cell>
        </row>
        <row r="301">
          <cell r="A301" t="str">
            <v>面粉</v>
          </cell>
          <cell r="B301">
            <v>3009</v>
          </cell>
        </row>
        <row r="302">
          <cell r="A302" t="str">
            <v>咖啡粉</v>
          </cell>
          <cell r="B302">
            <v>3010</v>
          </cell>
        </row>
        <row r="303">
          <cell r="A303" t="str">
            <v>海苔</v>
          </cell>
          <cell r="B303">
            <v>3011</v>
          </cell>
        </row>
        <row r="304">
          <cell r="A304" t="str">
            <v>黄油</v>
          </cell>
          <cell r="B304">
            <v>3011</v>
          </cell>
        </row>
        <row r="305">
          <cell r="A305" t="str">
            <v>腌芜菁</v>
          </cell>
          <cell r="B305">
            <v>3100</v>
          </cell>
        </row>
        <row r="306">
          <cell r="A306" t="str">
            <v>蔬菜沙拉</v>
          </cell>
          <cell r="B306">
            <v>3101</v>
          </cell>
        </row>
        <row r="307">
          <cell r="A307" t="str">
            <v>三明治</v>
          </cell>
          <cell r="B307">
            <v>3102</v>
          </cell>
        </row>
        <row r="308">
          <cell r="A308" t="str">
            <v>腌萝卜</v>
          </cell>
          <cell r="B308">
            <v>3103</v>
          </cell>
        </row>
        <row r="309">
          <cell r="A309" t="str">
            <v>拉面</v>
          </cell>
          <cell r="B309">
            <v>3104</v>
          </cell>
        </row>
        <row r="310">
          <cell r="A310" t="str">
            <v>蜂蜜蛋糕</v>
          </cell>
          <cell r="B310">
            <v>3105</v>
          </cell>
        </row>
        <row r="311">
          <cell r="A311" t="str">
            <v>披萨</v>
          </cell>
          <cell r="B311">
            <v>3106</v>
          </cell>
        </row>
        <row r="312">
          <cell r="A312" t="str">
            <v>腌黄瓜</v>
          </cell>
          <cell r="B312">
            <v>3107</v>
          </cell>
        </row>
        <row r="313">
          <cell r="A313" t="str">
            <v>烤西兰花</v>
          </cell>
          <cell r="B313">
            <v>3108</v>
          </cell>
        </row>
        <row r="314">
          <cell r="A314" t="str">
            <v>水煮蛋</v>
          </cell>
          <cell r="B314">
            <v>3109</v>
          </cell>
        </row>
        <row r="315">
          <cell r="A315" t="str">
            <v>烤肉串</v>
          </cell>
          <cell r="B315">
            <v>3110</v>
          </cell>
        </row>
        <row r="316">
          <cell r="A316" t="str">
            <v>饭团</v>
          </cell>
          <cell r="B316">
            <v>3111</v>
          </cell>
        </row>
        <row r="317">
          <cell r="A317" t="str">
            <v>面包</v>
          </cell>
          <cell r="B317">
            <v>3112</v>
          </cell>
        </row>
        <row r="318">
          <cell r="A318" t="str">
            <v>烤海苔</v>
          </cell>
          <cell r="B318">
            <v>3113</v>
          </cell>
        </row>
        <row r="319">
          <cell r="A319" t="str">
            <v>烤肉饼</v>
          </cell>
          <cell r="B319">
            <v>3114</v>
          </cell>
        </row>
        <row r="320">
          <cell r="A320" t="str">
            <v>汉堡</v>
          </cell>
          <cell r="B320">
            <v>3115</v>
          </cell>
        </row>
        <row r="321">
          <cell r="A321" t="str">
            <v>辣蟹堡</v>
          </cell>
          <cell r="B321">
            <v>3116</v>
          </cell>
        </row>
        <row r="322">
          <cell r="A322" t="str">
            <v>土豆泥</v>
          </cell>
          <cell r="B322">
            <v>3117</v>
          </cell>
        </row>
        <row r="323">
          <cell r="A323" t="str">
            <v>海鲜饭</v>
          </cell>
          <cell r="B323">
            <v>3118</v>
          </cell>
        </row>
        <row r="324">
          <cell r="A324" t="str">
            <v>烤玉米</v>
          </cell>
          <cell r="B324">
            <v>3119</v>
          </cell>
        </row>
        <row r="325">
          <cell r="A325" t="str">
            <v>蔬菜汁</v>
          </cell>
          <cell r="B325">
            <v>3120</v>
          </cell>
        </row>
        <row r="326">
          <cell r="A326" t="str">
            <v>西瓜果汁</v>
          </cell>
          <cell r="B326">
            <v>3121</v>
          </cell>
        </row>
        <row r="327">
          <cell r="A327" t="str">
            <v>奇异果汁</v>
          </cell>
          <cell r="B327">
            <v>3122</v>
          </cell>
        </row>
        <row r="328">
          <cell r="A328" t="str">
            <v>葡萄汁</v>
          </cell>
          <cell r="B328">
            <v>3123</v>
          </cell>
        </row>
        <row r="329">
          <cell r="A329" t="str">
            <v>菠萝汁</v>
          </cell>
          <cell r="B329">
            <v>3124</v>
          </cell>
        </row>
        <row r="330">
          <cell r="A330" t="str">
            <v>草莓汁</v>
          </cell>
          <cell r="B330">
            <v>3125</v>
          </cell>
        </row>
        <row r="331">
          <cell r="A331" t="str">
            <v>蓝莓汁</v>
          </cell>
          <cell r="B331">
            <v>3126</v>
          </cell>
        </row>
        <row r="332">
          <cell r="A332" t="str">
            <v>玉米汁</v>
          </cell>
          <cell r="B332">
            <v>3127</v>
          </cell>
        </row>
        <row r="333">
          <cell r="A333" t="str">
            <v>烤蜜薯</v>
          </cell>
          <cell r="B333">
            <v>3128</v>
          </cell>
        </row>
        <row r="334">
          <cell r="A334" t="str">
            <v>甜菜汁</v>
          </cell>
          <cell r="B334">
            <v>3129</v>
          </cell>
        </row>
        <row r="335">
          <cell r="A335" t="str">
            <v>奶酪</v>
          </cell>
          <cell r="B335">
            <v>3130</v>
          </cell>
        </row>
        <row r="336">
          <cell r="A336" t="str">
            <v>烤茄子</v>
          </cell>
          <cell r="B336">
            <v>3131</v>
          </cell>
        </row>
        <row r="337">
          <cell r="A337" t="str">
            <v>饺子</v>
          </cell>
          <cell r="B337">
            <v>3132</v>
          </cell>
        </row>
        <row r="338">
          <cell r="A338" t="str">
            <v>炖菜</v>
          </cell>
          <cell r="B338">
            <v>3133</v>
          </cell>
        </row>
        <row r="339">
          <cell r="A339" t="str">
            <v>烤芦笋</v>
          </cell>
          <cell r="B339">
            <v>3134</v>
          </cell>
        </row>
        <row r="340">
          <cell r="A340" t="str">
            <v>红菜汤</v>
          </cell>
          <cell r="B340">
            <v>3135</v>
          </cell>
        </row>
        <row r="341">
          <cell r="A341" t="str">
            <v>豌豆汤</v>
          </cell>
          <cell r="B341">
            <v>3136</v>
          </cell>
        </row>
        <row r="342">
          <cell r="A342" t="str">
            <v>草莓牛奶</v>
          </cell>
          <cell r="B342">
            <v>3137</v>
          </cell>
        </row>
        <row r="343">
          <cell r="A343" t="str">
            <v>莓莓果汁</v>
          </cell>
          <cell r="B343">
            <v>3138</v>
          </cell>
        </row>
        <row r="344">
          <cell r="A344" t="str">
            <v>鲑鱼饭团</v>
          </cell>
          <cell r="B344">
            <v>3139</v>
          </cell>
        </row>
        <row r="345">
          <cell r="A345" t="str">
            <v>拿铁</v>
          </cell>
          <cell r="B345">
            <v>3140</v>
          </cell>
        </row>
        <row r="346">
          <cell r="A346" t="str">
            <v>黑咖啡</v>
          </cell>
          <cell r="B346">
            <v>3141</v>
          </cell>
        </row>
        <row r="347">
          <cell r="A347" t="str">
            <v>葡萄酒</v>
          </cell>
          <cell r="B347">
            <v>3142</v>
          </cell>
        </row>
        <row r="348">
          <cell r="A348" t="str">
            <v>伏特加</v>
          </cell>
          <cell r="B348">
            <v>3143</v>
          </cell>
        </row>
        <row r="349">
          <cell r="A349" t="str">
            <v>啤酒</v>
          </cell>
          <cell r="B349">
            <v>3144</v>
          </cell>
        </row>
        <row r="350">
          <cell r="A350" t="str">
            <v>朗姆</v>
          </cell>
          <cell r="B350">
            <v>3145</v>
          </cell>
        </row>
        <row r="351">
          <cell r="A351" t="str">
            <v>野蜂拉格</v>
          </cell>
          <cell r="B351">
            <v>3146</v>
          </cell>
        </row>
        <row r="352">
          <cell r="A352" t="str">
            <v>双莓白兰地</v>
          </cell>
          <cell r="B352">
            <v>3147</v>
          </cell>
        </row>
        <row r="353">
          <cell r="A353" t="str">
            <v>绯红之吻</v>
          </cell>
          <cell r="B353">
            <v>3148</v>
          </cell>
        </row>
        <row r="354">
          <cell r="A354" t="str">
            <v>阳光男孩</v>
          </cell>
          <cell r="B354">
            <v>3149</v>
          </cell>
        </row>
        <row r="355">
          <cell r="A355" t="str">
            <v>盐烤鲮鱼</v>
          </cell>
          <cell r="B355">
            <v>3150</v>
          </cell>
        </row>
        <row r="356">
          <cell r="A356" t="str">
            <v>盐烤丁鱼</v>
          </cell>
          <cell r="B356">
            <v>3151</v>
          </cell>
        </row>
        <row r="357">
          <cell r="A357" t="str">
            <v>盐烤虹鳟鱼</v>
          </cell>
          <cell r="B357">
            <v>3152</v>
          </cell>
        </row>
        <row r="358">
          <cell r="A358" t="str">
            <v>烤鲷鱼</v>
          </cell>
          <cell r="B358">
            <v>3153</v>
          </cell>
        </row>
        <row r="359">
          <cell r="A359" t="str">
            <v>盐烤金鳟鱼</v>
          </cell>
          <cell r="B359">
            <v>3154</v>
          </cell>
        </row>
        <row r="360">
          <cell r="A360" t="str">
            <v>盐烤鲑鱼</v>
          </cell>
          <cell r="B360">
            <v>3155</v>
          </cell>
        </row>
        <row r="361">
          <cell r="A361" t="str">
            <v>烤沙丁鱼串</v>
          </cell>
          <cell r="B361">
            <v>3156</v>
          </cell>
        </row>
        <row r="362">
          <cell r="A362" t="str">
            <v>烤竹荚鱼</v>
          </cell>
          <cell r="B362">
            <v>3157</v>
          </cell>
        </row>
        <row r="363">
          <cell r="A363" t="str">
            <v>烤海鳗</v>
          </cell>
          <cell r="B363">
            <v>3158</v>
          </cell>
        </row>
        <row r="364">
          <cell r="A364" t="str">
            <v>烤比目鱼</v>
          </cell>
          <cell r="B364">
            <v>3159</v>
          </cell>
        </row>
        <row r="365">
          <cell r="A365" t="str">
            <v>烤河豚鱼</v>
          </cell>
          <cell r="B365">
            <v>3160</v>
          </cell>
        </row>
        <row r="366">
          <cell r="A366" t="str">
            <v>烤条石鲷</v>
          </cell>
          <cell r="B366">
            <v>3161</v>
          </cell>
        </row>
        <row r="367">
          <cell r="A367" t="str">
            <v>烤红鲷鱼</v>
          </cell>
          <cell r="B367">
            <v>3162</v>
          </cell>
        </row>
        <row r="368">
          <cell r="A368" t="str">
            <v>烤蓝蟹</v>
          </cell>
          <cell r="B368">
            <v>3163</v>
          </cell>
        </row>
        <row r="369">
          <cell r="A369" t="str">
            <v>烤龙虾</v>
          </cell>
          <cell r="B369">
            <v>3164</v>
          </cell>
        </row>
        <row r="370">
          <cell r="A370" t="str">
            <v>烤金枪鱼</v>
          </cell>
          <cell r="B370">
            <v>3165</v>
          </cell>
        </row>
        <row r="371">
          <cell r="A371" t="str">
            <v>煮蟹肉</v>
          </cell>
          <cell r="B371">
            <v>3166</v>
          </cell>
        </row>
        <row r="372">
          <cell r="A372" t="str">
            <v>海鲜浓汤</v>
          </cell>
          <cell r="B372">
            <v>3167</v>
          </cell>
        </row>
        <row r="373">
          <cell r="A373" t="str">
            <v>鳗鱼饭</v>
          </cell>
          <cell r="B373">
            <v>3168</v>
          </cell>
        </row>
        <row r="374">
          <cell r="A374" t="str">
            <v>鲫鱼蔬菜汤</v>
          </cell>
          <cell r="B374">
            <v>3169</v>
          </cell>
        </row>
        <row r="375">
          <cell r="A375" t="str">
            <v>鲮鱼丸</v>
          </cell>
          <cell r="B375">
            <v>3170</v>
          </cell>
        </row>
        <row r="376">
          <cell r="A376" t="str">
            <v>鲑鱼刺身</v>
          </cell>
          <cell r="B376">
            <v>3171</v>
          </cell>
        </row>
        <row r="377">
          <cell r="A377" t="str">
            <v>章鱼小丸子</v>
          </cell>
          <cell r="B377">
            <v>3172</v>
          </cell>
        </row>
        <row r="378">
          <cell r="A378" t="str">
            <v>炖煮条石鲷</v>
          </cell>
          <cell r="B378">
            <v>3173</v>
          </cell>
        </row>
        <row r="379">
          <cell r="A379" t="str">
            <v>红鲷刺身</v>
          </cell>
          <cell r="B379">
            <v>3174</v>
          </cell>
        </row>
        <row r="380">
          <cell r="A380" t="str">
            <v>河豚刺身</v>
          </cell>
          <cell r="B380">
            <v>3175</v>
          </cell>
        </row>
        <row r="381">
          <cell r="A381" t="str">
            <v>螃蟹煲</v>
          </cell>
          <cell r="B381">
            <v>3176</v>
          </cell>
        </row>
        <row r="382">
          <cell r="A382" t="str">
            <v>金枪鱼刺身</v>
          </cell>
          <cell r="B382">
            <v>3177</v>
          </cell>
        </row>
        <row r="383">
          <cell r="A383" t="str">
            <v>龙虾鱼子酱</v>
          </cell>
          <cell r="B383">
            <v>3178</v>
          </cell>
        </row>
        <row r="384">
          <cell r="A384" t="str">
            <v>凉茶</v>
          </cell>
          <cell r="B384">
            <v>3179</v>
          </cell>
        </row>
        <row r="385">
          <cell r="A385" t="str">
            <v>回春卷轴</v>
          </cell>
          <cell r="B385">
            <v>4000</v>
          </cell>
        </row>
        <row r="386">
          <cell r="A386" t="str">
            <v>振奋卷轴</v>
          </cell>
          <cell r="B386">
            <v>4001</v>
          </cell>
        </row>
        <row r="387">
          <cell r="A387" t="str">
            <v>昏睡卷轴</v>
          </cell>
          <cell r="B387">
            <v>4002</v>
          </cell>
        </row>
        <row r="388">
          <cell r="A388" t="str">
            <v>感电卷轴</v>
          </cell>
          <cell r="B388">
            <v>4003</v>
          </cell>
        </row>
        <row r="389">
          <cell r="A389" t="str">
            <v>冰氛卷轴</v>
          </cell>
          <cell r="B389">
            <v>4004</v>
          </cell>
        </row>
        <row r="390">
          <cell r="A390" t="str">
            <v>火氛卷轴</v>
          </cell>
          <cell r="B390">
            <v>4005</v>
          </cell>
        </row>
        <row r="391">
          <cell r="A391" t="str">
            <v>沉默卷轴</v>
          </cell>
          <cell r="B391">
            <v>4006</v>
          </cell>
        </row>
        <row r="392">
          <cell r="A392" t="str">
            <v>减速卷轴</v>
          </cell>
          <cell r="B392">
            <v>4007</v>
          </cell>
        </row>
        <row r="393">
          <cell r="A393" t="str">
            <v>闪避卷轴</v>
          </cell>
          <cell r="B393">
            <v>4008</v>
          </cell>
        </row>
        <row r="394">
          <cell r="A394" t="str">
            <v>力量卷轴</v>
          </cell>
          <cell r="B394">
            <v>4009</v>
          </cell>
        </row>
        <row r="395">
          <cell r="A395" t="str">
            <v>魅惑卷轴</v>
          </cell>
          <cell r="B395">
            <v>4010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P84"/>
  <sheetViews>
    <sheetView tabSelected="1" workbookViewId="0">
      <selection activeCell="F17" sqref="F17"/>
    </sheetView>
  </sheetViews>
  <sheetFormatPr defaultRowHeight="14.25" x14ac:dyDescent="0.2"/>
  <sheetData>
    <row r="2" spans="1:16" x14ac:dyDescent="0.2">
      <c r="A2" t="s">
        <v>0</v>
      </c>
      <c r="B2" t="s">
        <v>1</v>
      </c>
      <c r="C2" t="s">
        <v>0</v>
      </c>
      <c r="D2" t="s">
        <v>0</v>
      </c>
      <c r="E2" t="s">
        <v>0</v>
      </c>
      <c r="F2" t="s">
        <v>0</v>
      </c>
      <c r="G2" t="s">
        <v>0</v>
      </c>
      <c r="H2" t="s">
        <v>0</v>
      </c>
      <c r="I2" t="s">
        <v>1</v>
      </c>
      <c r="J2" t="s">
        <v>1</v>
      </c>
      <c r="K2" t="s">
        <v>0</v>
      </c>
      <c r="L2" t="s">
        <v>2</v>
      </c>
      <c r="M2" t="s">
        <v>3</v>
      </c>
      <c r="N2" t="s">
        <v>0</v>
      </c>
      <c r="O2" t="s">
        <v>0</v>
      </c>
      <c r="P2" t="s">
        <v>0</v>
      </c>
    </row>
    <row r="3" spans="1:16" x14ac:dyDescent="0.2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258</v>
      </c>
      <c r="H3" t="s">
        <v>10</v>
      </c>
      <c r="I3" t="s">
        <v>11</v>
      </c>
      <c r="J3" t="s">
        <v>12</v>
      </c>
      <c r="K3" t="s">
        <v>571</v>
      </c>
      <c r="L3" t="s">
        <v>13</v>
      </c>
      <c r="M3" t="s">
        <v>14</v>
      </c>
      <c r="N3" t="s">
        <v>15</v>
      </c>
      <c r="O3" t="s">
        <v>16</v>
      </c>
      <c r="P3" t="s">
        <v>17</v>
      </c>
    </row>
    <row r="4" spans="1:16" x14ac:dyDescent="0.2">
      <c r="A4">
        <v>4001</v>
      </c>
      <c r="B4" t="s">
        <v>18</v>
      </c>
      <c r="C4">
        <v>10</v>
      </c>
      <c r="D4">
        <v>3</v>
      </c>
      <c r="E4">
        <v>2</v>
      </c>
      <c r="F4">
        <v>100</v>
      </c>
      <c r="G4">
        <v>150</v>
      </c>
      <c r="H4">
        <v>1</v>
      </c>
      <c r="I4" t="s">
        <v>19</v>
      </c>
      <c r="J4" t="s">
        <v>18</v>
      </c>
      <c r="K4">
        <v>0</v>
      </c>
      <c r="L4">
        <v>0.4</v>
      </c>
      <c r="M4">
        <v>1002</v>
      </c>
      <c r="N4">
        <v>4001</v>
      </c>
      <c r="O4">
        <v>4</v>
      </c>
      <c r="P4">
        <v>2</v>
      </c>
    </row>
    <row r="5" spans="1:16" x14ac:dyDescent="0.2">
      <c r="A5">
        <v>4100</v>
      </c>
      <c r="B5" t="s">
        <v>20</v>
      </c>
      <c r="C5">
        <v>10</v>
      </c>
      <c r="D5">
        <v>14</v>
      </c>
      <c r="E5">
        <v>7</v>
      </c>
      <c r="F5">
        <v>100</v>
      </c>
      <c r="G5">
        <v>100</v>
      </c>
      <c r="H5">
        <v>0</v>
      </c>
      <c r="I5" t="s">
        <v>19</v>
      </c>
      <c r="J5" t="s">
        <v>20</v>
      </c>
      <c r="K5">
        <v>0</v>
      </c>
      <c r="L5">
        <v>0.5</v>
      </c>
      <c r="M5">
        <v>1002</v>
      </c>
      <c r="N5">
        <v>4100</v>
      </c>
      <c r="O5">
        <v>4</v>
      </c>
      <c r="P5">
        <v>2</v>
      </c>
    </row>
    <row r="6" spans="1:16" x14ac:dyDescent="0.2">
      <c r="A6">
        <v>4101</v>
      </c>
      <c r="B6" t="s">
        <v>21</v>
      </c>
      <c r="C6">
        <v>10</v>
      </c>
      <c r="D6">
        <v>16</v>
      </c>
      <c r="E6">
        <v>6</v>
      </c>
      <c r="F6">
        <v>100</v>
      </c>
      <c r="G6">
        <v>90</v>
      </c>
      <c r="H6">
        <v>4</v>
      </c>
      <c r="I6" t="s">
        <v>19</v>
      </c>
      <c r="J6" t="s">
        <v>21</v>
      </c>
      <c r="K6">
        <v>0</v>
      </c>
      <c r="L6">
        <v>0.6</v>
      </c>
      <c r="M6">
        <v>1002</v>
      </c>
      <c r="N6">
        <v>4101</v>
      </c>
      <c r="O6">
        <v>4</v>
      </c>
      <c r="P6">
        <v>2</v>
      </c>
    </row>
    <row r="7" spans="1:16" x14ac:dyDescent="0.2">
      <c r="A7">
        <v>4102</v>
      </c>
      <c r="B7" t="s">
        <v>22</v>
      </c>
      <c r="C7">
        <v>14</v>
      </c>
      <c r="D7">
        <v>14</v>
      </c>
      <c r="E7">
        <v>8</v>
      </c>
      <c r="F7">
        <v>100</v>
      </c>
      <c r="G7">
        <v>150</v>
      </c>
      <c r="H7">
        <v>0</v>
      </c>
      <c r="I7" t="s">
        <v>19</v>
      </c>
      <c r="J7" t="s">
        <v>22</v>
      </c>
      <c r="K7">
        <v>4</v>
      </c>
      <c r="L7">
        <v>0.7</v>
      </c>
      <c r="M7">
        <v>1002</v>
      </c>
      <c r="N7">
        <v>4102</v>
      </c>
      <c r="O7">
        <v>6</v>
      </c>
      <c r="P7">
        <v>2</v>
      </c>
    </row>
    <row r="8" spans="1:16" x14ac:dyDescent="0.2">
      <c r="A8">
        <v>4103</v>
      </c>
      <c r="B8" t="s">
        <v>23</v>
      </c>
      <c r="C8">
        <v>15</v>
      </c>
      <c r="D8">
        <v>16</v>
      </c>
      <c r="E8">
        <v>7</v>
      </c>
      <c r="F8">
        <v>100</v>
      </c>
      <c r="G8">
        <v>90</v>
      </c>
      <c r="H8">
        <v>0</v>
      </c>
      <c r="I8" t="s">
        <v>19</v>
      </c>
      <c r="J8" t="s">
        <v>23</v>
      </c>
      <c r="K8">
        <v>0</v>
      </c>
      <c r="L8">
        <v>0.7</v>
      </c>
      <c r="M8">
        <v>1002</v>
      </c>
      <c r="N8">
        <v>4103</v>
      </c>
      <c r="O8">
        <v>6</v>
      </c>
      <c r="P8">
        <v>2</v>
      </c>
    </row>
    <row r="9" spans="1:16" x14ac:dyDescent="0.2">
      <c r="A9">
        <v>4104</v>
      </c>
      <c r="B9" t="s">
        <v>24</v>
      </c>
      <c r="C9">
        <v>17</v>
      </c>
      <c r="D9">
        <v>18</v>
      </c>
      <c r="E9">
        <v>8</v>
      </c>
      <c r="F9">
        <v>100</v>
      </c>
      <c r="G9">
        <v>100</v>
      </c>
      <c r="H9">
        <v>4</v>
      </c>
      <c r="I9" t="s">
        <v>19</v>
      </c>
      <c r="J9" t="s">
        <v>24</v>
      </c>
      <c r="K9">
        <v>0</v>
      </c>
      <c r="L9">
        <v>0.6</v>
      </c>
      <c r="M9">
        <v>1002</v>
      </c>
      <c r="N9">
        <v>4104</v>
      </c>
      <c r="O9">
        <v>8</v>
      </c>
      <c r="P9">
        <v>2</v>
      </c>
    </row>
    <row r="10" spans="1:16" x14ac:dyDescent="0.2">
      <c r="A10">
        <v>4105</v>
      </c>
      <c r="B10" t="s">
        <v>25</v>
      </c>
      <c r="C10">
        <v>17</v>
      </c>
      <c r="D10">
        <v>17</v>
      </c>
      <c r="E10">
        <v>9</v>
      </c>
      <c r="F10">
        <v>100</v>
      </c>
      <c r="G10">
        <v>90</v>
      </c>
      <c r="H10">
        <v>0</v>
      </c>
      <c r="I10" t="s">
        <v>19</v>
      </c>
      <c r="J10" t="s">
        <v>25</v>
      </c>
      <c r="K10">
        <v>1</v>
      </c>
      <c r="L10">
        <v>0.7</v>
      </c>
      <c r="M10">
        <v>1002</v>
      </c>
      <c r="N10">
        <v>4105</v>
      </c>
      <c r="O10">
        <v>8</v>
      </c>
      <c r="P10">
        <v>2</v>
      </c>
    </row>
    <row r="11" spans="1:16" x14ac:dyDescent="0.2">
      <c r="A11">
        <v>4106</v>
      </c>
      <c r="B11" t="s">
        <v>26</v>
      </c>
      <c r="C11">
        <v>20</v>
      </c>
      <c r="D11">
        <v>18</v>
      </c>
      <c r="E11">
        <v>10</v>
      </c>
      <c r="F11">
        <v>100</v>
      </c>
      <c r="G11">
        <v>120</v>
      </c>
      <c r="H11">
        <v>1</v>
      </c>
      <c r="I11" t="s">
        <v>19</v>
      </c>
      <c r="J11" t="s">
        <v>26</v>
      </c>
      <c r="K11">
        <v>0</v>
      </c>
      <c r="L11">
        <v>0.6</v>
      </c>
      <c r="M11">
        <v>1002</v>
      </c>
      <c r="N11">
        <v>4106</v>
      </c>
      <c r="O11">
        <v>20</v>
      </c>
      <c r="P11">
        <v>2</v>
      </c>
    </row>
    <row r="12" spans="1:16" x14ac:dyDescent="0.2">
      <c r="A12">
        <v>4107</v>
      </c>
      <c r="B12" t="s">
        <v>27</v>
      </c>
      <c r="C12">
        <v>20</v>
      </c>
      <c r="D12">
        <v>21</v>
      </c>
      <c r="E12">
        <v>9</v>
      </c>
      <c r="F12">
        <v>100</v>
      </c>
      <c r="G12">
        <v>130</v>
      </c>
      <c r="H12">
        <v>0</v>
      </c>
      <c r="I12" t="s">
        <v>19</v>
      </c>
      <c r="J12" t="s">
        <v>27</v>
      </c>
      <c r="K12">
        <v>5</v>
      </c>
      <c r="L12">
        <v>0.7</v>
      </c>
      <c r="M12">
        <v>1002</v>
      </c>
      <c r="N12">
        <v>4107</v>
      </c>
      <c r="O12">
        <v>20</v>
      </c>
      <c r="P12">
        <v>2</v>
      </c>
    </row>
    <row r="13" spans="1:16" x14ac:dyDescent="0.2">
      <c r="A13">
        <v>4108</v>
      </c>
      <c r="B13" t="s">
        <v>28</v>
      </c>
      <c r="C13">
        <v>96</v>
      </c>
      <c r="D13">
        <v>52</v>
      </c>
      <c r="E13">
        <v>33</v>
      </c>
      <c r="F13">
        <v>100</v>
      </c>
      <c r="G13">
        <v>120</v>
      </c>
      <c r="H13">
        <v>1</v>
      </c>
      <c r="I13" t="s">
        <v>19</v>
      </c>
      <c r="J13" t="s">
        <v>28</v>
      </c>
      <c r="K13">
        <v>0</v>
      </c>
      <c r="L13">
        <v>0.5</v>
      </c>
      <c r="M13">
        <v>1002</v>
      </c>
      <c r="N13">
        <v>4108</v>
      </c>
      <c r="O13">
        <v>116</v>
      </c>
      <c r="P13">
        <v>2</v>
      </c>
    </row>
    <row r="14" spans="1:16" x14ac:dyDescent="0.2">
      <c r="A14">
        <v>4109</v>
      </c>
      <c r="B14" t="s">
        <v>29</v>
      </c>
      <c r="C14">
        <v>96</v>
      </c>
      <c r="D14">
        <v>55</v>
      </c>
      <c r="E14">
        <v>31</v>
      </c>
      <c r="F14">
        <v>100</v>
      </c>
      <c r="G14">
        <v>110</v>
      </c>
      <c r="H14">
        <v>4</v>
      </c>
      <c r="I14" t="s">
        <v>19</v>
      </c>
      <c r="J14" t="s">
        <v>29</v>
      </c>
      <c r="K14">
        <v>0</v>
      </c>
      <c r="L14">
        <v>0.7</v>
      </c>
      <c r="M14">
        <v>1002</v>
      </c>
      <c r="N14">
        <v>4109</v>
      </c>
      <c r="O14">
        <v>116</v>
      </c>
      <c r="P14">
        <v>2</v>
      </c>
    </row>
    <row r="15" spans="1:16" x14ac:dyDescent="0.2">
      <c r="A15">
        <v>4110</v>
      </c>
      <c r="B15" t="s">
        <v>30</v>
      </c>
      <c r="C15">
        <v>40</v>
      </c>
      <c r="D15">
        <v>31</v>
      </c>
      <c r="E15">
        <v>18</v>
      </c>
      <c r="F15">
        <v>100</v>
      </c>
      <c r="G15">
        <v>150</v>
      </c>
      <c r="H15">
        <v>3</v>
      </c>
      <c r="I15" t="s">
        <v>19</v>
      </c>
      <c r="J15" t="s">
        <v>30</v>
      </c>
      <c r="K15">
        <v>0</v>
      </c>
      <c r="L15">
        <v>0.5</v>
      </c>
      <c r="M15">
        <v>1002</v>
      </c>
      <c r="N15">
        <v>4110</v>
      </c>
      <c r="O15">
        <v>40</v>
      </c>
      <c r="P15">
        <v>2</v>
      </c>
    </row>
    <row r="16" spans="1:16" x14ac:dyDescent="0.2">
      <c r="A16">
        <v>4111</v>
      </c>
      <c r="B16" t="s">
        <v>31</v>
      </c>
      <c r="C16">
        <v>38</v>
      </c>
      <c r="D16">
        <v>34</v>
      </c>
      <c r="E16">
        <v>18</v>
      </c>
      <c r="F16">
        <v>100</v>
      </c>
      <c r="G16">
        <v>110</v>
      </c>
      <c r="H16">
        <v>0</v>
      </c>
      <c r="I16" t="s">
        <v>19</v>
      </c>
      <c r="J16" t="s">
        <v>31</v>
      </c>
      <c r="K16">
        <v>4</v>
      </c>
      <c r="L16">
        <v>0.7</v>
      </c>
      <c r="M16">
        <v>1002</v>
      </c>
      <c r="N16">
        <v>4111</v>
      </c>
      <c r="O16">
        <v>40</v>
      </c>
      <c r="P16">
        <v>2</v>
      </c>
    </row>
    <row r="17" spans="1:16" x14ac:dyDescent="0.2">
      <c r="A17">
        <v>4112</v>
      </c>
      <c r="B17" t="s">
        <v>32</v>
      </c>
      <c r="C17">
        <v>42</v>
      </c>
      <c r="D17">
        <v>36</v>
      </c>
      <c r="E17">
        <v>18</v>
      </c>
      <c r="F17">
        <v>100</v>
      </c>
      <c r="G17">
        <v>110</v>
      </c>
      <c r="H17">
        <v>0</v>
      </c>
      <c r="I17" t="s">
        <v>19</v>
      </c>
      <c r="J17" t="s">
        <v>32</v>
      </c>
      <c r="K17">
        <v>4</v>
      </c>
      <c r="L17">
        <v>0.8</v>
      </c>
      <c r="M17">
        <v>1002</v>
      </c>
      <c r="N17">
        <v>4112</v>
      </c>
      <c r="O17">
        <v>52</v>
      </c>
      <c r="P17">
        <v>2</v>
      </c>
    </row>
    <row r="18" spans="1:16" x14ac:dyDescent="0.2">
      <c r="A18">
        <v>4113</v>
      </c>
      <c r="B18" t="s">
        <v>33</v>
      </c>
      <c r="C18">
        <v>44</v>
      </c>
      <c r="D18">
        <v>34</v>
      </c>
      <c r="E18">
        <v>18</v>
      </c>
      <c r="F18">
        <v>100</v>
      </c>
      <c r="G18">
        <v>120</v>
      </c>
      <c r="H18">
        <v>5</v>
      </c>
      <c r="I18" t="s">
        <v>19</v>
      </c>
      <c r="J18" t="s">
        <v>33</v>
      </c>
      <c r="K18">
        <v>2</v>
      </c>
      <c r="L18">
        <v>0.4</v>
      </c>
      <c r="M18">
        <v>1002</v>
      </c>
      <c r="N18">
        <v>4113</v>
      </c>
      <c r="O18">
        <v>52</v>
      </c>
      <c r="P18">
        <v>2</v>
      </c>
    </row>
    <row r="19" spans="1:16" x14ac:dyDescent="0.2">
      <c r="A19">
        <v>4114</v>
      </c>
      <c r="B19" t="s">
        <v>34</v>
      </c>
      <c r="C19">
        <v>48</v>
      </c>
      <c r="D19">
        <v>36</v>
      </c>
      <c r="E19">
        <v>18</v>
      </c>
      <c r="F19">
        <v>100</v>
      </c>
      <c r="G19">
        <v>110</v>
      </c>
      <c r="H19">
        <v>5</v>
      </c>
      <c r="I19" t="s">
        <v>19</v>
      </c>
      <c r="J19" t="s">
        <v>34</v>
      </c>
      <c r="K19">
        <v>4</v>
      </c>
      <c r="L19">
        <v>0.6</v>
      </c>
      <c r="M19">
        <v>1002</v>
      </c>
      <c r="N19">
        <v>4114</v>
      </c>
      <c r="O19">
        <v>64</v>
      </c>
      <c r="P19">
        <v>2</v>
      </c>
    </row>
    <row r="20" spans="1:16" x14ac:dyDescent="0.2">
      <c r="A20">
        <v>4115</v>
      </c>
      <c r="B20" t="s">
        <v>35</v>
      </c>
      <c r="C20">
        <v>46</v>
      </c>
      <c r="D20">
        <v>39</v>
      </c>
      <c r="E20">
        <v>18</v>
      </c>
      <c r="F20">
        <v>100</v>
      </c>
      <c r="G20">
        <v>120</v>
      </c>
      <c r="H20">
        <v>0</v>
      </c>
      <c r="I20" t="s">
        <v>19</v>
      </c>
      <c r="J20" t="s">
        <v>35</v>
      </c>
      <c r="K20">
        <v>0</v>
      </c>
      <c r="L20">
        <v>0.5</v>
      </c>
      <c r="M20">
        <v>1002</v>
      </c>
      <c r="N20">
        <v>4115</v>
      </c>
      <c r="O20">
        <v>64</v>
      </c>
      <c r="P20">
        <v>2</v>
      </c>
    </row>
    <row r="21" spans="1:16" x14ac:dyDescent="0.2">
      <c r="A21">
        <v>4116</v>
      </c>
      <c r="B21" t="s">
        <v>36</v>
      </c>
      <c r="C21">
        <v>50</v>
      </c>
      <c r="D21">
        <v>40</v>
      </c>
      <c r="E21">
        <v>19</v>
      </c>
      <c r="F21">
        <v>100</v>
      </c>
      <c r="G21">
        <v>120</v>
      </c>
      <c r="H21">
        <v>0</v>
      </c>
      <c r="I21" t="s">
        <v>19</v>
      </c>
      <c r="J21" t="s">
        <v>36</v>
      </c>
      <c r="K21">
        <v>0</v>
      </c>
      <c r="L21">
        <v>0.5</v>
      </c>
      <c r="M21">
        <v>1002</v>
      </c>
      <c r="N21">
        <v>4116</v>
      </c>
      <c r="O21">
        <v>74</v>
      </c>
      <c r="P21">
        <v>2</v>
      </c>
    </row>
    <row r="22" spans="1:16" x14ac:dyDescent="0.2">
      <c r="A22">
        <v>4117</v>
      </c>
      <c r="B22" t="s">
        <v>37</v>
      </c>
      <c r="C22">
        <v>48</v>
      </c>
      <c r="D22">
        <v>43</v>
      </c>
      <c r="E22">
        <v>19</v>
      </c>
      <c r="F22">
        <v>100</v>
      </c>
      <c r="G22">
        <v>110</v>
      </c>
      <c r="H22">
        <v>3</v>
      </c>
      <c r="I22" t="s">
        <v>19</v>
      </c>
      <c r="J22" t="s">
        <v>37</v>
      </c>
      <c r="K22">
        <v>0</v>
      </c>
      <c r="L22">
        <v>0.8</v>
      </c>
      <c r="M22">
        <v>1002</v>
      </c>
      <c r="N22">
        <v>4117</v>
      </c>
      <c r="O22">
        <v>74</v>
      </c>
      <c r="P22">
        <v>2</v>
      </c>
    </row>
    <row r="23" spans="1:16" x14ac:dyDescent="0.2">
      <c r="A23">
        <v>4118</v>
      </c>
      <c r="B23" t="s">
        <v>38</v>
      </c>
      <c r="C23">
        <v>228</v>
      </c>
      <c r="D23">
        <v>203</v>
      </c>
      <c r="E23">
        <v>108</v>
      </c>
      <c r="F23">
        <v>100</v>
      </c>
      <c r="G23">
        <v>120</v>
      </c>
      <c r="H23">
        <v>3</v>
      </c>
      <c r="I23" t="s">
        <v>19</v>
      </c>
      <c r="J23" t="s">
        <v>38</v>
      </c>
      <c r="K23">
        <v>4</v>
      </c>
      <c r="L23">
        <v>0.5</v>
      </c>
      <c r="M23">
        <v>1002</v>
      </c>
      <c r="N23">
        <v>4118</v>
      </c>
      <c r="O23">
        <v>1066</v>
      </c>
      <c r="P23">
        <v>2</v>
      </c>
    </row>
    <row r="24" spans="1:16" x14ac:dyDescent="0.2">
      <c r="A24">
        <v>4119</v>
      </c>
      <c r="B24" t="s">
        <v>39</v>
      </c>
      <c r="C24">
        <v>232</v>
      </c>
      <c r="D24">
        <v>195</v>
      </c>
      <c r="E24">
        <v>109</v>
      </c>
      <c r="F24">
        <v>100</v>
      </c>
      <c r="G24">
        <v>150</v>
      </c>
      <c r="H24">
        <v>5</v>
      </c>
      <c r="I24" t="s">
        <v>19</v>
      </c>
      <c r="J24" t="s">
        <v>39</v>
      </c>
      <c r="K24">
        <v>0</v>
      </c>
      <c r="L24">
        <v>0.6</v>
      </c>
      <c r="M24">
        <v>1002</v>
      </c>
      <c r="N24">
        <v>4119</v>
      </c>
      <c r="O24">
        <v>1066</v>
      </c>
      <c r="P24">
        <v>2</v>
      </c>
    </row>
    <row r="25" spans="1:16" x14ac:dyDescent="0.2">
      <c r="A25">
        <v>4120</v>
      </c>
      <c r="B25" t="s">
        <v>40</v>
      </c>
      <c r="C25">
        <v>25</v>
      </c>
      <c r="D25">
        <v>22</v>
      </c>
      <c r="E25">
        <v>12</v>
      </c>
      <c r="F25">
        <v>100</v>
      </c>
      <c r="G25">
        <v>80</v>
      </c>
      <c r="H25">
        <v>0</v>
      </c>
      <c r="I25" t="s">
        <v>19</v>
      </c>
      <c r="J25" t="s">
        <v>40</v>
      </c>
      <c r="K25">
        <v>0</v>
      </c>
      <c r="L25">
        <v>0.5</v>
      </c>
      <c r="M25">
        <v>1002</v>
      </c>
      <c r="N25">
        <v>4120</v>
      </c>
      <c r="O25">
        <v>26</v>
      </c>
      <c r="P25">
        <v>2</v>
      </c>
    </row>
    <row r="26" spans="1:16" x14ac:dyDescent="0.2">
      <c r="A26">
        <v>4121</v>
      </c>
      <c r="B26" t="s">
        <v>41</v>
      </c>
      <c r="C26">
        <v>25</v>
      </c>
      <c r="D26">
        <v>21</v>
      </c>
      <c r="E26">
        <v>13</v>
      </c>
      <c r="F26">
        <v>100</v>
      </c>
      <c r="G26">
        <v>120</v>
      </c>
      <c r="H26">
        <v>0</v>
      </c>
      <c r="I26" t="s">
        <v>19</v>
      </c>
      <c r="J26" t="s">
        <v>41</v>
      </c>
      <c r="K26">
        <v>0</v>
      </c>
      <c r="L26">
        <v>1</v>
      </c>
      <c r="M26">
        <v>1002</v>
      </c>
      <c r="N26">
        <v>4121</v>
      </c>
      <c r="O26">
        <v>26</v>
      </c>
      <c r="P26">
        <v>2</v>
      </c>
    </row>
    <row r="27" spans="1:16" x14ac:dyDescent="0.2">
      <c r="A27">
        <v>4122</v>
      </c>
      <c r="B27" t="s">
        <v>42</v>
      </c>
      <c r="C27">
        <v>28</v>
      </c>
      <c r="D27">
        <v>25</v>
      </c>
      <c r="E27">
        <v>13</v>
      </c>
      <c r="F27">
        <v>100</v>
      </c>
      <c r="G27">
        <v>120</v>
      </c>
      <c r="H27">
        <v>0</v>
      </c>
      <c r="I27" t="s">
        <v>19</v>
      </c>
      <c r="J27" t="s">
        <v>42</v>
      </c>
      <c r="K27">
        <v>0</v>
      </c>
      <c r="L27">
        <v>0.7</v>
      </c>
      <c r="M27">
        <v>1002</v>
      </c>
      <c r="N27">
        <v>4122</v>
      </c>
      <c r="O27">
        <v>28</v>
      </c>
      <c r="P27">
        <v>2</v>
      </c>
    </row>
    <row r="28" spans="1:16" x14ac:dyDescent="0.2">
      <c r="A28">
        <v>4123</v>
      </c>
      <c r="B28" t="s">
        <v>43</v>
      </c>
      <c r="C28">
        <v>28</v>
      </c>
      <c r="D28">
        <v>26</v>
      </c>
      <c r="E28">
        <v>12</v>
      </c>
      <c r="F28">
        <v>100</v>
      </c>
      <c r="G28">
        <v>90</v>
      </c>
      <c r="H28">
        <v>4</v>
      </c>
      <c r="I28" t="s">
        <v>19</v>
      </c>
      <c r="J28" t="s">
        <v>43</v>
      </c>
      <c r="K28">
        <v>5</v>
      </c>
      <c r="L28">
        <v>0.6</v>
      </c>
      <c r="M28">
        <v>1002</v>
      </c>
      <c r="N28">
        <v>4123</v>
      </c>
      <c r="O28">
        <v>28</v>
      </c>
      <c r="P28">
        <v>2</v>
      </c>
    </row>
    <row r="29" spans="1:16" x14ac:dyDescent="0.2">
      <c r="A29">
        <v>4124</v>
      </c>
      <c r="B29" t="s">
        <v>44</v>
      </c>
      <c r="C29">
        <v>32</v>
      </c>
      <c r="D29">
        <v>29</v>
      </c>
      <c r="E29">
        <v>12</v>
      </c>
      <c r="F29">
        <v>100</v>
      </c>
      <c r="G29">
        <v>150</v>
      </c>
      <c r="H29">
        <v>0</v>
      </c>
      <c r="I29" t="s">
        <v>19</v>
      </c>
      <c r="J29" t="s">
        <v>44</v>
      </c>
      <c r="K29">
        <v>6</v>
      </c>
      <c r="L29">
        <v>0.7</v>
      </c>
      <c r="M29">
        <v>1002</v>
      </c>
      <c r="N29">
        <v>4124</v>
      </c>
      <c r="O29">
        <v>32</v>
      </c>
      <c r="P29">
        <v>2</v>
      </c>
    </row>
    <row r="30" spans="1:16" x14ac:dyDescent="0.2">
      <c r="A30">
        <v>4125</v>
      </c>
      <c r="B30" t="s">
        <v>45</v>
      </c>
      <c r="C30">
        <v>30</v>
      </c>
      <c r="D30">
        <v>29</v>
      </c>
      <c r="E30">
        <v>13</v>
      </c>
      <c r="F30">
        <v>100</v>
      </c>
      <c r="G30">
        <v>120</v>
      </c>
      <c r="H30">
        <v>0</v>
      </c>
      <c r="I30" t="s">
        <v>19</v>
      </c>
      <c r="J30" t="s">
        <v>45</v>
      </c>
      <c r="K30">
        <v>0</v>
      </c>
      <c r="L30">
        <v>0.7</v>
      </c>
      <c r="M30">
        <v>1002</v>
      </c>
      <c r="N30">
        <v>4125</v>
      </c>
      <c r="O30">
        <v>32</v>
      </c>
      <c r="P30">
        <v>2</v>
      </c>
    </row>
    <row r="31" spans="1:16" x14ac:dyDescent="0.2">
      <c r="A31">
        <v>4126</v>
      </c>
      <c r="B31" t="s">
        <v>46</v>
      </c>
      <c r="C31">
        <v>32</v>
      </c>
      <c r="D31">
        <v>26</v>
      </c>
      <c r="E31">
        <v>18</v>
      </c>
      <c r="F31">
        <v>100</v>
      </c>
      <c r="G31">
        <v>80</v>
      </c>
      <c r="H31">
        <v>4</v>
      </c>
      <c r="I31" t="s">
        <v>19</v>
      </c>
      <c r="J31" t="s">
        <v>46</v>
      </c>
      <c r="K31">
        <v>2</v>
      </c>
      <c r="L31">
        <v>0.5</v>
      </c>
      <c r="M31">
        <v>1002</v>
      </c>
      <c r="N31">
        <v>4126</v>
      </c>
      <c r="O31">
        <v>38</v>
      </c>
      <c r="P31">
        <v>2</v>
      </c>
    </row>
    <row r="32" spans="1:16" x14ac:dyDescent="0.2">
      <c r="A32">
        <v>4127</v>
      </c>
      <c r="B32" t="s">
        <v>47</v>
      </c>
      <c r="C32">
        <v>32</v>
      </c>
      <c r="D32">
        <v>29</v>
      </c>
      <c r="E32">
        <v>16</v>
      </c>
      <c r="F32">
        <v>100</v>
      </c>
      <c r="G32">
        <v>100</v>
      </c>
      <c r="H32">
        <v>0</v>
      </c>
      <c r="I32" t="s">
        <v>19</v>
      </c>
      <c r="J32" t="s">
        <v>47</v>
      </c>
      <c r="K32">
        <v>4</v>
      </c>
      <c r="L32">
        <v>0.7</v>
      </c>
      <c r="M32">
        <v>1002</v>
      </c>
      <c r="N32">
        <v>4127</v>
      </c>
      <c r="O32">
        <v>38</v>
      </c>
      <c r="P32">
        <v>2</v>
      </c>
    </row>
    <row r="33" spans="1:16" x14ac:dyDescent="0.2">
      <c r="A33">
        <v>4128</v>
      </c>
      <c r="B33" t="s">
        <v>48</v>
      </c>
      <c r="C33">
        <v>150</v>
      </c>
      <c r="D33">
        <v>133</v>
      </c>
      <c r="E33">
        <v>72</v>
      </c>
      <c r="F33">
        <v>100</v>
      </c>
      <c r="G33">
        <v>120</v>
      </c>
      <c r="H33">
        <v>0</v>
      </c>
      <c r="I33" t="s">
        <v>19</v>
      </c>
      <c r="J33" t="s">
        <v>48</v>
      </c>
      <c r="K33">
        <v>4</v>
      </c>
      <c r="L33">
        <v>0.6</v>
      </c>
      <c r="M33">
        <v>1002</v>
      </c>
      <c r="N33">
        <v>4128</v>
      </c>
      <c r="O33">
        <v>533</v>
      </c>
      <c r="P33">
        <v>2</v>
      </c>
    </row>
    <row r="34" spans="1:16" x14ac:dyDescent="0.2">
      <c r="A34">
        <v>4129</v>
      </c>
      <c r="B34" t="s">
        <v>49</v>
      </c>
      <c r="C34">
        <v>150</v>
      </c>
      <c r="D34">
        <v>138</v>
      </c>
      <c r="E34">
        <v>69</v>
      </c>
      <c r="F34">
        <v>100</v>
      </c>
      <c r="G34">
        <v>110</v>
      </c>
      <c r="H34">
        <v>4</v>
      </c>
      <c r="I34" t="s">
        <v>19</v>
      </c>
      <c r="J34" t="s">
        <v>49</v>
      </c>
      <c r="K34">
        <v>5</v>
      </c>
      <c r="L34">
        <v>0.7</v>
      </c>
      <c r="M34">
        <v>1002</v>
      </c>
      <c r="N34">
        <v>4129</v>
      </c>
      <c r="O34">
        <v>533</v>
      </c>
      <c r="P34">
        <v>2</v>
      </c>
    </row>
    <row r="35" spans="1:16" x14ac:dyDescent="0.2">
      <c r="A35">
        <v>4130</v>
      </c>
      <c r="B35" t="s">
        <v>50</v>
      </c>
      <c r="C35">
        <v>56</v>
      </c>
      <c r="D35">
        <v>44</v>
      </c>
      <c r="E35">
        <v>21</v>
      </c>
      <c r="F35">
        <v>100</v>
      </c>
      <c r="G35">
        <v>140</v>
      </c>
      <c r="H35">
        <v>1</v>
      </c>
      <c r="I35" t="s">
        <v>19</v>
      </c>
      <c r="J35" t="s">
        <v>50</v>
      </c>
      <c r="K35">
        <v>0</v>
      </c>
      <c r="L35">
        <v>0.5</v>
      </c>
      <c r="M35">
        <v>1002</v>
      </c>
      <c r="N35">
        <v>4130</v>
      </c>
      <c r="O35">
        <v>80</v>
      </c>
      <c r="P35">
        <v>2</v>
      </c>
    </row>
    <row r="36" spans="1:16" x14ac:dyDescent="0.2">
      <c r="A36">
        <v>4131</v>
      </c>
      <c r="B36" t="s">
        <v>51</v>
      </c>
      <c r="C36">
        <v>58</v>
      </c>
      <c r="D36">
        <v>39</v>
      </c>
      <c r="E36">
        <v>22</v>
      </c>
      <c r="F36">
        <v>100</v>
      </c>
      <c r="G36">
        <v>130</v>
      </c>
      <c r="H36">
        <v>0</v>
      </c>
      <c r="I36" t="s">
        <v>19</v>
      </c>
      <c r="J36" t="s">
        <v>51</v>
      </c>
      <c r="K36">
        <v>2</v>
      </c>
      <c r="L36">
        <v>0.5</v>
      </c>
      <c r="M36">
        <v>1002</v>
      </c>
      <c r="N36">
        <v>4131</v>
      </c>
      <c r="O36">
        <v>80</v>
      </c>
      <c r="P36">
        <v>2</v>
      </c>
    </row>
    <row r="37" spans="1:16" x14ac:dyDescent="0.2">
      <c r="A37">
        <v>4132</v>
      </c>
      <c r="B37" t="s">
        <v>52</v>
      </c>
      <c r="C37">
        <v>60</v>
      </c>
      <c r="D37">
        <v>47</v>
      </c>
      <c r="E37">
        <v>21</v>
      </c>
      <c r="F37">
        <v>100</v>
      </c>
      <c r="G37">
        <v>120</v>
      </c>
      <c r="H37">
        <v>1</v>
      </c>
      <c r="I37" t="s">
        <v>19</v>
      </c>
      <c r="J37" t="s">
        <v>52</v>
      </c>
      <c r="K37">
        <v>0</v>
      </c>
      <c r="L37">
        <v>0.9</v>
      </c>
      <c r="M37">
        <v>1002</v>
      </c>
      <c r="N37">
        <v>4132</v>
      </c>
      <c r="O37">
        <v>84</v>
      </c>
      <c r="P37">
        <v>2</v>
      </c>
    </row>
    <row r="38" spans="1:16" x14ac:dyDescent="0.2">
      <c r="A38">
        <v>4133</v>
      </c>
      <c r="B38" t="s">
        <v>53</v>
      </c>
      <c r="C38">
        <v>60</v>
      </c>
      <c r="D38">
        <v>46</v>
      </c>
      <c r="E38">
        <v>22</v>
      </c>
      <c r="F38">
        <v>100</v>
      </c>
      <c r="G38">
        <v>110</v>
      </c>
      <c r="H38">
        <v>0</v>
      </c>
      <c r="I38" t="s">
        <v>19</v>
      </c>
      <c r="J38" t="s">
        <v>53</v>
      </c>
      <c r="K38">
        <v>2</v>
      </c>
      <c r="L38">
        <v>0.6</v>
      </c>
      <c r="M38">
        <v>1002</v>
      </c>
      <c r="N38">
        <v>4133</v>
      </c>
      <c r="O38">
        <v>84</v>
      </c>
      <c r="P38">
        <v>2</v>
      </c>
    </row>
    <row r="39" spans="1:16" x14ac:dyDescent="0.2">
      <c r="A39">
        <v>4134</v>
      </c>
      <c r="B39" t="s">
        <v>54</v>
      </c>
      <c r="C39">
        <v>64</v>
      </c>
      <c r="D39">
        <v>47</v>
      </c>
      <c r="E39">
        <v>22</v>
      </c>
      <c r="F39">
        <v>100</v>
      </c>
      <c r="G39">
        <v>110</v>
      </c>
      <c r="H39">
        <v>0</v>
      </c>
      <c r="I39" t="s">
        <v>19</v>
      </c>
      <c r="J39" t="s">
        <v>54</v>
      </c>
      <c r="K39">
        <v>2</v>
      </c>
      <c r="L39">
        <v>0.6</v>
      </c>
      <c r="M39">
        <v>1002</v>
      </c>
      <c r="N39">
        <v>4134</v>
      </c>
      <c r="O39">
        <v>90</v>
      </c>
      <c r="P39">
        <v>2</v>
      </c>
    </row>
    <row r="40" spans="1:16" x14ac:dyDescent="0.2">
      <c r="A40">
        <v>4135</v>
      </c>
      <c r="B40" t="s">
        <v>55</v>
      </c>
      <c r="C40">
        <v>64</v>
      </c>
      <c r="D40">
        <v>44</v>
      </c>
      <c r="E40">
        <v>24</v>
      </c>
      <c r="F40">
        <v>100</v>
      </c>
      <c r="G40">
        <v>130</v>
      </c>
      <c r="H40">
        <v>5</v>
      </c>
      <c r="I40" t="s">
        <v>19</v>
      </c>
      <c r="J40" t="s">
        <v>55</v>
      </c>
      <c r="K40">
        <v>0</v>
      </c>
      <c r="L40">
        <v>0.5</v>
      </c>
      <c r="M40">
        <v>1002</v>
      </c>
      <c r="N40">
        <v>4135</v>
      </c>
      <c r="O40">
        <v>90</v>
      </c>
      <c r="P40">
        <v>2</v>
      </c>
    </row>
    <row r="41" spans="1:16" x14ac:dyDescent="0.2">
      <c r="A41">
        <v>4136</v>
      </c>
      <c r="B41" t="s">
        <v>56</v>
      </c>
      <c r="C41">
        <v>64</v>
      </c>
      <c r="D41">
        <v>52</v>
      </c>
      <c r="E41">
        <v>24</v>
      </c>
      <c r="F41">
        <v>100</v>
      </c>
      <c r="G41">
        <v>120</v>
      </c>
      <c r="H41">
        <v>1</v>
      </c>
      <c r="I41" t="s">
        <v>19</v>
      </c>
      <c r="J41" t="s">
        <v>56</v>
      </c>
      <c r="K41">
        <v>4</v>
      </c>
      <c r="L41">
        <v>0.6</v>
      </c>
      <c r="M41">
        <v>1002</v>
      </c>
      <c r="N41">
        <v>4136</v>
      </c>
      <c r="O41">
        <v>100</v>
      </c>
      <c r="P41">
        <v>2</v>
      </c>
    </row>
    <row r="42" spans="1:16" x14ac:dyDescent="0.2">
      <c r="A42">
        <v>4137</v>
      </c>
      <c r="B42" t="s">
        <v>57</v>
      </c>
      <c r="C42">
        <v>68</v>
      </c>
      <c r="D42">
        <v>49</v>
      </c>
      <c r="E42">
        <v>22</v>
      </c>
      <c r="F42">
        <v>100</v>
      </c>
      <c r="G42">
        <v>100</v>
      </c>
      <c r="H42">
        <v>0</v>
      </c>
      <c r="I42" t="s">
        <v>19</v>
      </c>
      <c r="J42" t="s">
        <v>57</v>
      </c>
      <c r="K42">
        <v>0</v>
      </c>
      <c r="L42">
        <v>0.6</v>
      </c>
      <c r="M42">
        <v>1002</v>
      </c>
      <c r="N42">
        <v>4137</v>
      </c>
      <c r="O42">
        <v>100</v>
      </c>
      <c r="P42">
        <v>2</v>
      </c>
    </row>
    <row r="43" spans="1:16" x14ac:dyDescent="0.2">
      <c r="A43">
        <v>4138</v>
      </c>
      <c r="B43" t="s">
        <v>58</v>
      </c>
      <c r="C43">
        <v>336</v>
      </c>
      <c r="D43">
        <v>265</v>
      </c>
      <c r="E43">
        <v>126</v>
      </c>
      <c r="F43">
        <v>100</v>
      </c>
      <c r="G43">
        <v>140</v>
      </c>
      <c r="H43">
        <v>1</v>
      </c>
      <c r="I43" t="s">
        <v>19</v>
      </c>
      <c r="J43" t="s">
        <v>58</v>
      </c>
      <c r="K43">
        <v>4</v>
      </c>
      <c r="L43">
        <v>0.6</v>
      </c>
      <c r="M43">
        <v>1002</v>
      </c>
      <c r="N43">
        <v>4138</v>
      </c>
      <c r="O43">
        <v>1530</v>
      </c>
      <c r="P43">
        <v>2</v>
      </c>
    </row>
    <row r="44" spans="1:16" x14ac:dyDescent="0.2">
      <c r="A44">
        <v>4139</v>
      </c>
      <c r="B44" t="s">
        <v>59</v>
      </c>
      <c r="C44">
        <v>340</v>
      </c>
      <c r="D44">
        <v>270</v>
      </c>
      <c r="E44">
        <v>120</v>
      </c>
      <c r="F44">
        <v>100</v>
      </c>
      <c r="G44">
        <v>140</v>
      </c>
      <c r="H44">
        <v>5</v>
      </c>
      <c r="I44" t="s">
        <v>19</v>
      </c>
      <c r="J44" t="s">
        <v>59</v>
      </c>
      <c r="K44">
        <v>0</v>
      </c>
      <c r="L44">
        <v>0.5</v>
      </c>
      <c r="M44">
        <v>1002</v>
      </c>
      <c r="N44">
        <v>4139</v>
      </c>
      <c r="O44">
        <v>1530</v>
      </c>
      <c r="P44">
        <v>2</v>
      </c>
    </row>
    <row r="45" spans="1:16" x14ac:dyDescent="0.2">
      <c r="A45">
        <v>4140</v>
      </c>
      <c r="B45" t="s">
        <v>60</v>
      </c>
      <c r="C45">
        <v>70</v>
      </c>
      <c r="D45">
        <v>55</v>
      </c>
      <c r="E45">
        <v>27</v>
      </c>
      <c r="F45">
        <v>100</v>
      </c>
      <c r="G45">
        <v>80</v>
      </c>
      <c r="H45">
        <v>0</v>
      </c>
      <c r="I45" t="s">
        <v>19</v>
      </c>
      <c r="J45" t="s">
        <v>60</v>
      </c>
      <c r="K45">
        <v>0</v>
      </c>
      <c r="L45">
        <v>0.5</v>
      </c>
      <c r="M45">
        <v>1002</v>
      </c>
      <c r="N45">
        <v>4140</v>
      </c>
      <c r="O45">
        <v>132</v>
      </c>
      <c r="P45">
        <v>2</v>
      </c>
    </row>
    <row r="46" spans="1:16" x14ac:dyDescent="0.2">
      <c r="A46">
        <v>4141</v>
      </c>
      <c r="B46" t="s">
        <v>61</v>
      </c>
      <c r="C46">
        <v>72</v>
      </c>
      <c r="D46">
        <v>52</v>
      </c>
      <c r="E46">
        <v>27</v>
      </c>
      <c r="F46">
        <v>100</v>
      </c>
      <c r="G46">
        <v>100</v>
      </c>
      <c r="H46">
        <v>2</v>
      </c>
      <c r="I46" t="s">
        <v>19</v>
      </c>
      <c r="J46" t="s">
        <v>61</v>
      </c>
      <c r="K46">
        <v>4</v>
      </c>
      <c r="L46">
        <v>0.8</v>
      </c>
      <c r="M46">
        <v>1002</v>
      </c>
      <c r="N46">
        <v>4141</v>
      </c>
      <c r="O46">
        <v>132</v>
      </c>
      <c r="P46">
        <v>2</v>
      </c>
    </row>
    <row r="47" spans="1:16" x14ac:dyDescent="0.2">
      <c r="A47">
        <v>4142</v>
      </c>
      <c r="B47" t="s">
        <v>62</v>
      </c>
      <c r="C47">
        <v>72</v>
      </c>
      <c r="D47">
        <v>60</v>
      </c>
      <c r="E47">
        <v>27</v>
      </c>
      <c r="F47">
        <v>100</v>
      </c>
      <c r="G47">
        <v>120</v>
      </c>
      <c r="H47">
        <v>0</v>
      </c>
      <c r="I47" t="s">
        <v>19</v>
      </c>
      <c r="J47" t="s">
        <v>62</v>
      </c>
      <c r="K47">
        <v>2</v>
      </c>
      <c r="L47">
        <v>1</v>
      </c>
      <c r="M47">
        <v>1002</v>
      </c>
      <c r="N47">
        <v>4142</v>
      </c>
      <c r="O47">
        <v>144</v>
      </c>
      <c r="P47">
        <v>2</v>
      </c>
    </row>
    <row r="48" spans="1:16" x14ac:dyDescent="0.2">
      <c r="A48">
        <v>4143</v>
      </c>
      <c r="B48" t="s">
        <v>63</v>
      </c>
      <c r="C48">
        <v>74</v>
      </c>
      <c r="D48">
        <v>57</v>
      </c>
      <c r="E48">
        <v>27</v>
      </c>
      <c r="F48">
        <v>100</v>
      </c>
      <c r="G48">
        <v>130</v>
      </c>
      <c r="H48">
        <v>2</v>
      </c>
      <c r="I48" t="s">
        <v>19</v>
      </c>
      <c r="J48" t="s">
        <v>63</v>
      </c>
      <c r="K48">
        <v>0</v>
      </c>
      <c r="L48">
        <v>0.8</v>
      </c>
      <c r="M48">
        <v>1002</v>
      </c>
      <c r="N48">
        <v>4143</v>
      </c>
      <c r="O48">
        <v>144</v>
      </c>
      <c r="P48">
        <v>2</v>
      </c>
    </row>
    <row r="49" spans="1:16" x14ac:dyDescent="0.2">
      <c r="A49">
        <v>4144</v>
      </c>
      <c r="B49" t="s">
        <v>64</v>
      </c>
      <c r="C49">
        <v>74</v>
      </c>
      <c r="D49">
        <v>62</v>
      </c>
      <c r="E49">
        <v>28</v>
      </c>
      <c r="F49">
        <v>100</v>
      </c>
      <c r="G49">
        <v>120</v>
      </c>
      <c r="H49">
        <v>2</v>
      </c>
      <c r="I49" t="s">
        <v>19</v>
      </c>
      <c r="J49" t="s">
        <v>64</v>
      </c>
      <c r="K49">
        <v>4</v>
      </c>
      <c r="L49">
        <v>0.5</v>
      </c>
      <c r="M49">
        <v>1002</v>
      </c>
      <c r="N49">
        <v>4144</v>
      </c>
      <c r="O49">
        <v>168</v>
      </c>
      <c r="P49">
        <v>2</v>
      </c>
    </row>
    <row r="50" spans="1:16" x14ac:dyDescent="0.2">
      <c r="A50">
        <v>4145</v>
      </c>
      <c r="B50" t="s">
        <v>65</v>
      </c>
      <c r="C50">
        <v>76</v>
      </c>
      <c r="D50">
        <v>57</v>
      </c>
      <c r="E50">
        <v>30</v>
      </c>
      <c r="F50">
        <v>100</v>
      </c>
      <c r="G50">
        <v>80</v>
      </c>
      <c r="H50">
        <v>0</v>
      </c>
      <c r="I50" t="s">
        <v>19</v>
      </c>
      <c r="J50" t="s">
        <v>65</v>
      </c>
      <c r="K50">
        <v>2</v>
      </c>
      <c r="L50">
        <v>0.5</v>
      </c>
      <c r="M50">
        <v>1002</v>
      </c>
      <c r="N50">
        <v>4145</v>
      </c>
      <c r="O50">
        <v>168</v>
      </c>
      <c r="P50">
        <v>2</v>
      </c>
    </row>
    <row r="51" spans="1:16" x14ac:dyDescent="0.2">
      <c r="A51">
        <v>4146</v>
      </c>
      <c r="B51" t="s">
        <v>66</v>
      </c>
      <c r="C51">
        <v>76</v>
      </c>
      <c r="D51">
        <v>62</v>
      </c>
      <c r="E51">
        <v>28</v>
      </c>
      <c r="F51">
        <v>100</v>
      </c>
      <c r="G51">
        <v>130</v>
      </c>
      <c r="H51">
        <v>0</v>
      </c>
      <c r="I51" t="s">
        <v>19</v>
      </c>
      <c r="J51" t="s">
        <v>66</v>
      </c>
      <c r="K51">
        <v>4</v>
      </c>
      <c r="L51">
        <v>1</v>
      </c>
      <c r="M51">
        <v>1002</v>
      </c>
      <c r="N51">
        <v>4146</v>
      </c>
      <c r="O51">
        <v>192</v>
      </c>
      <c r="P51">
        <v>2</v>
      </c>
    </row>
    <row r="52" spans="1:16" x14ac:dyDescent="0.2">
      <c r="A52">
        <v>4147</v>
      </c>
      <c r="B52" t="s">
        <v>67</v>
      </c>
      <c r="C52">
        <v>76</v>
      </c>
      <c r="D52">
        <v>65</v>
      </c>
      <c r="E52">
        <v>30</v>
      </c>
      <c r="F52">
        <v>100</v>
      </c>
      <c r="G52">
        <v>140</v>
      </c>
      <c r="H52">
        <v>0</v>
      </c>
      <c r="I52" t="s">
        <v>19</v>
      </c>
      <c r="J52" t="s">
        <v>67</v>
      </c>
      <c r="K52">
        <v>0</v>
      </c>
      <c r="L52">
        <v>1</v>
      </c>
      <c r="M52">
        <v>1002</v>
      </c>
      <c r="N52">
        <v>4147</v>
      </c>
      <c r="O52">
        <v>192</v>
      </c>
      <c r="P52">
        <v>2</v>
      </c>
    </row>
    <row r="53" spans="1:16" x14ac:dyDescent="0.2">
      <c r="A53">
        <v>4148</v>
      </c>
      <c r="B53" t="s">
        <v>68</v>
      </c>
      <c r="C53">
        <v>420</v>
      </c>
      <c r="D53">
        <v>328</v>
      </c>
      <c r="E53">
        <v>162</v>
      </c>
      <c r="F53">
        <v>100</v>
      </c>
      <c r="G53">
        <v>120</v>
      </c>
      <c r="H53">
        <v>2</v>
      </c>
      <c r="I53" t="s">
        <v>19</v>
      </c>
      <c r="J53" t="s">
        <v>68</v>
      </c>
      <c r="K53">
        <v>3</v>
      </c>
      <c r="L53">
        <v>0.7</v>
      </c>
      <c r="M53">
        <v>1002</v>
      </c>
      <c r="N53">
        <v>4148</v>
      </c>
      <c r="O53">
        <v>1936</v>
      </c>
      <c r="P53">
        <v>2</v>
      </c>
    </row>
    <row r="54" spans="1:16" x14ac:dyDescent="0.2">
      <c r="A54">
        <v>4149</v>
      </c>
      <c r="B54" t="s">
        <v>69</v>
      </c>
      <c r="C54">
        <v>432</v>
      </c>
      <c r="D54">
        <v>312</v>
      </c>
      <c r="E54">
        <v>162</v>
      </c>
      <c r="F54">
        <v>100</v>
      </c>
      <c r="G54">
        <v>120</v>
      </c>
      <c r="H54">
        <v>0</v>
      </c>
      <c r="I54" t="s">
        <v>19</v>
      </c>
      <c r="J54" t="s">
        <v>69</v>
      </c>
      <c r="K54">
        <v>5</v>
      </c>
      <c r="L54">
        <v>0.6</v>
      </c>
      <c r="M54">
        <v>1002</v>
      </c>
      <c r="N54">
        <v>4149</v>
      </c>
      <c r="O54">
        <v>1936</v>
      </c>
      <c r="P54">
        <v>2</v>
      </c>
    </row>
    <row r="55" spans="1:16" x14ac:dyDescent="0.2">
      <c r="A55">
        <v>4150</v>
      </c>
      <c r="B55" t="s">
        <v>70</v>
      </c>
      <c r="C55">
        <v>92</v>
      </c>
      <c r="D55">
        <v>83</v>
      </c>
      <c r="E55">
        <v>39</v>
      </c>
      <c r="F55">
        <v>100</v>
      </c>
      <c r="G55">
        <v>90</v>
      </c>
      <c r="H55">
        <v>0</v>
      </c>
      <c r="I55" t="s">
        <v>19</v>
      </c>
      <c r="J55" t="s">
        <v>70</v>
      </c>
      <c r="K55">
        <v>2</v>
      </c>
      <c r="L55">
        <v>0.5</v>
      </c>
      <c r="M55">
        <v>1002</v>
      </c>
      <c r="N55">
        <v>4150</v>
      </c>
      <c r="O55">
        <v>266</v>
      </c>
      <c r="P55">
        <v>2</v>
      </c>
    </row>
    <row r="56" spans="1:16" x14ac:dyDescent="0.2">
      <c r="A56">
        <v>4151</v>
      </c>
      <c r="B56" t="s">
        <v>71</v>
      </c>
      <c r="C56">
        <v>92</v>
      </c>
      <c r="D56">
        <v>86</v>
      </c>
      <c r="E56">
        <v>37</v>
      </c>
      <c r="F56">
        <v>100</v>
      </c>
      <c r="G56">
        <v>110</v>
      </c>
      <c r="H56">
        <v>2</v>
      </c>
      <c r="I56" t="s">
        <v>19</v>
      </c>
      <c r="J56" t="s">
        <v>71</v>
      </c>
      <c r="K56">
        <v>4</v>
      </c>
      <c r="L56">
        <v>0.6</v>
      </c>
      <c r="M56">
        <v>1002</v>
      </c>
      <c r="N56">
        <v>4151</v>
      </c>
      <c r="O56">
        <v>266</v>
      </c>
      <c r="P56">
        <v>2</v>
      </c>
    </row>
    <row r="57" spans="1:16" x14ac:dyDescent="0.2">
      <c r="A57">
        <v>4152</v>
      </c>
      <c r="B57" t="s">
        <v>72</v>
      </c>
      <c r="C57">
        <v>96</v>
      </c>
      <c r="D57">
        <v>86</v>
      </c>
      <c r="E57">
        <v>39</v>
      </c>
      <c r="F57">
        <v>100</v>
      </c>
      <c r="G57">
        <v>150</v>
      </c>
      <c r="H57">
        <v>0</v>
      </c>
      <c r="I57" t="s">
        <v>19</v>
      </c>
      <c r="J57" t="s">
        <v>72</v>
      </c>
      <c r="K57">
        <v>0</v>
      </c>
      <c r="L57">
        <v>0.8</v>
      </c>
      <c r="M57">
        <v>1002</v>
      </c>
      <c r="N57">
        <v>4152</v>
      </c>
      <c r="O57">
        <v>282</v>
      </c>
      <c r="P57">
        <v>2</v>
      </c>
    </row>
    <row r="58" spans="1:16" x14ac:dyDescent="0.2">
      <c r="A58">
        <v>4153</v>
      </c>
      <c r="B58" t="s">
        <v>73</v>
      </c>
      <c r="C58">
        <v>96</v>
      </c>
      <c r="D58">
        <v>88</v>
      </c>
      <c r="E58">
        <v>37</v>
      </c>
      <c r="F58">
        <v>100</v>
      </c>
      <c r="G58">
        <v>80</v>
      </c>
      <c r="H58">
        <v>0</v>
      </c>
      <c r="I58" t="s">
        <v>19</v>
      </c>
      <c r="J58" t="s">
        <v>73</v>
      </c>
      <c r="K58">
        <v>0</v>
      </c>
      <c r="L58">
        <v>1</v>
      </c>
      <c r="M58">
        <v>1002</v>
      </c>
      <c r="N58">
        <v>4153</v>
      </c>
      <c r="O58">
        <v>282</v>
      </c>
      <c r="P58">
        <v>2</v>
      </c>
    </row>
    <row r="59" spans="1:16" x14ac:dyDescent="0.2">
      <c r="A59">
        <v>4154</v>
      </c>
      <c r="B59" t="s">
        <v>74</v>
      </c>
      <c r="C59">
        <v>100</v>
      </c>
      <c r="D59">
        <v>86</v>
      </c>
      <c r="E59">
        <v>40</v>
      </c>
      <c r="F59">
        <v>100</v>
      </c>
      <c r="G59">
        <v>110</v>
      </c>
      <c r="H59">
        <v>5</v>
      </c>
      <c r="I59" t="s">
        <v>19</v>
      </c>
      <c r="J59" t="s">
        <v>74</v>
      </c>
      <c r="K59">
        <v>4</v>
      </c>
      <c r="L59">
        <v>0.5</v>
      </c>
      <c r="M59">
        <v>1002</v>
      </c>
      <c r="N59">
        <v>4154</v>
      </c>
      <c r="O59">
        <v>300</v>
      </c>
      <c r="P59">
        <v>2</v>
      </c>
    </row>
    <row r="60" spans="1:16" x14ac:dyDescent="0.2">
      <c r="A60">
        <v>4155</v>
      </c>
      <c r="B60" t="s">
        <v>75</v>
      </c>
      <c r="C60">
        <v>102</v>
      </c>
      <c r="D60">
        <v>88</v>
      </c>
      <c r="E60">
        <v>37</v>
      </c>
      <c r="F60">
        <v>100</v>
      </c>
      <c r="G60">
        <v>120</v>
      </c>
      <c r="H60">
        <v>2</v>
      </c>
      <c r="I60" t="s">
        <v>19</v>
      </c>
      <c r="J60" t="s">
        <v>75</v>
      </c>
      <c r="K60">
        <v>0</v>
      </c>
      <c r="L60">
        <v>1</v>
      </c>
      <c r="M60">
        <v>1002</v>
      </c>
      <c r="N60">
        <v>4155</v>
      </c>
      <c r="O60">
        <v>300</v>
      </c>
      <c r="P60">
        <v>2</v>
      </c>
    </row>
    <row r="61" spans="1:16" x14ac:dyDescent="0.2">
      <c r="A61">
        <v>4156</v>
      </c>
      <c r="B61" t="s">
        <v>76</v>
      </c>
      <c r="C61">
        <v>104</v>
      </c>
      <c r="D61">
        <v>91</v>
      </c>
      <c r="E61">
        <v>39</v>
      </c>
      <c r="F61">
        <v>100</v>
      </c>
      <c r="G61">
        <v>120</v>
      </c>
      <c r="H61">
        <v>5</v>
      </c>
      <c r="I61" t="s">
        <v>19</v>
      </c>
      <c r="J61" t="s">
        <v>76</v>
      </c>
      <c r="K61">
        <v>3</v>
      </c>
      <c r="L61">
        <v>0.6</v>
      </c>
      <c r="M61">
        <v>1002</v>
      </c>
      <c r="N61">
        <v>4156</v>
      </c>
      <c r="O61">
        <v>354</v>
      </c>
      <c r="P61">
        <v>2</v>
      </c>
    </row>
    <row r="62" spans="1:16" x14ac:dyDescent="0.2">
      <c r="A62">
        <v>4157</v>
      </c>
      <c r="B62" t="s">
        <v>77</v>
      </c>
      <c r="C62">
        <v>102</v>
      </c>
      <c r="D62">
        <v>88</v>
      </c>
      <c r="E62">
        <v>42</v>
      </c>
      <c r="F62">
        <v>100</v>
      </c>
      <c r="G62">
        <v>80</v>
      </c>
      <c r="H62">
        <v>0</v>
      </c>
      <c r="I62" t="s">
        <v>19</v>
      </c>
      <c r="J62" t="s">
        <v>77</v>
      </c>
      <c r="K62">
        <v>1</v>
      </c>
      <c r="L62">
        <v>0.9</v>
      </c>
      <c r="M62">
        <v>1002</v>
      </c>
      <c r="N62">
        <v>4157</v>
      </c>
      <c r="O62">
        <v>354</v>
      </c>
      <c r="P62">
        <v>2</v>
      </c>
    </row>
    <row r="63" spans="1:16" x14ac:dyDescent="0.2">
      <c r="A63">
        <v>4158</v>
      </c>
      <c r="B63" t="s">
        <v>78</v>
      </c>
      <c r="C63">
        <v>552</v>
      </c>
      <c r="D63">
        <v>499</v>
      </c>
      <c r="E63">
        <v>234</v>
      </c>
      <c r="F63">
        <v>100</v>
      </c>
      <c r="G63">
        <v>130</v>
      </c>
      <c r="H63">
        <v>5</v>
      </c>
      <c r="I63" t="s">
        <v>19</v>
      </c>
      <c r="J63" t="s">
        <v>78</v>
      </c>
      <c r="K63">
        <v>4</v>
      </c>
      <c r="L63">
        <v>0.6</v>
      </c>
      <c r="M63">
        <v>1002</v>
      </c>
      <c r="N63">
        <v>4158</v>
      </c>
      <c r="O63">
        <v>4133</v>
      </c>
      <c r="P63">
        <v>2</v>
      </c>
    </row>
    <row r="64" spans="1:16" x14ac:dyDescent="0.2">
      <c r="A64">
        <v>4159</v>
      </c>
      <c r="B64" t="s">
        <v>79</v>
      </c>
      <c r="C64">
        <v>552</v>
      </c>
      <c r="D64">
        <v>515</v>
      </c>
      <c r="E64">
        <v>225</v>
      </c>
      <c r="F64">
        <v>100</v>
      </c>
      <c r="G64">
        <v>130</v>
      </c>
      <c r="H64">
        <v>2</v>
      </c>
      <c r="I64" t="s">
        <v>19</v>
      </c>
      <c r="J64" t="s">
        <v>79</v>
      </c>
      <c r="K64">
        <v>1</v>
      </c>
      <c r="L64">
        <v>0.7</v>
      </c>
      <c r="M64">
        <v>1002</v>
      </c>
      <c r="N64">
        <v>4159</v>
      </c>
      <c r="O64">
        <v>4133</v>
      </c>
      <c r="P64">
        <v>2</v>
      </c>
    </row>
    <row r="65" spans="1:16" x14ac:dyDescent="0.2">
      <c r="A65">
        <v>4160</v>
      </c>
      <c r="B65" t="s">
        <v>80</v>
      </c>
      <c r="C65">
        <v>82</v>
      </c>
      <c r="D65">
        <v>69</v>
      </c>
      <c r="E65">
        <v>32</v>
      </c>
      <c r="F65">
        <v>100</v>
      </c>
      <c r="G65">
        <v>80</v>
      </c>
      <c r="H65">
        <v>0</v>
      </c>
      <c r="I65" t="s">
        <v>19</v>
      </c>
      <c r="J65" t="s">
        <v>80</v>
      </c>
      <c r="K65">
        <v>0</v>
      </c>
      <c r="L65">
        <v>0.5</v>
      </c>
      <c r="M65">
        <v>1002</v>
      </c>
      <c r="N65">
        <v>4160</v>
      </c>
      <c r="O65">
        <v>192</v>
      </c>
      <c r="P65">
        <v>2</v>
      </c>
    </row>
    <row r="66" spans="1:16" x14ac:dyDescent="0.2">
      <c r="A66">
        <v>4161</v>
      </c>
      <c r="B66" t="s">
        <v>81</v>
      </c>
      <c r="C66">
        <v>82</v>
      </c>
      <c r="D66">
        <v>72</v>
      </c>
      <c r="E66">
        <v>31</v>
      </c>
      <c r="F66">
        <v>100</v>
      </c>
      <c r="G66">
        <v>70</v>
      </c>
      <c r="H66">
        <v>1</v>
      </c>
      <c r="I66" t="s">
        <v>19</v>
      </c>
      <c r="J66" t="s">
        <v>81</v>
      </c>
      <c r="K66">
        <v>4</v>
      </c>
      <c r="L66">
        <v>0.5</v>
      </c>
      <c r="M66">
        <v>1002</v>
      </c>
      <c r="N66">
        <v>4161</v>
      </c>
      <c r="O66">
        <v>192</v>
      </c>
      <c r="P66">
        <v>2</v>
      </c>
    </row>
    <row r="67" spans="1:16" x14ac:dyDescent="0.2">
      <c r="A67">
        <v>4162</v>
      </c>
      <c r="B67" t="s">
        <v>82</v>
      </c>
      <c r="C67">
        <v>84</v>
      </c>
      <c r="D67">
        <v>72</v>
      </c>
      <c r="E67">
        <v>34</v>
      </c>
      <c r="F67">
        <v>100</v>
      </c>
      <c r="G67">
        <v>110</v>
      </c>
      <c r="H67">
        <v>0</v>
      </c>
      <c r="I67" t="s">
        <v>19</v>
      </c>
      <c r="J67" t="s">
        <v>82</v>
      </c>
      <c r="K67">
        <v>4</v>
      </c>
      <c r="L67">
        <v>0.7</v>
      </c>
      <c r="M67">
        <v>1002</v>
      </c>
      <c r="N67">
        <v>4162</v>
      </c>
      <c r="O67">
        <v>204</v>
      </c>
      <c r="P67">
        <v>2</v>
      </c>
    </row>
    <row r="68" spans="1:16" x14ac:dyDescent="0.2">
      <c r="A68">
        <v>4163</v>
      </c>
      <c r="B68" t="s">
        <v>83</v>
      </c>
      <c r="C68">
        <v>84</v>
      </c>
      <c r="D68">
        <v>69</v>
      </c>
      <c r="E68">
        <v>35</v>
      </c>
      <c r="F68">
        <v>100</v>
      </c>
      <c r="G68">
        <v>150</v>
      </c>
      <c r="H68">
        <v>3</v>
      </c>
      <c r="I68" t="s">
        <v>19</v>
      </c>
      <c r="J68" t="s">
        <v>83</v>
      </c>
      <c r="K68">
        <v>0</v>
      </c>
      <c r="L68">
        <v>0.7</v>
      </c>
      <c r="M68">
        <v>1002</v>
      </c>
      <c r="N68">
        <v>4163</v>
      </c>
      <c r="O68">
        <v>204</v>
      </c>
      <c r="P68">
        <v>2</v>
      </c>
    </row>
    <row r="69" spans="1:16" x14ac:dyDescent="0.2">
      <c r="A69">
        <v>4164</v>
      </c>
      <c r="B69" t="s">
        <v>84</v>
      </c>
      <c r="C69">
        <v>86</v>
      </c>
      <c r="D69">
        <v>73</v>
      </c>
      <c r="E69">
        <v>36</v>
      </c>
      <c r="F69">
        <v>100</v>
      </c>
      <c r="G69">
        <v>140</v>
      </c>
      <c r="H69">
        <v>0</v>
      </c>
      <c r="I69" t="s">
        <v>19</v>
      </c>
      <c r="J69" t="s">
        <v>84</v>
      </c>
      <c r="K69">
        <v>3</v>
      </c>
      <c r="L69">
        <v>0.9</v>
      </c>
      <c r="M69">
        <v>1002</v>
      </c>
      <c r="N69">
        <v>4164</v>
      </c>
      <c r="O69">
        <v>216</v>
      </c>
      <c r="P69">
        <v>2</v>
      </c>
    </row>
    <row r="70" spans="1:16" x14ac:dyDescent="0.2">
      <c r="A70">
        <v>4165</v>
      </c>
      <c r="B70" t="s">
        <v>85</v>
      </c>
      <c r="C70">
        <v>86</v>
      </c>
      <c r="D70">
        <v>70</v>
      </c>
      <c r="E70">
        <v>37</v>
      </c>
      <c r="F70">
        <v>100</v>
      </c>
      <c r="G70">
        <v>160</v>
      </c>
      <c r="H70">
        <v>1</v>
      </c>
      <c r="I70" t="s">
        <v>19</v>
      </c>
      <c r="J70" t="s">
        <v>85</v>
      </c>
      <c r="K70">
        <v>0</v>
      </c>
      <c r="L70">
        <v>1</v>
      </c>
      <c r="M70">
        <v>1002</v>
      </c>
      <c r="N70">
        <v>4165</v>
      </c>
      <c r="O70">
        <v>216</v>
      </c>
      <c r="P70">
        <v>2</v>
      </c>
    </row>
    <row r="71" spans="1:16" x14ac:dyDescent="0.2">
      <c r="A71">
        <v>4166</v>
      </c>
      <c r="B71" t="s">
        <v>86</v>
      </c>
      <c r="C71">
        <v>90</v>
      </c>
      <c r="D71">
        <v>75</v>
      </c>
      <c r="E71">
        <v>36</v>
      </c>
      <c r="F71">
        <v>100</v>
      </c>
      <c r="G71">
        <v>140</v>
      </c>
      <c r="H71">
        <v>3</v>
      </c>
      <c r="I71" t="s">
        <v>19</v>
      </c>
      <c r="J71" t="s">
        <v>86</v>
      </c>
      <c r="K71">
        <v>0</v>
      </c>
      <c r="L71">
        <v>0.7</v>
      </c>
      <c r="M71">
        <v>1002</v>
      </c>
      <c r="N71">
        <v>4166</v>
      </c>
      <c r="O71">
        <v>288</v>
      </c>
      <c r="P71">
        <v>2</v>
      </c>
    </row>
    <row r="72" spans="1:16" x14ac:dyDescent="0.2">
      <c r="A72">
        <v>4167</v>
      </c>
      <c r="B72" t="s">
        <v>87</v>
      </c>
      <c r="C72">
        <v>90</v>
      </c>
      <c r="D72">
        <v>78</v>
      </c>
      <c r="E72">
        <v>34</v>
      </c>
      <c r="F72">
        <v>100</v>
      </c>
      <c r="G72">
        <v>120</v>
      </c>
      <c r="H72">
        <v>0</v>
      </c>
      <c r="I72" t="s">
        <v>19</v>
      </c>
      <c r="J72" t="s">
        <v>87</v>
      </c>
      <c r="K72">
        <v>0</v>
      </c>
      <c r="L72">
        <v>0.8</v>
      </c>
      <c r="M72">
        <v>1002</v>
      </c>
      <c r="N72">
        <v>4167</v>
      </c>
      <c r="O72">
        <v>288</v>
      </c>
      <c r="P72">
        <v>2</v>
      </c>
    </row>
    <row r="73" spans="1:16" x14ac:dyDescent="0.2">
      <c r="A73">
        <v>4168</v>
      </c>
      <c r="B73" t="s">
        <v>88</v>
      </c>
      <c r="C73">
        <v>492</v>
      </c>
      <c r="D73">
        <v>413</v>
      </c>
      <c r="E73">
        <v>193</v>
      </c>
      <c r="F73">
        <v>100</v>
      </c>
      <c r="G73">
        <v>120</v>
      </c>
      <c r="H73">
        <v>3</v>
      </c>
      <c r="I73" t="s">
        <v>19</v>
      </c>
      <c r="J73" t="s">
        <v>88</v>
      </c>
      <c r="K73">
        <v>3</v>
      </c>
      <c r="L73">
        <v>0.7</v>
      </c>
      <c r="M73">
        <v>1002</v>
      </c>
      <c r="N73">
        <v>4168</v>
      </c>
      <c r="O73">
        <v>2756</v>
      </c>
      <c r="P73">
        <v>2</v>
      </c>
    </row>
    <row r="74" spans="1:16" x14ac:dyDescent="0.2">
      <c r="A74">
        <v>4169</v>
      </c>
      <c r="B74" t="s">
        <v>89</v>
      </c>
      <c r="C74">
        <v>492</v>
      </c>
      <c r="D74">
        <v>429</v>
      </c>
      <c r="E74">
        <v>184</v>
      </c>
      <c r="F74">
        <v>100</v>
      </c>
      <c r="G74">
        <v>120</v>
      </c>
      <c r="H74">
        <v>1</v>
      </c>
      <c r="I74" t="s">
        <v>19</v>
      </c>
      <c r="J74" t="s">
        <v>89</v>
      </c>
      <c r="K74">
        <v>6</v>
      </c>
      <c r="L74">
        <v>0.6</v>
      </c>
      <c r="M74">
        <v>1002</v>
      </c>
      <c r="N74">
        <v>4169</v>
      </c>
      <c r="O74">
        <v>2756</v>
      </c>
      <c r="P74">
        <v>2</v>
      </c>
    </row>
    <row r="75" spans="1:16" x14ac:dyDescent="0.2">
      <c r="A75">
        <v>4170</v>
      </c>
      <c r="B75" t="s">
        <v>90</v>
      </c>
      <c r="C75">
        <v>106</v>
      </c>
      <c r="D75">
        <v>94</v>
      </c>
      <c r="E75">
        <v>45</v>
      </c>
      <c r="F75">
        <v>100</v>
      </c>
      <c r="G75">
        <v>90</v>
      </c>
      <c r="H75">
        <v>3</v>
      </c>
      <c r="I75" t="s">
        <v>19</v>
      </c>
      <c r="J75" t="s">
        <v>90</v>
      </c>
      <c r="K75">
        <v>0</v>
      </c>
      <c r="L75">
        <v>0.5</v>
      </c>
      <c r="M75">
        <v>1002</v>
      </c>
      <c r="N75">
        <v>4170</v>
      </c>
      <c r="O75">
        <v>394</v>
      </c>
      <c r="P75">
        <v>2</v>
      </c>
    </row>
    <row r="76" spans="1:16" x14ac:dyDescent="0.2">
      <c r="A76">
        <v>4171</v>
      </c>
      <c r="B76" t="s">
        <v>91</v>
      </c>
      <c r="C76">
        <v>108</v>
      </c>
      <c r="D76">
        <v>91</v>
      </c>
      <c r="E76">
        <v>45</v>
      </c>
      <c r="F76">
        <v>100</v>
      </c>
      <c r="G76">
        <v>100</v>
      </c>
      <c r="H76">
        <v>0</v>
      </c>
      <c r="I76" t="s">
        <v>19</v>
      </c>
      <c r="J76" t="s">
        <v>91</v>
      </c>
      <c r="K76">
        <v>4</v>
      </c>
      <c r="L76">
        <v>0.5</v>
      </c>
      <c r="M76">
        <v>1002</v>
      </c>
      <c r="N76">
        <v>4171</v>
      </c>
      <c r="O76">
        <v>394</v>
      </c>
      <c r="P76">
        <v>2</v>
      </c>
    </row>
    <row r="77" spans="1:16" x14ac:dyDescent="0.2">
      <c r="A77">
        <v>4172</v>
      </c>
      <c r="B77" t="s">
        <v>92</v>
      </c>
      <c r="C77">
        <v>108</v>
      </c>
      <c r="D77">
        <v>96</v>
      </c>
      <c r="E77">
        <v>46</v>
      </c>
      <c r="F77">
        <v>100</v>
      </c>
      <c r="G77">
        <v>130</v>
      </c>
      <c r="H77">
        <v>3</v>
      </c>
      <c r="I77" t="s">
        <v>19</v>
      </c>
      <c r="J77" t="s">
        <v>92</v>
      </c>
      <c r="K77">
        <v>0</v>
      </c>
      <c r="L77">
        <v>0.5</v>
      </c>
      <c r="M77">
        <v>1002</v>
      </c>
      <c r="N77">
        <v>4172</v>
      </c>
      <c r="O77">
        <v>400</v>
      </c>
      <c r="P77">
        <v>2</v>
      </c>
    </row>
    <row r="78" spans="1:16" x14ac:dyDescent="0.2">
      <c r="A78">
        <v>4173</v>
      </c>
      <c r="B78" t="s">
        <v>93</v>
      </c>
      <c r="C78">
        <v>111</v>
      </c>
      <c r="D78">
        <v>91</v>
      </c>
      <c r="E78">
        <v>47</v>
      </c>
      <c r="F78">
        <v>100</v>
      </c>
      <c r="G78">
        <v>110</v>
      </c>
      <c r="H78">
        <v>0</v>
      </c>
      <c r="I78" t="s">
        <v>19</v>
      </c>
      <c r="J78" t="s">
        <v>93</v>
      </c>
      <c r="K78">
        <v>0</v>
      </c>
      <c r="L78">
        <v>0.7</v>
      </c>
      <c r="M78">
        <v>1002</v>
      </c>
      <c r="N78">
        <v>4173</v>
      </c>
      <c r="O78">
        <v>400</v>
      </c>
      <c r="P78">
        <v>2</v>
      </c>
    </row>
    <row r="79" spans="1:16" x14ac:dyDescent="0.2">
      <c r="A79">
        <v>4174</v>
      </c>
      <c r="B79" t="s">
        <v>94</v>
      </c>
      <c r="C79">
        <v>110</v>
      </c>
      <c r="D79">
        <v>99</v>
      </c>
      <c r="E79">
        <v>48</v>
      </c>
      <c r="F79">
        <v>100</v>
      </c>
      <c r="G79">
        <v>120</v>
      </c>
      <c r="H79">
        <v>4</v>
      </c>
      <c r="I79" t="s">
        <v>19</v>
      </c>
      <c r="J79" t="s">
        <v>94</v>
      </c>
      <c r="K79">
        <v>2</v>
      </c>
      <c r="L79">
        <v>0.5</v>
      </c>
      <c r="M79">
        <v>1002</v>
      </c>
      <c r="N79">
        <v>4174</v>
      </c>
      <c r="O79">
        <v>412</v>
      </c>
      <c r="P79">
        <v>2</v>
      </c>
    </row>
    <row r="80" spans="1:16" x14ac:dyDescent="0.2">
      <c r="A80">
        <v>4175</v>
      </c>
      <c r="B80" t="s">
        <v>95</v>
      </c>
      <c r="C80">
        <v>110</v>
      </c>
      <c r="D80">
        <v>101</v>
      </c>
      <c r="E80">
        <v>46</v>
      </c>
      <c r="F80">
        <v>100</v>
      </c>
      <c r="G80">
        <v>110</v>
      </c>
      <c r="H80">
        <v>0</v>
      </c>
      <c r="I80" t="s">
        <v>19</v>
      </c>
      <c r="J80" t="s">
        <v>95</v>
      </c>
      <c r="K80">
        <v>6</v>
      </c>
      <c r="L80">
        <v>1</v>
      </c>
      <c r="M80">
        <v>1002</v>
      </c>
      <c r="N80">
        <v>4175</v>
      </c>
      <c r="O80">
        <v>412</v>
      </c>
      <c r="P80">
        <v>2</v>
      </c>
    </row>
    <row r="81" spans="1:16" x14ac:dyDescent="0.2">
      <c r="A81">
        <v>4176</v>
      </c>
      <c r="B81" t="s">
        <v>96</v>
      </c>
      <c r="C81">
        <v>114</v>
      </c>
      <c r="D81">
        <v>101</v>
      </c>
      <c r="E81">
        <v>48</v>
      </c>
      <c r="F81">
        <v>100</v>
      </c>
      <c r="G81">
        <v>130</v>
      </c>
      <c r="H81">
        <v>4</v>
      </c>
      <c r="I81" t="s">
        <v>19</v>
      </c>
      <c r="J81" t="s">
        <v>96</v>
      </c>
      <c r="K81">
        <v>0</v>
      </c>
      <c r="L81">
        <v>0.7</v>
      </c>
      <c r="M81">
        <v>1002</v>
      </c>
      <c r="N81">
        <v>4176</v>
      </c>
      <c r="O81">
        <v>480</v>
      </c>
      <c r="P81">
        <v>2</v>
      </c>
    </row>
    <row r="82" spans="1:16" x14ac:dyDescent="0.2">
      <c r="A82">
        <v>4177</v>
      </c>
      <c r="B82" t="s">
        <v>97</v>
      </c>
      <c r="C82">
        <v>114</v>
      </c>
      <c r="D82">
        <v>99</v>
      </c>
      <c r="E82">
        <v>49</v>
      </c>
      <c r="F82">
        <v>100</v>
      </c>
      <c r="G82">
        <v>120</v>
      </c>
      <c r="H82">
        <v>0</v>
      </c>
      <c r="I82" t="s">
        <v>19</v>
      </c>
      <c r="J82" t="s">
        <v>97</v>
      </c>
      <c r="K82">
        <v>0</v>
      </c>
      <c r="L82">
        <v>0.8</v>
      </c>
      <c r="M82">
        <v>1002</v>
      </c>
      <c r="N82">
        <v>4177</v>
      </c>
      <c r="O82">
        <v>480</v>
      </c>
      <c r="P82">
        <v>2</v>
      </c>
    </row>
    <row r="83" spans="1:16" x14ac:dyDescent="0.2">
      <c r="A83">
        <v>4178</v>
      </c>
      <c r="B83" t="s">
        <v>98</v>
      </c>
      <c r="C83">
        <v>636</v>
      </c>
      <c r="D83">
        <v>562</v>
      </c>
      <c r="E83">
        <v>270</v>
      </c>
      <c r="F83">
        <v>100</v>
      </c>
      <c r="G83">
        <v>120</v>
      </c>
      <c r="H83">
        <v>4</v>
      </c>
      <c r="I83" t="s">
        <v>19</v>
      </c>
      <c r="J83" t="s">
        <v>98</v>
      </c>
      <c r="K83">
        <v>3</v>
      </c>
      <c r="L83">
        <v>0.6</v>
      </c>
      <c r="M83">
        <v>1002</v>
      </c>
      <c r="N83">
        <v>4178</v>
      </c>
      <c r="O83">
        <v>5466</v>
      </c>
      <c r="P83">
        <v>2</v>
      </c>
    </row>
    <row r="84" spans="1:16" x14ac:dyDescent="0.2">
      <c r="A84">
        <v>4179</v>
      </c>
      <c r="B84" t="s">
        <v>99</v>
      </c>
      <c r="C84">
        <v>648</v>
      </c>
      <c r="D84">
        <v>546</v>
      </c>
      <c r="E84">
        <v>270</v>
      </c>
      <c r="F84">
        <v>100</v>
      </c>
      <c r="G84">
        <v>140</v>
      </c>
      <c r="H84">
        <v>3</v>
      </c>
      <c r="I84" t="s">
        <v>19</v>
      </c>
      <c r="J84" t="s">
        <v>99</v>
      </c>
      <c r="K84">
        <v>1</v>
      </c>
      <c r="L84">
        <v>0.7</v>
      </c>
      <c r="M84">
        <v>1002</v>
      </c>
      <c r="N84">
        <v>4179</v>
      </c>
      <c r="O84">
        <v>5466</v>
      </c>
      <c r="P84">
        <v>2</v>
      </c>
    </row>
  </sheetData>
  <phoneticPr fontId="1" type="noConversion"/>
  <pageMargins left="0.7" right="0.7" top="0.75" bottom="0.75" header="0.3" footer="0.3"/>
  <pageSetup paperSize="9" orientation="portrait" verticalDpi="1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Q183"/>
  <sheetViews>
    <sheetView topLeftCell="A117" workbookViewId="0">
      <selection activeCell="D103" sqref="D103:D183"/>
    </sheetView>
  </sheetViews>
  <sheetFormatPr defaultRowHeight="14.25" x14ac:dyDescent="0.2"/>
  <sheetData>
    <row r="3" spans="2:17" x14ac:dyDescent="0.2">
      <c r="J3" t="s">
        <v>100</v>
      </c>
      <c r="M3" t="s">
        <v>101</v>
      </c>
      <c r="O3" t="s">
        <v>102</v>
      </c>
      <c r="Q3" t="s">
        <v>103</v>
      </c>
    </row>
    <row r="4" spans="2:17" x14ac:dyDescent="0.2">
      <c r="J4" t="s">
        <v>104</v>
      </c>
      <c r="M4" t="s">
        <v>105</v>
      </c>
      <c r="O4" t="s">
        <v>106</v>
      </c>
      <c r="Q4" t="s">
        <v>107</v>
      </c>
    </row>
    <row r="5" spans="2:17" x14ac:dyDescent="0.2">
      <c r="J5" t="s">
        <v>108</v>
      </c>
      <c r="M5" t="s">
        <v>109</v>
      </c>
      <c r="O5" t="s">
        <v>110</v>
      </c>
    </row>
    <row r="6" spans="2:17" x14ac:dyDescent="0.2">
      <c r="J6" t="s">
        <v>111</v>
      </c>
      <c r="M6" t="s">
        <v>112</v>
      </c>
      <c r="O6" t="s">
        <v>113</v>
      </c>
    </row>
    <row r="7" spans="2:17" x14ac:dyDescent="0.2">
      <c r="B7">
        <v>48</v>
      </c>
      <c r="C7">
        <v>72</v>
      </c>
      <c r="J7" t="s">
        <v>114</v>
      </c>
      <c r="M7" t="s">
        <v>115</v>
      </c>
      <c r="O7" t="s">
        <v>116</v>
      </c>
    </row>
    <row r="8" spans="2:17" x14ac:dyDescent="0.2">
      <c r="B8">
        <v>6</v>
      </c>
      <c r="C8">
        <v>5</v>
      </c>
      <c r="J8" t="s">
        <v>117</v>
      </c>
    </row>
    <row r="10" spans="2:17" x14ac:dyDescent="0.2">
      <c r="B10">
        <v>288</v>
      </c>
      <c r="C10">
        <v>360</v>
      </c>
      <c r="J10" t="s">
        <v>118</v>
      </c>
    </row>
    <row r="11" spans="2:17" x14ac:dyDescent="0.2">
      <c r="J11" t="s">
        <v>119</v>
      </c>
    </row>
    <row r="14" spans="2:17" x14ac:dyDescent="0.2">
      <c r="B14">
        <v>384</v>
      </c>
    </row>
    <row r="16" spans="2:17" x14ac:dyDescent="0.2">
      <c r="H16">
        <v>343</v>
      </c>
    </row>
    <row r="17" spans="3:10" x14ac:dyDescent="0.2">
      <c r="H17" s="3" t="s">
        <v>240</v>
      </c>
      <c r="I17" s="3">
        <v>1</v>
      </c>
      <c r="J17">
        <v>2</v>
      </c>
    </row>
    <row r="18" spans="3:10" x14ac:dyDescent="0.2">
      <c r="H18" t="s">
        <v>167</v>
      </c>
      <c r="I18">
        <v>1</v>
      </c>
    </row>
    <row r="19" spans="3:10" x14ac:dyDescent="0.2">
      <c r="C19">
        <v>2</v>
      </c>
      <c r="D19">
        <f>C19+F19</f>
        <v>3</v>
      </c>
      <c r="E19">
        <f>C19*0.3</f>
        <v>0.6</v>
      </c>
      <c r="F19">
        <f>ROUND(E19,0)</f>
        <v>1</v>
      </c>
      <c r="H19" t="s">
        <v>209</v>
      </c>
      <c r="I19">
        <v>1</v>
      </c>
    </row>
    <row r="20" spans="3:10" x14ac:dyDescent="0.2">
      <c r="C20">
        <v>11</v>
      </c>
      <c r="D20">
        <f t="shared" ref="D20:D83" si="0">C20+F20</f>
        <v>14</v>
      </c>
      <c r="E20">
        <f t="shared" ref="E20:E83" si="1">C20*0.3</f>
        <v>3.3</v>
      </c>
      <c r="F20">
        <f t="shared" ref="F20:F83" si="2">ROUND(E20,0)</f>
        <v>3</v>
      </c>
      <c r="H20" t="s">
        <v>211</v>
      </c>
      <c r="I20">
        <v>1</v>
      </c>
    </row>
    <row r="21" spans="3:10" x14ac:dyDescent="0.2">
      <c r="C21">
        <v>12</v>
      </c>
      <c r="D21">
        <f t="shared" si="0"/>
        <v>16</v>
      </c>
      <c r="E21">
        <f t="shared" si="1"/>
        <v>3.5999999999999996</v>
      </c>
      <c r="F21">
        <f t="shared" si="2"/>
        <v>4</v>
      </c>
      <c r="H21" t="s">
        <v>210</v>
      </c>
      <c r="I21">
        <v>1</v>
      </c>
    </row>
    <row r="22" spans="3:10" x14ac:dyDescent="0.2">
      <c r="C22">
        <v>11</v>
      </c>
      <c r="D22">
        <f t="shared" si="0"/>
        <v>14</v>
      </c>
      <c r="E22">
        <f t="shared" si="1"/>
        <v>3.3</v>
      </c>
      <c r="F22">
        <f t="shared" si="2"/>
        <v>3</v>
      </c>
      <c r="H22" s="3" t="s">
        <v>250</v>
      </c>
      <c r="I22" s="3">
        <v>1</v>
      </c>
      <c r="J22" s="3">
        <v>2</v>
      </c>
    </row>
    <row r="23" spans="3:10" x14ac:dyDescent="0.2">
      <c r="C23">
        <v>12</v>
      </c>
      <c r="D23">
        <f t="shared" si="0"/>
        <v>16</v>
      </c>
      <c r="E23">
        <f t="shared" si="1"/>
        <v>3.5999999999999996</v>
      </c>
      <c r="F23">
        <f t="shared" si="2"/>
        <v>4</v>
      </c>
      <c r="H23" t="s">
        <v>152</v>
      </c>
      <c r="I23">
        <v>1</v>
      </c>
    </row>
    <row r="24" spans="3:10" x14ac:dyDescent="0.2">
      <c r="C24">
        <v>14</v>
      </c>
      <c r="D24">
        <f t="shared" si="0"/>
        <v>18</v>
      </c>
      <c r="E24">
        <f t="shared" si="1"/>
        <v>4.2</v>
      </c>
      <c r="F24">
        <f t="shared" si="2"/>
        <v>4</v>
      </c>
      <c r="H24" t="s">
        <v>201</v>
      </c>
      <c r="I24">
        <v>1</v>
      </c>
    </row>
    <row r="25" spans="3:10" x14ac:dyDescent="0.2">
      <c r="C25">
        <v>13</v>
      </c>
      <c r="D25">
        <f t="shared" si="0"/>
        <v>17</v>
      </c>
      <c r="E25">
        <f t="shared" si="1"/>
        <v>3.9</v>
      </c>
      <c r="F25">
        <f t="shared" si="2"/>
        <v>4</v>
      </c>
      <c r="H25" t="s">
        <v>204</v>
      </c>
      <c r="I25">
        <v>1</v>
      </c>
    </row>
    <row r="26" spans="3:10" x14ac:dyDescent="0.2">
      <c r="C26">
        <v>14</v>
      </c>
      <c r="D26">
        <f t="shared" si="0"/>
        <v>18</v>
      </c>
      <c r="E26">
        <f t="shared" si="1"/>
        <v>4.2</v>
      </c>
      <c r="F26">
        <f t="shared" si="2"/>
        <v>4</v>
      </c>
      <c r="H26" t="s">
        <v>149</v>
      </c>
      <c r="I26">
        <v>1</v>
      </c>
    </row>
    <row r="27" spans="3:10" x14ac:dyDescent="0.2">
      <c r="C27">
        <v>16</v>
      </c>
      <c r="D27">
        <f t="shared" si="0"/>
        <v>21</v>
      </c>
      <c r="E27">
        <f t="shared" si="1"/>
        <v>4.8</v>
      </c>
      <c r="F27">
        <f t="shared" si="2"/>
        <v>5</v>
      </c>
      <c r="H27" t="s">
        <v>187</v>
      </c>
      <c r="I27">
        <v>1</v>
      </c>
    </row>
    <row r="28" spans="3:10" x14ac:dyDescent="0.2">
      <c r="C28">
        <v>40</v>
      </c>
      <c r="D28">
        <f t="shared" si="0"/>
        <v>52</v>
      </c>
      <c r="E28">
        <f t="shared" si="1"/>
        <v>12</v>
      </c>
      <c r="F28">
        <f t="shared" si="2"/>
        <v>12</v>
      </c>
      <c r="H28" t="s">
        <v>121</v>
      </c>
      <c r="I28">
        <v>1</v>
      </c>
    </row>
    <row r="29" spans="3:10" x14ac:dyDescent="0.2">
      <c r="C29">
        <v>42</v>
      </c>
      <c r="D29">
        <f t="shared" si="0"/>
        <v>55</v>
      </c>
      <c r="E29">
        <f t="shared" si="1"/>
        <v>12.6</v>
      </c>
      <c r="F29">
        <f t="shared" si="2"/>
        <v>13</v>
      </c>
      <c r="H29" t="s">
        <v>184</v>
      </c>
      <c r="I29">
        <v>1</v>
      </c>
    </row>
    <row r="30" spans="3:10" x14ac:dyDescent="0.2">
      <c r="C30">
        <v>24</v>
      </c>
      <c r="D30">
        <f t="shared" si="0"/>
        <v>31</v>
      </c>
      <c r="E30">
        <f t="shared" si="1"/>
        <v>7.1999999999999993</v>
      </c>
      <c r="F30">
        <f t="shared" si="2"/>
        <v>7</v>
      </c>
      <c r="H30" t="s">
        <v>155</v>
      </c>
      <c r="I30">
        <v>1</v>
      </c>
    </row>
    <row r="31" spans="3:10" x14ac:dyDescent="0.2">
      <c r="C31">
        <v>26</v>
      </c>
      <c r="D31">
        <f t="shared" si="0"/>
        <v>34</v>
      </c>
      <c r="E31">
        <f t="shared" si="1"/>
        <v>7.8</v>
      </c>
      <c r="F31">
        <f t="shared" si="2"/>
        <v>8</v>
      </c>
      <c r="H31" t="s">
        <v>196</v>
      </c>
      <c r="I31">
        <v>1</v>
      </c>
    </row>
    <row r="32" spans="3:10" x14ac:dyDescent="0.2">
      <c r="C32">
        <v>28</v>
      </c>
      <c r="D32">
        <f t="shared" si="0"/>
        <v>36</v>
      </c>
      <c r="E32">
        <f t="shared" si="1"/>
        <v>8.4</v>
      </c>
      <c r="F32">
        <f t="shared" si="2"/>
        <v>8</v>
      </c>
      <c r="H32" s="3" t="s">
        <v>252</v>
      </c>
      <c r="I32" s="3">
        <v>7</v>
      </c>
      <c r="J32" s="3">
        <v>7</v>
      </c>
    </row>
    <row r="33" spans="3:10" x14ac:dyDescent="0.2">
      <c r="C33">
        <v>26</v>
      </c>
      <c r="D33">
        <f t="shared" si="0"/>
        <v>34</v>
      </c>
      <c r="E33">
        <f t="shared" si="1"/>
        <v>7.8</v>
      </c>
      <c r="F33">
        <f t="shared" si="2"/>
        <v>8</v>
      </c>
      <c r="H33" t="s">
        <v>192</v>
      </c>
      <c r="I33">
        <v>2</v>
      </c>
    </row>
    <row r="34" spans="3:10" x14ac:dyDescent="0.2">
      <c r="C34">
        <v>28</v>
      </c>
      <c r="D34">
        <f t="shared" si="0"/>
        <v>36</v>
      </c>
      <c r="E34">
        <f t="shared" si="1"/>
        <v>8.4</v>
      </c>
      <c r="F34">
        <f t="shared" si="2"/>
        <v>8</v>
      </c>
      <c r="H34" t="s">
        <v>116</v>
      </c>
      <c r="I34">
        <v>2</v>
      </c>
    </row>
    <row r="35" spans="3:10" x14ac:dyDescent="0.2">
      <c r="C35">
        <v>30</v>
      </c>
      <c r="D35">
        <f t="shared" si="0"/>
        <v>39</v>
      </c>
      <c r="E35">
        <f t="shared" si="1"/>
        <v>9</v>
      </c>
      <c r="F35">
        <f t="shared" si="2"/>
        <v>9</v>
      </c>
      <c r="H35" t="s">
        <v>231</v>
      </c>
      <c r="I35">
        <v>2</v>
      </c>
    </row>
    <row r="36" spans="3:10" x14ac:dyDescent="0.2">
      <c r="C36">
        <v>31</v>
      </c>
      <c r="D36">
        <f t="shared" si="0"/>
        <v>40</v>
      </c>
      <c r="E36">
        <f t="shared" si="1"/>
        <v>9.2999999999999989</v>
      </c>
      <c r="F36">
        <f t="shared" si="2"/>
        <v>9</v>
      </c>
      <c r="H36" s="1" t="s">
        <v>180</v>
      </c>
      <c r="I36">
        <v>2</v>
      </c>
    </row>
    <row r="37" spans="3:10" x14ac:dyDescent="0.2">
      <c r="C37">
        <v>33</v>
      </c>
      <c r="D37">
        <f t="shared" si="0"/>
        <v>43</v>
      </c>
      <c r="E37">
        <f t="shared" si="1"/>
        <v>9.9</v>
      </c>
      <c r="F37">
        <f t="shared" si="2"/>
        <v>10</v>
      </c>
      <c r="H37" t="s">
        <v>170</v>
      </c>
      <c r="I37">
        <v>2</v>
      </c>
    </row>
    <row r="38" spans="3:10" x14ac:dyDescent="0.2">
      <c r="C38">
        <v>156</v>
      </c>
      <c r="D38">
        <f t="shared" si="0"/>
        <v>203</v>
      </c>
      <c r="E38">
        <f t="shared" si="1"/>
        <v>46.8</v>
      </c>
      <c r="F38">
        <f t="shared" si="2"/>
        <v>47</v>
      </c>
      <c r="H38" t="s">
        <v>134</v>
      </c>
      <c r="I38">
        <v>2</v>
      </c>
    </row>
    <row r="39" spans="3:10" x14ac:dyDescent="0.2">
      <c r="C39">
        <v>150</v>
      </c>
      <c r="D39">
        <f t="shared" si="0"/>
        <v>195</v>
      </c>
      <c r="E39">
        <f t="shared" si="1"/>
        <v>45</v>
      </c>
      <c r="F39">
        <f t="shared" si="2"/>
        <v>45</v>
      </c>
      <c r="H39" t="s">
        <v>179</v>
      </c>
      <c r="I39">
        <v>2</v>
      </c>
    </row>
    <row r="40" spans="3:10" x14ac:dyDescent="0.2">
      <c r="C40">
        <v>17</v>
      </c>
      <c r="D40">
        <f t="shared" si="0"/>
        <v>22</v>
      </c>
      <c r="E40">
        <f t="shared" si="1"/>
        <v>5.0999999999999996</v>
      </c>
      <c r="F40">
        <f t="shared" si="2"/>
        <v>5</v>
      </c>
      <c r="H40" t="s">
        <v>169</v>
      </c>
      <c r="I40">
        <v>2</v>
      </c>
    </row>
    <row r="41" spans="3:10" x14ac:dyDescent="0.2">
      <c r="C41">
        <v>16</v>
      </c>
      <c r="D41">
        <f t="shared" si="0"/>
        <v>21</v>
      </c>
      <c r="E41">
        <f t="shared" si="1"/>
        <v>4.8</v>
      </c>
      <c r="F41">
        <f t="shared" si="2"/>
        <v>5</v>
      </c>
      <c r="H41" t="s">
        <v>129</v>
      </c>
      <c r="I41">
        <v>2</v>
      </c>
    </row>
    <row r="42" spans="3:10" x14ac:dyDescent="0.2">
      <c r="C42">
        <v>19</v>
      </c>
      <c r="D42">
        <f t="shared" si="0"/>
        <v>25</v>
      </c>
      <c r="E42">
        <f t="shared" si="1"/>
        <v>5.7</v>
      </c>
      <c r="F42">
        <f t="shared" si="2"/>
        <v>6</v>
      </c>
      <c r="H42" t="s">
        <v>191</v>
      </c>
      <c r="I42">
        <v>2</v>
      </c>
    </row>
    <row r="43" spans="3:10" x14ac:dyDescent="0.2">
      <c r="C43">
        <v>20</v>
      </c>
      <c r="D43">
        <f t="shared" si="0"/>
        <v>26</v>
      </c>
      <c r="E43">
        <f t="shared" si="1"/>
        <v>6</v>
      </c>
      <c r="F43">
        <f t="shared" si="2"/>
        <v>6</v>
      </c>
      <c r="H43" t="s">
        <v>186</v>
      </c>
      <c r="I43">
        <v>2</v>
      </c>
    </row>
    <row r="44" spans="3:10" x14ac:dyDescent="0.2">
      <c r="C44">
        <v>22</v>
      </c>
      <c r="D44">
        <f t="shared" si="0"/>
        <v>29</v>
      </c>
      <c r="E44">
        <f t="shared" si="1"/>
        <v>6.6</v>
      </c>
      <c r="F44">
        <f t="shared" si="2"/>
        <v>7</v>
      </c>
      <c r="H44" t="s">
        <v>130</v>
      </c>
      <c r="I44">
        <v>2</v>
      </c>
    </row>
    <row r="45" spans="3:10" x14ac:dyDescent="0.2">
      <c r="C45">
        <v>22</v>
      </c>
      <c r="D45">
        <f t="shared" si="0"/>
        <v>29</v>
      </c>
      <c r="E45">
        <f t="shared" si="1"/>
        <v>6.6</v>
      </c>
      <c r="F45">
        <f t="shared" si="2"/>
        <v>7</v>
      </c>
      <c r="H45" t="s">
        <v>189</v>
      </c>
      <c r="I45">
        <v>2</v>
      </c>
    </row>
    <row r="46" spans="3:10" x14ac:dyDescent="0.2">
      <c r="C46">
        <v>20</v>
      </c>
      <c r="D46">
        <f t="shared" si="0"/>
        <v>26</v>
      </c>
      <c r="E46">
        <f t="shared" si="1"/>
        <v>6</v>
      </c>
      <c r="F46">
        <f t="shared" si="2"/>
        <v>6</v>
      </c>
      <c r="H46" t="s">
        <v>164</v>
      </c>
      <c r="I46">
        <v>2</v>
      </c>
    </row>
    <row r="47" spans="3:10" x14ac:dyDescent="0.2">
      <c r="C47">
        <v>22</v>
      </c>
      <c r="D47">
        <f t="shared" si="0"/>
        <v>29</v>
      </c>
      <c r="E47">
        <f t="shared" si="1"/>
        <v>6.6</v>
      </c>
      <c r="F47">
        <f t="shared" si="2"/>
        <v>7</v>
      </c>
      <c r="H47" t="s">
        <v>168</v>
      </c>
      <c r="I47">
        <v>2</v>
      </c>
    </row>
    <row r="48" spans="3:10" x14ac:dyDescent="0.2">
      <c r="C48">
        <v>102</v>
      </c>
      <c r="D48">
        <f t="shared" si="0"/>
        <v>133</v>
      </c>
      <c r="E48">
        <f t="shared" si="1"/>
        <v>30.599999999999998</v>
      </c>
      <c r="F48">
        <f t="shared" si="2"/>
        <v>31</v>
      </c>
      <c r="G48">
        <v>2</v>
      </c>
      <c r="H48" s="3" t="s">
        <v>178</v>
      </c>
      <c r="I48" s="3">
        <v>2</v>
      </c>
      <c r="J48" s="3">
        <v>3</v>
      </c>
    </row>
    <row r="49" spans="3:12" x14ac:dyDescent="0.2">
      <c r="C49">
        <v>106</v>
      </c>
      <c r="D49">
        <f t="shared" si="0"/>
        <v>138</v>
      </c>
      <c r="E49">
        <f t="shared" si="1"/>
        <v>31.799999999999997</v>
      </c>
      <c r="F49">
        <f t="shared" si="2"/>
        <v>32</v>
      </c>
      <c r="H49" t="s">
        <v>208</v>
      </c>
      <c r="I49">
        <v>2</v>
      </c>
    </row>
    <row r="50" spans="3:12" x14ac:dyDescent="0.2">
      <c r="C50">
        <v>34</v>
      </c>
      <c r="D50">
        <f t="shared" si="0"/>
        <v>44</v>
      </c>
      <c r="E50">
        <f t="shared" si="1"/>
        <v>10.199999999999999</v>
      </c>
      <c r="F50">
        <f t="shared" si="2"/>
        <v>10</v>
      </c>
      <c r="H50" s="3" t="s">
        <v>254</v>
      </c>
      <c r="I50" s="3">
        <v>2</v>
      </c>
      <c r="J50" s="3">
        <v>3</v>
      </c>
    </row>
    <row r="51" spans="3:12" x14ac:dyDescent="0.2">
      <c r="C51">
        <v>30</v>
      </c>
      <c r="D51">
        <f t="shared" si="0"/>
        <v>39</v>
      </c>
      <c r="E51">
        <f t="shared" si="1"/>
        <v>9</v>
      </c>
      <c r="F51">
        <f t="shared" si="2"/>
        <v>9</v>
      </c>
      <c r="H51" t="s">
        <v>198</v>
      </c>
      <c r="I51">
        <v>2</v>
      </c>
    </row>
    <row r="52" spans="3:12" x14ac:dyDescent="0.2">
      <c r="C52">
        <v>36</v>
      </c>
      <c r="D52">
        <f t="shared" si="0"/>
        <v>47</v>
      </c>
      <c r="E52">
        <f t="shared" si="1"/>
        <v>10.799999999999999</v>
      </c>
      <c r="F52">
        <f t="shared" si="2"/>
        <v>11</v>
      </c>
      <c r="H52" t="s">
        <v>181</v>
      </c>
      <c r="I52">
        <v>2</v>
      </c>
    </row>
    <row r="53" spans="3:12" x14ac:dyDescent="0.2">
      <c r="C53">
        <v>35</v>
      </c>
      <c r="D53">
        <f t="shared" si="0"/>
        <v>46</v>
      </c>
      <c r="E53">
        <f t="shared" si="1"/>
        <v>10.5</v>
      </c>
      <c r="F53">
        <f t="shared" si="2"/>
        <v>11</v>
      </c>
      <c r="H53" t="s">
        <v>174</v>
      </c>
      <c r="I53">
        <v>2</v>
      </c>
    </row>
    <row r="54" spans="3:12" x14ac:dyDescent="0.2">
      <c r="C54">
        <v>36</v>
      </c>
      <c r="D54">
        <f t="shared" si="0"/>
        <v>47</v>
      </c>
      <c r="E54">
        <f t="shared" si="1"/>
        <v>10.799999999999999</v>
      </c>
      <c r="F54">
        <f t="shared" si="2"/>
        <v>11</v>
      </c>
      <c r="H54" t="s">
        <v>199</v>
      </c>
      <c r="I54">
        <v>2</v>
      </c>
    </row>
    <row r="55" spans="3:12" x14ac:dyDescent="0.2">
      <c r="C55">
        <v>34</v>
      </c>
      <c r="D55">
        <f t="shared" si="0"/>
        <v>44</v>
      </c>
      <c r="E55">
        <f t="shared" si="1"/>
        <v>10.199999999999999</v>
      </c>
      <c r="F55">
        <f t="shared" si="2"/>
        <v>10</v>
      </c>
      <c r="H55" t="s">
        <v>163</v>
      </c>
      <c r="I55">
        <v>2</v>
      </c>
    </row>
    <row r="56" spans="3:12" x14ac:dyDescent="0.2">
      <c r="C56">
        <v>40</v>
      </c>
      <c r="D56">
        <f t="shared" si="0"/>
        <v>52</v>
      </c>
      <c r="E56">
        <f t="shared" si="1"/>
        <v>12</v>
      </c>
      <c r="F56">
        <f t="shared" si="2"/>
        <v>12</v>
      </c>
      <c r="H56" t="s">
        <v>154</v>
      </c>
      <c r="I56">
        <v>2</v>
      </c>
    </row>
    <row r="57" spans="3:12" x14ac:dyDescent="0.2">
      <c r="C57">
        <v>38</v>
      </c>
      <c r="D57">
        <f t="shared" si="0"/>
        <v>49</v>
      </c>
      <c r="E57">
        <f t="shared" si="1"/>
        <v>11.4</v>
      </c>
      <c r="F57">
        <f t="shared" si="2"/>
        <v>11</v>
      </c>
      <c r="H57" t="s">
        <v>153</v>
      </c>
      <c r="I57">
        <v>2</v>
      </c>
    </row>
    <row r="58" spans="3:12" x14ac:dyDescent="0.2">
      <c r="C58">
        <v>204</v>
      </c>
      <c r="D58">
        <f t="shared" si="0"/>
        <v>265</v>
      </c>
      <c r="E58">
        <f t="shared" si="1"/>
        <v>61.199999999999996</v>
      </c>
      <c r="F58">
        <f t="shared" si="2"/>
        <v>61</v>
      </c>
      <c r="H58" t="s">
        <v>195</v>
      </c>
      <c r="I58">
        <v>2</v>
      </c>
    </row>
    <row r="59" spans="3:12" x14ac:dyDescent="0.2">
      <c r="C59">
        <v>208</v>
      </c>
      <c r="D59">
        <f t="shared" si="0"/>
        <v>270</v>
      </c>
      <c r="E59">
        <f t="shared" si="1"/>
        <v>62.4</v>
      </c>
      <c r="F59">
        <f t="shared" si="2"/>
        <v>62</v>
      </c>
      <c r="H59" t="s">
        <v>185</v>
      </c>
      <c r="I59">
        <v>2</v>
      </c>
    </row>
    <row r="60" spans="3:12" x14ac:dyDescent="0.2">
      <c r="C60">
        <v>42</v>
      </c>
      <c r="D60">
        <f t="shared" si="0"/>
        <v>55</v>
      </c>
      <c r="E60">
        <f t="shared" si="1"/>
        <v>12.6</v>
      </c>
      <c r="F60">
        <f t="shared" si="2"/>
        <v>13</v>
      </c>
      <c r="H60" t="s">
        <v>148</v>
      </c>
      <c r="I60">
        <v>2</v>
      </c>
    </row>
    <row r="61" spans="3:12" x14ac:dyDescent="0.2">
      <c r="C61">
        <v>40</v>
      </c>
      <c r="D61">
        <f t="shared" si="0"/>
        <v>52</v>
      </c>
      <c r="E61">
        <f t="shared" si="1"/>
        <v>12</v>
      </c>
      <c r="F61">
        <f t="shared" si="2"/>
        <v>12</v>
      </c>
      <c r="H61" t="s">
        <v>158</v>
      </c>
      <c r="I61">
        <v>2</v>
      </c>
    </row>
    <row r="62" spans="3:12" x14ac:dyDescent="0.2">
      <c r="C62">
        <v>46</v>
      </c>
      <c r="D62">
        <f t="shared" si="0"/>
        <v>60</v>
      </c>
      <c r="E62">
        <f t="shared" si="1"/>
        <v>13.799999999999999</v>
      </c>
      <c r="F62">
        <f t="shared" si="2"/>
        <v>14</v>
      </c>
      <c r="H62" t="s">
        <v>239</v>
      </c>
      <c r="I62">
        <v>3</v>
      </c>
    </row>
    <row r="63" spans="3:12" x14ac:dyDescent="0.2">
      <c r="C63">
        <v>44</v>
      </c>
      <c r="D63">
        <f t="shared" si="0"/>
        <v>57</v>
      </c>
      <c r="E63">
        <f t="shared" si="1"/>
        <v>13.2</v>
      </c>
      <c r="F63">
        <f t="shared" si="2"/>
        <v>13</v>
      </c>
      <c r="H63" t="s">
        <v>194</v>
      </c>
      <c r="I63">
        <v>3</v>
      </c>
      <c r="L63" s="2"/>
    </row>
    <row r="64" spans="3:12" x14ac:dyDescent="0.2">
      <c r="C64">
        <v>48</v>
      </c>
      <c r="D64">
        <f t="shared" si="0"/>
        <v>62</v>
      </c>
      <c r="E64">
        <f t="shared" si="1"/>
        <v>14.399999999999999</v>
      </c>
      <c r="F64">
        <f t="shared" si="2"/>
        <v>14</v>
      </c>
      <c r="H64" t="s">
        <v>205</v>
      </c>
      <c r="I64">
        <v>3</v>
      </c>
    </row>
    <row r="65" spans="3:10" x14ac:dyDescent="0.2">
      <c r="C65">
        <v>44</v>
      </c>
      <c r="D65">
        <f t="shared" si="0"/>
        <v>57</v>
      </c>
      <c r="E65">
        <f t="shared" si="1"/>
        <v>13.2</v>
      </c>
      <c r="F65">
        <f t="shared" si="2"/>
        <v>13</v>
      </c>
      <c r="H65" s="2" t="s">
        <v>242</v>
      </c>
      <c r="I65" s="2">
        <v>3</v>
      </c>
      <c r="J65" s="2">
        <v>2</v>
      </c>
    </row>
    <row r="66" spans="3:10" x14ac:dyDescent="0.2">
      <c r="C66">
        <v>48</v>
      </c>
      <c r="D66">
        <f t="shared" si="0"/>
        <v>62</v>
      </c>
      <c r="E66">
        <f t="shared" si="1"/>
        <v>14.399999999999999</v>
      </c>
      <c r="F66">
        <f t="shared" si="2"/>
        <v>14</v>
      </c>
      <c r="H66" s="3" t="s">
        <v>255</v>
      </c>
      <c r="I66" s="3">
        <v>3</v>
      </c>
      <c r="J66" s="3">
        <v>6</v>
      </c>
    </row>
    <row r="67" spans="3:10" x14ac:dyDescent="0.2">
      <c r="C67">
        <v>50</v>
      </c>
      <c r="D67">
        <f t="shared" si="0"/>
        <v>65</v>
      </c>
      <c r="E67">
        <f t="shared" si="1"/>
        <v>15</v>
      </c>
      <c r="F67">
        <f t="shared" si="2"/>
        <v>15</v>
      </c>
      <c r="H67" s="2" t="s">
        <v>243</v>
      </c>
      <c r="I67" s="2">
        <v>3</v>
      </c>
      <c r="J67" s="2">
        <v>2</v>
      </c>
    </row>
    <row r="68" spans="3:10" x14ac:dyDescent="0.2">
      <c r="C68">
        <v>252</v>
      </c>
      <c r="D68">
        <f t="shared" si="0"/>
        <v>328</v>
      </c>
      <c r="E68">
        <f t="shared" si="1"/>
        <v>75.599999999999994</v>
      </c>
      <c r="F68">
        <f t="shared" si="2"/>
        <v>76</v>
      </c>
      <c r="H68" s="3" t="s">
        <v>256</v>
      </c>
      <c r="I68" s="3">
        <v>3</v>
      </c>
      <c r="J68">
        <v>10</v>
      </c>
    </row>
    <row r="69" spans="3:10" x14ac:dyDescent="0.2">
      <c r="C69">
        <v>240</v>
      </c>
      <c r="D69">
        <f t="shared" si="0"/>
        <v>312</v>
      </c>
      <c r="E69">
        <f t="shared" si="1"/>
        <v>72</v>
      </c>
      <c r="F69">
        <f t="shared" si="2"/>
        <v>72</v>
      </c>
      <c r="H69" t="s">
        <v>122</v>
      </c>
      <c r="I69">
        <v>3</v>
      </c>
    </row>
    <row r="70" spans="3:10" x14ac:dyDescent="0.2">
      <c r="C70">
        <v>64</v>
      </c>
      <c r="D70">
        <f t="shared" si="0"/>
        <v>83</v>
      </c>
      <c r="E70">
        <f t="shared" si="1"/>
        <v>19.2</v>
      </c>
      <c r="F70">
        <f t="shared" si="2"/>
        <v>19</v>
      </c>
      <c r="H70" s="2" t="s">
        <v>244</v>
      </c>
      <c r="I70" s="2">
        <v>3</v>
      </c>
      <c r="J70">
        <v>2</v>
      </c>
    </row>
    <row r="71" spans="3:10" x14ac:dyDescent="0.2">
      <c r="C71">
        <v>66</v>
      </c>
      <c r="D71">
        <f t="shared" si="0"/>
        <v>86</v>
      </c>
      <c r="E71">
        <f t="shared" si="1"/>
        <v>19.8</v>
      </c>
      <c r="F71">
        <f t="shared" si="2"/>
        <v>20</v>
      </c>
      <c r="H71" t="s">
        <v>220</v>
      </c>
      <c r="I71">
        <v>3</v>
      </c>
    </row>
    <row r="72" spans="3:10" x14ac:dyDescent="0.2">
      <c r="C72">
        <v>66</v>
      </c>
      <c r="D72">
        <f t="shared" si="0"/>
        <v>86</v>
      </c>
      <c r="E72">
        <f t="shared" si="1"/>
        <v>19.8</v>
      </c>
      <c r="F72">
        <f t="shared" si="2"/>
        <v>20</v>
      </c>
      <c r="H72" s="2" t="s">
        <v>245</v>
      </c>
      <c r="I72" s="2">
        <v>3</v>
      </c>
      <c r="J72">
        <v>1</v>
      </c>
    </row>
    <row r="73" spans="3:10" x14ac:dyDescent="0.2">
      <c r="C73">
        <v>68</v>
      </c>
      <c r="D73">
        <f t="shared" si="0"/>
        <v>88</v>
      </c>
      <c r="E73">
        <f t="shared" si="1"/>
        <v>20.399999999999999</v>
      </c>
      <c r="F73">
        <f t="shared" si="2"/>
        <v>20</v>
      </c>
      <c r="H73" s="6" t="s">
        <v>241</v>
      </c>
      <c r="I73" s="6">
        <v>3</v>
      </c>
      <c r="J73" s="6"/>
    </row>
    <row r="74" spans="3:10" x14ac:dyDescent="0.2">
      <c r="C74">
        <v>66</v>
      </c>
      <c r="D74">
        <f t="shared" si="0"/>
        <v>86</v>
      </c>
      <c r="E74">
        <f t="shared" si="1"/>
        <v>19.8</v>
      </c>
      <c r="F74">
        <f t="shared" si="2"/>
        <v>20</v>
      </c>
      <c r="H74" s="2" t="s">
        <v>246</v>
      </c>
      <c r="I74" s="2">
        <v>3</v>
      </c>
      <c r="J74">
        <v>2</v>
      </c>
    </row>
    <row r="75" spans="3:10" x14ac:dyDescent="0.2">
      <c r="C75">
        <v>68</v>
      </c>
      <c r="D75">
        <f t="shared" si="0"/>
        <v>88</v>
      </c>
      <c r="E75">
        <f t="shared" si="1"/>
        <v>20.399999999999999</v>
      </c>
      <c r="F75">
        <f t="shared" si="2"/>
        <v>20</v>
      </c>
      <c r="H75" t="s">
        <v>162</v>
      </c>
      <c r="I75">
        <v>3</v>
      </c>
    </row>
    <row r="76" spans="3:10" x14ac:dyDescent="0.2">
      <c r="C76">
        <v>70</v>
      </c>
      <c r="D76">
        <f t="shared" si="0"/>
        <v>91</v>
      </c>
      <c r="E76">
        <f t="shared" si="1"/>
        <v>21</v>
      </c>
      <c r="F76">
        <f t="shared" si="2"/>
        <v>21</v>
      </c>
      <c r="H76" t="s">
        <v>156</v>
      </c>
      <c r="I76">
        <v>3</v>
      </c>
    </row>
    <row r="77" spans="3:10" x14ac:dyDescent="0.2">
      <c r="C77">
        <v>68</v>
      </c>
      <c r="D77">
        <f t="shared" si="0"/>
        <v>88</v>
      </c>
      <c r="E77">
        <f t="shared" si="1"/>
        <v>20.399999999999999</v>
      </c>
      <c r="F77">
        <f t="shared" si="2"/>
        <v>20</v>
      </c>
      <c r="H77" t="s">
        <v>146</v>
      </c>
      <c r="I77">
        <v>3</v>
      </c>
    </row>
    <row r="78" spans="3:10" x14ac:dyDescent="0.2">
      <c r="C78">
        <v>384</v>
      </c>
      <c r="D78">
        <f t="shared" si="0"/>
        <v>499</v>
      </c>
      <c r="E78">
        <f t="shared" si="1"/>
        <v>115.19999999999999</v>
      </c>
      <c r="F78">
        <f t="shared" si="2"/>
        <v>115</v>
      </c>
      <c r="H78" t="s">
        <v>234</v>
      </c>
      <c r="I78">
        <v>3</v>
      </c>
    </row>
    <row r="79" spans="3:10" x14ac:dyDescent="0.2">
      <c r="C79">
        <v>396</v>
      </c>
      <c r="D79">
        <f t="shared" si="0"/>
        <v>515</v>
      </c>
      <c r="E79">
        <f t="shared" si="1"/>
        <v>118.8</v>
      </c>
      <c r="F79">
        <f t="shared" si="2"/>
        <v>119</v>
      </c>
      <c r="H79" s="2" t="s">
        <v>190</v>
      </c>
      <c r="I79" s="2">
        <v>3</v>
      </c>
      <c r="J79" s="2">
        <v>2</v>
      </c>
    </row>
    <row r="80" spans="3:10" x14ac:dyDescent="0.2">
      <c r="C80">
        <v>53</v>
      </c>
      <c r="D80">
        <f t="shared" si="0"/>
        <v>69</v>
      </c>
      <c r="E80">
        <f t="shared" si="1"/>
        <v>15.899999999999999</v>
      </c>
      <c r="F80">
        <f t="shared" si="2"/>
        <v>16</v>
      </c>
      <c r="H80" t="s">
        <v>176</v>
      </c>
      <c r="I80">
        <v>3</v>
      </c>
    </row>
    <row r="81" spans="3:10" x14ac:dyDescent="0.2">
      <c r="C81">
        <v>55</v>
      </c>
      <c r="D81">
        <f t="shared" si="0"/>
        <v>72</v>
      </c>
      <c r="E81">
        <f t="shared" si="1"/>
        <v>16.5</v>
      </c>
      <c r="F81">
        <f t="shared" si="2"/>
        <v>17</v>
      </c>
      <c r="H81" t="s">
        <v>222</v>
      </c>
      <c r="I81">
        <v>3</v>
      </c>
    </row>
    <row r="82" spans="3:10" x14ac:dyDescent="0.2">
      <c r="C82">
        <v>55</v>
      </c>
      <c r="D82">
        <f t="shared" si="0"/>
        <v>72</v>
      </c>
      <c r="E82">
        <f t="shared" si="1"/>
        <v>16.5</v>
      </c>
      <c r="F82">
        <f t="shared" si="2"/>
        <v>17</v>
      </c>
      <c r="H82" t="s">
        <v>131</v>
      </c>
      <c r="I82">
        <v>3</v>
      </c>
    </row>
    <row r="83" spans="3:10" x14ac:dyDescent="0.2">
      <c r="C83">
        <v>53</v>
      </c>
      <c r="D83">
        <f t="shared" si="0"/>
        <v>69</v>
      </c>
      <c r="E83">
        <f t="shared" si="1"/>
        <v>15.899999999999999</v>
      </c>
      <c r="F83">
        <f t="shared" si="2"/>
        <v>16</v>
      </c>
      <c r="H83" t="s">
        <v>171</v>
      </c>
      <c r="I83">
        <v>3</v>
      </c>
    </row>
    <row r="84" spans="3:10" x14ac:dyDescent="0.2">
      <c r="C84">
        <v>56</v>
      </c>
      <c r="D84">
        <f t="shared" ref="D84:D100" si="3">C84+F84</f>
        <v>73</v>
      </c>
      <c r="E84">
        <f t="shared" ref="E84:E99" si="4">C84*0.3</f>
        <v>16.8</v>
      </c>
      <c r="F84">
        <f t="shared" ref="F84:F100" si="5">ROUND(E84,0)</f>
        <v>17</v>
      </c>
      <c r="H84" t="s">
        <v>151</v>
      </c>
      <c r="I84">
        <v>3</v>
      </c>
    </row>
    <row r="85" spans="3:10" x14ac:dyDescent="0.2">
      <c r="C85">
        <v>54</v>
      </c>
      <c r="D85">
        <f t="shared" si="3"/>
        <v>70</v>
      </c>
      <c r="E85">
        <f t="shared" si="4"/>
        <v>16.2</v>
      </c>
      <c r="F85">
        <f t="shared" si="5"/>
        <v>16</v>
      </c>
      <c r="H85" s="2" t="s">
        <v>173</v>
      </c>
      <c r="I85" s="2">
        <v>3</v>
      </c>
      <c r="J85" s="2">
        <v>2</v>
      </c>
    </row>
    <row r="86" spans="3:10" x14ac:dyDescent="0.2">
      <c r="C86">
        <v>58</v>
      </c>
      <c r="D86">
        <f t="shared" si="3"/>
        <v>75</v>
      </c>
      <c r="E86">
        <f t="shared" si="4"/>
        <v>17.399999999999999</v>
      </c>
      <c r="F86">
        <f t="shared" si="5"/>
        <v>17</v>
      </c>
      <c r="H86" t="s">
        <v>227</v>
      </c>
      <c r="I86">
        <v>3</v>
      </c>
    </row>
    <row r="87" spans="3:10" x14ac:dyDescent="0.2">
      <c r="C87">
        <v>60</v>
      </c>
      <c r="D87">
        <f t="shared" si="3"/>
        <v>78</v>
      </c>
      <c r="E87">
        <f t="shared" si="4"/>
        <v>18</v>
      </c>
      <c r="F87">
        <f t="shared" si="5"/>
        <v>18</v>
      </c>
      <c r="H87" s="2" t="s">
        <v>200</v>
      </c>
      <c r="I87" s="2">
        <v>3</v>
      </c>
      <c r="J87">
        <v>2</v>
      </c>
    </row>
    <row r="88" spans="3:10" x14ac:dyDescent="0.2">
      <c r="C88">
        <v>318</v>
      </c>
      <c r="D88">
        <f t="shared" si="3"/>
        <v>413</v>
      </c>
      <c r="E88">
        <f t="shared" si="4"/>
        <v>95.399999999999991</v>
      </c>
      <c r="F88">
        <f t="shared" si="5"/>
        <v>95</v>
      </c>
      <c r="H88" t="s">
        <v>177</v>
      </c>
      <c r="I88">
        <v>3</v>
      </c>
    </row>
    <row r="89" spans="3:10" x14ac:dyDescent="0.2">
      <c r="C89">
        <v>330</v>
      </c>
      <c r="D89">
        <f t="shared" si="3"/>
        <v>429</v>
      </c>
      <c r="E89">
        <f t="shared" si="4"/>
        <v>99</v>
      </c>
      <c r="F89">
        <f t="shared" si="5"/>
        <v>99</v>
      </c>
      <c r="H89" s="2" t="s">
        <v>188</v>
      </c>
      <c r="I89" s="2">
        <v>3</v>
      </c>
      <c r="J89" s="2">
        <v>2</v>
      </c>
    </row>
    <row r="90" spans="3:10" x14ac:dyDescent="0.2">
      <c r="C90">
        <v>72</v>
      </c>
      <c r="D90">
        <f t="shared" si="3"/>
        <v>94</v>
      </c>
      <c r="E90">
        <f t="shared" si="4"/>
        <v>21.599999999999998</v>
      </c>
      <c r="F90">
        <f t="shared" si="5"/>
        <v>22</v>
      </c>
      <c r="H90" s="2" t="s">
        <v>248</v>
      </c>
      <c r="I90" s="2">
        <v>3</v>
      </c>
    </row>
    <row r="91" spans="3:10" x14ac:dyDescent="0.2">
      <c r="C91">
        <v>70</v>
      </c>
      <c r="D91">
        <f t="shared" si="3"/>
        <v>91</v>
      </c>
      <c r="E91">
        <f t="shared" si="4"/>
        <v>21</v>
      </c>
      <c r="F91">
        <f t="shared" si="5"/>
        <v>21</v>
      </c>
      <c r="H91" t="s">
        <v>203</v>
      </c>
      <c r="I91">
        <v>3</v>
      </c>
    </row>
    <row r="92" spans="3:10" x14ac:dyDescent="0.2">
      <c r="C92">
        <v>74</v>
      </c>
      <c r="D92">
        <f t="shared" si="3"/>
        <v>96</v>
      </c>
      <c r="E92">
        <f t="shared" si="4"/>
        <v>22.2</v>
      </c>
      <c r="F92">
        <f t="shared" si="5"/>
        <v>22</v>
      </c>
      <c r="H92" t="s">
        <v>206</v>
      </c>
      <c r="I92">
        <v>4</v>
      </c>
    </row>
    <row r="93" spans="3:10" x14ac:dyDescent="0.2">
      <c r="C93">
        <v>70</v>
      </c>
      <c r="D93">
        <f t="shared" si="3"/>
        <v>91</v>
      </c>
      <c r="E93">
        <f t="shared" si="4"/>
        <v>21</v>
      </c>
      <c r="F93">
        <f t="shared" si="5"/>
        <v>21</v>
      </c>
      <c r="H93" t="s">
        <v>216</v>
      </c>
      <c r="I93">
        <v>4</v>
      </c>
    </row>
    <row r="94" spans="3:10" x14ac:dyDescent="0.2">
      <c r="C94">
        <v>76</v>
      </c>
      <c r="D94">
        <f t="shared" si="3"/>
        <v>99</v>
      </c>
      <c r="E94">
        <f t="shared" si="4"/>
        <v>22.8</v>
      </c>
      <c r="F94">
        <f t="shared" si="5"/>
        <v>23</v>
      </c>
      <c r="H94" s="2" t="s">
        <v>128</v>
      </c>
      <c r="I94" s="2">
        <v>4</v>
      </c>
    </row>
    <row r="95" spans="3:10" x14ac:dyDescent="0.2">
      <c r="C95">
        <v>78</v>
      </c>
      <c r="D95">
        <f t="shared" si="3"/>
        <v>101</v>
      </c>
      <c r="E95">
        <f t="shared" si="4"/>
        <v>23.4</v>
      </c>
      <c r="F95">
        <f t="shared" si="5"/>
        <v>23</v>
      </c>
      <c r="H95" t="s">
        <v>172</v>
      </c>
      <c r="I95">
        <v>4</v>
      </c>
    </row>
    <row r="96" spans="3:10" x14ac:dyDescent="0.2">
      <c r="C96">
        <v>78</v>
      </c>
      <c r="D96">
        <f t="shared" si="3"/>
        <v>101</v>
      </c>
      <c r="E96">
        <f t="shared" si="4"/>
        <v>23.4</v>
      </c>
      <c r="F96">
        <f t="shared" si="5"/>
        <v>23</v>
      </c>
      <c r="H96" t="s">
        <v>136</v>
      </c>
      <c r="I96">
        <v>4</v>
      </c>
      <c r="J96">
        <v>8</v>
      </c>
    </row>
    <row r="97" spans="3:10" x14ac:dyDescent="0.2">
      <c r="C97">
        <v>76</v>
      </c>
      <c r="D97">
        <f t="shared" si="3"/>
        <v>99</v>
      </c>
      <c r="E97">
        <f t="shared" si="4"/>
        <v>22.8</v>
      </c>
      <c r="F97">
        <f t="shared" si="5"/>
        <v>23</v>
      </c>
      <c r="H97" t="s">
        <v>202</v>
      </c>
      <c r="I97">
        <v>4</v>
      </c>
    </row>
    <row r="98" spans="3:10" x14ac:dyDescent="0.2">
      <c r="C98">
        <v>432</v>
      </c>
      <c r="D98">
        <f t="shared" si="3"/>
        <v>562</v>
      </c>
      <c r="E98">
        <f t="shared" si="4"/>
        <v>129.6</v>
      </c>
      <c r="F98">
        <f t="shared" si="5"/>
        <v>130</v>
      </c>
      <c r="H98" t="s">
        <v>217</v>
      </c>
      <c r="I98">
        <v>5</v>
      </c>
      <c r="J98">
        <v>8</v>
      </c>
    </row>
    <row r="99" spans="3:10" x14ac:dyDescent="0.2">
      <c r="C99">
        <v>420</v>
      </c>
      <c r="D99">
        <f t="shared" si="3"/>
        <v>546</v>
      </c>
      <c r="E99">
        <f t="shared" si="4"/>
        <v>126</v>
      </c>
      <c r="F99">
        <f t="shared" si="5"/>
        <v>126</v>
      </c>
      <c r="H99" t="s">
        <v>221</v>
      </c>
      <c r="I99">
        <v>5</v>
      </c>
    </row>
    <row r="100" spans="3:10" x14ac:dyDescent="0.2">
      <c r="D100">
        <f t="shared" si="3"/>
        <v>0</v>
      </c>
      <c r="F100">
        <f t="shared" si="5"/>
        <v>0</v>
      </c>
      <c r="H100" s="4" t="s">
        <v>247</v>
      </c>
      <c r="I100" s="5">
        <v>6</v>
      </c>
    </row>
    <row r="103" spans="3:10" x14ac:dyDescent="0.2">
      <c r="C103">
        <v>3</v>
      </c>
      <c r="D103">
        <f>C103-F103</f>
        <v>2</v>
      </c>
      <c r="E103">
        <f>C103*0.25</f>
        <v>0.75</v>
      </c>
      <c r="F103">
        <f>ROUND(E103,0)</f>
        <v>1</v>
      </c>
    </row>
    <row r="104" spans="3:10" x14ac:dyDescent="0.2">
      <c r="C104">
        <v>9</v>
      </c>
      <c r="D104">
        <f t="shared" ref="D104:D167" si="6">C104-F104</f>
        <v>7</v>
      </c>
      <c r="E104">
        <f t="shared" ref="E104:E167" si="7">C104*0.25</f>
        <v>2.25</v>
      </c>
      <c r="F104">
        <f t="shared" ref="F104:F167" si="8">ROUND(E104,0)</f>
        <v>2</v>
      </c>
    </row>
    <row r="105" spans="3:10" x14ac:dyDescent="0.2">
      <c r="C105">
        <v>8</v>
      </c>
      <c r="D105">
        <f t="shared" si="6"/>
        <v>6</v>
      </c>
      <c r="E105">
        <f t="shared" si="7"/>
        <v>2</v>
      </c>
      <c r="F105">
        <f t="shared" si="8"/>
        <v>2</v>
      </c>
    </row>
    <row r="106" spans="3:10" x14ac:dyDescent="0.2">
      <c r="C106">
        <v>11</v>
      </c>
      <c r="D106">
        <f t="shared" si="6"/>
        <v>8</v>
      </c>
      <c r="E106">
        <f t="shared" si="7"/>
        <v>2.75</v>
      </c>
      <c r="F106">
        <f t="shared" si="8"/>
        <v>3</v>
      </c>
    </row>
    <row r="107" spans="3:10" x14ac:dyDescent="0.2">
      <c r="C107">
        <v>9</v>
      </c>
      <c r="D107">
        <f t="shared" si="6"/>
        <v>7</v>
      </c>
      <c r="E107">
        <f t="shared" si="7"/>
        <v>2.25</v>
      </c>
      <c r="F107">
        <f t="shared" si="8"/>
        <v>2</v>
      </c>
    </row>
    <row r="108" spans="3:10" x14ac:dyDescent="0.2">
      <c r="C108">
        <v>11</v>
      </c>
      <c r="D108">
        <f t="shared" si="6"/>
        <v>8</v>
      </c>
      <c r="E108">
        <f t="shared" si="7"/>
        <v>2.75</v>
      </c>
      <c r="F108">
        <f t="shared" si="8"/>
        <v>3</v>
      </c>
    </row>
    <row r="109" spans="3:10" x14ac:dyDescent="0.2">
      <c r="C109">
        <v>12</v>
      </c>
      <c r="D109">
        <f t="shared" si="6"/>
        <v>9</v>
      </c>
      <c r="E109">
        <f t="shared" si="7"/>
        <v>3</v>
      </c>
      <c r="F109">
        <f t="shared" si="8"/>
        <v>3</v>
      </c>
    </row>
    <row r="110" spans="3:10" x14ac:dyDescent="0.2">
      <c r="C110">
        <v>14</v>
      </c>
      <c r="D110">
        <f t="shared" si="6"/>
        <v>10</v>
      </c>
      <c r="E110">
        <f t="shared" si="7"/>
        <v>3.5</v>
      </c>
      <c r="F110">
        <f t="shared" si="8"/>
        <v>4</v>
      </c>
    </row>
    <row r="111" spans="3:10" x14ac:dyDescent="0.2">
      <c r="C111">
        <v>12</v>
      </c>
      <c r="D111">
        <f t="shared" si="6"/>
        <v>9</v>
      </c>
      <c r="E111">
        <f t="shared" si="7"/>
        <v>3</v>
      </c>
      <c r="F111">
        <f t="shared" si="8"/>
        <v>3</v>
      </c>
    </row>
    <row r="112" spans="3:10" x14ac:dyDescent="0.2">
      <c r="C112">
        <v>44</v>
      </c>
      <c r="D112">
        <f t="shared" si="6"/>
        <v>33</v>
      </c>
      <c r="E112">
        <f t="shared" si="7"/>
        <v>11</v>
      </c>
      <c r="F112">
        <f t="shared" si="8"/>
        <v>11</v>
      </c>
    </row>
    <row r="113" spans="3:6" x14ac:dyDescent="0.2">
      <c r="C113">
        <v>42</v>
      </c>
      <c r="D113">
        <f t="shared" si="6"/>
        <v>31</v>
      </c>
      <c r="E113">
        <f t="shared" si="7"/>
        <v>10.5</v>
      </c>
      <c r="F113">
        <f t="shared" si="8"/>
        <v>11</v>
      </c>
    </row>
    <row r="114" spans="3:6" x14ac:dyDescent="0.2">
      <c r="C114">
        <v>24</v>
      </c>
      <c r="D114">
        <f t="shared" si="6"/>
        <v>18</v>
      </c>
      <c r="E114">
        <f t="shared" si="7"/>
        <v>6</v>
      </c>
      <c r="F114">
        <f t="shared" si="8"/>
        <v>6</v>
      </c>
    </row>
    <row r="115" spans="3:6" x14ac:dyDescent="0.2">
      <c r="C115">
        <v>24</v>
      </c>
      <c r="D115">
        <f t="shared" si="6"/>
        <v>18</v>
      </c>
      <c r="E115">
        <f t="shared" si="7"/>
        <v>6</v>
      </c>
      <c r="F115">
        <f t="shared" si="8"/>
        <v>6</v>
      </c>
    </row>
    <row r="116" spans="3:6" x14ac:dyDescent="0.2">
      <c r="C116">
        <v>24</v>
      </c>
      <c r="D116">
        <f t="shared" si="6"/>
        <v>18</v>
      </c>
      <c r="E116">
        <f t="shared" si="7"/>
        <v>6</v>
      </c>
      <c r="F116">
        <f t="shared" si="8"/>
        <v>6</v>
      </c>
    </row>
    <row r="117" spans="3:6" x14ac:dyDescent="0.2">
      <c r="C117">
        <v>24</v>
      </c>
      <c r="D117">
        <f t="shared" si="6"/>
        <v>18</v>
      </c>
      <c r="E117">
        <f t="shared" si="7"/>
        <v>6</v>
      </c>
      <c r="F117">
        <f t="shared" si="8"/>
        <v>6</v>
      </c>
    </row>
    <row r="118" spans="3:6" x14ac:dyDescent="0.2">
      <c r="C118">
        <v>24</v>
      </c>
      <c r="D118">
        <f t="shared" si="6"/>
        <v>18</v>
      </c>
      <c r="E118">
        <f t="shared" si="7"/>
        <v>6</v>
      </c>
      <c r="F118">
        <f t="shared" si="8"/>
        <v>6</v>
      </c>
    </row>
    <row r="119" spans="3:6" x14ac:dyDescent="0.2">
      <c r="C119">
        <v>24</v>
      </c>
      <c r="D119">
        <f t="shared" si="6"/>
        <v>18</v>
      </c>
      <c r="E119">
        <f t="shared" si="7"/>
        <v>6</v>
      </c>
      <c r="F119">
        <f t="shared" si="8"/>
        <v>6</v>
      </c>
    </row>
    <row r="120" spans="3:6" x14ac:dyDescent="0.2">
      <c r="C120">
        <v>25</v>
      </c>
      <c r="D120">
        <f t="shared" si="6"/>
        <v>19</v>
      </c>
      <c r="E120">
        <f t="shared" si="7"/>
        <v>6.25</v>
      </c>
      <c r="F120">
        <f t="shared" si="8"/>
        <v>6</v>
      </c>
    </row>
    <row r="121" spans="3:6" x14ac:dyDescent="0.2">
      <c r="C121">
        <v>25</v>
      </c>
      <c r="D121">
        <f t="shared" si="6"/>
        <v>19</v>
      </c>
      <c r="E121">
        <f t="shared" si="7"/>
        <v>6.25</v>
      </c>
      <c r="F121">
        <f t="shared" si="8"/>
        <v>6</v>
      </c>
    </row>
    <row r="122" spans="3:6" x14ac:dyDescent="0.2">
      <c r="C122">
        <v>144</v>
      </c>
      <c r="D122">
        <f t="shared" si="6"/>
        <v>108</v>
      </c>
      <c r="E122">
        <f t="shared" si="7"/>
        <v>36</v>
      </c>
      <c r="F122">
        <f t="shared" si="8"/>
        <v>36</v>
      </c>
    </row>
    <row r="123" spans="3:6" x14ac:dyDescent="0.2">
      <c r="C123">
        <v>146</v>
      </c>
      <c r="D123">
        <f t="shared" si="6"/>
        <v>109</v>
      </c>
      <c r="E123">
        <f t="shared" si="7"/>
        <v>36.5</v>
      </c>
      <c r="F123">
        <f t="shared" si="8"/>
        <v>37</v>
      </c>
    </row>
    <row r="124" spans="3:6" x14ac:dyDescent="0.2">
      <c r="C124">
        <v>16</v>
      </c>
      <c r="D124">
        <f t="shared" si="6"/>
        <v>12</v>
      </c>
      <c r="E124">
        <f t="shared" si="7"/>
        <v>4</v>
      </c>
      <c r="F124">
        <f t="shared" si="8"/>
        <v>4</v>
      </c>
    </row>
    <row r="125" spans="3:6" x14ac:dyDescent="0.2">
      <c r="C125">
        <v>17</v>
      </c>
      <c r="D125">
        <f t="shared" si="6"/>
        <v>13</v>
      </c>
      <c r="E125">
        <f t="shared" si="7"/>
        <v>4.25</v>
      </c>
      <c r="F125">
        <f t="shared" si="8"/>
        <v>4</v>
      </c>
    </row>
    <row r="126" spans="3:6" x14ac:dyDescent="0.2">
      <c r="C126">
        <v>17</v>
      </c>
      <c r="D126">
        <f t="shared" si="6"/>
        <v>13</v>
      </c>
      <c r="E126">
        <f t="shared" si="7"/>
        <v>4.25</v>
      </c>
      <c r="F126">
        <f t="shared" si="8"/>
        <v>4</v>
      </c>
    </row>
    <row r="127" spans="3:6" x14ac:dyDescent="0.2">
      <c r="C127">
        <v>16</v>
      </c>
      <c r="D127">
        <f t="shared" si="6"/>
        <v>12</v>
      </c>
      <c r="E127">
        <f t="shared" si="7"/>
        <v>4</v>
      </c>
      <c r="F127">
        <f t="shared" si="8"/>
        <v>4</v>
      </c>
    </row>
    <row r="128" spans="3:6" x14ac:dyDescent="0.2">
      <c r="C128">
        <v>16</v>
      </c>
      <c r="D128">
        <f t="shared" si="6"/>
        <v>12</v>
      </c>
      <c r="E128">
        <f t="shared" si="7"/>
        <v>4</v>
      </c>
      <c r="F128">
        <f t="shared" si="8"/>
        <v>4</v>
      </c>
    </row>
    <row r="129" spans="3:6" x14ac:dyDescent="0.2">
      <c r="C129">
        <v>18</v>
      </c>
      <c r="D129">
        <f t="shared" si="6"/>
        <v>13</v>
      </c>
      <c r="E129">
        <f t="shared" si="7"/>
        <v>4.5</v>
      </c>
      <c r="F129">
        <f t="shared" si="8"/>
        <v>5</v>
      </c>
    </row>
    <row r="130" spans="3:6" x14ac:dyDescent="0.2">
      <c r="C130">
        <v>24</v>
      </c>
      <c r="D130">
        <f t="shared" si="6"/>
        <v>18</v>
      </c>
      <c r="E130">
        <f t="shared" si="7"/>
        <v>6</v>
      </c>
      <c r="F130">
        <f t="shared" si="8"/>
        <v>6</v>
      </c>
    </row>
    <row r="131" spans="3:6" x14ac:dyDescent="0.2">
      <c r="C131">
        <v>22</v>
      </c>
      <c r="D131">
        <f t="shared" si="6"/>
        <v>16</v>
      </c>
      <c r="E131">
        <f t="shared" si="7"/>
        <v>5.5</v>
      </c>
      <c r="F131">
        <f t="shared" si="8"/>
        <v>6</v>
      </c>
    </row>
    <row r="132" spans="3:6" x14ac:dyDescent="0.2">
      <c r="C132">
        <v>96</v>
      </c>
      <c r="D132">
        <f t="shared" si="6"/>
        <v>72</v>
      </c>
      <c r="E132">
        <f t="shared" si="7"/>
        <v>24</v>
      </c>
      <c r="F132">
        <f t="shared" si="8"/>
        <v>24</v>
      </c>
    </row>
    <row r="133" spans="3:6" x14ac:dyDescent="0.2">
      <c r="C133">
        <v>92</v>
      </c>
      <c r="D133">
        <f t="shared" si="6"/>
        <v>69</v>
      </c>
      <c r="E133">
        <f t="shared" si="7"/>
        <v>23</v>
      </c>
      <c r="F133">
        <f t="shared" si="8"/>
        <v>23</v>
      </c>
    </row>
    <row r="134" spans="3:6" x14ac:dyDescent="0.2">
      <c r="C134">
        <v>28</v>
      </c>
      <c r="D134">
        <f t="shared" si="6"/>
        <v>21</v>
      </c>
      <c r="E134">
        <f t="shared" si="7"/>
        <v>7</v>
      </c>
      <c r="F134">
        <f t="shared" si="8"/>
        <v>7</v>
      </c>
    </row>
    <row r="135" spans="3:6" x14ac:dyDescent="0.2">
      <c r="C135">
        <v>30</v>
      </c>
      <c r="D135">
        <f t="shared" si="6"/>
        <v>22</v>
      </c>
      <c r="E135">
        <f t="shared" si="7"/>
        <v>7.5</v>
      </c>
      <c r="F135">
        <f t="shared" si="8"/>
        <v>8</v>
      </c>
    </row>
    <row r="136" spans="3:6" x14ac:dyDescent="0.2">
      <c r="C136">
        <v>28</v>
      </c>
      <c r="D136">
        <f t="shared" si="6"/>
        <v>21</v>
      </c>
      <c r="E136">
        <f t="shared" si="7"/>
        <v>7</v>
      </c>
      <c r="F136">
        <f t="shared" si="8"/>
        <v>7</v>
      </c>
    </row>
    <row r="137" spans="3:6" x14ac:dyDescent="0.2">
      <c r="C137">
        <v>29</v>
      </c>
      <c r="D137">
        <f t="shared" si="6"/>
        <v>22</v>
      </c>
      <c r="E137">
        <f t="shared" si="7"/>
        <v>7.25</v>
      </c>
      <c r="F137">
        <f t="shared" si="8"/>
        <v>7</v>
      </c>
    </row>
    <row r="138" spans="3:6" x14ac:dyDescent="0.2">
      <c r="C138">
        <v>30</v>
      </c>
      <c r="D138">
        <f t="shared" si="6"/>
        <v>22</v>
      </c>
      <c r="E138">
        <f t="shared" si="7"/>
        <v>7.5</v>
      </c>
      <c r="F138">
        <f t="shared" si="8"/>
        <v>8</v>
      </c>
    </row>
    <row r="139" spans="3:6" x14ac:dyDescent="0.2">
      <c r="C139">
        <v>32</v>
      </c>
      <c r="D139">
        <f t="shared" si="6"/>
        <v>24</v>
      </c>
      <c r="E139">
        <f t="shared" si="7"/>
        <v>8</v>
      </c>
      <c r="F139">
        <f t="shared" si="8"/>
        <v>8</v>
      </c>
    </row>
    <row r="140" spans="3:6" x14ac:dyDescent="0.2">
      <c r="C140">
        <v>32</v>
      </c>
      <c r="D140">
        <f t="shared" si="6"/>
        <v>24</v>
      </c>
      <c r="E140">
        <f t="shared" si="7"/>
        <v>8</v>
      </c>
      <c r="F140">
        <f t="shared" si="8"/>
        <v>8</v>
      </c>
    </row>
    <row r="141" spans="3:6" x14ac:dyDescent="0.2">
      <c r="C141">
        <v>30</v>
      </c>
      <c r="D141">
        <f t="shared" si="6"/>
        <v>22</v>
      </c>
      <c r="E141">
        <f t="shared" si="7"/>
        <v>7.5</v>
      </c>
      <c r="F141">
        <f t="shared" si="8"/>
        <v>8</v>
      </c>
    </row>
    <row r="142" spans="3:6" x14ac:dyDescent="0.2">
      <c r="C142">
        <v>168</v>
      </c>
      <c r="D142">
        <f t="shared" si="6"/>
        <v>126</v>
      </c>
      <c r="E142">
        <f t="shared" si="7"/>
        <v>42</v>
      </c>
      <c r="F142">
        <f t="shared" si="8"/>
        <v>42</v>
      </c>
    </row>
    <row r="143" spans="3:6" x14ac:dyDescent="0.2">
      <c r="C143">
        <v>160</v>
      </c>
      <c r="D143">
        <f t="shared" si="6"/>
        <v>120</v>
      </c>
      <c r="E143">
        <f t="shared" si="7"/>
        <v>40</v>
      </c>
      <c r="F143">
        <f t="shared" si="8"/>
        <v>40</v>
      </c>
    </row>
    <row r="144" spans="3:6" x14ac:dyDescent="0.2">
      <c r="C144">
        <v>36</v>
      </c>
      <c r="D144">
        <f t="shared" si="6"/>
        <v>27</v>
      </c>
      <c r="E144">
        <f t="shared" si="7"/>
        <v>9</v>
      </c>
      <c r="F144">
        <f t="shared" si="8"/>
        <v>9</v>
      </c>
    </row>
    <row r="145" spans="3:6" x14ac:dyDescent="0.2">
      <c r="C145">
        <v>36</v>
      </c>
      <c r="D145">
        <f t="shared" si="6"/>
        <v>27</v>
      </c>
      <c r="E145">
        <f t="shared" si="7"/>
        <v>9</v>
      </c>
      <c r="F145">
        <f t="shared" si="8"/>
        <v>9</v>
      </c>
    </row>
    <row r="146" spans="3:6" x14ac:dyDescent="0.2">
      <c r="C146">
        <v>36</v>
      </c>
      <c r="D146">
        <f t="shared" si="6"/>
        <v>27</v>
      </c>
      <c r="E146">
        <f t="shared" si="7"/>
        <v>9</v>
      </c>
      <c r="F146">
        <f t="shared" si="8"/>
        <v>9</v>
      </c>
    </row>
    <row r="147" spans="3:6" x14ac:dyDescent="0.2">
      <c r="C147">
        <v>36</v>
      </c>
      <c r="D147">
        <f t="shared" si="6"/>
        <v>27</v>
      </c>
      <c r="E147">
        <f t="shared" si="7"/>
        <v>9</v>
      </c>
      <c r="F147">
        <f t="shared" si="8"/>
        <v>9</v>
      </c>
    </row>
    <row r="148" spans="3:6" x14ac:dyDescent="0.2">
      <c r="C148">
        <v>38</v>
      </c>
      <c r="D148">
        <f t="shared" si="6"/>
        <v>28</v>
      </c>
      <c r="E148">
        <f t="shared" si="7"/>
        <v>9.5</v>
      </c>
      <c r="F148">
        <f t="shared" si="8"/>
        <v>10</v>
      </c>
    </row>
    <row r="149" spans="3:6" x14ac:dyDescent="0.2">
      <c r="C149">
        <v>40</v>
      </c>
      <c r="D149">
        <f t="shared" si="6"/>
        <v>30</v>
      </c>
      <c r="E149">
        <f t="shared" si="7"/>
        <v>10</v>
      </c>
      <c r="F149">
        <f t="shared" si="8"/>
        <v>10</v>
      </c>
    </row>
    <row r="150" spans="3:6" x14ac:dyDescent="0.2">
      <c r="C150">
        <v>38</v>
      </c>
      <c r="D150">
        <f t="shared" si="6"/>
        <v>28</v>
      </c>
      <c r="E150">
        <f t="shared" si="7"/>
        <v>9.5</v>
      </c>
      <c r="F150">
        <f t="shared" si="8"/>
        <v>10</v>
      </c>
    </row>
    <row r="151" spans="3:6" x14ac:dyDescent="0.2">
      <c r="C151">
        <v>40</v>
      </c>
      <c r="D151">
        <f t="shared" si="6"/>
        <v>30</v>
      </c>
      <c r="E151">
        <f t="shared" si="7"/>
        <v>10</v>
      </c>
      <c r="F151">
        <f t="shared" si="8"/>
        <v>10</v>
      </c>
    </row>
    <row r="152" spans="3:6" x14ac:dyDescent="0.2">
      <c r="C152">
        <v>216</v>
      </c>
      <c r="D152">
        <f t="shared" si="6"/>
        <v>162</v>
      </c>
      <c r="E152">
        <f t="shared" si="7"/>
        <v>54</v>
      </c>
      <c r="F152">
        <f t="shared" si="8"/>
        <v>54</v>
      </c>
    </row>
    <row r="153" spans="3:6" x14ac:dyDescent="0.2">
      <c r="C153">
        <v>216</v>
      </c>
      <c r="D153">
        <f t="shared" si="6"/>
        <v>162</v>
      </c>
      <c r="E153">
        <f t="shared" si="7"/>
        <v>54</v>
      </c>
      <c r="F153">
        <f t="shared" si="8"/>
        <v>54</v>
      </c>
    </row>
    <row r="154" spans="3:6" x14ac:dyDescent="0.2">
      <c r="C154">
        <v>52</v>
      </c>
      <c r="D154">
        <f t="shared" si="6"/>
        <v>39</v>
      </c>
      <c r="E154">
        <f t="shared" si="7"/>
        <v>13</v>
      </c>
      <c r="F154">
        <f t="shared" si="8"/>
        <v>13</v>
      </c>
    </row>
    <row r="155" spans="3:6" x14ac:dyDescent="0.2">
      <c r="C155">
        <v>50</v>
      </c>
      <c r="D155">
        <f t="shared" si="6"/>
        <v>37</v>
      </c>
      <c r="E155">
        <f t="shared" si="7"/>
        <v>12.5</v>
      </c>
      <c r="F155">
        <f t="shared" si="8"/>
        <v>13</v>
      </c>
    </row>
    <row r="156" spans="3:6" x14ac:dyDescent="0.2">
      <c r="C156">
        <v>52</v>
      </c>
      <c r="D156">
        <f t="shared" si="6"/>
        <v>39</v>
      </c>
      <c r="E156">
        <f t="shared" si="7"/>
        <v>13</v>
      </c>
      <c r="F156">
        <f t="shared" si="8"/>
        <v>13</v>
      </c>
    </row>
    <row r="157" spans="3:6" x14ac:dyDescent="0.2">
      <c r="C157">
        <v>50</v>
      </c>
      <c r="D157">
        <f t="shared" si="6"/>
        <v>37</v>
      </c>
      <c r="E157">
        <f t="shared" si="7"/>
        <v>12.5</v>
      </c>
      <c r="F157">
        <f t="shared" si="8"/>
        <v>13</v>
      </c>
    </row>
    <row r="158" spans="3:6" x14ac:dyDescent="0.2">
      <c r="C158">
        <v>54</v>
      </c>
      <c r="D158">
        <f t="shared" si="6"/>
        <v>40</v>
      </c>
      <c r="E158">
        <f t="shared" si="7"/>
        <v>13.5</v>
      </c>
      <c r="F158">
        <f t="shared" si="8"/>
        <v>14</v>
      </c>
    </row>
    <row r="159" spans="3:6" x14ac:dyDescent="0.2">
      <c r="C159">
        <v>50</v>
      </c>
      <c r="D159">
        <f t="shared" si="6"/>
        <v>37</v>
      </c>
      <c r="E159">
        <f t="shared" si="7"/>
        <v>12.5</v>
      </c>
      <c r="F159">
        <f t="shared" si="8"/>
        <v>13</v>
      </c>
    </row>
    <row r="160" spans="3:6" x14ac:dyDescent="0.2">
      <c r="C160">
        <v>52</v>
      </c>
      <c r="D160">
        <f t="shared" si="6"/>
        <v>39</v>
      </c>
      <c r="E160">
        <f t="shared" si="7"/>
        <v>13</v>
      </c>
      <c r="F160">
        <f t="shared" si="8"/>
        <v>13</v>
      </c>
    </row>
    <row r="161" spans="3:6" x14ac:dyDescent="0.2">
      <c r="C161">
        <v>56</v>
      </c>
      <c r="D161">
        <f t="shared" si="6"/>
        <v>42</v>
      </c>
      <c r="E161">
        <f t="shared" si="7"/>
        <v>14</v>
      </c>
      <c r="F161">
        <f t="shared" si="8"/>
        <v>14</v>
      </c>
    </row>
    <row r="162" spans="3:6" x14ac:dyDescent="0.2">
      <c r="C162">
        <v>312</v>
      </c>
      <c r="D162">
        <f t="shared" si="6"/>
        <v>234</v>
      </c>
      <c r="E162">
        <f t="shared" si="7"/>
        <v>78</v>
      </c>
      <c r="F162">
        <f t="shared" si="8"/>
        <v>78</v>
      </c>
    </row>
    <row r="163" spans="3:6" x14ac:dyDescent="0.2">
      <c r="C163">
        <v>300</v>
      </c>
      <c r="D163">
        <f t="shared" si="6"/>
        <v>225</v>
      </c>
      <c r="E163">
        <f t="shared" si="7"/>
        <v>75</v>
      </c>
      <c r="F163">
        <f t="shared" si="8"/>
        <v>75</v>
      </c>
    </row>
    <row r="164" spans="3:6" x14ac:dyDescent="0.2">
      <c r="C164">
        <v>43</v>
      </c>
      <c r="D164">
        <f t="shared" si="6"/>
        <v>32</v>
      </c>
      <c r="E164">
        <f t="shared" si="7"/>
        <v>10.75</v>
      </c>
      <c r="F164">
        <f t="shared" si="8"/>
        <v>11</v>
      </c>
    </row>
    <row r="165" spans="3:6" x14ac:dyDescent="0.2">
      <c r="C165">
        <v>41</v>
      </c>
      <c r="D165">
        <f t="shared" si="6"/>
        <v>31</v>
      </c>
      <c r="E165">
        <f t="shared" si="7"/>
        <v>10.25</v>
      </c>
      <c r="F165">
        <f t="shared" si="8"/>
        <v>10</v>
      </c>
    </row>
    <row r="166" spans="3:6" x14ac:dyDescent="0.2">
      <c r="C166">
        <v>45</v>
      </c>
      <c r="D166">
        <f t="shared" si="6"/>
        <v>34</v>
      </c>
      <c r="E166">
        <f t="shared" si="7"/>
        <v>11.25</v>
      </c>
      <c r="F166">
        <f t="shared" si="8"/>
        <v>11</v>
      </c>
    </row>
    <row r="167" spans="3:6" x14ac:dyDescent="0.2">
      <c r="C167">
        <v>47</v>
      </c>
      <c r="D167">
        <f t="shared" si="6"/>
        <v>35</v>
      </c>
      <c r="E167">
        <f t="shared" si="7"/>
        <v>11.75</v>
      </c>
      <c r="F167">
        <f t="shared" si="8"/>
        <v>12</v>
      </c>
    </row>
    <row r="168" spans="3:6" x14ac:dyDescent="0.2">
      <c r="C168">
        <v>48</v>
      </c>
      <c r="D168">
        <f t="shared" ref="D168:D183" si="9">C168-F168</f>
        <v>36</v>
      </c>
      <c r="E168">
        <f t="shared" ref="E168:E183" si="10">C168*0.25</f>
        <v>12</v>
      </c>
      <c r="F168">
        <f t="shared" ref="F168:F183" si="11">ROUND(E168,0)</f>
        <v>12</v>
      </c>
    </row>
    <row r="169" spans="3:6" x14ac:dyDescent="0.2">
      <c r="C169">
        <v>50</v>
      </c>
      <c r="D169">
        <f t="shared" si="9"/>
        <v>37</v>
      </c>
      <c r="E169">
        <f t="shared" si="10"/>
        <v>12.5</v>
      </c>
      <c r="F169">
        <f t="shared" si="11"/>
        <v>13</v>
      </c>
    </row>
    <row r="170" spans="3:6" x14ac:dyDescent="0.2">
      <c r="C170">
        <v>48</v>
      </c>
      <c r="D170">
        <f t="shared" si="9"/>
        <v>36</v>
      </c>
      <c r="E170">
        <f t="shared" si="10"/>
        <v>12</v>
      </c>
      <c r="F170">
        <f t="shared" si="11"/>
        <v>12</v>
      </c>
    </row>
    <row r="171" spans="3:6" x14ac:dyDescent="0.2">
      <c r="C171">
        <v>46</v>
      </c>
      <c r="D171">
        <f t="shared" si="9"/>
        <v>34</v>
      </c>
      <c r="E171">
        <f t="shared" si="10"/>
        <v>11.5</v>
      </c>
      <c r="F171">
        <f t="shared" si="11"/>
        <v>12</v>
      </c>
    </row>
    <row r="172" spans="3:6" x14ac:dyDescent="0.2">
      <c r="C172">
        <v>258</v>
      </c>
      <c r="D172">
        <f t="shared" si="9"/>
        <v>193</v>
      </c>
      <c r="E172">
        <f t="shared" si="10"/>
        <v>64.5</v>
      </c>
      <c r="F172">
        <f t="shared" si="11"/>
        <v>65</v>
      </c>
    </row>
    <row r="173" spans="3:6" x14ac:dyDescent="0.2">
      <c r="C173">
        <v>246</v>
      </c>
      <c r="D173">
        <f t="shared" si="9"/>
        <v>184</v>
      </c>
      <c r="E173">
        <f t="shared" si="10"/>
        <v>61.5</v>
      </c>
      <c r="F173">
        <f t="shared" si="11"/>
        <v>62</v>
      </c>
    </row>
    <row r="174" spans="3:6" x14ac:dyDescent="0.2">
      <c r="C174">
        <v>60</v>
      </c>
      <c r="D174">
        <f t="shared" si="9"/>
        <v>45</v>
      </c>
      <c r="E174">
        <f t="shared" si="10"/>
        <v>15</v>
      </c>
      <c r="F174">
        <f t="shared" si="11"/>
        <v>15</v>
      </c>
    </row>
    <row r="175" spans="3:6" x14ac:dyDescent="0.2">
      <c r="C175">
        <v>60</v>
      </c>
      <c r="D175">
        <f t="shared" si="9"/>
        <v>45</v>
      </c>
      <c r="E175">
        <f t="shared" si="10"/>
        <v>15</v>
      </c>
      <c r="F175">
        <f t="shared" si="11"/>
        <v>15</v>
      </c>
    </row>
    <row r="176" spans="3:6" x14ac:dyDescent="0.2">
      <c r="C176">
        <v>62</v>
      </c>
      <c r="D176">
        <f t="shared" si="9"/>
        <v>46</v>
      </c>
      <c r="E176">
        <f t="shared" si="10"/>
        <v>15.5</v>
      </c>
      <c r="F176">
        <f t="shared" si="11"/>
        <v>16</v>
      </c>
    </row>
    <row r="177" spans="3:6" x14ac:dyDescent="0.2">
      <c r="C177">
        <v>63</v>
      </c>
      <c r="D177">
        <f t="shared" si="9"/>
        <v>47</v>
      </c>
      <c r="E177">
        <f t="shared" si="10"/>
        <v>15.75</v>
      </c>
      <c r="F177">
        <f t="shared" si="11"/>
        <v>16</v>
      </c>
    </row>
    <row r="178" spans="3:6" x14ac:dyDescent="0.2">
      <c r="C178">
        <v>64</v>
      </c>
      <c r="D178">
        <f t="shared" si="9"/>
        <v>48</v>
      </c>
      <c r="E178">
        <f t="shared" si="10"/>
        <v>16</v>
      </c>
      <c r="F178">
        <f t="shared" si="11"/>
        <v>16</v>
      </c>
    </row>
    <row r="179" spans="3:6" x14ac:dyDescent="0.2">
      <c r="C179">
        <v>62</v>
      </c>
      <c r="D179">
        <f t="shared" si="9"/>
        <v>46</v>
      </c>
      <c r="E179">
        <f t="shared" si="10"/>
        <v>15.5</v>
      </c>
      <c r="F179">
        <f t="shared" si="11"/>
        <v>16</v>
      </c>
    </row>
    <row r="180" spans="3:6" x14ac:dyDescent="0.2">
      <c r="C180">
        <v>64</v>
      </c>
      <c r="D180">
        <f t="shared" si="9"/>
        <v>48</v>
      </c>
      <c r="E180">
        <f t="shared" si="10"/>
        <v>16</v>
      </c>
      <c r="F180">
        <f t="shared" si="11"/>
        <v>16</v>
      </c>
    </row>
    <row r="181" spans="3:6" x14ac:dyDescent="0.2">
      <c r="C181">
        <v>66</v>
      </c>
      <c r="D181">
        <f t="shared" si="9"/>
        <v>49</v>
      </c>
      <c r="E181">
        <f t="shared" si="10"/>
        <v>16.5</v>
      </c>
      <c r="F181">
        <f t="shared" si="11"/>
        <v>17</v>
      </c>
    </row>
    <row r="182" spans="3:6" x14ac:dyDescent="0.2">
      <c r="C182">
        <v>360</v>
      </c>
      <c r="D182">
        <f t="shared" si="9"/>
        <v>270</v>
      </c>
      <c r="E182">
        <f t="shared" si="10"/>
        <v>90</v>
      </c>
      <c r="F182">
        <f t="shared" si="11"/>
        <v>90</v>
      </c>
    </row>
    <row r="183" spans="3:6" x14ac:dyDescent="0.2">
      <c r="C183">
        <v>360</v>
      </c>
      <c r="D183">
        <f t="shared" si="9"/>
        <v>270</v>
      </c>
      <c r="E183">
        <f t="shared" si="10"/>
        <v>90</v>
      </c>
      <c r="F183">
        <f t="shared" si="11"/>
        <v>90</v>
      </c>
    </row>
  </sheetData>
  <autoFilter ref="H16:J100">
    <sortState ref="H17:J100">
      <sortCondition ref="I16:I100"/>
    </sortState>
  </autoFilter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91"/>
  <sheetViews>
    <sheetView topLeftCell="B1" workbookViewId="0">
      <selection activeCell="G5" sqref="G5"/>
    </sheetView>
  </sheetViews>
  <sheetFormatPr defaultRowHeight="14.25" x14ac:dyDescent="0.2"/>
  <cols>
    <col min="12" max="12" width="9" style="7"/>
    <col min="14" max="17" width="6.5" customWidth="1"/>
  </cols>
  <sheetData>
    <row r="2" spans="1:31" x14ac:dyDescent="0.2">
      <c r="A2" t="s">
        <v>0</v>
      </c>
      <c r="B2" t="s">
        <v>1</v>
      </c>
    </row>
    <row r="3" spans="1:31" x14ac:dyDescent="0.2">
      <c r="A3" t="s">
        <v>4</v>
      </c>
      <c r="B3" t="s">
        <v>5</v>
      </c>
    </row>
    <row r="4" spans="1:31" x14ac:dyDescent="0.2">
      <c r="A4">
        <v>4001</v>
      </c>
      <c r="B4" t="s">
        <v>18</v>
      </c>
      <c r="D4" t="s">
        <v>120</v>
      </c>
      <c r="E4" t="s">
        <v>121</v>
      </c>
      <c r="N4">
        <v>2</v>
      </c>
      <c r="O4">
        <v>4</v>
      </c>
      <c r="P4">
        <v>2</v>
      </c>
      <c r="Q4">
        <v>2</v>
      </c>
      <c r="U4" t="e">
        <f>IF(D4&lt;&gt;"",VLOOKUP(D4,[1]ItemData!$A:$B,2,FALSE),"")</f>
        <v>#N/A</v>
      </c>
      <c r="V4">
        <f>IF(E4&lt;&gt;"",VLOOKUP(E4,[1]ItemData!$A:$B,2,FALSE),"")</f>
        <v>1101</v>
      </c>
      <c r="W4" t="str">
        <f>IF(F4&lt;&gt;"",VLOOKUP(F4,[1]ItemData!$A:$B,2,FALSE),"")</f>
        <v/>
      </c>
      <c r="AE4" t="s">
        <v>120</v>
      </c>
    </row>
    <row r="5" spans="1:31" x14ac:dyDescent="0.2">
      <c r="A5">
        <v>4100</v>
      </c>
      <c r="B5" t="s">
        <v>20</v>
      </c>
      <c r="D5" t="s">
        <v>222</v>
      </c>
      <c r="E5" t="s">
        <v>213</v>
      </c>
      <c r="N5">
        <v>3</v>
      </c>
      <c r="O5">
        <v>6</v>
      </c>
      <c r="P5">
        <v>3</v>
      </c>
      <c r="Q5">
        <v>6</v>
      </c>
      <c r="U5">
        <f>IF(D5&lt;&gt;"",VLOOKUP(D5,[1]ItemData!$A:$B,2,FALSE),"")</f>
        <v>201</v>
      </c>
      <c r="V5" t="e">
        <f>IF(E5&lt;&gt;"",VLOOKUP(E5,[1]ItemData!$A:$B,2,FALSE),"")</f>
        <v>#N/A</v>
      </c>
      <c r="W5" t="str">
        <f>IF(F5&lt;&gt;"",VLOOKUP(F5,[1]ItemData!$A:$B,2,FALSE),"")</f>
        <v/>
      </c>
      <c r="AE5" t="s">
        <v>119</v>
      </c>
    </row>
    <row r="6" spans="1:31" x14ac:dyDescent="0.2">
      <c r="A6">
        <v>4101</v>
      </c>
      <c r="B6" t="s">
        <v>21</v>
      </c>
      <c r="D6" t="s">
        <v>122</v>
      </c>
      <c r="E6" t="s">
        <v>182</v>
      </c>
      <c r="N6">
        <v>6</v>
      </c>
      <c r="O6">
        <v>12</v>
      </c>
      <c r="U6">
        <f>IF(D6&lt;&gt;"",VLOOKUP(D6,[1]ItemData!$A:$B,2,FALSE),"")</f>
        <v>105</v>
      </c>
      <c r="V6">
        <f>IF(E6&lt;&gt;"",VLOOKUP(E6,[1]ItemData!$A:$B,2,FALSE),"")</f>
        <v>241</v>
      </c>
      <c r="W6" t="str">
        <f>IF(F6&lt;&gt;"",VLOOKUP(F6,[1]ItemData!$A:$B,2,FALSE),"")</f>
        <v/>
      </c>
      <c r="AE6" t="s">
        <v>122</v>
      </c>
    </row>
    <row r="7" spans="1:31" x14ac:dyDescent="0.2">
      <c r="A7">
        <v>4102</v>
      </c>
      <c r="B7" t="s">
        <v>22</v>
      </c>
      <c r="D7" t="s">
        <v>223</v>
      </c>
      <c r="E7" t="s">
        <v>214</v>
      </c>
      <c r="N7">
        <v>2</v>
      </c>
      <c r="O7">
        <v>4</v>
      </c>
      <c r="P7">
        <v>4</v>
      </c>
      <c r="Q7">
        <v>8</v>
      </c>
      <c r="U7">
        <f>IF(D7&lt;&gt;"",VLOOKUP(D7,[1]ItemData!$A:$B,2,FALSE),"")</f>
        <v>202</v>
      </c>
      <c r="V7">
        <f>IF(E7&lt;&gt;"",VLOOKUP(E7,[1]ItemData!$A:$B,2,FALSE),"")</f>
        <v>296</v>
      </c>
      <c r="W7" t="str">
        <f>IF(F7&lt;&gt;"",VLOOKUP(F7,[1]ItemData!$A:$B,2,FALSE),"")</f>
        <v/>
      </c>
      <c r="AE7" t="s">
        <v>123</v>
      </c>
    </row>
    <row r="8" spans="1:31" x14ac:dyDescent="0.2">
      <c r="A8">
        <v>4103</v>
      </c>
      <c r="B8" t="s">
        <v>23</v>
      </c>
      <c r="D8" t="s">
        <v>125</v>
      </c>
      <c r="E8" t="s">
        <v>129</v>
      </c>
      <c r="N8">
        <v>5</v>
      </c>
      <c r="O8">
        <v>10</v>
      </c>
      <c r="U8">
        <f>IF(D8&lt;&gt;"",VLOOKUP(D8,[1]ItemData!$A:$B,2,FALSE),"")</f>
        <v>203</v>
      </c>
      <c r="V8">
        <f>IF(E8&lt;&gt;"",VLOOKUP(E8,[1]ItemData!$A:$B,2,FALSE),"")</f>
        <v>297</v>
      </c>
      <c r="W8" t="str">
        <f>IF(F8&lt;&gt;"",VLOOKUP(F8,[1]ItemData!$A:$B,2,FALSE),"")</f>
        <v/>
      </c>
      <c r="AE8" t="s">
        <v>126</v>
      </c>
    </row>
    <row r="9" spans="1:31" x14ac:dyDescent="0.2">
      <c r="A9">
        <v>4104</v>
      </c>
      <c r="B9" t="s">
        <v>24</v>
      </c>
      <c r="D9" t="s">
        <v>216</v>
      </c>
      <c r="E9" t="s">
        <v>128</v>
      </c>
      <c r="N9">
        <v>4</v>
      </c>
      <c r="U9">
        <f>IF(D9&lt;&gt;"",VLOOKUP(D9,[1]ItemData!$A:$B,2,FALSE),"")</f>
        <v>204</v>
      </c>
      <c r="V9">
        <f>IF(E9&lt;&gt;"",VLOOKUP(E9,[1]ItemData!$A:$B,2,FALSE),"")</f>
        <v>104</v>
      </c>
      <c r="W9" t="str">
        <f>IF(F9&lt;&gt;"",VLOOKUP(F9,[1]ItemData!$A:$B,2,FALSE),"")</f>
        <v/>
      </c>
      <c r="AE9" t="s">
        <v>125</v>
      </c>
    </row>
    <row r="10" spans="1:31" x14ac:dyDescent="0.2">
      <c r="A10">
        <v>4105</v>
      </c>
      <c r="B10" t="s">
        <v>25</v>
      </c>
      <c r="D10" t="s">
        <v>217</v>
      </c>
      <c r="U10">
        <f>IF(D10&lt;&gt;"",VLOOKUP(D10,[1]ItemData!$A:$B,2,FALSE),"")</f>
        <v>274</v>
      </c>
      <c r="V10" t="str">
        <f>IF(J11&lt;&gt;"",VLOOKUP(J11,[1]ItemData!$A:$B,2,FALSE),"")</f>
        <v/>
      </c>
      <c r="W10" t="str">
        <f>IF(F10&lt;&gt;"",VLOOKUP(F10,[1]ItemData!$A:$B,2,FALSE),"")</f>
        <v/>
      </c>
      <c r="AE10" t="s">
        <v>127</v>
      </c>
    </row>
    <row r="11" spans="1:31" x14ac:dyDescent="0.2">
      <c r="A11">
        <v>4106</v>
      </c>
      <c r="B11" t="s">
        <v>26</v>
      </c>
      <c r="D11" t="s">
        <v>123</v>
      </c>
      <c r="U11">
        <f>IF(D11&lt;&gt;"",VLOOKUP(D11,[1]ItemData!$A:$B,2,FALSE),"")</f>
        <v>202</v>
      </c>
      <c r="V11" t="str">
        <f>IF(E11&lt;&gt;"",VLOOKUP(E11,[1]ItemData!$A:$B,2,FALSE),"")</f>
        <v/>
      </c>
      <c r="W11" t="str">
        <f>IF(F11&lt;&gt;"",VLOOKUP(F11,[1]ItemData!$A:$B,2,FALSE),"")</f>
        <v/>
      </c>
      <c r="AE11" t="s">
        <v>128</v>
      </c>
    </row>
    <row r="12" spans="1:31" x14ac:dyDescent="0.2">
      <c r="A12">
        <v>4107</v>
      </c>
      <c r="B12" t="s">
        <v>27</v>
      </c>
      <c r="D12" t="s">
        <v>218</v>
      </c>
      <c r="E12" t="s">
        <v>215</v>
      </c>
      <c r="U12">
        <f>IF(D12&lt;&gt;"",VLOOKUP(D12,[1]ItemData!$A:$B,2,FALSE),"")</f>
        <v>273</v>
      </c>
      <c r="V12">
        <f>IF(E12&lt;&gt;"",VLOOKUP(E12,[1]ItemData!$A:$B,2,FALSE),"")</f>
        <v>203</v>
      </c>
      <c r="W12" t="str">
        <f>IF(F12&lt;&gt;"",VLOOKUP(F12,[1]ItemData!$A:$B,2,FALSE),"")</f>
        <v/>
      </c>
      <c r="AE12" t="s">
        <v>131</v>
      </c>
    </row>
    <row r="13" spans="1:31" x14ac:dyDescent="0.2">
      <c r="A13">
        <v>4108</v>
      </c>
      <c r="B13" t="s">
        <v>28</v>
      </c>
      <c r="D13" t="s">
        <v>132</v>
      </c>
      <c r="E13" t="s">
        <v>212</v>
      </c>
      <c r="F13" t="s">
        <v>227</v>
      </c>
      <c r="H13" t="s">
        <v>128</v>
      </c>
      <c r="I13" t="s">
        <v>125</v>
      </c>
      <c r="J13" t="s">
        <v>216</v>
      </c>
      <c r="L13" s="7" t="s">
        <v>259</v>
      </c>
      <c r="U13">
        <f>IF(D13&lt;&gt;"",VLOOKUP(D13,[1]ItemData!$A:$B,2,FALSE),"")</f>
        <v>207</v>
      </c>
      <c r="V13" t="e">
        <f>IF(E13&lt;&gt;"",VLOOKUP(E13,[1]ItemData!$A:$B,2,FALSE),"")</f>
        <v>#N/A</v>
      </c>
      <c r="W13">
        <f>IF(F13&lt;&gt;"",VLOOKUP(F13,[1]ItemData!$A:$B,2,FALSE),"")</f>
        <v>280</v>
      </c>
      <c r="AE13" t="s">
        <v>130</v>
      </c>
    </row>
    <row r="14" spans="1:31" x14ac:dyDescent="0.2">
      <c r="A14">
        <v>4109</v>
      </c>
      <c r="B14" t="s">
        <v>29</v>
      </c>
      <c r="D14" t="s">
        <v>134</v>
      </c>
      <c r="E14" t="s">
        <v>130</v>
      </c>
      <c r="I14" t="s">
        <v>222</v>
      </c>
      <c r="J14" t="s">
        <v>217</v>
      </c>
      <c r="L14" s="3" t="s">
        <v>570</v>
      </c>
      <c r="U14">
        <f>IF(D14&lt;&gt;"",VLOOKUP(D14,[1]ItemData!$A:$B,2,FALSE),"")</f>
        <v>208</v>
      </c>
      <c r="V14">
        <f>IF(E14&lt;&gt;"",VLOOKUP(E14,[1]ItemData!$A:$B,2,FALSE),"")</f>
        <v>273</v>
      </c>
      <c r="W14" t="str">
        <f>IF(F14&lt;&gt;"",VLOOKUP(F14,[1]ItemData!$A:$B,2,FALSE),"")</f>
        <v/>
      </c>
      <c r="AE14" t="s">
        <v>132</v>
      </c>
    </row>
    <row r="15" spans="1:31" hidden="1" x14ac:dyDescent="0.2">
      <c r="A15">
        <v>4110</v>
      </c>
      <c r="B15" t="s">
        <v>30</v>
      </c>
      <c r="D15" t="s">
        <v>136</v>
      </c>
      <c r="U15">
        <f>IF(D15&lt;&gt;"",VLOOKUP(D15,[1]ItemData!$A:$B,2,FALSE),"")</f>
        <v>278</v>
      </c>
      <c r="V15" t="str">
        <f>IF(E15&lt;&gt;"",VLOOKUP(E15,[1]ItemData!$A:$B,2,FALSE),"")</f>
        <v/>
      </c>
      <c r="W15" t="str">
        <f>IF(F15&lt;&gt;"",VLOOKUP(F15,[1]ItemData!$A:$B,2,FALSE),"")</f>
        <v/>
      </c>
      <c r="Z15" t="s">
        <v>137</v>
      </c>
      <c r="AA15" t="s">
        <v>138</v>
      </c>
      <c r="AB15" t="s">
        <v>139</v>
      </c>
      <c r="AC15" t="s">
        <v>140</v>
      </c>
      <c r="AE15" t="s">
        <v>134</v>
      </c>
    </row>
    <row r="16" spans="1:31" hidden="1" x14ac:dyDescent="0.2">
      <c r="A16">
        <v>4111</v>
      </c>
      <c r="B16" t="s">
        <v>31</v>
      </c>
      <c r="D16" t="s">
        <v>220</v>
      </c>
      <c r="E16" t="s">
        <v>119</v>
      </c>
      <c r="U16">
        <f>IF(D16&lt;&gt;"",VLOOKUP(D16,[1]ItemData!$A:$B,2,FALSE),"")</f>
        <v>210</v>
      </c>
      <c r="V16">
        <f>IF(E16&lt;&gt;"",VLOOKUP(E16,[1]ItemData!$A:$B,2,FALSE),"")</f>
        <v>201</v>
      </c>
      <c r="W16" t="str">
        <f>IF(F16&lt;&gt;"",VLOOKUP(F16,[1]ItemData!$A:$B,2,FALSE),"")</f>
        <v/>
      </c>
      <c r="AE16" t="s">
        <v>136</v>
      </c>
    </row>
    <row r="17" spans="1:31" hidden="1" x14ac:dyDescent="0.2">
      <c r="A17">
        <v>4112</v>
      </c>
      <c r="B17" t="s">
        <v>32</v>
      </c>
      <c r="D17" t="s">
        <v>142</v>
      </c>
      <c r="U17">
        <f>IF(D17&lt;&gt;"",VLOOKUP(D17,[1]ItemData!$A:$B,2,FALSE),"")</f>
        <v>211</v>
      </c>
      <c r="V17" t="str">
        <f>IF(E17&lt;&gt;"",VLOOKUP(E17,[1]ItemData!$A:$B,2,FALSE),"")</f>
        <v/>
      </c>
      <c r="W17" t="str">
        <f>IF(F17&lt;&gt;"",VLOOKUP(F17,[1]ItemData!$A:$B,2,FALSE),"")</f>
        <v/>
      </c>
      <c r="AE17" t="s">
        <v>141</v>
      </c>
    </row>
    <row r="18" spans="1:31" hidden="1" x14ac:dyDescent="0.2">
      <c r="A18">
        <v>4113</v>
      </c>
      <c r="B18" t="s">
        <v>33</v>
      </c>
      <c r="D18" t="s">
        <v>143</v>
      </c>
      <c r="U18">
        <f>IF(D18&lt;&gt;"",VLOOKUP(D18,[1]ItemData!$A:$B,2,FALSE),"")</f>
        <v>213</v>
      </c>
      <c r="V18" t="str">
        <f>IF(E18&lt;&gt;"",VLOOKUP(E18,[1]ItemData!$A:$B,2,FALSE),"")</f>
        <v/>
      </c>
      <c r="W18" t="str">
        <f>IF(F18&lt;&gt;"",VLOOKUP(F18,[1]ItemData!$A:$B,2,FALSE),"")</f>
        <v/>
      </c>
      <c r="AE18" t="s">
        <v>142</v>
      </c>
    </row>
    <row r="19" spans="1:31" hidden="1" x14ac:dyDescent="0.2">
      <c r="A19">
        <v>4114</v>
      </c>
      <c r="B19" t="s">
        <v>34</v>
      </c>
      <c r="D19" t="s">
        <v>144</v>
      </c>
      <c r="U19">
        <f>IF(D19&lt;&gt;"",VLOOKUP(D19,[1]ItemData!$A:$B,2,FALSE),"")</f>
        <v>214</v>
      </c>
      <c r="V19" t="str">
        <f>IF(E19&lt;&gt;"",VLOOKUP(E19,[1]ItemData!$A:$B,2,FALSE),"")</f>
        <v/>
      </c>
      <c r="W19" t="str">
        <f>IF(F19&lt;&gt;"",VLOOKUP(F19,[1]ItemData!$A:$B,2,FALSE),"")</f>
        <v/>
      </c>
      <c r="AE19" t="s">
        <v>145</v>
      </c>
    </row>
    <row r="20" spans="1:31" hidden="1" x14ac:dyDescent="0.2">
      <c r="A20">
        <v>4115</v>
      </c>
      <c r="B20" t="s">
        <v>35</v>
      </c>
      <c r="D20" t="s">
        <v>146</v>
      </c>
      <c r="E20" t="s">
        <v>217</v>
      </c>
      <c r="U20">
        <f>IF(D20&lt;&gt;"",VLOOKUP(D20,[1]ItemData!$A:$B,2,FALSE),"")</f>
        <v>286</v>
      </c>
      <c r="V20">
        <f>IF(E20&lt;&gt;"",VLOOKUP(E20,[1]ItemData!$A:$B,2,FALSE),"")</f>
        <v>274</v>
      </c>
      <c r="W20" t="str">
        <f>IF(F20&lt;&gt;"",VLOOKUP(F20,[1]ItemData!$A:$B,2,FALSE),"")</f>
        <v/>
      </c>
      <c r="AE20" t="s">
        <v>129</v>
      </c>
    </row>
    <row r="21" spans="1:31" hidden="1" x14ac:dyDescent="0.2">
      <c r="A21">
        <v>4116</v>
      </c>
      <c r="B21" t="s">
        <v>36</v>
      </c>
      <c r="D21" t="s">
        <v>221</v>
      </c>
      <c r="E21" t="s">
        <v>131</v>
      </c>
      <c r="U21">
        <f>IF(D21&lt;&gt;"",VLOOKUP(D21,[1]ItemData!$A:$B,2,FALSE),"")</f>
        <v>216</v>
      </c>
      <c r="V21">
        <f>IF(E21&lt;&gt;"",VLOOKUP(E21,[1]ItemData!$A:$B,2,FALSE),"")</f>
        <v>205</v>
      </c>
      <c r="W21" t="str">
        <f>IF(F21&lt;&gt;"",VLOOKUP(F21,[1]ItemData!$A:$B,2,FALSE),"")</f>
        <v/>
      </c>
      <c r="AE21" t="s">
        <v>143</v>
      </c>
    </row>
    <row r="22" spans="1:31" hidden="1" x14ac:dyDescent="0.2">
      <c r="A22">
        <v>4117</v>
      </c>
      <c r="B22" t="s">
        <v>37</v>
      </c>
      <c r="D22" t="s">
        <v>219</v>
      </c>
      <c r="E22" t="s">
        <v>124</v>
      </c>
      <c r="U22">
        <f>IF(D22&lt;&gt;"",VLOOKUP(D22,[1]ItemData!$A:$B,2,FALSE),"")</f>
        <v>234</v>
      </c>
      <c r="V22">
        <f>IF(E22&lt;&gt;"",VLOOKUP(E22,[1]ItemData!$A:$B,2,FALSE),"")</f>
        <v>296</v>
      </c>
      <c r="W22" t="str">
        <f>IF(F22&lt;&gt;"",VLOOKUP(F22,[1]ItemData!$A:$B,2,FALSE),"")</f>
        <v/>
      </c>
      <c r="AE22" t="s">
        <v>144</v>
      </c>
    </row>
    <row r="23" spans="1:31" x14ac:dyDescent="0.2">
      <c r="A23">
        <v>4118</v>
      </c>
      <c r="B23" t="s">
        <v>38</v>
      </c>
      <c r="D23" t="s">
        <v>149</v>
      </c>
      <c r="E23" t="s">
        <v>141</v>
      </c>
      <c r="F23" t="s">
        <v>146</v>
      </c>
      <c r="H23" t="s">
        <v>136</v>
      </c>
      <c r="I23" t="s">
        <v>253</v>
      </c>
      <c r="J23" t="s">
        <v>143</v>
      </c>
      <c r="L23" s="7" t="s">
        <v>263</v>
      </c>
      <c r="U23">
        <f>IF(D23&lt;&gt;"",VLOOKUP(D23,[1]ItemData!$A:$B,2,FALSE),"")</f>
        <v>3003</v>
      </c>
      <c r="V23">
        <f>IF(E23&lt;&gt;"",VLOOKUP(E23,[1]ItemData!$A:$B,2,FALSE),"")</f>
        <v>210</v>
      </c>
      <c r="W23">
        <f>IF(F23&lt;&gt;"",VLOOKUP(F23,[1]ItemData!$A:$B,2,FALSE),"")</f>
        <v>286</v>
      </c>
      <c r="AE23" t="s">
        <v>150</v>
      </c>
    </row>
    <row r="24" spans="1:31" x14ac:dyDescent="0.2">
      <c r="A24">
        <v>4119</v>
      </c>
      <c r="B24" t="s">
        <v>39</v>
      </c>
      <c r="D24" t="s">
        <v>151</v>
      </c>
      <c r="E24" t="s">
        <v>131</v>
      </c>
      <c r="F24" t="s">
        <v>147</v>
      </c>
      <c r="H24" t="s">
        <v>146</v>
      </c>
      <c r="I24" t="s">
        <v>220</v>
      </c>
      <c r="J24" t="s">
        <v>221</v>
      </c>
      <c r="L24" s="7" t="s">
        <v>261</v>
      </c>
      <c r="U24">
        <f>IF(D24&lt;&gt;"",VLOOKUP(D24,[1]ItemData!$A:$B,2,FALSE),"")</f>
        <v>218</v>
      </c>
      <c r="V24">
        <f>IF(E24&lt;&gt;"",VLOOKUP(E24,[1]ItemData!$A:$B,2,FALSE),"")</f>
        <v>205</v>
      </c>
      <c r="W24">
        <f>IF(F24&lt;&gt;"",VLOOKUP(F24,[1]ItemData!$A:$B,2,FALSE),"")</f>
        <v>216</v>
      </c>
      <c r="AE24" t="s">
        <v>147</v>
      </c>
    </row>
    <row r="25" spans="1:31" hidden="1" x14ac:dyDescent="0.2">
      <c r="A25">
        <v>4120</v>
      </c>
      <c r="B25" t="s">
        <v>40</v>
      </c>
      <c r="D25" t="s">
        <v>152</v>
      </c>
      <c r="U25">
        <f>IF(D25&lt;&gt;"",VLOOKUP(D25,[1]ItemData!$A:$B,2,FALSE),"")</f>
        <v>287</v>
      </c>
      <c r="V25" t="str">
        <f>IF(E25&lt;&gt;"",VLOOKUP(E25,[1]ItemData!$A:$B,2,FALSE),"")</f>
        <v/>
      </c>
      <c r="W25" t="str">
        <f>IF(F25&lt;&gt;"",VLOOKUP(F25,[1]ItemData!$A:$B,2,FALSE),"")</f>
        <v/>
      </c>
      <c r="AE25" t="s">
        <v>149</v>
      </c>
    </row>
    <row r="26" spans="1:31" hidden="1" x14ac:dyDescent="0.2">
      <c r="A26">
        <v>4121</v>
      </c>
      <c r="B26" t="s">
        <v>41</v>
      </c>
      <c r="D26" t="s">
        <v>153</v>
      </c>
      <c r="E26" t="s">
        <v>154</v>
      </c>
      <c r="U26">
        <f>IF(D26&lt;&gt;"",VLOOKUP(D26,[1]ItemData!$A:$B,2,FALSE),"")</f>
        <v>102</v>
      </c>
      <c r="V26">
        <f>IF(E26&lt;&gt;"",VLOOKUP(E26,[1]ItemData!$A:$B,2,FALSE),"")</f>
        <v>291</v>
      </c>
      <c r="W26" t="str">
        <f>IF(F26&lt;&gt;"",VLOOKUP(F26,[1]ItemData!$A:$B,2,FALSE),"")</f>
        <v/>
      </c>
      <c r="AE26" t="s">
        <v>151</v>
      </c>
    </row>
    <row r="27" spans="1:31" hidden="1" x14ac:dyDescent="0.2">
      <c r="A27">
        <v>4122</v>
      </c>
      <c r="B27" t="s">
        <v>42</v>
      </c>
      <c r="D27" t="s">
        <v>155</v>
      </c>
      <c r="E27" t="s">
        <v>156</v>
      </c>
      <c r="U27">
        <f>IF(D27&lt;&gt;"",VLOOKUP(D27,[1]ItemData!$A:$B,2,FALSE),"")</f>
        <v>220</v>
      </c>
      <c r="V27">
        <f>IF(E27&lt;&gt;"",VLOOKUP(E27,[1]ItemData!$A:$B,2,FALSE),"")</f>
        <v>293</v>
      </c>
      <c r="W27" t="str">
        <f>IF(F27&lt;&gt;"",VLOOKUP(F27,[1]ItemData!$A:$B,2,FALSE),"")</f>
        <v/>
      </c>
      <c r="AE27" t="s">
        <v>152</v>
      </c>
    </row>
    <row r="28" spans="1:31" hidden="1" x14ac:dyDescent="0.2">
      <c r="A28">
        <v>4123</v>
      </c>
      <c r="B28" t="s">
        <v>43</v>
      </c>
      <c r="D28" t="s">
        <v>157</v>
      </c>
      <c r="U28">
        <f>IF(D28&lt;&gt;"",VLOOKUP(D28,[1]ItemData!$A:$B,2,FALSE),"")</f>
        <v>228</v>
      </c>
      <c r="V28" t="str">
        <f>IF(E28&lt;&gt;"",VLOOKUP(E28,[1]ItemData!$A:$B,2,FALSE),"")</f>
        <v/>
      </c>
      <c r="W28" t="str">
        <f>IF(F28&lt;&gt;"",VLOOKUP(F28,[1]ItemData!$A:$B,2,FALSE),"")</f>
        <v/>
      </c>
      <c r="AE28" t="s">
        <v>153</v>
      </c>
    </row>
    <row r="29" spans="1:31" hidden="1" x14ac:dyDescent="0.2">
      <c r="A29">
        <v>4124</v>
      </c>
      <c r="B29" t="s">
        <v>44</v>
      </c>
      <c r="D29" t="s">
        <v>158</v>
      </c>
      <c r="E29" t="s">
        <v>122</v>
      </c>
      <c r="U29">
        <f>IF(D29&lt;&gt;"",VLOOKUP(D29,[1]ItemData!$A:$B,2,FALSE),"")</f>
        <v>221</v>
      </c>
      <c r="V29">
        <f>IF(E29&lt;&gt;"",VLOOKUP(E29,[1]ItemData!$A:$B,2,FALSE),"")</f>
        <v>105</v>
      </c>
      <c r="W29" t="str">
        <f>IF(F29&lt;&gt;"",VLOOKUP(F29,[1]ItemData!$A:$B,2,FALSE),"")</f>
        <v/>
      </c>
      <c r="AE29" t="s">
        <v>155</v>
      </c>
    </row>
    <row r="30" spans="1:31" hidden="1" x14ac:dyDescent="0.2">
      <c r="A30">
        <v>4125</v>
      </c>
      <c r="B30" t="s">
        <v>45</v>
      </c>
      <c r="D30" t="s">
        <v>251</v>
      </c>
      <c r="E30" t="s">
        <v>125</v>
      </c>
      <c r="U30">
        <f>IF(D30&lt;&gt;"",VLOOKUP(D30,[1]ItemData!$A:$B,2,FALSE),"")</f>
        <v>222</v>
      </c>
      <c r="V30" t="e">
        <f>IF(#REF!&lt;&gt;"",VLOOKUP(#REF!,[1]ItemData!$A:$B,2,FALSE),"")</f>
        <v>#REF!</v>
      </c>
      <c r="W30" t="e">
        <f>IF(#REF!&lt;&gt;"",VLOOKUP(#REF!,[1]ItemData!$A:$B,2,FALSE),"")</f>
        <v>#REF!</v>
      </c>
      <c r="AE30" t="s">
        <v>158</v>
      </c>
    </row>
    <row r="31" spans="1:31" hidden="1" x14ac:dyDescent="0.2">
      <c r="A31">
        <v>4126</v>
      </c>
      <c r="B31" t="s">
        <v>46</v>
      </c>
      <c r="D31" t="s">
        <v>225</v>
      </c>
      <c r="G31" t="s">
        <v>179</v>
      </c>
      <c r="U31">
        <f>IF(D31&lt;&gt;"",VLOOKUP(D31,[1]ItemData!$A:$B,2,FALSE),"")</f>
        <v>3005</v>
      </c>
      <c r="V31" t="str">
        <f>IF(E31&lt;&gt;"",VLOOKUP(E31,[1]ItemData!$A:$B,2,FALSE),"")</f>
        <v/>
      </c>
      <c r="W31">
        <f>IF(G31&lt;&gt;"",VLOOKUP(G31,[1]ItemData!$A:$B,2,FALSE),"")</f>
        <v>239</v>
      </c>
      <c r="AE31" t="s">
        <v>159</v>
      </c>
    </row>
    <row r="32" spans="1:31" hidden="1" x14ac:dyDescent="0.2">
      <c r="A32">
        <v>4127</v>
      </c>
      <c r="B32" t="s">
        <v>47</v>
      </c>
      <c r="D32" t="s">
        <v>161</v>
      </c>
      <c r="G32" t="s">
        <v>227</v>
      </c>
      <c r="U32">
        <f>IF(D32&lt;&gt;"",VLOOKUP(D32,[1]ItemData!$A:$B,2,FALSE),"")</f>
        <v>223</v>
      </c>
      <c r="V32">
        <f>IF(E30&lt;&gt;"",VLOOKUP(E30,[1]ItemData!$A:$B,2,FALSE),"")</f>
        <v>203</v>
      </c>
      <c r="W32">
        <f>IF(G32&lt;&gt;"",VLOOKUP(G32,[1]ItemData!$A:$B,2,FALSE),"")</f>
        <v>280</v>
      </c>
      <c r="AE32" t="s">
        <v>160</v>
      </c>
    </row>
    <row r="33" spans="1:31" x14ac:dyDescent="0.2">
      <c r="A33">
        <v>4128</v>
      </c>
      <c r="B33" t="s">
        <v>48</v>
      </c>
      <c r="D33" t="s">
        <v>162</v>
      </c>
      <c r="E33" t="s">
        <v>163</v>
      </c>
      <c r="F33" t="s">
        <v>178</v>
      </c>
      <c r="H33" t="s">
        <v>159</v>
      </c>
      <c r="I33" t="s">
        <v>154</v>
      </c>
      <c r="J33" t="s">
        <v>156</v>
      </c>
      <c r="L33" s="7" t="s">
        <v>264</v>
      </c>
      <c r="U33">
        <f>IF(D33&lt;&gt;"",VLOOKUP(D33,[1]ItemData!$A:$B,2,FALSE),"")</f>
        <v>270</v>
      </c>
      <c r="V33">
        <f>IF(E33&lt;&gt;"",VLOOKUP(E33,[1]ItemData!$A:$B,2,FALSE),"")</f>
        <v>251</v>
      </c>
      <c r="W33" t="str">
        <f>IF(H37&lt;&gt;"",VLOOKUP(H37,[1]ItemData!$A:$B,2,FALSE),"")</f>
        <v/>
      </c>
      <c r="AA33" t="s">
        <v>60</v>
      </c>
      <c r="AE33" t="s">
        <v>161</v>
      </c>
    </row>
    <row r="34" spans="1:31" x14ac:dyDescent="0.2">
      <c r="A34">
        <v>4129</v>
      </c>
      <c r="B34" t="s">
        <v>49</v>
      </c>
      <c r="D34" t="s">
        <v>164</v>
      </c>
      <c r="E34" t="s">
        <v>124</v>
      </c>
      <c r="F34" t="s">
        <v>236</v>
      </c>
      <c r="H34" t="s">
        <v>158</v>
      </c>
      <c r="I34" t="s">
        <v>122</v>
      </c>
      <c r="J34" t="s">
        <v>157</v>
      </c>
      <c r="L34" s="7" t="s">
        <v>265</v>
      </c>
      <c r="U34">
        <f>IF(D34&lt;&gt;"",VLOOKUP(D34,[1]ItemData!$A:$B,2,FALSE),"")</f>
        <v>224</v>
      </c>
      <c r="V34">
        <f>IF(E34&lt;&gt;"",VLOOKUP(E34,[1]ItemData!$A:$B,2,FALSE),"")</f>
        <v>296</v>
      </c>
      <c r="W34" t="e">
        <f>IF(#REF!&lt;&gt;"",VLOOKUP(#REF!,[1]ItemData!$A:$B,2,FALSE),"")</f>
        <v>#REF!</v>
      </c>
      <c r="AA34" t="s">
        <v>165</v>
      </c>
      <c r="AE34" t="s">
        <v>166</v>
      </c>
    </row>
    <row r="35" spans="1:31" hidden="1" x14ac:dyDescent="0.2">
      <c r="A35">
        <v>4130</v>
      </c>
      <c r="B35" t="s">
        <v>50</v>
      </c>
      <c r="D35" t="s">
        <v>167</v>
      </c>
      <c r="E35" t="s">
        <v>120</v>
      </c>
      <c r="U35">
        <f>IF(D35&lt;&gt;"",VLOOKUP(D35,[1]ItemData!$A:$B,2,FALSE),"")</f>
        <v>225</v>
      </c>
      <c r="V35">
        <f>IF(E36&lt;&gt;"",VLOOKUP(E36,[1]ItemData!$A:$B,2,FALSE),"")</f>
        <v>278</v>
      </c>
      <c r="W35" t="e">
        <f>IF(E35&lt;&gt;"",VLOOKUP(E35,[1]ItemData!$A:$B,2,FALSE),"")</f>
        <v>#N/A</v>
      </c>
      <c r="AA35" t="s">
        <v>54</v>
      </c>
      <c r="AE35" t="s">
        <v>164</v>
      </c>
    </row>
    <row r="36" spans="1:31" hidden="1" x14ac:dyDescent="0.2">
      <c r="A36">
        <v>4131</v>
      </c>
      <c r="B36" t="s">
        <v>51</v>
      </c>
      <c r="D36" t="s">
        <v>143</v>
      </c>
      <c r="E36" t="s">
        <v>237</v>
      </c>
      <c r="U36">
        <f>IF(D36&lt;&gt;"",VLOOKUP(D36,[1]ItemData!$A:$B,2,FALSE),"")</f>
        <v>213</v>
      </c>
      <c r="V36" t="e">
        <f>IF(#REF!&lt;&gt;"",VLOOKUP(#REF!,[1]ItemData!$A:$B,2,FALSE),"")</f>
        <v>#REF!</v>
      </c>
      <c r="W36" t="str">
        <f>IF(F36&lt;&gt;"",VLOOKUP(F36,[1]ItemData!$A:$B,2,FALSE),"")</f>
        <v/>
      </c>
      <c r="AA36" t="s">
        <v>45</v>
      </c>
      <c r="AE36" t="s">
        <v>167</v>
      </c>
    </row>
    <row r="37" spans="1:31" hidden="1" x14ac:dyDescent="0.2">
      <c r="A37">
        <v>4132</v>
      </c>
      <c r="B37" t="s">
        <v>52</v>
      </c>
      <c r="D37" t="s">
        <v>168</v>
      </c>
      <c r="E37" t="s">
        <v>207</v>
      </c>
      <c r="U37">
        <f>IF(D37&lt;&gt;"",VLOOKUP(D37,[1]ItemData!$A:$B,2,FALSE),"")</f>
        <v>227</v>
      </c>
      <c r="V37">
        <f>IF(E37&lt;&gt;"",VLOOKUP(E37,[1]ItemData!$A:$B,2,FALSE),"")</f>
        <v>272</v>
      </c>
      <c r="W37" t="str">
        <f>IF(F37&lt;&gt;"",VLOOKUP(F37,[1]ItemData!$A:$B,2,FALSE),"")</f>
        <v/>
      </c>
      <c r="AA37" t="s">
        <v>33</v>
      </c>
      <c r="AE37" t="s">
        <v>168</v>
      </c>
    </row>
    <row r="38" spans="1:31" hidden="1" x14ac:dyDescent="0.2">
      <c r="A38">
        <v>4133</v>
      </c>
      <c r="B38" t="s">
        <v>53</v>
      </c>
      <c r="D38" t="s">
        <v>157</v>
      </c>
      <c r="E38" t="s">
        <v>144</v>
      </c>
      <c r="U38">
        <f>IF(D38&lt;&gt;"",VLOOKUP(D38,[1]ItemData!$A:$B,2,FALSE),"")</f>
        <v>228</v>
      </c>
      <c r="V38">
        <f>IF(E38&lt;&gt;"",VLOOKUP(E38,[1]ItemData!$A:$B,2,FALSE),"")</f>
        <v>214</v>
      </c>
      <c r="W38" t="str">
        <f>IF(F38&lt;&gt;"",VLOOKUP(F38,[1]ItemData!$A:$B,2,FALSE),"")</f>
        <v/>
      </c>
      <c r="AA38" t="s">
        <v>67</v>
      </c>
      <c r="AE38" t="s">
        <v>157</v>
      </c>
    </row>
    <row r="39" spans="1:31" hidden="1" x14ac:dyDescent="0.2">
      <c r="A39">
        <v>4134</v>
      </c>
      <c r="B39" t="s">
        <v>54</v>
      </c>
      <c r="D39" t="s">
        <v>169</v>
      </c>
      <c r="E39" t="s">
        <v>257</v>
      </c>
      <c r="U39">
        <f>IF(D39&lt;&gt;"",VLOOKUP(D39,[1]ItemData!$A:$B,2,FALSE),"")</f>
        <v>229</v>
      </c>
      <c r="V39">
        <f>IF(E39&lt;&gt;"",VLOOKUP(E39,[1]ItemData!$A:$B,2,FALSE),"")</f>
        <v>297</v>
      </c>
      <c r="W39" t="str">
        <f>IF(F39&lt;&gt;"",VLOOKUP(F39,[1]ItemData!$A:$B,2,FALSE),"")</f>
        <v/>
      </c>
      <c r="AA39" t="s">
        <v>90</v>
      </c>
      <c r="AE39" t="s">
        <v>169</v>
      </c>
    </row>
    <row r="40" spans="1:31" hidden="1" x14ac:dyDescent="0.2">
      <c r="A40">
        <v>4135</v>
      </c>
      <c r="B40" t="s">
        <v>55</v>
      </c>
      <c r="D40" t="s">
        <v>116</v>
      </c>
      <c r="E40" t="s">
        <v>131</v>
      </c>
      <c r="U40">
        <f>IF(D40&lt;&gt;"",VLOOKUP(D40,[1]ItemData!$A:$B,2,FALSE),"")</f>
        <v>230</v>
      </c>
      <c r="V40" t="e">
        <f>IF(#REF!&lt;&gt;"",VLOOKUP(#REF!,[1]ItemData!$A:$B,2,FALSE),"")</f>
        <v>#REF!</v>
      </c>
      <c r="W40">
        <f>IF(E40&lt;&gt;"",VLOOKUP(E40,[1]ItemData!$A:$B,2,FALSE),"")</f>
        <v>205</v>
      </c>
      <c r="AE40" t="s">
        <v>116</v>
      </c>
    </row>
    <row r="41" spans="1:31" hidden="1" x14ac:dyDescent="0.2">
      <c r="A41">
        <v>4136</v>
      </c>
      <c r="B41" t="s">
        <v>56</v>
      </c>
      <c r="D41" t="s">
        <v>170</v>
      </c>
      <c r="U41">
        <f>IF(D41&lt;&gt;"",VLOOKUP(D41,[1]ItemData!$A:$B,2,FALSE),"")</f>
        <v>282</v>
      </c>
      <c r="V41">
        <f>IF(E48&lt;&gt;"",VLOOKUP(E48,[1]ItemData!$A:$B,2,FALSE),"")</f>
        <v>296</v>
      </c>
      <c r="W41" t="str">
        <f>IF(F41&lt;&gt;"",VLOOKUP(F41,[1]ItemData!$A:$B,2,FALSE),"")</f>
        <v/>
      </c>
      <c r="AE41" t="s">
        <v>170</v>
      </c>
    </row>
    <row r="42" spans="1:31" hidden="1" x14ac:dyDescent="0.2">
      <c r="A42">
        <v>4137</v>
      </c>
      <c r="B42" t="s">
        <v>57</v>
      </c>
      <c r="D42" t="s">
        <v>171</v>
      </c>
      <c r="E42" t="s">
        <v>172</v>
      </c>
      <c r="U42">
        <f>IF(D42&lt;&gt;"",VLOOKUP(D42,[1]ItemData!$A:$B,2,FALSE),"")</f>
        <v>232</v>
      </c>
      <c r="V42">
        <f>IF(E42&lt;&gt;"",VLOOKUP(E42,[1]ItemData!$A:$B,2,FALSE),"")</f>
        <v>290</v>
      </c>
      <c r="W42" t="str">
        <f>IF(F42&lt;&gt;"",VLOOKUP(F42,[1]ItemData!$A:$B,2,FALSE),"")</f>
        <v/>
      </c>
      <c r="AE42" t="s">
        <v>171</v>
      </c>
    </row>
    <row r="43" spans="1:31" x14ac:dyDescent="0.2">
      <c r="A43">
        <v>4138</v>
      </c>
      <c r="B43" t="s">
        <v>58</v>
      </c>
      <c r="D43" t="s">
        <v>170</v>
      </c>
      <c r="E43" t="s">
        <v>168</v>
      </c>
      <c r="F43" t="s">
        <v>173</v>
      </c>
      <c r="H43" t="s">
        <v>207</v>
      </c>
      <c r="I43" t="s">
        <v>116</v>
      </c>
      <c r="L43" s="7" t="s">
        <v>268</v>
      </c>
      <c r="U43">
        <f>IF(D43&lt;&gt;"",VLOOKUP(D43,[1]ItemData!$A:$B,2,FALSE),"")</f>
        <v>282</v>
      </c>
      <c r="V43">
        <f>IF(E43&lt;&gt;"",VLOOKUP(E43,[1]ItemData!$A:$B,2,FALSE),"")</f>
        <v>227</v>
      </c>
      <c r="W43">
        <f>IF(F43&lt;&gt;"",VLOOKUP(F43,[1]ItemData!$A:$B,2,FALSE),"")</f>
        <v>255</v>
      </c>
      <c r="AE43" t="s">
        <v>148</v>
      </c>
    </row>
    <row r="44" spans="1:31" x14ac:dyDescent="0.2">
      <c r="A44">
        <v>4139</v>
      </c>
      <c r="B44" t="s">
        <v>59</v>
      </c>
      <c r="D44" t="s">
        <v>148</v>
      </c>
      <c r="E44" t="s">
        <v>124</v>
      </c>
      <c r="F44" t="s">
        <v>174</v>
      </c>
      <c r="H44" t="s">
        <v>171</v>
      </c>
      <c r="I44" t="s">
        <v>172</v>
      </c>
      <c r="L44" s="7" t="s">
        <v>266</v>
      </c>
      <c r="U44">
        <f>IF(D44&lt;&gt;"",VLOOKUP(D44,[1]ItemData!$A:$B,2,FALSE),"")</f>
        <v>234</v>
      </c>
      <c r="V44">
        <f>IF(E44&lt;&gt;"",VLOOKUP(E44,[1]ItemData!$A:$B,2,FALSE),"")</f>
        <v>296</v>
      </c>
      <c r="W44">
        <f>IF(F44&lt;&gt;"",VLOOKUP(F44,[1]ItemData!$A:$B,2,FALSE),"")</f>
        <v>265</v>
      </c>
      <c r="AE44" t="s">
        <v>175</v>
      </c>
    </row>
    <row r="45" spans="1:31" hidden="1" x14ac:dyDescent="0.2">
      <c r="A45">
        <v>4140</v>
      </c>
      <c r="B45" t="s">
        <v>60</v>
      </c>
      <c r="D45" t="s">
        <v>129</v>
      </c>
      <c r="G45" t="s">
        <v>234</v>
      </c>
      <c r="U45">
        <f>IF(D45&lt;&gt;"",VLOOKUP(D45,[1]ItemData!$A:$B,2,FALSE),"")</f>
        <v>297</v>
      </c>
      <c r="V45" t="str">
        <f>IF(E45&lt;&gt;"",VLOOKUP(E45,[1]ItemData!$A:$B,2,FALSE),"")</f>
        <v/>
      </c>
      <c r="W45">
        <f>IF(G45&lt;&gt;"",VLOOKUP(G45,[1]ItemData!$A:$B,2,FALSE),"")</f>
        <v>223</v>
      </c>
      <c r="AE45" t="s">
        <v>176</v>
      </c>
    </row>
    <row r="46" spans="1:31" hidden="1" x14ac:dyDescent="0.2">
      <c r="A46">
        <v>4141</v>
      </c>
      <c r="B46" t="s">
        <v>61</v>
      </c>
      <c r="D46" t="s">
        <v>233</v>
      </c>
      <c r="E46" t="s">
        <v>145</v>
      </c>
      <c r="U46">
        <f>IF(D46&lt;&gt;"",VLOOKUP(D46,[1]ItemData!$A:$B,2,FALSE),"")</f>
        <v>236</v>
      </c>
      <c r="V46">
        <f>IF(E46&lt;&gt;"",VLOOKUP(E46,[1]ItemData!$A:$B,2,FALSE),"")</f>
        <v>212</v>
      </c>
      <c r="W46" t="str">
        <f>IF(F46&lt;&gt;"",VLOOKUP(F46,[1]ItemData!$A:$B,2,FALSE),"")</f>
        <v/>
      </c>
      <c r="AE46" t="s">
        <v>177</v>
      </c>
    </row>
    <row r="47" spans="1:31" hidden="1" x14ac:dyDescent="0.2">
      <c r="A47">
        <v>4142</v>
      </c>
      <c r="B47" t="s">
        <v>62</v>
      </c>
      <c r="D47" t="s">
        <v>229</v>
      </c>
      <c r="E47" t="s">
        <v>228</v>
      </c>
      <c r="U47">
        <f>IF(D47&lt;&gt;"",VLOOKUP(D47,[1]ItemData!$A:$B,2,FALSE),"")</f>
        <v>237</v>
      </c>
      <c r="V47">
        <f>IF(E47&lt;&gt;"",VLOOKUP(E47,[1]ItemData!$A:$B,2,FALSE),"")</f>
        <v>104</v>
      </c>
      <c r="W47" t="str">
        <f>IF(F47&lt;&gt;"",VLOOKUP(F47,[1]ItemData!$A:$B,2,FALSE),"")</f>
        <v/>
      </c>
      <c r="AE47" t="s">
        <v>178</v>
      </c>
    </row>
    <row r="48" spans="1:31" hidden="1" x14ac:dyDescent="0.2">
      <c r="A48">
        <v>4143</v>
      </c>
      <c r="B48" t="s">
        <v>63</v>
      </c>
      <c r="D48" t="s">
        <v>235</v>
      </c>
      <c r="E48" t="s">
        <v>124</v>
      </c>
      <c r="G48" t="s">
        <v>125</v>
      </c>
      <c r="U48">
        <f>IF(D48&lt;&gt;"",VLOOKUP(D48,[1]ItemData!$A:$B,2,FALSE),"")</f>
        <v>218</v>
      </c>
      <c r="V48" t="e">
        <f>IF(#REF!&lt;&gt;"",VLOOKUP(#REF!,[1]ItemData!$A:$B,2,FALSE),"")</f>
        <v>#REF!</v>
      </c>
      <c r="W48" t="str">
        <f>IF(F48&lt;&gt;"",VLOOKUP(F48,[1]ItemData!$A:$B,2,FALSE),"")</f>
        <v/>
      </c>
      <c r="AE48" t="s">
        <v>179</v>
      </c>
    </row>
    <row r="49" spans="1:31" hidden="1" x14ac:dyDescent="0.2">
      <c r="A49">
        <v>4144</v>
      </c>
      <c r="B49" t="s">
        <v>64</v>
      </c>
      <c r="D49" t="s">
        <v>226</v>
      </c>
      <c r="E49" s="1" t="s">
        <v>180</v>
      </c>
      <c r="U49">
        <f>IF(D49&lt;&gt;"",VLOOKUP(D49,[1]ItemData!$A:$B,2,FALSE),"")</f>
        <v>238</v>
      </c>
      <c r="V49">
        <f>IF(E49&lt;&gt;"",VLOOKUP(E49,[1]ItemData!$A:$B,2,FALSE),"")</f>
        <v>254</v>
      </c>
      <c r="W49" t="str">
        <f>IF(F49&lt;&gt;"",VLOOKUP(F49,[1]ItemData!$A:$B,2,FALSE),"")</f>
        <v/>
      </c>
      <c r="AE49" t="s">
        <v>181</v>
      </c>
    </row>
    <row r="50" spans="1:31" hidden="1" x14ac:dyDescent="0.2">
      <c r="A50">
        <v>4145</v>
      </c>
      <c r="B50" t="s">
        <v>65</v>
      </c>
      <c r="D50" s="1" t="s">
        <v>224</v>
      </c>
      <c r="E50" t="s">
        <v>144</v>
      </c>
      <c r="U50">
        <f>IF(D50&lt;&gt;"",VLOOKUP(D50,[1]ItemData!$A:$B,2,FALSE),"")</f>
        <v>239</v>
      </c>
      <c r="V50">
        <f>IF(E50&lt;&gt;"",VLOOKUP(E50,[1]ItemData!$A:$B,2,FALSE),"")</f>
        <v>214</v>
      </c>
      <c r="W50" t="str">
        <f>IF(F50&lt;&gt;"",VLOOKUP(F50,[1]ItemData!$A:$B,2,FALSE),"")</f>
        <v/>
      </c>
      <c r="AE50" t="s">
        <v>182</v>
      </c>
    </row>
    <row r="51" spans="1:31" hidden="1" x14ac:dyDescent="0.2">
      <c r="A51">
        <v>4146</v>
      </c>
      <c r="B51" t="s">
        <v>66</v>
      </c>
      <c r="D51" t="s">
        <v>230</v>
      </c>
      <c r="E51" t="s">
        <v>160</v>
      </c>
      <c r="U51">
        <f>IF(D51&lt;&gt;"",VLOOKUP(D51,[1]ItemData!$A:$B,2,FALSE),"")</f>
        <v>289</v>
      </c>
      <c r="V51" t="e">
        <f>IF(#REF!&lt;&gt;"",VLOOKUP(#REF!,[1]ItemData!$A:$B,2,FALSE),"")</f>
        <v>#REF!</v>
      </c>
      <c r="W51" t="e">
        <f>IF(#REF!&lt;&gt;"",VLOOKUP(#REF!,[1]ItemData!$A:$B,2,FALSE),"")</f>
        <v>#REF!</v>
      </c>
      <c r="AE51" t="s">
        <v>184</v>
      </c>
    </row>
    <row r="52" spans="1:31" hidden="1" x14ac:dyDescent="0.2">
      <c r="A52">
        <v>4147</v>
      </c>
      <c r="B52" t="s">
        <v>67</v>
      </c>
      <c r="D52" t="s">
        <v>232</v>
      </c>
      <c r="U52">
        <f>IF(D52&lt;&gt;"",VLOOKUP(D52,[1]ItemData!$A:$B,2,FALSE),"")</f>
        <v>240</v>
      </c>
      <c r="V52" t="e">
        <f>IF(E56&lt;&gt;"",VLOOKUP(E56,[1]ItemData!$A:$B,2,FALSE),"")</f>
        <v>#N/A</v>
      </c>
      <c r="W52" t="str">
        <f>IF(F52&lt;&gt;"",VLOOKUP(F52,[1]ItemData!$A:$B,2,FALSE),"")</f>
        <v/>
      </c>
      <c r="AE52" t="s">
        <v>185</v>
      </c>
    </row>
    <row r="53" spans="1:31" x14ac:dyDescent="0.2">
      <c r="A53">
        <v>4148</v>
      </c>
      <c r="B53" t="s">
        <v>68</v>
      </c>
      <c r="D53" t="s">
        <v>186</v>
      </c>
      <c r="E53" t="s">
        <v>182</v>
      </c>
      <c r="F53" t="s">
        <v>187</v>
      </c>
      <c r="H53" t="s">
        <v>128</v>
      </c>
      <c r="I53" t="s">
        <v>126</v>
      </c>
      <c r="J53" t="s">
        <v>177</v>
      </c>
      <c r="L53" s="7" t="s">
        <v>269</v>
      </c>
      <c r="U53">
        <f>IF(D53&lt;&gt;"",VLOOKUP(D53,[1]ItemData!$A:$B,2,FALSE),"")</f>
        <v>288</v>
      </c>
      <c r="V53">
        <f>IF(E53&lt;&gt;"",VLOOKUP(E53,[1]ItemData!$A:$B,2,FALSE),"")</f>
        <v>241</v>
      </c>
      <c r="W53">
        <f>IF(F53&lt;&gt;"",VLOOKUP(F53,[1]ItemData!$A:$B,2,FALSE),"")</f>
        <v>294</v>
      </c>
      <c r="AE53" t="s">
        <v>188</v>
      </c>
    </row>
    <row r="54" spans="1:31" x14ac:dyDescent="0.2">
      <c r="A54">
        <v>4149</v>
      </c>
      <c r="B54" t="s">
        <v>69</v>
      </c>
      <c r="D54" t="s">
        <v>133</v>
      </c>
      <c r="E54" t="s">
        <v>189</v>
      </c>
      <c r="F54" t="s">
        <v>190</v>
      </c>
      <c r="H54" t="s">
        <v>181</v>
      </c>
      <c r="I54" t="s">
        <v>151</v>
      </c>
      <c r="J54" t="s">
        <v>176</v>
      </c>
      <c r="L54" s="7" t="s">
        <v>270</v>
      </c>
      <c r="U54">
        <f>IF(D54&lt;&gt;"",VLOOKUP(D54,[1]ItemData!$A:$B,2,FALSE),"")</f>
        <v>280</v>
      </c>
      <c r="V54">
        <f>IF(E54&lt;&gt;"",VLOOKUP(E54,[1]ItemData!$A:$B,2,FALSE),"")</f>
        <v>259</v>
      </c>
      <c r="W54">
        <f>IF(F54&lt;&gt;"",VLOOKUP(F54,[1]ItemData!$A:$B,2,FALSE),"")</f>
        <v>285</v>
      </c>
      <c r="AE54" t="s">
        <v>191</v>
      </c>
    </row>
    <row r="55" spans="1:31" hidden="1" x14ac:dyDescent="0.2">
      <c r="A55">
        <v>4150</v>
      </c>
      <c r="B55" t="s">
        <v>70</v>
      </c>
      <c r="D55" t="s">
        <v>192</v>
      </c>
      <c r="E55" t="s">
        <v>124</v>
      </c>
      <c r="U55">
        <f>IF(D55&lt;&gt;"",VLOOKUP(D55,[1]ItemData!$A:$B,2,FALSE),"")</f>
        <v>284</v>
      </c>
      <c r="V55">
        <f>IF(E55&lt;&gt;"",VLOOKUP(E55,[1]ItemData!$A:$B,2,FALSE),"")</f>
        <v>296</v>
      </c>
      <c r="W55" t="str">
        <f>IF(F55&lt;&gt;"",VLOOKUP(F55,[1]ItemData!$A:$B,2,FALSE),"")</f>
        <v/>
      </c>
      <c r="AE55" t="s">
        <v>193</v>
      </c>
    </row>
    <row r="56" spans="1:31" hidden="1" x14ac:dyDescent="0.2">
      <c r="A56">
        <v>4151</v>
      </c>
      <c r="B56" t="s">
        <v>71</v>
      </c>
      <c r="D56" t="s">
        <v>184</v>
      </c>
      <c r="E56" t="s">
        <v>120</v>
      </c>
      <c r="G56" t="s">
        <v>136</v>
      </c>
      <c r="U56">
        <f>IF(D56&lt;&gt;"",VLOOKUP(D56,[1]ItemData!$A:$B,2,FALSE),"")</f>
        <v>244</v>
      </c>
      <c r="V56">
        <f>IF(E58&lt;&gt;"",VLOOKUP(E58,[1]ItemData!$A:$B,2,FALSE),"")</f>
        <v>292</v>
      </c>
      <c r="W56" t="str">
        <f>IF(F56&lt;&gt;"",VLOOKUP(F56,[1]ItemData!$A:$B,2,FALSE),"")</f>
        <v/>
      </c>
      <c r="AE56" t="s">
        <v>195</v>
      </c>
    </row>
    <row r="57" spans="1:31" hidden="1" x14ac:dyDescent="0.2">
      <c r="A57">
        <v>4152</v>
      </c>
      <c r="B57" t="s">
        <v>72</v>
      </c>
      <c r="D57" t="s">
        <v>185</v>
      </c>
      <c r="E57" t="s">
        <v>144</v>
      </c>
      <c r="G57" t="s">
        <v>173</v>
      </c>
      <c r="U57">
        <f>IF(D57&lt;&gt;"",VLOOKUP(D57,[1]ItemData!$A:$B,2,FALSE),"")</f>
        <v>245</v>
      </c>
      <c r="V57">
        <f>IF(E57&lt;&gt;"",VLOOKUP(E57,[1]ItemData!$A:$B,2,FALSE),"")</f>
        <v>214</v>
      </c>
      <c r="W57" t="str">
        <f>IF(F57&lt;&gt;"",VLOOKUP(F57,[1]ItemData!$A:$B,2,FALSE),"")</f>
        <v/>
      </c>
      <c r="AE57" t="s">
        <v>196</v>
      </c>
    </row>
    <row r="58" spans="1:31" hidden="1" x14ac:dyDescent="0.2">
      <c r="A58">
        <v>4153</v>
      </c>
      <c r="B58" t="s">
        <v>73</v>
      </c>
      <c r="D58" t="s">
        <v>188</v>
      </c>
      <c r="E58" t="s">
        <v>194</v>
      </c>
      <c r="U58">
        <f>IF(D58&lt;&gt;"",VLOOKUP(D58,[1]ItemData!$A:$B,2,FALSE),"")</f>
        <v>246</v>
      </c>
      <c r="V58" t="e">
        <f>IF(#REF!&lt;&gt;"",VLOOKUP(#REF!,[1]ItemData!$A:$B,2,FALSE),"")</f>
        <v>#REF!</v>
      </c>
      <c r="W58" t="str">
        <f>IF(F58&lt;&gt;"",VLOOKUP(F58,[1]ItemData!$A:$B,2,FALSE),"")</f>
        <v/>
      </c>
      <c r="AE58" t="s">
        <v>163</v>
      </c>
    </row>
    <row r="59" spans="1:31" hidden="1" x14ac:dyDescent="0.2">
      <c r="A59">
        <v>4154</v>
      </c>
      <c r="B59" t="s">
        <v>74</v>
      </c>
      <c r="D59" t="s">
        <v>191</v>
      </c>
      <c r="G59" t="s">
        <v>160</v>
      </c>
      <c r="U59">
        <f>IF(D59&lt;&gt;"",VLOOKUP(D59,[1]ItemData!$A:$B,2,FALSE),"")</f>
        <v>247</v>
      </c>
      <c r="V59" t="str">
        <f>IF(E59&lt;&gt;"",VLOOKUP(E59,[1]ItemData!$A:$B,2,FALSE),"")</f>
        <v/>
      </c>
      <c r="W59" t="str">
        <f>IF(F59&lt;&gt;"",VLOOKUP(F59,[1]ItemData!$A:$B,2,FALSE),"")</f>
        <v/>
      </c>
      <c r="AE59" t="s">
        <v>197</v>
      </c>
    </row>
    <row r="60" spans="1:31" hidden="1" x14ac:dyDescent="0.2">
      <c r="A60">
        <v>4155</v>
      </c>
      <c r="B60" t="s">
        <v>75</v>
      </c>
      <c r="D60" t="s">
        <v>198</v>
      </c>
      <c r="E60" t="s">
        <v>127</v>
      </c>
      <c r="G60" t="s">
        <v>202</v>
      </c>
      <c r="U60">
        <f>IF(D60&lt;&gt;"",VLOOKUP(D60,[1]ItemData!$A:$B,2,FALSE),"")</f>
        <v>281</v>
      </c>
      <c r="V60">
        <f>IF(E60&lt;&gt;"",VLOOKUP(E60,[1]ItemData!$A:$B,2,FALSE),"")</f>
        <v>204</v>
      </c>
      <c r="W60" t="str">
        <f>IF(F60&lt;&gt;"",VLOOKUP(F60,[1]ItemData!$A:$B,2,FALSE),"")</f>
        <v/>
      </c>
      <c r="AE60" t="s">
        <v>142</v>
      </c>
    </row>
    <row r="61" spans="1:31" hidden="1" x14ac:dyDescent="0.2">
      <c r="A61">
        <v>4156</v>
      </c>
      <c r="B61" t="s">
        <v>76</v>
      </c>
      <c r="D61" t="s">
        <v>164</v>
      </c>
      <c r="U61">
        <f>IF(D61&lt;&gt;"",VLOOKUP(D61,[1]ItemData!$A:$B,2,FALSE),"")</f>
        <v>224</v>
      </c>
      <c r="V61" t="str">
        <f>IF(E61&lt;&gt;"",VLOOKUP(E61,[1]ItemData!$A:$B,2,FALSE),"")</f>
        <v/>
      </c>
      <c r="W61" t="str">
        <f>IF(F61&lt;&gt;"",VLOOKUP(F61,[1]ItemData!$A:$B,2,FALSE),"")</f>
        <v/>
      </c>
      <c r="AE61" t="s">
        <v>199</v>
      </c>
    </row>
    <row r="62" spans="1:31" hidden="1" x14ac:dyDescent="0.2">
      <c r="A62">
        <v>4157</v>
      </c>
      <c r="B62" t="s">
        <v>77</v>
      </c>
      <c r="D62" t="s">
        <v>195</v>
      </c>
      <c r="E62" t="s">
        <v>200</v>
      </c>
      <c r="G62" t="s">
        <v>127</v>
      </c>
      <c r="U62">
        <f>IF(D62&lt;&gt;"",VLOOKUP(D62,[1]ItemData!$A:$B,2,FALSE),"")</f>
        <v>248</v>
      </c>
      <c r="V62">
        <f>IF(E62&lt;&gt;"",VLOOKUP(E62,[1]ItemData!$A:$B,2,FALSE),"")</f>
        <v>264</v>
      </c>
      <c r="W62" t="str">
        <f>IF(F62&lt;&gt;"",VLOOKUP(F62,[1]ItemData!$A:$B,2,FALSE),"")</f>
        <v/>
      </c>
      <c r="AE62" t="s">
        <v>180</v>
      </c>
    </row>
    <row r="63" spans="1:31" x14ac:dyDescent="0.2">
      <c r="A63">
        <v>4158</v>
      </c>
      <c r="B63" t="s">
        <v>78</v>
      </c>
      <c r="D63" t="s">
        <v>201</v>
      </c>
      <c r="E63" t="s">
        <v>195</v>
      </c>
      <c r="F63" t="s">
        <v>191</v>
      </c>
      <c r="G63" t="s">
        <v>124</v>
      </c>
      <c r="H63" t="s">
        <v>198</v>
      </c>
      <c r="L63" s="7" t="s">
        <v>271</v>
      </c>
      <c r="U63">
        <f>IF(D63&lt;&gt;"",VLOOKUP(D63,[1]ItemData!$A:$B,2,FALSE),"")</f>
        <v>275</v>
      </c>
      <c r="V63">
        <f>IF(E63&lt;&gt;"",VLOOKUP(E63,[1]ItemData!$A:$B,2,FALSE),"")</f>
        <v>248</v>
      </c>
      <c r="W63">
        <f>IF(F63&lt;&gt;"",VLOOKUP(F63,[1]ItemData!$A:$B,2,FALSE),"")</f>
        <v>247</v>
      </c>
      <c r="AE63" t="s">
        <v>173</v>
      </c>
    </row>
    <row r="64" spans="1:31" x14ac:dyDescent="0.2">
      <c r="A64">
        <v>4159</v>
      </c>
      <c r="B64" t="s">
        <v>79</v>
      </c>
      <c r="D64" t="s">
        <v>196</v>
      </c>
      <c r="E64" t="s">
        <v>192</v>
      </c>
      <c r="F64" t="s">
        <v>169</v>
      </c>
      <c r="G64" t="s">
        <v>144</v>
      </c>
      <c r="H64" t="s">
        <v>126</v>
      </c>
      <c r="L64" s="7" t="s">
        <v>272</v>
      </c>
      <c r="U64">
        <f>IF(D64&lt;&gt;"",VLOOKUP(D64,[1]ItemData!$A:$B,2,FALSE),"")</f>
        <v>250</v>
      </c>
      <c r="V64">
        <f>IF(E64&lt;&gt;"",VLOOKUP(E64,[1]ItemData!$A:$B,2,FALSE),"")</f>
        <v>284</v>
      </c>
      <c r="W64">
        <f>IF(F64&lt;&gt;"",VLOOKUP(F64,[1]ItemData!$A:$B,2,FALSE),"")</f>
        <v>229</v>
      </c>
      <c r="AE64" t="s">
        <v>202</v>
      </c>
    </row>
    <row r="65" spans="1:31" hidden="1" x14ac:dyDescent="0.2">
      <c r="A65">
        <v>4160</v>
      </c>
      <c r="B65" t="s">
        <v>80</v>
      </c>
      <c r="D65" t="s">
        <v>163</v>
      </c>
      <c r="G65" t="s">
        <v>234</v>
      </c>
      <c r="U65">
        <f>IF(D65&lt;&gt;"",VLOOKUP(D65,[1]ItemData!$A:$B,2,FALSE),"")</f>
        <v>251</v>
      </c>
      <c r="V65" t="str">
        <f>IF(E65&lt;&gt;"",VLOOKUP(E65,[1]ItemData!$A:$B,2,FALSE),"")</f>
        <v/>
      </c>
      <c r="W65" t="str">
        <f>IF(F65&lt;&gt;"",VLOOKUP(F65,[1]ItemData!$A:$B,2,FALSE),"")</f>
        <v/>
      </c>
      <c r="AE65" t="s">
        <v>203</v>
      </c>
    </row>
    <row r="66" spans="1:31" hidden="1" x14ac:dyDescent="0.2">
      <c r="A66">
        <v>4161</v>
      </c>
      <c r="B66" t="s">
        <v>81</v>
      </c>
      <c r="D66" t="s">
        <v>135</v>
      </c>
      <c r="E66" t="s">
        <v>134</v>
      </c>
      <c r="U66">
        <f>IF(D66&lt;&gt;"",VLOOKUP(D66,[1]ItemData!$A:$B,2,FALSE),"")</f>
        <v>269</v>
      </c>
      <c r="V66">
        <f>IF(E66&lt;&gt;"",VLOOKUP(E66,[1]ItemData!$A:$B,2,FALSE),"")</f>
        <v>208</v>
      </c>
      <c r="W66" t="str">
        <f>IF(F66&lt;&gt;"",VLOOKUP(F66,[1]ItemData!$A:$B,2,FALSE),"")</f>
        <v/>
      </c>
      <c r="AE66" t="s">
        <v>204</v>
      </c>
    </row>
    <row r="67" spans="1:31" hidden="1" x14ac:dyDescent="0.2">
      <c r="A67">
        <v>4162</v>
      </c>
      <c r="B67" t="s">
        <v>82</v>
      </c>
      <c r="D67" t="s">
        <v>172</v>
      </c>
      <c r="E67" t="s">
        <v>142</v>
      </c>
      <c r="U67">
        <f>IF(D67&lt;&gt;"",VLOOKUP(D67,[1]ItemData!$A:$B,2,FALSE),"")</f>
        <v>290</v>
      </c>
      <c r="V67">
        <f>IF(E67&lt;&gt;"",VLOOKUP(E67,[1]ItemData!$A:$B,2,FALSE),"")</f>
        <v>211</v>
      </c>
      <c r="W67" t="str">
        <f>IF(F67&lt;&gt;"",VLOOKUP(F67,[1]ItemData!$A:$B,2,FALSE),"")</f>
        <v/>
      </c>
      <c r="AE67" t="s">
        <v>189</v>
      </c>
    </row>
    <row r="68" spans="1:31" hidden="1" x14ac:dyDescent="0.2">
      <c r="A68">
        <v>4163</v>
      </c>
      <c r="B68" t="s">
        <v>83</v>
      </c>
      <c r="D68" t="s">
        <v>199</v>
      </c>
      <c r="E68" t="s">
        <v>120</v>
      </c>
      <c r="G68" t="s">
        <v>206</v>
      </c>
      <c r="U68">
        <f>IF(D68&lt;&gt;"",VLOOKUP(D68,[1]ItemData!$A:$B,2,FALSE),"")</f>
        <v>253</v>
      </c>
      <c r="V68" t="e">
        <f>IF(E68&lt;&gt;"",VLOOKUP(E68,[1]ItemData!$A:$B,2,FALSE),"")</f>
        <v>#N/A</v>
      </c>
      <c r="W68" t="str">
        <f>IF(F68&lt;&gt;"",VLOOKUP(F68,[1]ItemData!$A:$B,2,FALSE),"")</f>
        <v/>
      </c>
      <c r="AE68" t="s">
        <v>205</v>
      </c>
    </row>
    <row r="69" spans="1:31" hidden="1" x14ac:dyDescent="0.2">
      <c r="A69">
        <v>4164</v>
      </c>
      <c r="B69" t="s">
        <v>84</v>
      </c>
      <c r="D69" s="1" t="s">
        <v>180</v>
      </c>
      <c r="E69" t="s">
        <v>186</v>
      </c>
      <c r="U69">
        <f>IF(D69&lt;&gt;"",VLOOKUP(D69,[1]ItemData!$A:$B,2,FALSE),"")</f>
        <v>254</v>
      </c>
      <c r="V69">
        <f>IF(E69&lt;&gt;"",VLOOKUP(E69,[1]ItemData!$A:$B,2,FALSE),"")</f>
        <v>288</v>
      </c>
      <c r="W69" t="str">
        <f>IF(F69&lt;&gt;"",VLOOKUP(F69,[1]ItemData!$A:$B,2,FALSE),"")</f>
        <v/>
      </c>
      <c r="AE69" t="s">
        <v>206</v>
      </c>
    </row>
    <row r="70" spans="1:31" hidden="1" x14ac:dyDescent="0.2">
      <c r="A70">
        <v>4165</v>
      </c>
      <c r="B70" t="s">
        <v>85</v>
      </c>
      <c r="D70" t="s">
        <v>173</v>
      </c>
      <c r="E70" t="s">
        <v>176</v>
      </c>
      <c r="U70">
        <f>IF(D70&lt;&gt;"",VLOOKUP(D70,[1]ItemData!$A:$B,2,FALSE),"")</f>
        <v>255</v>
      </c>
      <c r="V70">
        <f>IF(E70&lt;&gt;"",VLOOKUP(E70,[1]ItemData!$A:$B,2,FALSE),"")</f>
        <v>236</v>
      </c>
      <c r="W70" t="str">
        <f>IF(F70&lt;&gt;"",VLOOKUP(F70,[1]ItemData!$A:$B,2,FALSE),"")</f>
        <v/>
      </c>
      <c r="AE70" t="s">
        <v>207</v>
      </c>
    </row>
    <row r="71" spans="1:31" hidden="1" x14ac:dyDescent="0.2">
      <c r="A71">
        <v>4166</v>
      </c>
      <c r="B71" t="s">
        <v>86</v>
      </c>
      <c r="D71" t="s">
        <v>202</v>
      </c>
      <c r="G71" t="s">
        <v>188</v>
      </c>
      <c r="U71">
        <f>IF(D71&lt;&gt;"",VLOOKUP(D71,[1]ItemData!$A:$B,2,FALSE),"")</f>
        <v>256</v>
      </c>
      <c r="V71" t="str">
        <f>IF(E71&lt;&gt;"",VLOOKUP(E71,[1]ItemData!$A:$B,2,FALSE),"")</f>
        <v/>
      </c>
      <c r="W71" t="str">
        <f>IF(F71&lt;&gt;"",VLOOKUP(F71,[1]ItemData!$A:$B,2,FALSE),"")</f>
        <v/>
      </c>
      <c r="AE71" t="s">
        <v>208</v>
      </c>
    </row>
    <row r="72" spans="1:31" hidden="1" x14ac:dyDescent="0.2">
      <c r="A72">
        <v>4167</v>
      </c>
      <c r="B72" t="s">
        <v>87</v>
      </c>
      <c r="D72" t="s">
        <v>203</v>
      </c>
      <c r="E72" t="s">
        <v>162</v>
      </c>
      <c r="U72">
        <f>IF(D72&lt;&gt;"",VLOOKUP(D72,[1]ItemData!$A:$B,2,FALSE),"")</f>
        <v>257</v>
      </c>
      <c r="V72">
        <f>IF(E72&lt;&gt;"",VLOOKUP(E72,[1]ItemData!$A:$B,2,FALSE),"")</f>
        <v>270</v>
      </c>
      <c r="W72" t="str">
        <f>IF(F72&lt;&gt;"",VLOOKUP(F72,[1]ItemData!$A:$B,2,FALSE),"")</f>
        <v/>
      </c>
      <c r="AE72" t="s">
        <v>200</v>
      </c>
    </row>
    <row r="73" spans="1:31" x14ac:dyDescent="0.2">
      <c r="A73">
        <v>4168</v>
      </c>
      <c r="B73" t="s">
        <v>88</v>
      </c>
      <c r="D73" t="s">
        <v>204</v>
      </c>
      <c r="E73" t="s">
        <v>238</v>
      </c>
      <c r="F73" t="s">
        <v>202</v>
      </c>
      <c r="H73" t="s">
        <v>172</v>
      </c>
      <c r="I73" t="s">
        <v>162</v>
      </c>
      <c r="J73" t="s">
        <v>142</v>
      </c>
      <c r="L73" s="7" t="s">
        <v>273</v>
      </c>
      <c r="U73">
        <f>IF(D73&lt;&gt;"",VLOOKUP(D73,[1]ItemData!$A:$B,2,FALSE),"")</f>
        <v>258</v>
      </c>
      <c r="V73">
        <f>IF(E73&lt;&gt;"",VLOOKUP(E73,[1]ItemData!$A:$B,2,FALSE),"")</f>
        <v>285</v>
      </c>
      <c r="W73">
        <f>IF(F73&lt;&gt;"",VLOOKUP(F73,[1]ItemData!$A:$B,2,FALSE),"")</f>
        <v>256</v>
      </c>
      <c r="AE73" t="s">
        <v>174</v>
      </c>
    </row>
    <row r="74" spans="1:31" x14ac:dyDescent="0.2">
      <c r="A74">
        <v>4169</v>
      </c>
      <c r="B74" t="s">
        <v>89</v>
      </c>
      <c r="D74" t="s">
        <v>189</v>
      </c>
      <c r="E74" t="s">
        <v>209</v>
      </c>
      <c r="F74" t="s">
        <v>185</v>
      </c>
      <c r="H74" t="s">
        <v>202</v>
      </c>
      <c r="I74" t="s">
        <v>203</v>
      </c>
      <c r="J74" t="s">
        <v>135</v>
      </c>
      <c r="L74" s="7" t="s">
        <v>274</v>
      </c>
      <c r="U74">
        <f>IF(D74&lt;&gt;"",VLOOKUP(D74,[1]ItemData!$A:$B,2,FALSE),"")</f>
        <v>259</v>
      </c>
      <c r="V74">
        <f>IF(E74&lt;&gt;"",VLOOKUP(E74,[1]ItemData!$A:$B,2,FALSE),"")</f>
        <v>279</v>
      </c>
      <c r="W74">
        <f>IF(F74&lt;&gt;"",VLOOKUP(F74,[1]ItemData!$A:$B,2,FALSE),"")</f>
        <v>245</v>
      </c>
      <c r="AE74" t="s">
        <v>210</v>
      </c>
    </row>
    <row r="75" spans="1:31" hidden="1" x14ac:dyDescent="0.2">
      <c r="A75">
        <v>4170</v>
      </c>
      <c r="B75" t="s">
        <v>90</v>
      </c>
      <c r="D75" t="s">
        <v>205</v>
      </c>
      <c r="U75">
        <f>IF(D75&lt;&gt;"",VLOOKUP(D75,[1]ItemData!$A:$B,2,FALSE),"")</f>
        <v>260</v>
      </c>
      <c r="V75" t="str">
        <f>IF(E75&lt;&gt;"",VLOOKUP(E75,[1]ItemData!$A:$B,2,FALSE),"")</f>
        <v/>
      </c>
      <c r="W75" t="str">
        <f>IF(F75&lt;&gt;"",VLOOKUP(F75,[1]ItemData!$A:$B,2,FALSE),"")</f>
        <v/>
      </c>
      <c r="AE75" t="s">
        <v>211</v>
      </c>
    </row>
    <row r="76" spans="1:31" hidden="1" x14ac:dyDescent="0.2">
      <c r="A76">
        <v>4171</v>
      </c>
      <c r="B76" t="s">
        <v>91</v>
      </c>
      <c r="D76" t="s">
        <v>206</v>
      </c>
      <c r="E76" t="s">
        <v>171</v>
      </c>
      <c r="U76">
        <f>IF(D76&lt;&gt;"",VLOOKUP(D76,[1]ItemData!$A:$B,2,FALSE),"")</f>
        <v>261</v>
      </c>
      <c r="V76">
        <f>IF(E76&lt;&gt;"",VLOOKUP(E76,[1]ItemData!$A:$B,2,FALSE),"")</f>
        <v>232</v>
      </c>
      <c r="W76" t="str">
        <f>IF(F76&lt;&gt;"",VLOOKUP(F76,[1]ItemData!$A:$B,2,FALSE),"")</f>
        <v/>
      </c>
      <c r="AE76" t="s">
        <v>186</v>
      </c>
    </row>
    <row r="77" spans="1:31" hidden="1" x14ac:dyDescent="0.2">
      <c r="A77">
        <v>4172</v>
      </c>
      <c r="B77" t="s">
        <v>92</v>
      </c>
      <c r="D77" t="s">
        <v>194</v>
      </c>
      <c r="U77">
        <f>IF(D77&lt;&gt;"",VLOOKUP(D77,[1]ItemData!$A:$B,2,FALSE),"")</f>
        <v>292</v>
      </c>
      <c r="V77" t="str">
        <f>IF(E77&lt;&gt;"",VLOOKUP(E77,[1]ItemData!$A:$B,2,FALSE),"")</f>
        <v/>
      </c>
      <c r="W77" t="str">
        <f>IF(F77&lt;&gt;"",VLOOKUP(F77,[1]ItemData!$A:$B,2,FALSE),"")</f>
        <v/>
      </c>
      <c r="AE77" t="s">
        <v>183</v>
      </c>
    </row>
    <row r="78" spans="1:31" hidden="1" x14ac:dyDescent="0.2">
      <c r="A78">
        <v>4173</v>
      </c>
      <c r="B78" t="s">
        <v>93</v>
      </c>
      <c r="D78" t="s">
        <v>249</v>
      </c>
      <c r="G78" t="s">
        <v>190</v>
      </c>
      <c r="U78">
        <f>IF(D78&lt;&gt;"",VLOOKUP(D78,[1]ItemData!$A:$B,2,FALSE),"")</f>
        <v>272</v>
      </c>
      <c r="V78" t="str">
        <f>IF(E78&lt;&gt;"",VLOOKUP(E78,[1]ItemData!$A:$B,2,FALSE),"")</f>
        <v/>
      </c>
      <c r="W78" t="str">
        <f>IF(F78&lt;&gt;"",VLOOKUP(F78,[1]ItemData!$A:$B,2,FALSE),"")</f>
        <v/>
      </c>
      <c r="AE78" t="s">
        <v>192</v>
      </c>
    </row>
    <row r="79" spans="1:31" hidden="1" x14ac:dyDescent="0.2">
      <c r="A79">
        <v>4174</v>
      </c>
      <c r="B79" t="s">
        <v>94</v>
      </c>
      <c r="D79" t="s">
        <v>208</v>
      </c>
      <c r="G79" t="s">
        <v>199</v>
      </c>
      <c r="U79">
        <f>IF(D79&lt;&gt;"",VLOOKUP(D79,[1]ItemData!$A:$B,2,FALSE),"")</f>
        <v>263</v>
      </c>
      <c r="V79" t="str">
        <f>IF(E79&lt;&gt;"",VLOOKUP(E79,[1]ItemData!$A:$B,2,FALSE),"")</f>
        <v/>
      </c>
      <c r="W79" t="str">
        <f>IF(F79&lt;&gt;"",VLOOKUP(F79,[1]ItemData!$A:$B,2,FALSE),"")</f>
        <v/>
      </c>
      <c r="AE79" t="s">
        <v>162</v>
      </c>
    </row>
    <row r="80" spans="1:31" hidden="1" x14ac:dyDescent="0.2">
      <c r="A80">
        <v>4175</v>
      </c>
      <c r="B80" t="s">
        <v>95</v>
      </c>
      <c r="D80" t="s">
        <v>200</v>
      </c>
      <c r="E80" t="s">
        <v>156</v>
      </c>
      <c r="U80">
        <f>IF(D80&lt;&gt;"",VLOOKUP(D80,[1]ItemData!$A:$B,2,FALSE),"")</f>
        <v>264</v>
      </c>
      <c r="V80">
        <f>IF(E80&lt;&gt;"",VLOOKUP(E80,[1]ItemData!$A:$B,2,FALSE),"")</f>
        <v>293</v>
      </c>
      <c r="W80" t="str">
        <f>IF(F80&lt;&gt;"",VLOOKUP(F80,[1]ItemData!$A:$B,2,FALSE),"")</f>
        <v/>
      </c>
      <c r="AE80" t="s">
        <v>198</v>
      </c>
    </row>
    <row r="81" spans="1:31" hidden="1" x14ac:dyDescent="0.2">
      <c r="A81">
        <v>4176</v>
      </c>
      <c r="B81" t="s">
        <v>96</v>
      </c>
      <c r="D81" t="s">
        <v>174</v>
      </c>
      <c r="E81" t="s">
        <v>124</v>
      </c>
      <c r="U81">
        <f>IF(D81&lt;&gt;"",VLOOKUP(D81,[1]ItemData!$A:$B,2,FALSE),"")</f>
        <v>265</v>
      </c>
      <c r="V81">
        <f>IF(E81&lt;&gt;"",VLOOKUP(E81,[1]ItemData!$A:$B,2,FALSE),"")</f>
        <v>296</v>
      </c>
      <c r="W81" t="str">
        <f>IF(F81&lt;&gt;"",VLOOKUP(F81,[1]ItemData!$A:$B,2,FALSE),"")</f>
        <v/>
      </c>
      <c r="AE81" t="s">
        <v>172</v>
      </c>
    </row>
    <row r="82" spans="1:31" hidden="1" x14ac:dyDescent="0.2">
      <c r="A82">
        <v>4177</v>
      </c>
      <c r="B82" t="s">
        <v>97</v>
      </c>
      <c r="D82" t="s">
        <v>182</v>
      </c>
      <c r="E82" t="s">
        <v>177</v>
      </c>
      <c r="U82">
        <f>IF(D82&lt;&gt;"",VLOOKUP(D82,[1]ItemData!$A:$B,2,FALSE),"")</f>
        <v>241</v>
      </c>
      <c r="V82">
        <f>IF(E82&lt;&gt;"",VLOOKUP(E82,[1]ItemData!$A:$B,2,FALSE),"")</f>
        <v>237</v>
      </c>
      <c r="W82" t="str">
        <f>IF(F82&lt;&gt;"",VLOOKUP(F82,[1]ItemData!$A:$B,2,FALSE),"")</f>
        <v/>
      </c>
      <c r="AE82" t="s">
        <v>209</v>
      </c>
    </row>
    <row r="83" spans="1:31" x14ac:dyDescent="0.2">
      <c r="A83">
        <v>4178</v>
      </c>
      <c r="B83" t="s">
        <v>98</v>
      </c>
      <c r="D83" t="s">
        <v>210</v>
      </c>
      <c r="E83" t="s">
        <v>205</v>
      </c>
      <c r="F83" t="s">
        <v>203</v>
      </c>
      <c r="H83" t="s">
        <v>205</v>
      </c>
      <c r="J83" t="s">
        <v>208</v>
      </c>
      <c r="L83" s="7" t="s">
        <v>275</v>
      </c>
      <c r="U83">
        <f>IF(D83&lt;&gt;"",VLOOKUP(D83,[1]ItemData!$A:$B,2,FALSE),"")</f>
        <v>267</v>
      </c>
      <c r="V83">
        <f>IF(E83&lt;&gt;"",VLOOKUP(E83,[1]ItemData!$A:$B,2,FALSE),"")</f>
        <v>260</v>
      </c>
      <c r="W83">
        <f>IF(F83&lt;&gt;"",VLOOKUP(F83,[1]ItemData!$A:$B,2,FALSE),"")</f>
        <v>257</v>
      </c>
      <c r="AE83" t="s">
        <v>201</v>
      </c>
    </row>
    <row r="84" spans="1:31" x14ac:dyDescent="0.2">
      <c r="A84">
        <v>4179</v>
      </c>
      <c r="B84" t="s">
        <v>99</v>
      </c>
      <c r="D84" t="s">
        <v>211</v>
      </c>
      <c r="E84" t="s">
        <v>188</v>
      </c>
      <c r="F84" t="s">
        <v>206</v>
      </c>
      <c r="H84" t="s">
        <v>206</v>
      </c>
      <c r="I84" t="s">
        <v>194</v>
      </c>
      <c r="J84" t="s">
        <v>200</v>
      </c>
      <c r="L84" s="7" t="s">
        <v>276</v>
      </c>
      <c r="U84">
        <f>IF(D84&lt;&gt;"",VLOOKUP(D84,[1]ItemData!$A:$B,2,FALSE),"")</f>
        <v>268</v>
      </c>
      <c r="V84">
        <f>IF(E84&lt;&gt;"",VLOOKUP(E84,[1]ItemData!$A:$B,2,FALSE),"")</f>
        <v>246</v>
      </c>
      <c r="W84">
        <f>IF(F84&lt;&gt;"",VLOOKUP(F84,[1]ItemData!$A:$B,2,FALSE),"")</f>
        <v>261</v>
      </c>
      <c r="AE84" t="s">
        <v>133</v>
      </c>
    </row>
    <row r="85" spans="1:31" x14ac:dyDescent="0.2">
      <c r="AE85" t="s">
        <v>146</v>
      </c>
    </row>
    <row r="86" spans="1:31" x14ac:dyDescent="0.2">
      <c r="AE86" t="s">
        <v>154</v>
      </c>
    </row>
    <row r="87" spans="1:31" x14ac:dyDescent="0.2">
      <c r="AE87" t="s">
        <v>194</v>
      </c>
    </row>
    <row r="88" spans="1:31" x14ac:dyDescent="0.2">
      <c r="AE88" t="s">
        <v>135</v>
      </c>
    </row>
    <row r="89" spans="1:31" x14ac:dyDescent="0.2">
      <c r="AE89" t="s">
        <v>156</v>
      </c>
    </row>
    <row r="90" spans="1:31" x14ac:dyDescent="0.2">
      <c r="AE90" t="s">
        <v>190</v>
      </c>
    </row>
    <row r="91" spans="1:31" x14ac:dyDescent="0.2">
      <c r="AE91" t="s">
        <v>187</v>
      </c>
    </row>
  </sheetData>
  <phoneticPr fontId="1" type="noConversion"/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169"/>
  <sheetViews>
    <sheetView workbookViewId="0">
      <selection activeCell="H30" sqref="H30"/>
    </sheetView>
  </sheetViews>
  <sheetFormatPr defaultRowHeight="14.25" x14ac:dyDescent="0.2"/>
  <cols>
    <col min="1" max="9" width="9" style="8"/>
    <col min="10" max="10" width="31.625" style="8" customWidth="1"/>
    <col min="11" max="13" width="9" style="8"/>
    <col min="14" max="15" width="29.875" style="8" customWidth="1"/>
    <col min="16" max="16384" width="9" style="8"/>
  </cols>
  <sheetData>
    <row r="2" spans="2:15" x14ac:dyDescent="0.2">
      <c r="N2" s="8" t="s">
        <v>1</v>
      </c>
      <c r="O2" s="8" t="s">
        <v>1</v>
      </c>
    </row>
    <row r="3" spans="2:15" x14ac:dyDescent="0.2">
      <c r="I3" s="9" t="s">
        <v>277</v>
      </c>
      <c r="J3" s="9" t="s">
        <v>281</v>
      </c>
      <c r="N3" s="8" t="s">
        <v>320</v>
      </c>
      <c r="O3" s="8" t="s">
        <v>461</v>
      </c>
    </row>
    <row r="4" spans="2:15" x14ac:dyDescent="0.2">
      <c r="I4" s="9" t="s">
        <v>278</v>
      </c>
      <c r="J4" s="9" t="s">
        <v>282</v>
      </c>
      <c r="N4" s="8" t="s">
        <v>277</v>
      </c>
      <c r="O4" s="8" t="s">
        <v>281</v>
      </c>
    </row>
    <row r="5" spans="2:15" x14ac:dyDescent="0.2">
      <c r="I5" s="9" t="s">
        <v>279</v>
      </c>
      <c r="J5" s="9" t="s">
        <v>283</v>
      </c>
      <c r="N5" s="8" t="s">
        <v>278</v>
      </c>
      <c r="O5" s="8" t="s">
        <v>282</v>
      </c>
    </row>
    <row r="6" spans="2:15" x14ac:dyDescent="0.2">
      <c r="I6" s="9" t="s">
        <v>280</v>
      </c>
      <c r="J6" s="9" t="s">
        <v>284</v>
      </c>
      <c r="N6" s="8" t="s">
        <v>279</v>
      </c>
      <c r="O6" s="8" t="s">
        <v>283</v>
      </c>
    </row>
    <row r="7" spans="2:15" x14ac:dyDescent="0.2">
      <c r="B7" s="10" t="s">
        <v>531</v>
      </c>
      <c r="J7" s="9"/>
      <c r="N7" s="8" t="s">
        <v>321</v>
      </c>
      <c r="O7" s="8" t="s">
        <v>284</v>
      </c>
    </row>
    <row r="8" spans="2:15" x14ac:dyDescent="0.2">
      <c r="B8" s="8" t="s">
        <v>557</v>
      </c>
      <c r="D8" s="11" t="s">
        <v>560</v>
      </c>
      <c r="I8" s="9" t="s">
        <v>285</v>
      </c>
      <c r="J8" s="9" t="s">
        <v>296</v>
      </c>
      <c r="N8" s="8" t="s">
        <v>322</v>
      </c>
      <c r="O8" s="8" t="s">
        <v>284</v>
      </c>
    </row>
    <row r="9" spans="2:15" x14ac:dyDescent="0.2">
      <c r="B9" s="8" t="s">
        <v>532</v>
      </c>
      <c r="D9" s="11" t="s">
        <v>551</v>
      </c>
      <c r="I9" s="9" t="s">
        <v>286</v>
      </c>
      <c r="J9" s="8" t="s">
        <v>291</v>
      </c>
      <c r="N9" s="8" t="s">
        <v>323</v>
      </c>
      <c r="O9" s="8" t="s">
        <v>462</v>
      </c>
    </row>
    <row r="10" spans="2:15" x14ac:dyDescent="0.2">
      <c r="B10" s="8" t="s">
        <v>533</v>
      </c>
      <c r="D10" s="11" t="s">
        <v>559</v>
      </c>
      <c r="I10" s="9" t="s">
        <v>287</v>
      </c>
      <c r="J10" s="8" t="s">
        <v>292</v>
      </c>
      <c r="N10" s="8" t="s">
        <v>324</v>
      </c>
      <c r="O10" s="8" t="s">
        <v>463</v>
      </c>
    </row>
    <row r="11" spans="2:15" x14ac:dyDescent="0.2">
      <c r="B11" s="8" t="s">
        <v>534</v>
      </c>
      <c r="D11" s="11" t="s">
        <v>561</v>
      </c>
      <c r="I11" s="9" t="s">
        <v>288</v>
      </c>
      <c r="J11" s="8" t="s">
        <v>293</v>
      </c>
      <c r="N11" s="8" t="s">
        <v>325</v>
      </c>
      <c r="O11" s="8" t="s">
        <v>464</v>
      </c>
    </row>
    <row r="12" spans="2:15" x14ac:dyDescent="0.2">
      <c r="B12" s="8" t="s">
        <v>547</v>
      </c>
      <c r="D12" s="11" t="s">
        <v>556</v>
      </c>
      <c r="I12" s="9" t="s">
        <v>289</v>
      </c>
      <c r="J12" s="8" t="s">
        <v>294</v>
      </c>
      <c r="N12" s="8" t="s">
        <v>326</v>
      </c>
      <c r="O12" s="8" t="s">
        <v>464</v>
      </c>
    </row>
    <row r="13" spans="2:15" x14ac:dyDescent="0.2">
      <c r="B13" s="10" t="s">
        <v>535</v>
      </c>
      <c r="I13" s="9" t="s">
        <v>290</v>
      </c>
      <c r="J13" s="8" t="s">
        <v>295</v>
      </c>
      <c r="N13" s="8" t="s">
        <v>327</v>
      </c>
      <c r="O13" s="8" t="s">
        <v>465</v>
      </c>
    </row>
    <row r="14" spans="2:15" x14ac:dyDescent="0.2">
      <c r="B14" s="8" t="s">
        <v>536</v>
      </c>
      <c r="D14" s="11" t="s">
        <v>555</v>
      </c>
      <c r="N14" s="8" t="s">
        <v>328</v>
      </c>
      <c r="O14" s="8" t="s">
        <v>466</v>
      </c>
    </row>
    <row r="15" spans="2:15" x14ac:dyDescent="0.2">
      <c r="B15" s="8" t="s">
        <v>537</v>
      </c>
      <c r="D15" s="11" t="s">
        <v>562</v>
      </c>
      <c r="I15" s="9" t="s">
        <v>297</v>
      </c>
      <c r="J15" s="9" t="s">
        <v>298</v>
      </c>
      <c r="N15" s="8" t="s">
        <v>329</v>
      </c>
      <c r="O15" s="8" t="s">
        <v>467</v>
      </c>
    </row>
    <row r="16" spans="2:15" x14ac:dyDescent="0.2">
      <c r="B16" s="8" t="s">
        <v>538</v>
      </c>
      <c r="D16" s="11" t="s">
        <v>563</v>
      </c>
      <c r="N16" s="8" t="s">
        <v>330</v>
      </c>
      <c r="O16" s="8" t="s">
        <v>468</v>
      </c>
    </row>
    <row r="17" spans="2:15" x14ac:dyDescent="0.2">
      <c r="B17" s="8" t="s">
        <v>548</v>
      </c>
      <c r="D17" s="11" t="s">
        <v>553</v>
      </c>
      <c r="N17" s="8" t="s">
        <v>331</v>
      </c>
      <c r="O17" s="8" t="s">
        <v>469</v>
      </c>
    </row>
    <row r="18" spans="2:15" x14ac:dyDescent="0.2">
      <c r="B18" s="10" t="s">
        <v>539</v>
      </c>
      <c r="N18" s="8" t="s">
        <v>332</v>
      </c>
      <c r="O18" s="8" t="s">
        <v>470</v>
      </c>
    </row>
    <row r="19" spans="2:15" x14ac:dyDescent="0.2">
      <c r="B19" s="8" t="s">
        <v>540</v>
      </c>
      <c r="D19" s="11" t="s">
        <v>558</v>
      </c>
      <c r="N19" s="8" t="s">
        <v>333</v>
      </c>
      <c r="O19" s="8" t="s">
        <v>471</v>
      </c>
    </row>
    <row r="20" spans="2:15" x14ac:dyDescent="0.2">
      <c r="B20" s="8" t="s">
        <v>541</v>
      </c>
      <c r="D20" s="11" t="s">
        <v>564</v>
      </c>
      <c r="N20" s="8" t="s">
        <v>334</v>
      </c>
      <c r="O20" s="8" t="s">
        <v>471</v>
      </c>
    </row>
    <row r="21" spans="2:15" x14ac:dyDescent="0.2">
      <c r="B21" s="8" t="s">
        <v>546</v>
      </c>
      <c r="D21" s="11" t="s">
        <v>565</v>
      </c>
      <c r="I21" s="9" t="s">
        <v>299</v>
      </c>
      <c r="J21" s="8" t="s">
        <v>303</v>
      </c>
      <c r="N21" s="8" t="s">
        <v>335</v>
      </c>
      <c r="O21" s="8" t="s">
        <v>471</v>
      </c>
    </row>
    <row r="22" spans="2:15" x14ac:dyDescent="0.2">
      <c r="B22" s="10" t="s">
        <v>542</v>
      </c>
      <c r="I22" s="9" t="s">
        <v>300</v>
      </c>
      <c r="J22" s="8" t="s">
        <v>304</v>
      </c>
      <c r="N22" s="8" t="s">
        <v>336</v>
      </c>
      <c r="O22" s="8" t="s">
        <v>471</v>
      </c>
    </row>
    <row r="23" spans="2:15" x14ac:dyDescent="0.2">
      <c r="B23" s="10" t="s">
        <v>543</v>
      </c>
      <c r="I23" s="9" t="s">
        <v>301</v>
      </c>
      <c r="J23" s="8" t="s">
        <v>305</v>
      </c>
      <c r="N23" s="8" t="s">
        <v>337</v>
      </c>
      <c r="O23" s="8" t="s">
        <v>471</v>
      </c>
    </row>
    <row r="24" spans="2:15" x14ac:dyDescent="0.2">
      <c r="B24" s="8" t="s">
        <v>544</v>
      </c>
      <c r="D24" s="11" t="s">
        <v>567</v>
      </c>
      <c r="I24" s="9" t="s">
        <v>302</v>
      </c>
      <c r="J24" s="8" t="s">
        <v>306</v>
      </c>
      <c r="N24" s="8" t="s">
        <v>338</v>
      </c>
      <c r="O24" s="8" t="s">
        <v>471</v>
      </c>
    </row>
    <row r="25" spans="2:15" x14ac:dyDescent="0.2">
      <c r="B25" s="8" t="s">
        <v>545</v>
      </c>
      <c r="D25" s="11" t="s">
        <v>569</v>
      </c>
      <c r="I25" s="8" t="s">
        <v>307</v>
      </c>
      <c r="J25" s="8" t="s">
        <v>309</v>
      </c>
      <c r="N25" s="8" t="s">
        <v>339</v>
      </c>
      <c r="O25" s="8" t="s">
        <v>471</v>
      </c>
    </row>
    <row r="26" spans="2:15" x14ac:dyDescent="0.2">
      <c r="B26" s="8" t="s">
        <v>549</v>
      </c>
      <c r="D26" s="11" t="s">
        <v>568</v>
      </c>
      <c r="I26" s="8" t="s">
        <v>308</v>
      </c>
      <c r="J26" s="8" t="s">
        <v>310</v>
      </c>
      <c r="N26" s="8" t="s">
        <v>340</v>
      </c>
      <c r="O26" s="8" t="s">
        <v>471</v>
      </c>
    </row>
    <row r="27" spans="2:15" x14ac:dyDescent="0.2">
      <c r="B27" s="8" t="s">
        <v>550</v>
      </c>
      <c r="D27" s="11" t="s">
        <v>566</v>
      </c>
      <c r="I27" s="8" t="s">
        <v>311</v>
      </c>
      <c r="J27" s="9" t="s">
        <v>316</v>
      </c>
      <c r="N27" s="8" t="s">
        <v>341</v>
      </c>
      <c r="O27" s="8" t="s">
        <v>471</v>
      </c>
    </row>
    <row r="28" spans="2:15" x14ac:dyDescent="0.2">
      <c r="I28" s="8" t="s">
        <v>552</v>
      </c>
      <c r="J28" s="9" t="s">
        <v>317</v>
      </c>
      <c r="N28" s="8" t="s">
        <v>342</v>
      </c>
      <c r="O28" s="8" t="s">
        <v>471</v>
      </c>
    </row>
    <row r="29" spans="2:15" x14ac:dyDescent="0.2">
      <c r="I29" s="8" t="s">
        <v>315</v>
      </c>
      <c r="J29" s="9" t="s">
        <v>319</v>
      </c>
      <c r="N29" s="8" t="s">
        <v>343</v>
      </c>
      <c r="O29" s="8" t="s">
        <v>472</v>
      </c>
    </row>
    <row r="30" spans="2:15" x14ac:dyDescent="0.2">
      <c r="N30" s="8" t="s">
        <v>286</v>
      </c>
      <c r="O30" s="8" t="s">
        <v>291</v>
      </c>
    </row>
    <row r="31" spans="2:15" x14ac:dyDescent="0.2">
      <c r="N31" s="8" t="s">
        <v>287</v>
      </c>
      <c r="O31" s="8" t="s">
        <v>292</v>
      </c>
    </row>
    <row r="32" spans="2:15" x14ac:dyDescent="0.2">
      <c r="N32" s="8" t="s">
        <v>288</v>
      </c>
      <c r="O32" s="8" t="s">
        <v>293</v>
      </c>
    </row>
    <row r="33" spans="14:15" x14ac:dyDescent="0.2">
      <c r="N33" s="8" t="s">
        <v>289</v>
      </c>
      <c r="O33" s="8" t="s">
        <v>294</v>
      </c>
    </row>
    <row r="34" spans="14:15" x14ac:dyDescent="0.2">
      <c r="N34" s="8" t="s">
        <v>290</v>
      </c>
      <c r="O34" s="8" t="s">
        <v>295</v>
      </c>
    </row>
    <row r="35" spans="14:15" x14ac:dyDescent="0.2">
      <c r="N35" s="8" t="s">
        <v>344</v>
      </c>
      <c r="O35" s="8" t="s">
        <v>473</v>
      </c>
    </row>
    <row r="36" spans="14:15" x14ac:dyDescent="0.2">
      <c r="N36" s="8" t="s">
        <v>345</v>
      </c>
      <c r="O36" s="8" t="s">
        <v>474</v>
      </c>
    </row>
    <row r="37" spans="14:15" x14ac:dyDescent="0.2">
      <c r="N37" s="8" t="s">
        <v>346</v>
      </c>
      <c r="O37" s="8" t="s">
        <v>475</v>
      </c>
    </row>
    <row r="38" spans="14:15" x14ac:dyDescent="0.2">
      <c r="N38" s="8" t="s">
        <v>347</v>
      </c>
      <c r="O38" s="8" t="s">
        <v>298</v>
      </c>
    </row>
    <row r="39" spans="14:15" x14ac:dyDescent="0.2">
      <c r="N39" s="8" t="s">
        <v>299</v>
      </c>
      <c r="O39" s="8" t="s">
        <v>303</v>
      </c>
    </row>
    <row r="40" spans="14:15" x14ac:dyDescent="0.2">
      <c r="N40" s="8" t="s">
        <v>300</v>
      </c>
      <c r="O40" s="8" t="s">
        <v>304</v>
      </c>
    </row>
    <row r="41" spans="14:15" x14ac:dyDescent="0.2">
      <c r="N41" s="8" t="s">
        <v>348</v>
      </c>
      <c r="O41" s="8" t="s">
        <v>305</v>
      </c>
    </row>
    <row r="42" spans="14:15" x14ac:dyDescent="0.2">
      <c r="N42" s="8" t="s">
        <v>302</v>
      </c>
      <c r="O42" s="8" t="s">
        <v>306</v>
      </c>
    </row>
    <row r="43" spans="14:15" x14ac:dyDescent="0.2">
      <c r="N43" s="8" t="s">
        <v>307</v>
      </c>
      <c r="O43" s="8" t="s">
        <v>309</v>
      </c>
    </row>
    <row r="44" spans="14:15" x14ac:dyDescent="0.2">
      <c r="N44" s="8" t="s">
        <v>308</v>
      </c>
      <c r="O44" s="8" t="s">
        <v>310</v>
      </c>
    </row>
    <row r="45" spans="14:15" x14ac:dyDescent="0.2">
      <c r="N45" s="8" t="s">
        <v>349</v>
      </c>
      <c r="O45" s="8" t="s">
        <v>476</v>
      </c>
    </row>
    <row r="46" spans="14:15" x14ac:dyDescent="0.2">
      <c r="N46" s="8" t="s">
        <v>311</v>
      </c>
      <c r="O46" s="8" t="s">
        <v>477</v>
      </c>
    </row>
    <row r="47" spans="14:15" x14ac:dyDescent="0.2">
      <c r="N47" s="8" t="s">
        <v>312</v>
      </c>
      <c r="O47" s="8" t="s">
        <v>312</v>
      </c>
    </row>
    <row r="48" spans="14:15" x14ac:dyDescent="0.2">
      <c r="N48" s="8" t="s">
        <v>313</v>
      </c>
      <c r="O48" s="8" t="s">
        <v>317</v>
      </c>
    </row>
    <row r="49" spans="14:15" x14ac:dyDescent="0.2">
      <c r="N49" s="8" t="s">
        <v>314</v>
      </c>
      <c r="O49" s="8" t="s">
        <v>318</v>
      </c>
    </row>
    <row r="50" spans="14:15" x14ac:dyDescent="0.2">
      <c r="N50" s="8" t="s">
        <v>315</v>
      </c>
      <c r="O50" s="8" t="s">
        <v>319</v>
      </c>
    </row>
    <row r="51" spans="14:15" x14ac:dyDescent="0.2">
      <c r="N51" s="8" t="s">
        <v>350</v>
      </c>
      <c r="O51" s="8" t="s">
        <v>478</v>
      </c>
    </row>
    <row r="52" spans="14:15" x14ac:dyDescent="0.2">
      <c r="N52" s="8" t="s">
        <v>351</v>
      </c>
      <c r="O52" s="8" t="s">
        <v>479</v>
      </c>
    </row>
    <row r="53" spans="14:15" x14ac:dyDescent="0.2">
      <c r="N53" s="8" t="s">
        <v>352</v>
      </c>
      <c r="O53" s="8" t="s">
        <v>480</v>
      </c>
    </row>
    <row r="54" spans="14:15" x14ac:dyDescent="0.2">
      <c r="N54" s="8" t="s">
        <v>353</v>
      </c>
      <c r="O54" s="8" t="s">
        <v>481</v>
      </c>
    </row>
    <row r="55" spans="14:15" x14ac:dyDescent="0.2">
      <c r="N55" s="8" t="s">
        <v>354</v>
      </c>
      <c r="O55" s="8" t="s">
        <v>482</v>
      </c>
    </row>
    <row r="56" spans="14:15" x14ac:dyDescent="0.2">
      <c r="N56" s="8" t="s">
        <v>355</v>
      </c>
      <c r="O56" s="8" t="s">
        <v>483</v>
      </c>
    </row>
    <row r="57" spans="14:15" x14ac:dyDescent="0.2">
      <c r="N57" s="8" t="s">
        <v>356</v>
      </c>
      <c r="O57" s="8" t="s">
        <v>484</v>
      </c>
    </row>
    <row r="58" spans="14:15" x14ac:dyDescent="0.2">
      <c r="N58" s="8" t="s">
        <v>357</v>
      </c>
      <c r="O58" s="8" t="s">
        <v>485</v>
      </c>
    </row>
    <row r="59" spans="14:15" x14ac:dyDescent="0.2">
      <c r="N59" s="8" t="s">
        <v>358</v>
      </c>
      <c r="O59" s="8" t="s">
        <v>486</v>
      </c>
    </row>
    <row r="60" spans="14:15" x14ac:dyDescent="0.2">
      <c r="N60" s="8" t="s">
        <v>554</v>
      </c>
      <c r="O60" s="8" t="s">
        <v>487</v>
      </c>
    </row>
    <row r="61" spans="14:15" x14ac:dyDescent="0.2">
      <c r="N61" s="8" t="s">
        <v>359</v>
      </c>
      <c r="O61" s="8" t="s">
        <v>488</v>
      </c>
    </row>
    <row r="62" spans="14:15" x14ac:dyDescent="0.2">
      <c r="N62" s="8" t="s">
        <v>360</v>
      </c>
      <c r="O62" s="8" t="s">
        <v>489</v>
      </c>
    </row>
    <row r="63" spans="14:15" x14ac:dyDescent="0.2">
      <c r="N63" s="8" t="s">
        <v>361</v>
      </c>
      <c r="O63" s="8" t="s">
        <v>490</v>
      </c>
    </row>
    <row r="64" spans="14:15" x14ac:dyDescent="0.2">
      <c r="N64" s="8" t="s">
        <v>362</v>
      </c>
      <c r="O64" s="8" t="s">
        <v>491</v>
      </c>
    </row>
    <row r="65" spans="14:15" x14ac:dyDescent="0.2">
      <c r="N65" s="8" t="s">
        <v>363</v>
      </c>
      <c r="O65" s="8" t="s">
        <v>492</v>
      </c>
    </row>
    <row r="66" spans="14:15" x14ac:dyDescent="0.2">
      <c r="N66" s="8" t="s">
        <v>364</v>
      </c>
      <c r="O66" s="8" t="s">
        <v>493</v>
      </c>
    </row>
    <row r="67" spans="14:15" x14ac:dyDescent="0.2">
      <c r="N67" s="8" t="s">
        <v>365</v>
      </c>
      <c r="O67" s="8" t="s">
        <v>494</v>
      </c>
    </row>
    <row r="68" spans="14:15" x14ac:dyDescent="0.2">
      <c r="N68" s="8" t="s">
        <v>366</v>
      </c>
      <c r="O68" s="8" t="s">
        <v>495</v>
      </c>
    </row>
    <row r="69" spans="14:15" x14ac:dyDescent="0.2">
      <c r="N69" s="8" t="s">
        <v>367</v>
      </c>
      <c r="O69" s="8" t="s">
        <v>496</v>
      </c>
    </row>
    <row r="70" spans="14:15" x14ac:dyDescent="0.2">
      <c r="N70" s="8" t="s">
        <v>368</v>
      </c>
      <c r="O70" s="8" t="s">
        <v>497</v>
      </c>
    </row>
    <row r="71" spans="14:15" x14ac:dyDescent="0.2">
      <c r="N71" s="8" t="s">
        <v>369</v>
      </c>
      <c r="O71" s="8" t="s">
        <v>498</v>
      </c>
    </row>
    <row r="72" spans="14:15" x14ac:dyDescent="0.2">
      <c r="N72" s="8" t="s">
        <v>370</v>
      </c>
      <c r="O72" s="8" t="s">
        <v>499</v>
      </c>
    </row>
    <row r="73" spans="14:15" x14ac:dyDescent="0.2">
      <c r="N73" s="8" t="s">
        <v>371</v>
      </c>
      <c r="O73" s="8" t="s">
        <v>500</v>
      </c>
    </row>
    <row r="74" spans="14:15" x14ac:dyDescent="0.2">
      <c r="N74" s="8" t="s">
        <v>372</v>
      </c>
      <c r="O74" s="8" t="s">
        <v>501</v>
      </c>
    </row>
    <row r="75" spans="14:15" x14ac:dyDescent="0.2">
      <c r="N75" s="8" t="s">
        <v>373</v>
      </c>
      <c r="O75" s="8" t="s">
        <v>471</v>
      </c>
    </row>
    <row r="76" spans="14:15" x14ac:dyDescent="0.2">
      <c r="N76" s="8" t="s">
        <v>374</v>
      </c>
      <c r="O76" s="8" t="s">
        <v>502</v>
      </c>
    </row>
    <row r="77" spans="14:15" x14ac:dyDescent="0.2">
      <c r="N77" s="8" t="s">
        <v>375</v>
      </c>
      <c r="O77" s="8" t="s">
        <v>471</v>
      </c>
    </row>
    <row r="78" spans="14:15" x14ac:dyDescent="0.2">
      <c r="N78" s="8" t="s">
        <v>376</v>
      </c>
      <c r="O78" s="8" t="s">
        <v>502</v>
      </c>
    </row>
    <row r="79" spans="14:15" x14ac:dyDescent="0.2">
      <c r="N79" s="8" t="s">
        <v>377</v>
      </c>
      <c r="O79" s="8" t="s">
        <v>471</v>
      </c>
    </row>
    <row r="80" spans="14:15" x14ac:dyDescent="0.2">
      <c r="N80" s="8" t="s">
        <v>378</v>
      </c>
      <c r="O80" s="8" t="s">
        <v>471</v>
      </c>
    </row>
    <row r="81" spans="14:15" x14ac:dyDescent="0.2">
      <c r="N81" s="8" t="s">
        <v>379</v>
      </c>
      <c r="O81" s="8" t="s">
        <v>503</v>
      </c>
    </row>
    <row r="82" spans="14:15" x14ac:dyDescent="0.2">
      <c r="N82" s="8" t="s">
        <v>380</v>
      </c>
      <c r="O82" s="8" t="s">
        <v>471</v>
      </c>
    </row>
    <row r="83" spans="14:15" x14ac:dyDescent="0.2">
      <c r="N83" s="8" t="s">
        <v>381</v>
      </c>
      <c r="O83" s="8" t="s">
        <v>504</v>
      </c>
    </row>
    <row r="84" spans="14:15" x14ac:dyDescent="0.2">
      <c r="N84" s="8" t="s">
        <v>382</v>
      </c>
      <c r="O84" s="8" t="s">
        <v>505</v>
      </c>
    </row>
    <row r="85" spans="14:15" x14ac:dyDescent="0.2">
      <c r="N85" s="8" t="s">
        <v>383</v>
      </c>
      <c r="O85" s="8" t="s">
        <v>506</v>
      </c>
    </row>
    <row r="86" spans="14:15" x14ac:dyDescent="0.2">
      <c r="N86" s="8" t="s">
        <v>384</v>
      </c>
      <c r="O86" s="8" t="s">
        <v>292</v>
      </c>
    </row>
    <row r="87" spans="14:15" x14ac:dyDescent="0.2">
      <c r="N87" s="8" t="s">
        <v>385</v>
      </c>
      <c r="O87" s="8" t="s">
        <v>502</v>
      </c>
    </row>
    <row r="88" spans="14:15" x14ac:dyDescent="0.2">
      <c r="N88" s="8" t="s">
        <v>386</v>
      </c>
      <c r="O88" s="8" t="s">
        <v>507</v>
      </c>
    </row>
    <row r="89" spans="14:15" x14ac:dyDescent="0.2">
      <c r="N89" s="8" t="s">
        <v>387</v>
      </c>
      <c r="O89" s="8" t="s">
        <v>508</v>
      </c>
    </row>
    <row r="90" spans="14:15" x14ac:dyDescent="0.2">
      <c r="N90" s="8" t="s">
        <v>388</v>
      </c>
      <c r="O90" s="8" t="s">
        <v>477</v>
      </c>
    </row>
    <row r="91" spans="14:15" x14ac:dyDescent="0.2">
      <c r="N91" s="8" t="s">
        <v>199</v>
      </c>
      <c r="O91" s="8" t="s">
        <v>504</v>
      </c>
    </row>
    <row r="92" spans="14:15" x14ac:dyDescent="0.2">
      <c r="N92" s="8" t="s">
        <v>389</v>
      </c>
      <c r="O92" s="8" t="s">
        <v>504</v>
      </c>
    </row>
    <row r="93" spans="14:15" x14ac:dyDescent="0.2">
      <c r="N93" s="8" t="s">
        <v>390</v>
      </c>
      <c r="O93" s="8" t="s">
        <v>471</v>
      </c>
    </row>
    <row r="94" spans="14:15" x14ac:dyDescent="0.2">
      <c r="N94" s="8" t="s">
        <v>391</v>
      </c>
      <c r="O94" s="8" t="s">
        <v>483</v>
      </c>
    </row>
    <row r="95" spans="14:15" x14ac:dyDescent="0.2">
      <c r="N95" s="8" t="s">
        <v>392</v>
      </c>
      <c r="O95" s="8" t="s">
        <v>509</v>
      </c>
    </row>
    <row r="96" spans="14:15" x14ac:dyDescent="0.2">
      <c r="N96" s="8" t="s">
        <v>393</v>
      </c>
      <c r="O96" s="8" t="s">
        <v>504</v>
      </c>
    </row>
    <row r="97" spans="14:15" x14ac:dyDescent="0.2">
      <c r="N97" s="8" t="s">
        <v>394</v>
      </c>
      <c r="O97" s="8" t="s">
        <v>293</v>
      </c>
    </row>
    <row r="98" spans="14:15" x14ac:dyDescent="0.2">
      <c r="N98" s="8" t="s">
        <v>395</v>
      </c>
      <c r="O98" s="8" t="s">
        <v>510</v>
      </c>
    </row>
    <row r="99" spans="14:15" x14ac:dyDescent="0.2">
      <c r="N99" s="8" t="s">
        <v>396</v>
      </c>
      <c r="O99" s="8" t="s">
        <v>477</v>
      </c>
    </row>
    <row r="100" spans="14:15" x14ac:dyDescent="0.2">
      <c r="N100" s="8" t="s">
        <v>397</v>
      </c>
      <c r="O100" s="8" t="s">
        <v>511</v>
      </c>
    </row>
    <row r="101" spans="14:15" x14ac:dyDescent="0.2">
      <c r="N101" s="8" t="s">
        <v>398</v>
      </c>
      <c r="O101" s="8" t="s">
        <v>472</v>
      </c>
    </row>
    <row r="102" spans="14:15" x14ac:dyDescent="0.2">
      <c r="N102" s="8" t="s">
        <v>399</v>
      </c>
      <c r="O102" s="8" t="s">
        <v>502</v>
      </c>
    </row>
    <row r="103" spans="14:15" x14ac:dyDescent="0.2">
      <c r="N103" s="8" t="s">
        <v>400</v>
      </c>
      <c r="O103" s="8" t="s">
        <v>293</v>
      </c>
    </row>
    <row r="104" spans="14:15" x14ac:dyDescent="0.2">
      <c r="N104" s="8" t="s">
        <v>401</v>
      </c>
      <c r="O104" s="8" t="s">
        <v>419</v>
      </c>
    </row>
    <row r="105" spans="14:15" x14ac:dyDescent="0.2">
      <c r="N105" s="8" t="s">
        <v>402</v>
      </c>
      <c r="O105" s="8" t="s">
        <v>502</v>
      </c>
    </row>
    <row r="106" spans="14:15" x14ac:dyDescent="0.2">
      <c r="N106" s="8" t="s">
        <v>403</v>
      </c>
      <c r="O106" s="8" t="s">
        <v>497</v>
      </c>
    </row>
    <row r="107" spans="14:15" x14ac:dyDescent="0.2">
      <c r="N107" s="8" t="s">
        <v>404</v>
      </c>
      <c r="O107" s="8" t="s">
        <v>504</v>
      </c>
    </row>
    <row r="108" spans="14:15" x14ac:dyDescent="0.2">
      <c r="N108" s="8" t="s">
        <v>405</v>
      </c>
      <c r="O108" s="8" t="s">
        <v>471</v>
      </c>
    </row>
    <row r="109" spans="14:15" x14ac:dyDescent="0.2">
      <c r="N109" s="8" t="s">
        <v>406</v>
      </c>
      <c r="O109" s="8" t="s">
        <v>471</v>
      </c>
    </row>
    <row r="110" spans="14:15" x14ac:dyDescent="0.2">
      <c r="N110" s="8" t="s">
        <v>407</v>
      </c>
      <c r="O110" s="8" t="s">
        <v>471</v>
      </c>
    </row>
    <row r="111" spans="14:15" x14ac:dyDescent="0.2">
      <c r="N111" s="8" t="s">
        <v>408</v>
      </c>
      <c r="O111" s="8" t="s">
        <v>471</v>
      </c>
    </row>
    <row r="112" spans="14:15" x14ac:dyDescent="0.2">
      <c r="N112" s="8" t="s">
        <v>409</v>
      </c>
      <c r="O112" s="8" t="s">
        <v>471</v>
      </c>
    </row>
    <row r="113" spans="14:15" x14ac:dyDescent="0.2">
      <c r="N113" s="8" t="s">
        <v>410</v>
      </c>
      <c r="O113" s="8" t="s">
        <v>471</v>
      </c>
    </row>
    <row r="114" spans="14:15" x14ac:dyDescent="0.2">
      <c r="N114" s="8" t="s">
        <v>411</v>
      </c>
      <c r="O114" s="8" t="s">
        <v>471</v>
      </c>
    </row>
    <row r="115" spans="14:15" x14ac:dyDescent="0.2">
      <c r="N115" s="8" t="s">
        <v>412</v>
      </c>
      <c r="O115" s="8" t="s">
        <v>471</v>
      </c>
    </row>
    <row r="116" spans="14:15" x14ac:dyDescent="0.2">
      <c r="N116" s="8" t="s">
        <v>413</v>
      </c>
      <c r="O116" s="8" t="s">
        <v>471</v>
      </c>
    </row>
    <row r="117" spans="14:15" x14ac:dyDescent="0.2">
      <c r="N117" s="8" t="s">
        <v>414</v>
      </c>
      <c r="O117" s="8" t="s">
        <v>512</v>
      </c>
    </row>
    <row r="118" spans="14:15" x14ac:dyDescent="0.2">
      <c r="N118" s="8" t="s">
        <v>415</v>
      </c>
      <c r="O118" s="8" t="s">
        <v>504</v>
      </c>
    </row>
    <row r="119" spans="14:15" x14ac:dyDescent="0.2">
      <c r="N119" s="8" t="s">
        <v>416</v>
      </c>
      <c r="O119" s="8" t="s">
        <v>416</v>
      </c>
    </row>
    <row r="120" spans="14:15" x14ac:dyDescent="0.2">
      <c r="N120" s="8" t="s">
        <v>417</v>
      </c>
      <c r="O120" s="8" t="s">
        <v>513</v>
      </c>
    </row>
    <row r="121" spans="14:15" x14ac:dyDescent="0.2">
      <c r="N121" s="8" t="s">
        <v>418</v>
      </c>
      <c r="O121" s="8" t="s">
        <v>418</v>
      </c>
    </row>
    <row r="122" spans="14:15" x14ac:dyDescent="0.2">
      <c r="N122" s="8" t="s">
        <v>419</v>
      </c>
      <c r="O122" s="8" t="s">
        <v>419</v>
      </c>
    </row>
    <row r="123" spans="14:15" x14ac:dyDescent="0.2">
      <c r="N123" s="8" t="s">
        <v>420</v>
      </c>
      <c r="O123" s="8" t="s">
        <v>514</v>
      </c>
    </row>
    <row r="124" spans="14:15" x14ac:dyDescent="0.2">
      <c r="N124" s="8" t="s">
        <v>260</v>
      </c>
      <c r="O124" s="8" t="s">
        <v>260</v>
      </c>
    </row>
    <row r="125" spans="14:15" x14ac:dyDescent="0.2">
      <c r="N125" s="8" t="s">
        <v>267</v>
      </c>
      <c r="O125" s="8" t="s">
        <v>267</v>
      </c>
    </row>
    <row r="126" spans="14:15" x14ac:dyDescent="0.2">
      <c r="N126" s="8" t="s">
        <v>421</v>
      </c>
      <c r="O126" s="8" t="s">
        <v>421</v>
      </c>
    </row>
    <row r="127" spans="14:15" x14ac:dyDescent="0.2">
      <c r="N127" s="8" t="s">
        <v>422</v>
      </c>
      <c r="O127" s="8" t="s">
        <v>422</v>
      </c>
    </row>
    <row r="128" spans="14:15" x14ac:dyDescent="0.2">
      <c r="N128" s="8" t="s">
        <v>423</v>
      </c>
      <c r="O128" s="8" t="s">
        <v>423</v>
      </c>
    </row>
    <row r="129" spans="14:15" x14ac:dyDescent="0.2">
      <c r="N129" s="8" t="s">
        <v>424</v>
      </c>
      <c r="O129" s="8" t="s">
        <v>424</v>
      </c>
    </row>
    <row r="130" spans="14:15" x14ac:dyDescent="0.2">
      <c r="N130" s="8" t="s">
        <v>425</v>
      </c>
      <c r="O130" s="8" t="s">
        <v>425</v>
      </c>
    </row>
    <row r="131" spans="14:15" x14ac:dyDescent="0.2">
      <c r="N131" s="8" t="s">
        <v>426</v>
      </c>
      <c r="O131" s="8" t="s">
        <v>418</v>
      </c>
    </row>
    <row r="132" spans="14:15" x14ac:dyDescent="0.2">
      <c r="N132" s="8" t="s">
        <v>427</v>
      </c>
      <c r="O132" s="8" t="s">
        <v>427</v>
      </c>
    </row>
    <row r="133" spans="14:15" x14ac:dyDescent="0.2">
      <c r="N133" s="8" t="s">
        <v>428</v>
      </c>
      <c r="O133" s="8" t="s">
        <v>418</v>
      </c>
    </row>
    <row r="134" spans="14:15" x14ac:dyDescent="0.2">
      <c r="N134" s="8" t="s">
        <v>429</v>
      </c>
      <c r="O134" s="8" t="s">
        <v>418</v>
      </c>
    </row>
    <row r="135" spans="14:15" x14ac:dyDescent="0.2">
      <c r="N135" s="8" t="s">
        <v>430</v>
      </c>
      <c r="O135" s="8" t="s">
        <v>418</v>
      </c>
    </row>
    <row r="136" spans="14:15" x14ac:dyDescent="0.2">
      <c r="N136" s="8" t="s">
        <v>431</v>
      </c>
      <c r="O136" s="8" t="s">
        <v>418</v>
      </c>
    </row>
    <row r="137" spans="14:15" x14ac:dyDescent="0.2">
      <c r="N137" s="8" t="s">
        <v>432</v>
      </c>
      <c r="O137" s="8" t="s">
        <v>515</v>
      </c>
    </row>
    <row r="138" spans="14:15" x14ac:dyDescent="0.2">
      <c r="N138" s="8" t="s">
        <v>433</v>
      </c>
      <c r="O138" s="8" t="s">
        <v>515</v>
      </c>
    </row>
    <row r="139" spans="14:15" x14ac:dyDescent="0.2">
      <c r="N139" s="8" t="s">
        <v>434</v>
      </c>
      <c r="O139" s="8" t="s">
        <v>515</v>
      </c>
    </row>
    <row r="140" spans="14:15" x14ac:dyDescent="0.2">
      <c r="N140" s="8" t="s">
        <v>435</v>
      </c>
      <c r="O140" s="8" t="s">
        <v>516</v>
      </c>
    </row>
    <row r="141" spans="14:15" x14ac:dyDescent="0.2">
      <c r="N141" s="8" t="s">
        <v>436</v>
      </c>
      <c r="O141" s="8" t="s">
        <v>516</v>
      </c>
    </row>
    <row r="142" spans="14:15" x14ac:dyDescent="0.2">
      <c r="N142" s="8" t="s">
        <v>437</v>
      </c>
      <c r="O142" s="8" t="s">
        <v>516</v>
      </c>
    </row>
    <row r="143" spans="14:15" x14ac:dyDescent="0.2">
      <c r="N143" s="8" t="s">
        <v>438</v>
      </c>
      <c r="O143" s="8" t="s">
        <v>517</v>
      </c>
    </row>
    <row r="144" spans="14:15" x14ac:dyDescent="0.2">
      <c r="N144" s="8" t="s">
        <v>439</v>
      </c>
      <c r="O144" s="8" t="s">
        <v>498</v>
      </c>
    </row>
    <row r="145" spans="14:15" x14ac:dyDescent="0.2">
      <c r="N145" s="8" t="s">
        <v>440</v>
      </c>
      <c r="O145" s="8" t="s">
        <v>440</v>
      </c>
    </row>
    <row r="146" spans="14:15" x14ac:dyDescent="0.2">
      <c r="N146" s="8" t="s">
        <v>417</v>
      </c>
      <c r="O146" s="8" t="s">
        <v>513</v>
      </c>
    </row>
    <row r="147" spans="14:15" x14ac:dyDescent="0.2">
      <c r="N147" s="8" t="s">
        <v>441</v>
      </c>
      <c r="O147" s="8" t="s">
        <v>518</v>
      </c>
    </row>
    <row r="148" spans="14:15" x14ac:dyDescent="0.2">
      <c r="N148" s="8" t="s">
        <v>442</v>
      </c>
      <c r="O148" s="8" t="s">
        <v>518</v>
      </c>
    </row>
    <row r="149" spans="14:15" x14ac:dyDescent="0.2">
      <c r="N149" s="8" t="s">
        <v>443</v>
      </c>
      <c r="O149" s="8" t="s">
        <v>519</v>
      </c>
    </row>
    <row r="150" spans="14:15" x14ac:dyDescent="0.2">
      <c r="N150" s="8" t="s">
        <v>444</v>
      </c>
      <c r="O150" s="8" t="s">
        <v>488</v>
      </c>
    </row>
    <row r="151" spans="14:15" x14ac:dyDescent="0.2">
      <c r="N151" s="8" t="s">
        <v>445</v>
      </c>
      <c r="O151" s="8" t="s">
        <v>520</v>
      </c>
    </row>
    <row r="152" spans="14:15" x14ac:dyDescent="0.2">
      <c r="N152" s="8" t="s">
        <v>416</v>
      </c>
      <c r="O152" s="8" t="s">
        <v>416</v>
      </c>
    </row>
    <row r="153" spans="14:15" x14ac:dyDescent="0.2">
      <c r="N153" s="8" t="s">
        <v>262</v>
      </c>
      <c r="O153" s="8" t="s">
        <v>262</v>
      </c>
    </row>
    <row r="154" spans="14:15" x14ac:dyDescent="0.2">
      <c r="N154" s="8" t="s">
        <v>446</v>
      </c>
      <c r="O154" s="8" t="s">
        <v>446</v>
      </c>
    </row>
    <row r="155" spans="14:15" x14ac:dyDescent="0.2">
      <c r="N155" s="8" t="s">
        <v>447</v>
      </c>
      <c r="O155" s="8" t="s">
        <v>488</v>
      </c>
    </row>
    <row r="156" spans="14:15" x14ac:dyDescent="0.2">
      <c r="N156" s="8" t="s">
        <v>448</v>
      </c>
      <c r="O156" s="8" t="s">
        <v>448</v>
      </c>
    </row>
    <row r="157" spans="14:15" x14ac:dyDescent="0.2">
      <c r="N157" s="8" t="s">
        <v>449</v>
      </c>
      <c r="O157" s="8" t="s">
        <v>449</v>
      </c>
    </row>
    <row r="158" spans="14:15" x14ac:dyDescent="0.2">
      <c r="N158" s="8" t="s">
        <v>450</v>
      </c>
      <c r="O158" s="8" t="s">
        <v>448</v>
      </c>
    </row>
    <row r="159" spans="14:15" x14ac:dyDescent="0.2">
      <c r="N159" s="8" t="s">
        <v>420</v>
      </c>
      <c r="O159" s="8" t="s">
        <v>449</v>
      </c>
    </row>
    <row r="160" spans="14:15" x14ac:dyDescent="0.2">
      <c r="N160" s="8" t="s">
        <v>451</v>
      </c>
      <c r="O160" s="8" t="s">
        <v>521</v>
      </c>
    </row>
    <row r="161" spans="14:15" x14ac:dyDescent="0.2">
      <c r="N161" s="8" t="s">
        <v>452</v>
      </c>
      <c r="O161" s="8" t="s">
        <v>522</v>
      </c>
    </row>
    <row r="162" spans="14:15" x14ac:dyDescent="0.2">
      <c r="N162" s="8" t="s">
        <v>453</v>
      </c>
      <c r="O162" s="8" t="s">
        <v>523</v>
      </c>
    </row>
    <row r="163" spans="14:15" x14ac:dyDescent="0.2">
      <c r="N163" s="8" t="s">
        <v>454</v>
      </c>
      <c r="O163" s="8" t="s">
        <v>524</v>
      </c>
    </row>
    <row r="164" spans="14:15" x14ac:dyDescent="0.2">
      <c r="N164" s="8" t="s">
        <v>455</v>
      </c>
      <c r="O164" s="8" t="s">
        <v>525</v>
      </c>
    </row>
    <row r="165" spans="14:15" x14ac:dyDescent="0.2">
      <c r="N165" s="8" t="s">
        <v>456</v>
      </c>
      <c r="O165" s="8" t="s">
        <v>526</v>
      </c>
    </row>
    <row r="166" spans="14:15" x14ac:dyDescent="0.2">
      <c r="N166" s="8" t="s">
        <v>457</v>
      </c>
      <c r="O166" s="8" t="s">
        <v>527</v>
      </c>
    </row>
    <row r="167" spans="14:15" x14ac:dyDescent="0.2">
      <c r="N167" s="8" t="s">
        <v>458</v>
      </c>
      <c r="O167" s="8" t="s">
        <v>528</v>
      </c>
    </row>
    <row r="168" spans="14:15" x14ac:dyDescent="0.2">
      <c r="N168" s="8" t="s">
        <v>459</v>
      </c>
      <c r="O168" s="8" t="s">
        <v>529</v>
      </c>
    </row>
    <row r="169" spans="14:15" x14ac:dyDescent="0.2">
      <c r="N169" s="8" t="s">
        <v>460</v>
      </c>
      <c r="O169" s="8" t="s">
        <v>530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MonsterData</vt:lpstr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flyer</dc:creator>
  <cp:lastModifiedBy>flyer</cp:lastModifiedBy>
  <dcterms:created xsi:type="dcterms:W3CDTF">2024-05-16T07:32:49Z</dcterms:created>
  <dcterms:modified xsi:type="dcterms:W3CDTF">2024-12-17T03:09:18Z</dcterms:modified>
</cp:coreProperties>
</file>