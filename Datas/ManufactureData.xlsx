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ManufactureData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" i="2" l="1"/>
  <c r="E2" i="2" s="1"/>
  <c r="E3" i="2" s="1"/>
  <c r="E4" i="2" s="1"/>
  <c r="E5" i="2" s="1"/>
  <c r="E6" i="2" s="1"/>
  <c r="E7" i="2" s="1"/>
  <c r="E8" i="2" s="1"/>
  <c r="E9" i="2" s="1"/>
  <c r="E10" i="2" s="1"/>
  <c r="E11" i="2" s="1"/>
  <c r="E12" i="2" s="1"/>
  <c r="E13" i="2" s="1"/>
</calcChain>
</file>

<file path=xl/sharedStrings.xml><?xml version="1.0" encoding="utf-8"?>
<sst xmlns="http://schemas.openxmlformats.org/spreadsheetml/2006/main" count="62" uniqueCount="43">
  <si>
    <t>id</t>
    <phoneticPr fontId="1" type="noConversion"/>
  </si>
  <si>
    <t>manufactureName</t>
  </si>
  <si>
    <t>openItem</t>
  </si>
  <si>
    <t>linkFormulas</t>
  </si>
  <si>
    <t>defaultProduct</t>
  </si>
  <si>
    <t>int</t>
    <phoneticPr fontId="1" type="noConversion"/>
  </si>
  <si>
    <t>string</t>
    <phoneticPr fontId="1" type="noConversion"/>
  </si>
  <si>
    <t>int</t>
    <phoneticPr fontId="1" type="noConversion"/>
  </si>
  <si>
    <t>List&lt;int2&gt;</t>
  </si>
  <si>
    <t>冷餐台</t>
    <phoneticPr fontId="1" type="noConversion"/>
  </si>
  <si>
    <t>defaultProduceTime</t>
  </si>
  <si>
    <t>搅拌器</t>
    <phoneticPr fontId="1" type="noConversion"/>
  </si>
  <si>
    <t>烘烤炉</t>
    <phoneticPr fontId="1" type="noConversion"/>
  </si>
  <si>
    <t>蒸煮锅</t>
    <phoneticPr fontId="1" type="noConversion"/>
  </si>
  <si>
    <t>绘写台</t>
    <phoneticPr fontId="2" type="noConversion"/>
  </si>
  <si>
    <t>酿造桶</t>
    <phoneticPr fontId="2" type="noConversion"/>
  </si>
  <si>
    <t>锻造炉</t>
    <phoneticPr fontId="2" type="noConversion"/>
  </si>
  <si>
    <t>磨坊</t>
    <phoneticPr fontId="1" type="noConversion"/>
  </si>
  <si>
    <t>3011,0|3100,0|3101,0|3102,0|3103,0|3107,0|3111,0|3115,0|3116,0|3139,0|3168,0|3171,0|3174,0|3175,0|3177,0|3178,0</t>
  </si>
  <si>
    <t>3104,0|3109,0|3117,0|3118,0|3132,0|3133,0|3135,0|3136,0|3166,0|3167,0|3169,0|3170,0|3172,0|3173,0|3176,0</t>
  </si>
  <si>
    <t>3105,0|3106,0|3108,0|3110,0|3112,0|3113,0|3114,0|3119,0|3128,0|3131,0|3134,0|3150,0|3151,0|3152,0|3153,0|3154,0|3155,0|3156,0|3157,0|3158,0|3159,0|3160,0|3161,0|3162,0|3163,0|3164,0|3165,0</t>
  </si>
  <si>
    <t>3130,0|3142,0|3143,0|3144,0|3145,0|3146,0|3147,0|3148,0|3149,0</t>
  </si>
  <si>
    <t>3120,0|3121,0|3122,0|3123,0|3124,0|3125,0|3126,0|3127,0|3129,0|3137,0|3138,0|3140,0|3141,0</t>
  </si>
  <si>
    <t>int</t>
    <phoneticPr fontId="1" type="noConversion"/>
  </si>
  <si>
    <t>characterAnimatorState</t>
    <phoneticPr fontId="1" type="noConversion"/>
  </si>
  <si>
    <t>柴墩</t>
    <phoneticPr fontId="1" type="noConversion"/>
  </si>
  <si>
    <t>cameraOffset</t>
    <phoneticPr fontId="1" type="noConversion"/>
  </si>
  <si>
    <t>float2</t>
    <phoneticPr fontId="1" type="noConversion"/>
  </si>
  <si>
    <t>int2</t>
    <phoneticPr fontId="1" type="noConversion"/>
  </si>
  <si>
    <t>defaultCostItem</t>
    <phoneticPr fontId="1" type="noConversion"/>
  </si>
  <si>
    <t>0,0</t>
    <phoneticPr fontId="1" type="noConversion"/>
  </si>
  <si>
    <t>103,1</t>
    <phoneticPr fontId="1" type="noConversion"/>
  </si>
  <si>
    <t>103,2</t>
    <phoneticPr fontId="1" type="noConversion"/>
  </si>
  <si>
    <t>2000,1|2001,1|2003,1</t>
    <phoneticPr fontId="1" type="noConversion"/>
  </si>
  <si>
    <t>0,-0.36</t>
    <phoneticPr fontId="1" type="noConversion"/>
  </si>
  <si>
    <t>缝纫机</t>
    <phoneticPr fontId="2" type="noConversion"/>
  </si>
  <si>
    <t>加工台</t>
    <phoneticPr fontId="1" type="noConversion"/>
  </si>
  <si>
    <t>295,1</t>
    <phoneticPr fontId="1" type="noConversion"/>
  </si>
  <si>
    <t>3009,1|3010,1|3011,1</t>
    <phoneticPr fontId="1" type="noConversion"/>
  </si>
  <si>
    <t>2100,0|2101,0|2102,0|2103,0|2104,0|2105,0|2106,0|2107,0|2108,0|2109,0|2110,0|2111,0</t>
  </si>
  <si>
    <t>2010,0|2011,0|2012,0</t>
  </si>
  <si>
    <t>4015,0|4016,0|4017,0|4018,0|4021,0|4022,0|4023,0|4024,0|4028,0|4029,0|4030,0|4031,0|4032,0|4034,0|4035,0|4036,0|4037,0|4038,0|4039,0|4041,0|4042,0|4043,0|4044,0|4046,0|4047,0|4048,0</t>
  </si>
  <si>
    <t>4000,0|4001,0|4002,0|4003,0|4004,0|4005,0|4006,0|4007,0|4008,0|4009,0|4010,0|4011,0|4012,0|4013,0|4014,0|4019,0|4020,0|4025,0|4026,0|4027,0|4033,0|4040,0|4045,0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</si>
</sst>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Alignment="1">
      <alignment vertical="center" wrapText="1"/>
    </xf>
    <xf numFmtId="49" fontId="0" fillId="0" borderId="0" xfId="0" applyNumberFormat="1" applyAlignment="1">
      <alignment wrapText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4"/>
  <sheetViews>
    <sheetView tabSelected="1" workbookViewId="0">
      <selection activeCell="F17" sqref="F17"/>
    </sheetView>
  </sheetViews>
  <sheetFormatPr defaultRowHeight="14.25" x14ac:dyDescent="0.2"/>
  <cols>
    <col min="2" max="2" width="16.625" customWidth="1"/>
    <col min="3" max="3" width="9" customWidth="1"/>
    <col min="4" max="4" width="12.875" customWidth="1"/>
    <col min="5" max="5" width="19.125" customWidth="1"/>
    <col min="6" max="6" width="19.125" style="3" customWidth="1"/>
    <col min="7" max="8" width="19.125" customWidth="1"/>
    <col min="9" max="9" width="76.875" style="2" customWidth="1"/>
  </cols>
  <sheetData>
    <row r="2" spans="1:9" x14ac:dyDescent="0.2">
      <c r="A2" t="s">
        <v>5</v>
      </c>
      <c r="B2" t="s">
        <v>6</v>
      </c>
      <c r="C2" t="s">
        <v>7</v>
      </c>
      <c r="D2" t="s">
        <v>7</v>
      </c>
      <c r="E2" t="s">
        <v>5</v>
      </c>
      <c r="F2" s="3" t="s">
        <v>28</v>
      </c>
      <c r="G2" t="s">
        <v>23</v>
      </c>
      <c r="H2" t="s">
        <v>27</v>
      </c>
      <c r="I2" s="2" t="s">
        <v>8</v>
      </c>
    </row>
    <row r="3" spans="1:9" x14ac:dyDescent="0.2">
      <c r="A3" t="s">
        <v>0</v>
      </c>
      <c r="B3" t="s">
        <v>1</v>
      </c>
      <c r="C3" t="s">
        <v>2</v>
      </c>
      <c r="D3" t="s">
        <v>4</v>
      </c>
      <c r="E3" t="s">
        <v>10</v>
      </c>
      <c r="F3" s="3" t="s">
        <v>29</v>
      </c>
      <c r="G3" t="s">
        <v>24</v>
      </c>
      <c r="H3" t="s">
        <v>26</v>
      </c>
      <c r="I3" s="2" t="s">
        <v>3</v>
      </c>
    </row>
    <row r="4" spans="1:9" ht="28.5" x14ac:dyDescent="0.2">
      <c r="A4">
        <v>5001</v>
      </c>
      <c r="B4" t="s">
        <v>9</v>
      </c>
      <c r="C4">
        <v>0</v>
      </c>
      <c r="D4">
        <v>20</v>
      </c>
      <c r="E4">
        <v>2</v>
      </c>
      <c r="F4" s="3" t="s">
        <v>30</v>
      </c>
      <c r="G4">
        <v>-1</v>
      </c>
      <c r="H4" t="s">
        <v>34</v>
      </c>
      <c r="I4" s="2" t="s">
        <v>18</v>
      </c>
    </row>
    <row r="5" spans="1:9" x14ac:dyDescent="0.2">
      <c r="A5">
        <v>5002</v>
      </c>
      <c r="B5" t="s">
        <v>11</v>
      </c>
      <c r="C5">
        <v>0</v>
      </c>
      <c r="D5">
        <v>20</v>
      </c>
      <c r="E5">
        <v>2</v>
      </c>
      <c r="F5" s="3" t="s">
        <v>30</v>
      </c>
      <c r="G5">
        <v>-1</v>
      </c>
      <c r="H5" t="s">
        <v>34</v>
      </c>
      <c r="I5" s="2" t="s">
        <v>22</v>
      </c>
    </row>
    <row r="6" spans="1:9" ht="42.75" x14ac:dyDescent="0.2">
      <c r="A6">
        <v>5003</v>
      </c>
      <c r="B6" t="s">
        <v>12</v>
      </c>
      <c r="C6">
        <v>0</v>
      </c>
      <c r="D6">
        <v>22</v>
      </c>
      <c r="E6">
        <v>10</v>
      </c>
      <c r="F6" s="3" t="s">
        <v>31</v>
      </c>
      <c r="G6">
        <v>-1</v>
      </c>
      <c r="H6" t="s">
        <v>34</v>
      </c>
      <c r="I6" s="2" t="s">
        <v>20</v>
      </c>
    </row>
    <row r="7" spans="1:9" ht="28.5" x14ac:dyDescent="0.2">
      <c r="A7">
        <v>5004</v>
      </c>
      <c r="B7" t="s">
        <v>13</v>
      </c>
      <c r="C7">
        <v>0</v>
      </c>
      <c r="D7">
        <v>23</v>
      </c>
      <c r="E7">
        <v>10</v>
      </c>
      <c r="F7" s="3" t="s">
        <v>31</v>
      </c>
      <c r="G7">
        <v>-1</v>
      </c>
      <c r="H7" t="s">
        <v>34</v>
      </c>
      <c r="I7" s="2" t="s">
        <v>19</v>
      </c>
    </row>
    <row r="8" spans="1:9" x14ac:dyDescent="0.2">
      <c r="A8">
        <v>5005</v>
      </c>
      <c r="B8" s="1" t="s">
        <v>15</v>
      </c>
      <c r="C8">
        <v>0</v>
      </c>
      <c r="D8">
        <v>24</v>
      </c>
      <c r="E8">
        <v>100</v>
      </c>
      <c r="F8" s="3" t="s">
        <v>32</v>
      </c>
      <c r="G8">
        <v>-1</v>
      </c>
      <c r="H8" t="s">
        <v>34</v>
      </c>
      <c r="I8" s="2" t="s">
        <v>21</v>
      </c>
    </row>
    <row r="9" spans="1:9" x14ac:dyDescent="0.2">
      <c r="A9">
        <v>5006</v>
      </c>
      <c r="B9" s="1" t="s">
        <v>14</v>
      </c>
      <c r="C9">
        <v>0</v>
      </c>
      <c r="D9">
        <v>27</v>
      </c>
      <c r="E9">
        <v>10</v>
      </c>
      <c r="F9" s="3" t="s">
        <v>37</v>
      </c>
      <c r="G9">
        <v>-1</v>
      </c>
      <c r="H9" t="s">
        <v>34</v>
      </c>
      <c r="I9" s="2" t="s">
        <v>39</v>
      </c>
    </row>
    <row r="10" spans="1:9" ht="28.5" x14ac:dyDescent="0.2">
      <c r="A10">
        <v>5007</v>
      </c>
      <c r="B10" s="1" t="s">
        <v>35</v>
      </c>
      <c r="C10">
        <v>0</v>
      </c>
      <c r="D10">
        <v>26</v>
      </c>
      <c r="E10">
        <v>10</v>
      </c>
      <c r="F10" s="3" t="s">
        <v>30</v>
      </c>
      <c r="G10">
        <v>-1</v>
      </c>
      <c r="H10" t="s">
        <v>34</v>
      </c>
      <c r="I10" s="2" t="s">
        <v>41</v>
      </c>
    </row>
    <row r="11" spans="1:9" ht="28.5" x14ac:dyDescent="0.2">
      <c r="A11">
        <v>5008</v>
      </c>
      <c r="B11" s="1" t="s">
        <v>16</v>
      </c>
      <c r="C11">
        <v>0</v>
      </c>
      <c r="D11">
        <v>25</v>
      </c>
      <c r="E11">
        <v>3</v>
      </c>
      <c r="F11" s="3" t="s">
        <v>31</v>
      </c>
      <c r="G11">
        <v>-1</v>
      </c>
      <c r="H11" t="s">
        <v>34</v>
      </c>
      <c r="I11" s="2" t="s">
        <v>42</v>
      </c>
    </row>
    <row r="12" spans="1:9" x14ac:dyDescent="0.2">
      <c r="A12">
        <v>5009</v>
      </c>
      <c r="B12" s="1" t="s">
        <v>17</v>
      </c>
      <c r="C12">
        <v>0</v>
      </c>
      <c r="D12">
        <v>10</v>
      </c>
      <c r="E12">
        <v>2</v>
      </c>
      <c r="F12" s="3" t="s">
        <v>30</v>
      </c>
      <c r="G12">
        <v>-1</v>
      </c>
      <c r="H12" t="s">
        <v>34</v>
      </c>
      <c r="I12" s="2" t="s">
        <v>38</v>
      </c>
    </row>
    <row r="13" spans="1:9" x14ac:dyDescent="0.2">
      <c r="A13">
        <v>5010</v>
      </c>
      <c r="B13" s="1" t="s">
        <v>25</v>
      </c>
      <c r="C13">
        <v>0</v>
      </c>
      <c r="D13">
        <v>10</v>
      </c>
      <c r="E13">
        <v>2</v>
      </c>
      <c r="F13" s="3" t="s">
        <v>30</v>
      </c>
      <c r="G13">
        <v>1</v>
      </c>
      <c r="H13" t="s">
        <v>34</v>
      </c>
      <c r="I13" s="2" t="s">
        <v>33</v>
      </c>
    </row>
    <row r="14" spans="1:9" x14ac:dyDescent="0.2">
      <c r="A14">
        <v>5011</v>
      </c>
      <c r="B14" s="1" t="s">
        <v>36</v>
      </c>
      <c r="C14">
        <v>0</v>
      </c>
      <c r="D14">
        <v>10</v>
      </c>
      <c r="E14">
        <v>2</v>
      </c>
      <c r="F14" s="3" t="s">
        <v>30</v>
      </c>
      <c r="G14">
        <v>-1</v>
      </c>
      <c r="H14" t="s">
        <v>34</v>
      </c>
      <c r="I14" s="2" t="s">
        <v>40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F13"/>
  <sheetViews>
    <sheetView workbookViewId="0">
      <selection activeCell="E2" sqref="E1:E2"/>
    </sheetView>
  </sheetViews>
  <sheetFormatPr defaultRowHeight="14.25" x14ac:dyDescent="0.2"/>
  <sheetData>
    <row r="1" spans="4:6" x14ac:dyDescent="0.2">
      <c r="D1">
        <v>3120</v>
      </c>
      <c r="E1" t="str">
        <f>D1&amp;","&amp;0</f>
        <v>3120,0</v>
      </c>
      <c r="F1" s="2"/>
    </row>
    <row r="2" spans="4:6" x14ac:dyDescent="0.2">
      <c r="D2">
        <v>3121</v>
      </c>
      <c r="E2" t="str">
        <f t="shared" ref="E2:E13" si="0">E1&amp;"|"&amp;D2&amp;","&amp;0</f>
        <v>3120,0|3121,0</v>
      </c>
      <c r="F2" s="2"/>
    </row>
    <row r="3" spans="4:6" x14ac:dyDescent="0.2">
      <c r="D3">
        <v>3122</v>
      </c>
      <c r="E3" t="str">
        <f t="shared" si="0"/>
        <v>3120,0|3121,0|3122,0</v>
      </c>
      <c r="F3" s="2"/>
    </row>
    <row r="4" spans="4:6" x14ac:dyDescent="0.2">
      <c r="D4">
        <v>3123</v>
      </c>
      <c r="E4" t="str">
        <f t="shared" si="0"/>
        <v>3120,0|3121,0|3122,0|3123,0</v>
      </c>
      <c r="F4" s="2"/>
    </row>
    <row r="5" spans="4:6" x14ac:dyDescent="0.2">
      <c r="D5">
        <v>3124</v>
      </c>
      <c r="E5" t="str">
        <f t="shared" si="0"/>
        <v>3120,0|3121,0|3122,0|3123,0|3124,0</v>
      </c>
      <c r="F5" s="2"/>
    </row>
    <row r="6" spans="4:6" x14ac:dyDescent="0.2">
      <c r="D6">
        <v>3125</v>
      </c>
      <c r="E6" t="str">
        <f t="shared" si="0"/>
        <v>3120,0|3121,0|3122,0|3123,0|3124,0|3125,0</v>
      </c>
      <c r="F6" s="2"/>
    </row>
    <row r="7" spans="4:6" x14ac:dyDescent="0.2">
      <c r="D7">
        <v>3126</v>
      </c>
      <c r="E7" t="str">
        <f t="shared" si="0"/>
        <v>3120,0|3121,0|3122,0|3123,0|3124,0|3125,0|3126,0</v>
      </c>
      <c r="F7" s="2"/>
    </row>
    <row r="8" spans="4:6" x14ac:dyDescent="0.2">
      <c r="D8">
        <v>3127</v>
      </c>
      <c r="E8" t="str">
        <f t="shared" si="0"/>
        <v>3120,0|3121,0|3122,0|3123,0|3124,0|3125,0|3126,0|3127,0</v>
      </c>
      <c r="F8" s="2"/>
    </row>
    <row r="9" spans="4:6" x14ac:dyDescent="0.2">
      <c r="D9">
        <v>3129</v>
      </c>
      <c r="E9" t="str">
        <f t="shared" si="0"/>
        <v>3120,0|3121,0|3122,0|3123,0|3124,0|3125,0|3126,0|3127,0|3129,0</v>
      </c>
      <c r="F9" s="2"/>
    </row>
    <row r="10" spans="4:6" x14ac:dyDescent="0.2">
      <c r="D10">
        <v>3137</v>
      </c>
      <c r="E10" t="str">
        <f t="shared" si="0"/>
        <v>3120,0|3121,0|3122,0|3123,0|3124,0|3125,0|3126,0|3127,0|3129,0|3137,0</v>
      </c>
      <c r="F10" s="2"/>
    </row>
    <row r="11" spans="4:6" x14ac:dyDescent="0.2">
      <c r="D11">
        <v>3138</v>
      </c>
      <c r="E11" t="str">
        <f t="shared" si="0"/>
        <v>3120,0|3121,0|3122,0|3123,0|3124,0|3125,0|3126,0|3127,0|3129,0|3137,0|3138,0</v>
      </c>
      <c r="F11" s="2"/>
    </row>
    <row r="12" spans="4:6" x14ac:dyDescent="0.2">
      <c r="D12">
        <v>3140</v>
      </c>
      <c r="E12" t="str">
        <f t="shared" si="0"/>
        <v>3120,0|3121,0|3122,0|3123,0|3124,0|3125,0|3126,0|3127,0|3129,0|3137,0|3138,0|3140,0</v>
      </c>
      <c r="F12" s="2"/>
    </row>
    <row r="13" spans="4:6" x14ac:dyDescent="0.2">
      <c r="D13">
        <v>3141</v>
      </c>
      <c r="E13" t="str">
        <f t="shared" si="0"/>
        <v>3120,0|3121,0|3122,0|3123,0|3124,0|3125,0|3126,0|3127,0|3129,0|3137,0|3138,0|3140,0|3141,0</v>
      </c>
      <c r="F13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ManufactureData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2024-05-18T09:49:16Z</dcterms:modified>
</cp:coreProperties>
</file>