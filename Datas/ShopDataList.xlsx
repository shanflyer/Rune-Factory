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 activeTab="1"/>
  </bookViews>
  <sheets>
    <sheet name="ShopItemData" sheetId="1" r:id="rId1"/>
    <sheet name="Sheet2" sheetId="3" r:id="rId2"/>
    <sheet name="Sheet1" sheetId="2" r:id="rId3"/>
  </sheets>
  <definedNames>
    <definedName name="_xlnm._FilterDatabase" localSheetId="1" hidden="1">Sheet2!$J$6:$L$6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3" l="1"/>
  <c r="K8" i="3"/>
  <c r="K7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<sst xmlns="http://schemas.openxmlformats.org/spreadsheetml/2006/main" count="920" uniqueCount="458">
  <si>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</si>
  <si>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</si>
  <si>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</si>
  <si>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</si>
  <si>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</si>
  <si>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</si>
  <si>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</si>
  <si>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</si>
  <si>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</si>
  <si>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</si>
  <si>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</si>
  <si>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</si>
  <si>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</si>
  <si>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</si>
  <si>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</si>
  <si>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</si>
  <si>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</si>
  <si>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</si>
  <si>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</si>
  <si>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</si>
  <si>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</si>
  <si>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</si>
  <si>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</si>
  <si>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</si>
  <si>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</si>
  <si>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</si>
  <si>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</si>
  <si>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</si>
  <si>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</si>
  <si>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</si>
  <si>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</si>
  <si>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</si>
  <si>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</si>
  <si>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</si>
  <si>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</si>
  <si>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</si>
  <si>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</si>
  <si>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</si>
  <si>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</si>
  <si>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</si>
  <si>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</si>
  <si>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</si>
  <si>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</si>
  <si>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</si>
  <si>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</si>
  <si>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</si>
  <si>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</si>
  <si>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</si>
  <si>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</si>
  <si>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</si>
  <si>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</si>
  <si>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</si>
  <si>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</si>
  <si>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</si>
  <si>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</si>
  <si>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</si>
  <si>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</si>
  <si>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</si>
  <si>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</si>
  <si>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</si>
  <si>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</si>
  <si>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</si>
  <si>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</si>
  <si>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</si>
  <si>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</si>
  <si>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</si>
  <si>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</si>
  <si>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</si>
  <si>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</si>
  <si>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</si>
  <si>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</si>
  <si>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</si>
  <si>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</si>
  <si>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</si>
  <si>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</si>
  <si>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</si>
  <si>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</si>
  <si>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</si>
  <si>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</si>
  <si>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</si>
  <si>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</si>
  <si>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</si>
  <si>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</si>
  <si>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</si>
  <si>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</si>
  <si>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</si>
  <si>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</si>
  <si>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</si>
  <si>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</si>
  <si>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</si>
  <si>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</si>
  <si>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</si>
  <si>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</si>
  <si>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</si>
  <si>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</si>
  <si>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</si>
  <si>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</si>
  <si>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</si>
  <si>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</si>
  <si>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</si>
  <si>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</si>
  <si>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</si>
  <si>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</si>
  <si>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</si>
  <si>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</si>
  <si>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</si>
  <si>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</si>
  <si>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</si>
  <si>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</si>
  <si>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</si>
  <si>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</si>
  <si>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</si>
  <si>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</si>
  <si>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</si>
  <si>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</si>
  <si>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</si>
  <si>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</si>
  <si>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</si>
  <si>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</si>
  <si>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</si>
  <si>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</si>
  <si>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</si>
  <si>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</si>
  <si>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</si>
  <si>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</si>
  <si>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</si>
  <si>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</si>
  <si>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</si>
  <si>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</si>
  <si>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</si>
  <si>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</si>
  <si>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</si>
  <si>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</si>
  <si>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</si>
  <si>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</si>
  <si>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</si>
  <si>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</si>
  <si>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</si>
  <si>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</si>
  <si>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</si>
  <si>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</si>
  <si>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</si>
  <si>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</si>
  <si>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</si>
  <si>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</si>
  <si>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</si>
  <si>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</si>
  <si>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</si>
  <si>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</si>
  <si>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</si>
  <si>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</si>
  <si>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</si>
  <si>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</si>
  <si>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</si>
  <si>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</si>
  <si>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</si>
  <si>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</si>
  <si>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</si>
  <si>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</si>
  <si>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</si>
  <si>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</si>
  <si>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</si>
  <si>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</si>
  <si>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</si>
  <si>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</si>
  <si>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</si>
  <si>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</si>
  <si>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</si>
  <si>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</si>
  <si>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</si>
  <si>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</si>
  <si>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</si>
  <si>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</si>
  <si>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</si>
  <si>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</si>
  <si>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</si>
  <si>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</si>
  <si>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</si>
  <si>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</si>
  <si>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</si>
  <si>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</si>
  <si>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</si>
  <si>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</si>
  <si>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</si>
  <si>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</si>
  <si>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</si>
  <si>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</si>
  <si>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</si>
  <si>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</si>
  <si>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</si>
  <si>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</si>
  <si>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</si>
  <si>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</si>
  <si>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</si>
  <si>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</si>
  <si>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</si>
  <si>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</si>
  <si>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</si>
  <si>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</si>
  <si>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</si>
  <si>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</si>
  <si>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</si>
  <si>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</si>
  <si>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</si>
  <si>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</si>
  <si>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</si>
  <si>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</si>
  <si>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</si>
  <si>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</si>
  <si>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</si>
  <si>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</si>
  <si>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</si>
  <si>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</si>
  <si>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</si>
  <si>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</si>
  <si>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</si>
  <si>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</si>
  <si>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</si>
  <si>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</si>
  <si>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</si>
  <si>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</si>
  <si>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</si>
  <si>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</si>
  <si>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</si>
  <si>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</si>
  <si>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</si>
  <si>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</si>
  <si>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</si>
  <si>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</si>
  <si>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</si>
  <si>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</si>
  <si>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</si>
  <si>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</si>
  <si>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</si>
  <si>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</si>
  <si>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</si>
  <si>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</si>
  <si>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</si>
  <si>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</si>
  <si>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</si>
  <si>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</si>
  <si>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</si>
  <si>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</si>
  <si>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</si>
  <si>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</si>
  <si>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</si>
  <si>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</si>
  <si>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</si>
  <si>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</si>
  <si>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</si>
  <si>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</si>
  <si>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</si>
  <si>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</si>
  <si>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</si>
  <si>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</si>
  <si>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</si>
  <si>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</si>
  <si>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</si>
  <si>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</si>
  <si>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</si>
  <si>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</si>
  <si>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</si>
  <si>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</si>
  <si>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</si>
  <si>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</si>
  <si>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</si>
  <si>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</si>
  <si>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</si>
  <si>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</si>
  <si>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</si>
  <si>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</si>
  <si>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</si>
  <si>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</si>
  <si>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</si>
  <si>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</si>
  <si>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</si>
  <si>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</si>
  <si>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</si>
  <si>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</si>
  <si>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</si>
  <si>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</si>
  <si>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</si>
  <si>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</si>
  <si>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</si>
  <si>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</si>
  <si>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</si>
  <si>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</si>
  <si>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</si>
  <si>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</si>
  <si>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</si>
  <si>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</si>
  <si>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</si>
  <si>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</si>
  <si>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</si>
  <si>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</si>
  <si>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</si>
  <si>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</si>
  <si>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</si>
  <si>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</si>
  <si>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</si>
  <si>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</si>
  <si>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</si>
  <si>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</si>
  <si>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</si>
  <si>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</si>
  <si>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</si>
  <si>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</si>
  <si>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</si>
  <si>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</si>
  <si>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</si>
  <si>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</si>
  <si>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</si>
  <si>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</si>
  <si>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</si>
  <si>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</si>
  <si>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</si>
  <si>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</si>
  <si>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</si>
  <si>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</si>
  <si>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</si>
  <si>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</si>
  <si>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</si>
  <si>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</si>
  <si>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</si>
  <si>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</si>
  <si>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</si>
  <si>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</si>
  <si>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</si>
  <si>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</si>
  <si>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</si>
  <si>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</si>
  <si>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</si>
  <si>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</si>
  <si>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</si>
  <si>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</si>
  <si>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</si>
  <si>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</si>
  <si>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</si>
  <si>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</si>
  <si>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</si>
  <si>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</si>
  <si>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</si>
  <si>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</si>
  <si>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</si>
  <si>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</si>
  <si>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</si>
  <si>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</si>
  <si>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</si>
  <si>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</si>
  <si>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</si>
  <si>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</si>
  <si>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</si>
  <si>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</si>
  <si>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</si>
  <si>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</si>
  <si>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</si>
  <si>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</si>
  <si>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</si>
  <si>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</si>
  <si>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</si>
  <si>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</si>
  <si>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</si>
  <si>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</si>
  <si>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</si>
  <si>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</si>
  <si>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</si>
  <si>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</si>
  <si>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</si>
  <si>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</si>
  <si>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</si>
  <si>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</si>
  <si>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</si>
  <si>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</si>
  <si>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</si>
  <si>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</si>
  <si>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</si>
  <si>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</si>
  <si>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</si>
  <si>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</si>
  <si>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</si>
  <si>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</si>
  <si>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</si>
  <si>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</si>
  <si>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</si>
  <si>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</si>
  <si>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</si>
  <si>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</si>
  <si>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</si>
  <si>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</si>
  <si>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</si>
  <si>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</si>
  <si>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</si>
  <si>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</si>
  <si>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</si>
  <si>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</si>
  <si>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</si>
  <si>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</si>
  <si>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</si>
  <si>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</si>
  <si>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</si>
  <si>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</si>
  <si>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</si>
  <si>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</si>
  <si>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</si>
  <si>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</si>
  <si>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</si>
  <si>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</si>
  <si>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</si>
  <si>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</si>
  <si>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</si>
  <si>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</si>
  <si>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</si>
  <si>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</si>
  <si>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</si>
  <si>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</si>
  <si>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</si>
  <si>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</si>
  <si>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</si>
  <si>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</si>
  <si>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</si>
  <si>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</si>
  <si>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</si>
  <si>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</si>
  <si>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</si>
  <si>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</si>
  <si>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</si>
  <si>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</si>
  <si>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</si>
  <si>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</si>
  <si>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</si>
  <si>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</si>
  <si>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</si>
  <si>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</si>
  <si>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</si>
  <si>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</si>
  <si>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</si>
  <si>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</si>
  <si>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</si>
  <si>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</si>
  <si>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</si>
  <si>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</si>
  <si>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</si>
  <si>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</si>
  <si>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</si>
  <si>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</si>
  <si>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</si>
  <si>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</si>
  <si>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</si>
  <si>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</si>
  <si>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</si>
  <si>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</si>
  <si>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</si>
  <si>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</si>
  <si>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</si>
  <si>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</si>
  <si>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</si>
  <si>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</si>
  <si>
    <t>杂物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</si>
</sst>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H4" sqref="D4:H31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2107</v>
      </c>
      <c r="E66" s="1">
        <v>2</v>
      </c>
      <c r="F66" s="2">
        <v>0</v>
      </c>
      <c r="G66" s="1">
        <v>100</v>
      </c>
      <c r="H66" s="1">
        <v>2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2108</v>
      </c>
      <c r="E67" s="1">
        <v>2</v>
      </c>
      <c r="F67" s="2">
        <v>0</v>
      </c>
      <c r="G67" s="1">
        <v>100</v>
      </c>
      <c r="H67" s="1">
        <v>1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2109</v>
      </c>
      <c r="E68" s="1">
        <v>2</v>
      </c>
      <c r="F68" s="2">
        <v>0</v>
      </c>
      <c r="G68" s="1">
        <v>100</v>
      </c>
      <c r="H68" s="1">
        <v>3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2110</v>
      </c>
      <c r="E69" s="1">
        <v>2</v>
      </c>
      <c r="F69" s="2">
        <v>0</v>
      </c>
      <c r="G69" s="1">
        <v>100</v>
      </c>
      <c r="H69" s="1">
        <v>4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2111</v>
      </c>
      <c r="E70" s="1">
        <v>2</v>
      </c>
      <c r="F70" s="2">
        <v>0</v>
      </c>
      <c r="G70" s="1">
        <v>100</v>
      </c>
      <c r="H70" s="1">
        <v>1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2113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4">
        <v>2114</v>
      </c>
      <c r="E72" s="1">
        <v>2</v>
      </c>
      <c r="F72" s="2">
        <v>0</v>
      </c>
      <c r="G72" s="1">
        <v>100</v>
      </c>
      <c r="H72" s="1">
        <v>2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16</v>
      </c>
      <c r="B73" s="1">
        <v>1003</v>
      </c>
      <c r="C73" s="1" t="s">
        <v>14</v>
      </c>
      <c r="D73" s="5">
        <v>2200</v>
      </c>
      <c r="E73" s="1">
        <v>2</v>
      </c>
      <c r="F73" s="2">
        <v>0</v>
      </c>
      <c r="G73" s="1">
        <v>100</v>
      </c>
      <c r="H73" s="1">
        <v>1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2201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2202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2203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2204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2205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2206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2207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2208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2209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22</v>
      </c>
      <c r="B83" s="1">
        <v>1004</v>
      </c>
      <c r="C83" s="1" t="s">
        <v>21</v>
      </c>
      <c r="D83" s="1">
        <v>3500</v>
      </c>
      <c r="E83" s="1">
        <v>1</v>
      </c>
      <c r="F83" s="1">
        <v>0</v>
      </c>
      <c r="G83" s="1">
        <v>100</v>
      </c>
      <c r="H83" s="1">
        <v>1</v>
      </c>
      <c r="I83" s="1">
        <v>900</v>
      </c>
      <c r="J83" s="1">
        <v>1079546</v>
      </c>
      <c r="K83" t="s">
        <v>33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3501</v>
      </c>
      <c r="E84" s="1">
        <v>1</v>
      </c>
      <c r="F84" s="1">
        <v>0</v>
      </c>
      <c r="G84" s="1">
        <v>100</v>
      </c>
      <c r="H84" s="1">
        <v>2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3502</v>
      </c>
      <c r="E85" s="1">
        <v>1</v>
      </c>
      <c r="F85" s="1">
        <v>0</v>
      </c>
      <c r="G85" s="1">
        <v>100</v>
      </c>
      <c r="H85" s="1">
        <v>3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3503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3505</v>
      </c>
      <c r="E87" s="1">
        <v>1</v>
      </c>
      <c r="F87" s="1">
        <v>0</v>
      </c>
      <c r="G87" s="1">
        <v>100</v>
      </c>
      <c r="H87" s="1">
        <v>4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3504</v>
      </c>
      <c r="E88" s="1">
        <v>1</v>
      </c>
      <c r="F88" s="1">
        <v>0</v>
      </c>
      <c r="G88" s="1">
        <v>100</v>
      </c>
      <c r="H88" s="1">
        <v>5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3506</v>
      </c>
      <c r="E89" s="1">
        <v>1</v>
      </c>
      <c r="F89" s="1">
        <v>0</v>
      </c>
      <c r="G89" s="1">
        <v>100</v>
      </c>
      <c r="H89" s="1">
        <v>6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455</v>
      </c>
      <c r="B90" s="1">
        <v>1005</v>
      </c>
      <c r="C90" s="1" t="s">
        <v>21</v>
      </c>
      <c r="D90" s="1">
        <v>301</v>
      </c>
      <c r="E90" s="1">
        <v>0</v>
      </c>
      <c r="F90" s="1">
        <v>0</v>
      </c>
      <c r="G90" s="1">
        <v>100</v>
      </c>
      <c r="H90" s="1">
        <v>2</v>
      </c>
      <c r="I90" s="1">
        <v>900</v>
      </c>
      <c r="J90" s="1">
        <v>1079546</v>
      </c>
      <c r="K90" t="s">
        <v>33</v>
      </c>
      <c r="L90" s="1" t="b">
        <v>0</v>
      </c>
      <c r="M90" s="1">
        <v>0</v>
      </c>
    </row>
    <row r="91" spans="1:13" x14ac:dyDescent="0.2">
      <c r="A91" s="1" t="s">
        <v>39</v>
      </c>
      <c r="B91" s="1">
        <v>1005</v>
      </c>
      <c r="C91" s="1" t="s">
        <v>21</v>
      </c>
      <c r="D91" s="5">
        <v>3007</v>
      </c>
      <c r="E91" s="1">
        <v>0</v>
      </c>
      <c r="F91" s="1">
        <v>0</v>
      </c>
      <c r="G91" s="1">
        <v>100</v>
      </c>
      <c r="H91" s="1">
        <v>1</v>
      </c>
      <c r="I91" s="1">
        <v>900</v>
      </c>
      <c r="J91" s="1">
        <v>1079546</v>
      </c>
      <c r="K91" t="s">
        <v>33</v>
      </c>
      <c r="L91" s="1" t="b">
        <v>0</v>
      </c>
      <c r="M91" s="1">
        <v>0</v>
      </c>
    </row>
    <row r="92" spans="1:13" x14ac:dyDescent="0.2">
      <c r="A92" s="1" t="s">
        <v>39</v>
      </c>
      <c r="B92" s="1">
        <v>1005</v>
      </c>
      <c r="C92" s="1" t="s">
        <v>21</v>
      </c>
      <c r="D92" s="1">
        <v>302</v>
      </c>
      <c r="E92" s="1">
        <v>0</v>
      </c>
      <c r="F92" s="1">
        <v>0</v>
      </c>
      <c r="G92" s="1">
        <v>100</v>
      </c>
      <c r="H92" s="1">
        <v>2</v>
      </c>
      <c r="I92" s="1">
        <v>900</v>
      </c>
      <c r="J92" s="1">
        <v>1079546</v>
      </c>
      <c r="K92" t="s">
        <v>33</v>
      </c>
      <c r="L92" s="1" t="b">
        <v>0</v>
      </c>
      <c r="M92" s="1">
        <v>0</v>
      </c>
    </row>
    <row r="93" spans="1:13" x14ac:dyDescent="0.2">
      <c r="A93" s="1" t="s">
        <v>39</v>
      </c>
      <c r="B93" s="1">
        <v>1005</v>
      </c>
      <c r="C93" s="1" t="s">
        <v>21</v>
      </c>
      <c r="D93" s="1">
        <v>283</v>
      </c>
      <c r="E93" s="1">
        <v>0</v>
      </c>
      <c r="F93" s="1">
        <v>0</v>
      </c>
      <c r="G93" s="1">
        <v>100</v>
      </c>
      <c r="H93" s="1">
        <v>3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1">
        <v>3008</v>
      </c>
      <c r="E94" s="1">
        <v>0</v>
      </c>
      <c r="F94" s="1">
        <v>0</v>
      </c>
      <c r="G94" s="1">
        <v>100</v>
      </c>
      <c r="H94" s="1">
        <v>1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5">
        <v>3006</v>
      </c>
      <c r="E95" s="1">
        <v>0</v>
      </c>
      <c r="F95" s="1">
        <v>0</v>
      </c>
      <c r="G95" s="1">
        <v>100</v>
      </c>
      <c r="H95" s="1">
        <v>5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1">
        <v>276</v>
      </c>
      <c r="E96" s="1">
        <v>0</v>
      </c>
      <c r="F96" s="1">
        <v>0</v>
      </c>
      <c r="G96" s="1">
        <v>100</v>
      </c>
      <c r="H96" s="1">
        <v>6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41</v>
      </c>
      <c r="B97" s="1">
        <v>1006</v>
      </c>
      <c r="C97" s="1" t="s">
        <v>53</v>
      </c>
      <c r="D97" s="1">
        <v>3002</v>
      </c>
      <c r="E97" s="1">
        <v>0</v>
      </c>
      <c r="F97" s="1">
        <v>0</v>
      </c>
      <c r="G97" s="1">
        <v>100</v>
      </c>
      <c r="H97" s="1">
        <v>1</v>
      </c>
      <c r="I97" s="1">
        <v>2180</v>
      </c>
      <c r="J97" s="1">
        <v>1165443</v>
      </c>
      <c r="K97" s="1" t="s">
        <v>35</v>
      </c>
      <c r="L97" s="1" t="b">
        <v>0</v>
      </c>
      <c r="M97" s="1">
        <v>0</v>
      </c>
    </row>
    <row r="98" spans="1:13" x14ac:dyDescent="0.2">
      <c r="A98" s="1" t="s">
        <v>41</v>
      </c>
      <c r="B98" s="1">
        <v>1006</v>
      </c>
      <c r="C98" s="1" t="s">
        <v>40</v>
      </c>
      <c r="D98" s="1">
        <v>3011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35</v>
      </c>
      <c r="L98" s="1" t="b">
        <v>0</v>
      </c>
      <c r="M98" s="1">
        <v>0</v>
      </c>
    </row>
    <row r="99" spans="1:13" x14ac:dyDescent="0.2">
      <c r="A99" s="1" t="s">
        <v>41</v>
      </c>
      <c r="B99" s="1">
        <v>1006</v>
      </c>
      <c r="C99" s="1" t="s">
        <v>40</v>
      </c>
      <c r="D99" s="1">
        <v>3009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35</v>
      </c>
      <c r="L99" s="1" t="b">
        <v>0</v>
      </c>
      <c r="M99" s="1">
        <v>0</v>
      </c>
    </row>
    <row r="100" spans="1:13" x14ac:dyDescent="0.2">
      <c r="A100" s="1" t="s">
        <v>41</v>
      </c>
      <c r="B100" s="1">
        <v>1006</v>
      </c>
      <c r="C100" s="1" t="s">
        <v>40</v>
      </c>
      <c r="D100" s="1">
        <v>3000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35</v>
      </c>
      <c r="L100" s="1" t="b">
        <v>0</v>
      </c>
      <c r="M100" s="1">
        <v>0</v>
      </c>
    </row>
    <row r="101" spans="1:13" x14ac:dyDescent="0.2">
      <c r="A101" s="1" t="s">
        <v>41</v>
      </c>
      <c r="B101" s="1">
        <v>1006</v>
      </c>
      <c r="C101" s="1" t="s">
        <v>40</v>
      </c>
      <c r="D101" s="1">
        <v>3001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35</v>
      </c>
      <c r="L101" s="1" t="b">
        <v>0</v>
      </c>
      <c r="M101" s="1">
        <v>0</v>
      </c>
    </row>
    <row r="102" spans="1:13" x14ac:dyDescent="0.2">
      <c r="A102" s="1" t="s">
        <v>41</v>
      </c>
      <c r="B102" s="1">
        <v>1006</v>
      </c>
      <c r="C102" s="1" t="s">
        <v>40</v>
      </c>
      <c r="D102" s="1">
        <v>3003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35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40</v>
      </c>
      <c r="D103" s="1">
        <v>3005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200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20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21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42</v>
      </c>
      <c r="B107" s="1">
        <v>1007</v>
      </c>
      <c r="C107" s="1" t="s">
        <v>40</v>
      </c>
      <c r="D107" s="1">
        <v>3142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42</v>
      </c>
      <c r="B108" s="1">
        <v>1007</v>
      </c>
      <c r="C108" s="1" t="s">
        <v>40</v>
      </c>
      <c r="D108" s="1">
        <v>3143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42</v>
      </c>
      <c r="B109" s="1">
        <v>1007</v>
      </c>
      <c r="C109" s="1" t="s">
        <v>40</v>
      </c>
      <c r="D109" s="1">
        <v>3144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42</v>
      </c>
      <c r="B110" s="1">
        <v>1007</v>
      </c>
      <c r="C110" s="1" t="s">
        <v>40</v>
      </c>
      <c r="D110" s="1">
        <v>3108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42</v>
      </c>
      <c r="B111" s="1">
        <v>1007</v>
      </c>
      <c r="C111" s="1" t="s">
        <v>40</v>
      </c>
      <c r="D111" s="1">
        <v>3109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42</v>
      </c>
      <c r="B112" s="1">
        <v>1007</v>
      </c>
      <c r="C112" s="1" t="s">
        <v>40</v>
      </c>
      <c r="D112" s="1">
        <v>3120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3100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3156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57</v>
      </c>
      <c r="B115" s="1">
        <v>1008</v>
      </c>
      <c r="C115" s="1" t="s">
        <v>44</v>
      </c>
      <c r="D115" s="1">
        <v>1600</v>
      </c>
      <c r="E115" s="1">
        <v>0</v>
      </c>
      <c r="F115" s="1">
        <v>0</v>
      </c>
      <c r="G115" s="1">
        <v>100</v>
      </c>
      <c r="H115" s="1">
        <v>1</v>
      </c>
      <c r="I115" s="1">
        <v>1756</v>
      </c>
      <c r="J115" s="1">
        <v>1019120</v>
      </c>
      <c r="K115" s="1" t="s">
        <v>34</v>
      </c>
      <c r="L115" s="1" t="b">
        <v>0</v>
      </c>
      <c r="M115" s="1">
        <v>0</v>
      </c>
    </row>
    <row r="116" spans="1:13" x14ac:dyDescent="0.2">
      <c r="A116" s="1" t="s">
        <v>57</v>
      </c>
      <c r="B116" s="1">
        <v>1008</v>
      </c>
      <c r="C116" s="1" t="s">
        <v>44</v>
      </c>
      <c r="D116" s="1">
        <v>1605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34</v>
      </c>
      <c r="L116" s="1" t="b">
        <v>0</v>
      </c>
      <c r="M116" s="1">
        <v>0</v>
      </c>
    </row>
    <row r="117" spans="1:13" x14ac:dyDescent="0.2">
      <c r="A117" s="1" t="s">
        <v>57</v>
      </c>
      <c r="B117" s="1">
        <v>1008</v>
      </c>
      <c r="C117" s="1" t="s">
        <v>44</v>
      </c>
      <c r="D117" s="1">
        <v>1609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34</v>
      </c>
      <c r="L117" s="1" t="b">
        <v>0</v>
      </c>
      <c r="M117" s="1">
        <v>0</v>
      </c>
    </row>
    <row r="118" spans="1:13" x14ac:dyDescent="0.2">
      <c r="A118" s="1" t="s">
        <v>57</v>
      </c>
      <c r="B118" s="1">
        <v>1008</v>
      </c>
      <c r="C118" s="1" t="s">
        <v>44</v>
      </c>
      <c r="D118" s="1">
        <v>1612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34</v>
      </c>
      <c r="L118" s="1" t="b">
        <v>0</v>
      </c>
      <c r="M118" s="1">
        <v>0</v>
      </c>
    </row>
    <row r="119" spans="1:13" x14ac:dyDescent="0.2">
      <c r="A119" s="1" t="s">
        <v>57</v>
      </c>
      <c r="B119" s="1">
        <v>1008</v>
      </c>
      <c r="C119" s="1" t="s">
        <v>44</v>
      </c>
      <c r="D119" s="1">
        <v>1613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34</v>
      </c>
      <c r="L119" s="1" t="b">
        <v>0</v>
      </c>
      <c r="M119" s="1">
        <v>0</v>
      </c>
    </row>
    <row r="120" spans="1:13" x14ac:dyDescent="0.2">
      <c r="A120" s="1" t="s">
        <v>73</v>
      </c>
      <c r="B120" s="1">
        <v>1009</v>
      </c>
      <c r="C120" s="1" t="s">
        <v>44</v>
      </c>
      <c r="D120" s="1">
        <v>1652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34</v>
      </c>
      <c r="L120" s="1" t="b">
        <v>0</v>
      </c>
      <c r="M120" s="1">
        <v>0</v>
      </c>
    </row>
    <row r="121" spans="1:13" x14ac:dyDescent="0.2">
      <c r="A121" s="1" t="s">
        <v>73</v>
      </c>
      <c r="B121" s="1">
        <v>1009</v>
      </c>
      <c r="C121" s="1" t="s">
        <v>44</v>
      </c>
      <c r="D121" s="1">
        <v>1654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73</v>
      </c>
      <c r="B122" s="1">
        <v>1009</v>
      </c>
      <c r="C122" s="1" t="s">
        <v>44</v>
      </c>
      <c r="D122" s="1">
        <v>1702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73</v>
      </c>
      <c r="B123" s="1">
        <v>1009</v>
      </c>
      <c r="C123" s="1" t="s">
        <v>44</v>
      </c>
      <c r="D123" s="1">
        <v>1803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81</v>
      </c>
      <c r="B124" s="1">
        <v>1010</v>
      </c>
      <c r="C124" s="1" t="s">
        <v>44</v>
      </c>
      <c r="D124" s="1">
        <v>22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81</v>
      </c>
      <c r="B125" s="1">
        <v>1010</v>
      </c>
      <c r="C125" s="1" t="s">
        <v>44</v>
      </c>
      <c r="D125" s="1">
        <v>2000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81</v>
      </c>
      <c r="B126" s="1">
        <v>1010</v>
      </c>
      <c r="C126" s="1" t="s">
        <v>44</v>
      </c>
      <c r="D126" s="1">
        <v>2001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81</v>
      </c>
      <c r="B127" s="1">
        <v>1010</v>
      </c>
      <c r="C127" s="1" t="s">
        <v>44</v>
      </c>
      <c r="D127" s="5">
        <v>2115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81</v>
      </c>
      <c r="B128" s="1">
        <v>1010</v>
      </c>
      <c r="C128" s="1" t="s">
        <v>44</v>
      </c>
      <c r="D128" s="5">
        <v>2116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81</v>
      </c>
      <c r="B129" s="1">
        <v>1010</v>
      </c>
      <c r="C129" s="1" t="s">
        <v>44</v>
      </c>
      <c r="D129" s="1">
        <v>2002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2003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298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45</v>
      </c>
      <c r="B132" s="1">
        <v>1011</v>
      </c>
      <c r="C132" s="1" t="s">
        <v>25</v>
      </c>
      <c r="D132" s="1">
        <v>1650</v>
      </c>
      <c r="E132" s="1">
        <v>0</v>
      </c>
      <c r="F132" s="1">
        <v>0</v>
      </c>
      <c r="G132" s="1">
        <v>100</v>
      </c>
      <c r="H132" s="1">
        <v>1</v>
      </c>
      <c r="I132" s="1">
        <v>5309</v>
      </c>
      <c r="J132" s="1">
        <v>1159783</v>
      </c>
      <c r="K132" s="1">
        <v>41</v>
      </c>
      <c r="L132" s="1" t="b">
        <v>0</v>
      </c>
      <c r="M132" s="1">
        <v>0</v>
      </c>
    </row>
    <row r="133" spans="1:13" x14ac:dyDescent="0.2">
      <c r="A133" s="1" t="s">
        <v>45</v>
      </c>
      <c r="B133" s="1">
        <v>1011</v>
      </c>
      <c r="C133" s="1" t="s">
        <v>25</v>
      </c>
      <c r="D133" s="1">
        <v>1651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45</v>
      </c>
      <c r="B134" s="1">
        <v>1011</v>
      </c>
      <c r="C134" s="1" t="s">
        <v>25</v>
      </c>
      <c r="D134" s="1">
        <v>1700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45</v>
      </c>
      <c r="B135" s="1">
        <v>1011</v>
      </c>
      <c r="C135" s="1" t="s">
        <v>25</v>
      </c>
      <c r="D135" s="1">
        <v>1701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45</v>
      </c>
      <c r="B136" s="1">
        <v>1011</v>
      </c>
      <c r="C136" s="1" t="s">
        <v>25</v>
      </c>
      <c r="D136" s="1">
        <v>1800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45</v>
      </c>
      <c r="B137" s="1">
        <v>1011</v>
      </c>
      <c r="C137" s="1" t="s">
        <v>25</v>
      </c>
      <c r="D137" s="1">
        <v>1802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81</v>
      </c>
      <c r="B138" s="1">
        <v>1012</v>
      </c>
      <c r="C138" s="1" t="s">
        <v>25</v>
      </c>
      <c r="D138" s="1">
        <v>23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81</v>
      </c>
      <c r="B139" s="1">
        <v>1012</v>
      </c>
      <c r="C139" s="1" t="s">
        <v>25</v>
      </c>
      <c r="D139" s="1">
        <v>271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81</v>
      </c>
      <c r="B140" s="1">
        <v>1012</v>
      </c>
      <c r="C140" s="1" t="s">
        <v>25</v>
      </c>
      <c r="D140" s="1">
        <v>277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81</v>
      </c>
      <c r="B141" s="1">
        <v>1012</v>
      </c>
      <c r="C141" s="1" t="s">
        <v>25</v>
      </c>
      <c r="D141" s="1">
        <v>204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457</v>
      </c>
      <c r="B142" s="1">
        <v>1013</v>
      </c>
      <c r="C142" s="1" t="s">
        <v>47</v>
      </c>
      <c r="D142" s="1">
        <v>11</v>
      </c>
      <c r="E142" s="1">
        <v>0</v>
      </c>
      <c r="F142" s="1">
        <v>0</v>
      </c>
      <c r="G142" s="1">
        <v>100</v>
      </c>
      <c r="H142" s="1">
        <v>1</v>
      </c>
      <c r="I142" s="1">
        <v>3056</v>
      </c>
      <c r="J142" s="1">
        <v>1019972</v>
      </c>
      <c r="K142" s="1" t="s">
        <v>36</v>
      </c>
      <c r="L142" s="1" t="b">
        <v>0</v>
      </c>
      <c r="M142" s="1">
        <v>0</v>
      </c>
    </row>
    <row r="143" spans="1:13" x14ac:dyDescent="0.2">
      <c r="A143" s="1" t="s">
        <v>457</v>
      </c>
      <c r="B143" s="1">
        <v>1013</v>
      </c>
      <c r="C143" s="1" t="s">
        <v>47</v>
      </c>
      <c r="D143" s="1">
        <v>201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36</v>
      </c>
      <c r="L143" s="1" t="b">
        <v>0</v>
      </c>
      <c r="M143" s="1">
        <v>0</v>
      </c>
    </row>
    <row r="144" spans="1:13" x14ac:dyDescent="0.2">
      <c r="A144" s="1" t="s">
        <v>49</v>
      </c>
      <c r="B144" s="1">
        <v>1013</v>
      </c>
      <c r="C144" s="1" t="s">
        <v>47</v>
      </c>
      <c r="D144" s="1">
        <v>295</v>
      </c>
      <c r="E144" s="1">
        <v>0</v>
      </c>
      <c r="F144" s="1">
        <v>0</v>
      </c>
      <c r="G144" s="1">
        <v>100</v>
      </c>
      <c r="H144" s="1">
        <v>100</v>
      </c>
      <c r="I144" s="1">
        <v>3056</v>
      </c>
      <c r="J144" s="1">
        <v>1019972</v>
      </c>
      <c r="K144" s="1" t="s">
        <v>36</v>
      </c>
      <c r="L144" s="1" t="b">
        <v>0</v>
      </c>
      <c r="M144" s="1">
        <v>0</v>
      </c>
    </row>
    <row r="145" spans="1:13" x14ac:dyDescent="0.2">
      <c r="A145" s="1" t="s">
        <v>49</v>
      </c>
      <c r="B145" s="1">
        <v>1013</v>
      </c>
      <c r="C145" s="1" t="s">
        <v>47</v>
      </c>
      <c r="D145" s="1">
        <v>24</v>
      </c>
      <c r="E145" s="1">
        <v>0</v>
      </c>
      <c r="F145" s="1">
        <v>0</v>
      </c>
      <c r="G145" s="1">
        <v>100</v>
      </c>
      <c r="H145" s="1">
        <v>100</v>
      </c>
      <c r="I145" s="1">
        <v>3056</v>
      </c>
      <c r="J145" s="1">
        <v>1019972</v>
      </c>
      <c r="K145" s="1" t="s">
        <v>36</v>
      </c>
      <c r="L145" s="1" t="b">
        <v>0</v>
      </c>
      <c r="M145" s="1">
        <v>0</v>
      </c>
    </row>
    <row r="146" spans="1:13" x14ac:dyDescent="0.2">
      <c r="A146" s="1" t="s">
        <v>49</v>
      </c>
      <c r="B146" s="1">
        <v>1013</v>
      </c>
      <c r="C146" s="1" t="s">
        <v>47</v>
      </c>
      <c r="D146" s="1">
        <v>4000</v>
      </c>
      <c r="E146" s="1">
        <v>0</v>
      </c>
      <c r="F146" s="1">
        <v>0</v>
      </c>
      <c r="G146" s="1">
        <v>100</v>
      </c>
      <c r="H146" s="1">
        <v>100</v>
      </c>
      <c r="I146" s="1">
        <v>3056</v>
      </c>
      <c r="J146" s="1">
        <v>1019972</v>
      </c>
      <c r="K146" s="1" t="s">
        <v>36</v>
      </c>
      <c r="L146" s="1" t="b">
        <v>0</v>
      </c>
      <c r="M146" s="1">
        <v>0</v>
      </c>
    </row>
    <row r="147" spans="1:13" x14ac:dyDescent="0.2">
      <c r="A147" s="1" t="s">
        <v>49</v>
      </c>
      <c r="B147" s="1">
        <v>1013</v>
      </c>
      <c r="C147" s="1" t="s">
        <v>47</v>
      </c>
      <c r="D147" s="1">
        <v>4001</v>
      </c>
      <c r="E147" s="1">
        <v>0</v>
      </c>
      <c r="F147" s="1">
        <v>0</v>
      </c>
      <c r="G147" s="1">
        <v>100</v>
      </c>
      <c r="H147" s="1">
        <v>100</v>
      </c>
      <c r="I147" s="1">
        <v>3056</v>
      </c>
      <c r="J147" s="1">
        <v>1019972</v>
      </c>
      <c r="K147" s="1" t="s">
        <v>36</v>
      </c>
      <c r="L147" s="1" t="b">
        <v>0</v>
      </c>
      <c r="M147" s="1">
        <v>0</v>
      </c>
    </row>
    <row r="148" spans="1:13" x14ac:dyDescent="0.2">
      <c r="A148" s="1" t="s">
        <v>49</v>
      </c>
      <c r="B148" s="1">
        <v>1013</v>
      </c>
      <c r="C148" s="1" t="s">
        <v>47</v>
      </c>
      <c r="D148" s="1">
        <v>4002</v>
      </c>
      <c r="E148" s="1">
        <v>0</v>
      </c>
      <c r="F148" s="1">
        <v>0</v>
      </c>
      <c r="G148" s="1">
        <v>100</v>
      </c>
      <c r="H148" s="1">
        <v>100</v>
      </c>
      <c r="I148" s="1">
        <v>3056</v>
      </c>
      <c r="J148" s="1">
        <v>1019972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49</v>
      </c>
      <c r="B149" s="1">
        <v>1013</v>
      </c>
      <c r="C149" s="1" t="s">
        <v>47</v>
      </c>
      <c r="D149" s="1">
        <v>4003</v>
      </c>
      <c r="E149" s="1">
        <v>0</v>
      </c>
      <c r="F149" s="1">
        <v>0</v>
      </c>
      <c r="G149" s="1">
        <v>100</v>
      </c>
      <c r="H149" s="1">
        <v>100</v>
      </c>
      <c r="I149" s="1">
        <v>3056</v>
      </c>
      <c r="J149" s="1">
        <v>1019972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4004</v>
      </c>
      <c r="E150" s="1">
        <v>0</v>
      </c>
      <c r="F150" s="1">
        <v>0</v>
      </c>
      <c r="G150" s="1">
        <v>100</v>
      </c>
      <c r="H150" s="1">
        <v>100</v>
      </c>
      <c r="I150" s="1">
        <v>3056</v>
      </c>
      <c r="J150" s="1">
        <v>1019972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4005</v>
      </c>
      <c r="E151" s="1">
        <v>0</v>
      </c>
      <c r="F151" s="1">
        <v>0</v>
      </c>
      <c r="G151" s="1">
        <v>100</v>
      </c>
      <c r="H151" s="1">
        <v>100</v>
      </c>
      <c r="I151" s="1">
        <v>3056</v>
      </c>
      <c r="J151" s="1">
        <v>1019972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4006</v>
      </c>
      <c r="E152" s="1">
        <v>0</v>
      </c>
      <c r="F152" s="1">
        <v>0</v>
      </c>
      <c r="G152" s="1">
        <v>100</v>
      </c>
      <c r="H152" s="1">
        <v>100</v>
      </c>
      <c r="I152" s="1">
        <v>3056</v>
      </c>
      <c r="J152" s="1">
        <v>1019972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4007</v>
      </c>
      <c r="E153" s="1">
        <v>0</v>
      </c>
      <c r="F153" s="1">
        <v>0</v>
      </c>
      <c r="G153" s="1">
        <v>100</v>
      </c>
      <c r="H153" s="1">
        <v>100</v>
      </c>
      <c r="I153" s="1">
        <v>3056</v>
      </c>
      <c r="J153" s="1">
        <v>1019972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4008</v>
      </c>
      <c r="E154" s="1">
        <v>0</v>
      </c>
      <c r="F154" s="1">
        <v>0</v>
      </c>
      <c r="G154" s="1">
        <v>100</v>
      </c>
      <c r="H154" s="1">
        <v>100</v>
      </c>
      <c r="I154" s="1">
        <v>3056</v>
      </c>
      <c r="J154" s="1">
        <v>1019972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4009</v>
      </c>
      <c r="E155" s="1">
        <v>0</v>
      </c>
      <c r="F155" s="1">
        <v>0</v>
      </c>
      <c r="G155" s="1">
        <v>100</v>
      </c>
      <c r="H155" s="1">
        <v>100</v>
      </c>
      <c r="I155" s="1">
        <v>3056</v>
      </c>
      <c r="J155" s="1">
        <v>1019972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4010</v>
      </c>
      <c r="E156" s="1">
        <v>0</v>
      </c>
      <c r="F156" s="1">
        <v>0</v>
      </c>
      <c r="G156" s="1">
        <v>100</v>
      </c>
      <c r="H156" s="1">
        <v>100</v>
      </c>
      <c r="I156" s="1">
        <v>3056</v>
      </c>
      <c r="J156" s="1">
        <v>1019972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51</v>
      </c>
      <c r="B157" s="1">
        <v>1014</v>
      </c>
      <c r="C157" s="1" t="s">
        <v>50</v>
      </c>
      <c r="D157" s="1">
        <v>12</v>
      </c>
      <c r="E157" s="1">
        <v>0</v>
      </c>
      <c r="F157" s="1">
        <v>0</v>
      </c>
      <c r="G157" s="1">
        <v>100</v>
      </c>
      <c r="H157" s="1">
        <v>1</v>
      </c>
      <c r="I157" s="1">
        <v>2497</v>
      </c>
      <c r="J157" s="1">
        <v>1116139</v>
      </c>
      <c r="K157" s="1">
        <v>26</v>
      </c>
      <c r="L157" s="1" t="b">
        <v>0</v>
      </c>
      <c r="M157" s="1">
        <v>0</v>
      </c>
    </row>
    <row r="158" spans="1:13" x14ac:dyDescent="0.2">
      <c r="A158" s="1" t="s">
        <v>51</v>
      </c>
      <c r="B158" s="1">
        <v>1014</v>
      </c>
      <c r="C158" s="1" t="s">
        <v>50</v>
      </c>
      <c r="D158" s="1">
        <v>2004</v>
      </c>
      <c r="E158" s="1">
        <v>0</v>
      </c>
      <c r="F158" s="1">
        <v>0</v>
      </c>
      <c r="G158" s="1">
        <v>100</v>
      </c>
      <c r="H158" s="1">
        <v>1</v>
      </c>
      <c r="I158" s="1">
        <v>2497</v>
      </c>
      <c r="J158" s="1">
        <v>1116139</v>
      </c>
      <c r="K158" s="1">
        <v>26</v>
      </c>
      <c r="L158" s="1" t="b">
        <v>0</v>
      </c>
      <c r="M158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395"/>
  <sheetViews>
    <sheetView tabSelected="1" workbookViewId="0">
      <selection activeCell="T10" sqref="T10"/>
    </sheetView>
  </sheetViews>
  <sheetFormatPr defaultRowHeight="14.25" x14ac:dyDescent="0.2"/>
  <sheetData>
    <row r="2" spans="1:17" x14ac:dyDescent="0.2">
      <c r="A2" t="s">
        <v>0</v>
      </c>
      <c r="B2" t="s">
        <v>86</v>
      </c>
    </row>
    <row r="3" spans="1:17" x14ac:dyDescent="0.2">
      <c r="A3" t="s">
        <v>87</v>
      </c>
      <c r="B3" t="s">
        <v>88</v>
      </c>
    </row>
    <row r="4" spans="1:17" x14ac:dyDescent="0.2">
      <c r="A4" t="s">
        <v>89</v>
      </c>
      <c r="B4">
        <v>1</v>
      </c>
    </row>
    <row r="5" spans="1:17" x14ac:dyDescent="0.2">
      <c r="A5" t="s">
        <v>90</v>
      </c>
      <c r="B5">
        <v>20</v>
      </c>
    </row>
    <row r="6" spans="1:17" x14ac:dyDescent="0.2">
      <c r="A6" t="s">
        <v>91</v>
      </c>
      <c r="B6">
        <v>21</v>
      </c>
      <c r="J6">
        <v>333</v>
      </c>
    </row>
    <row r="7" spans="1:17" x14ac:dyDescent="0.2">
      <c r="A7" t="s">
        <v>92</v>
      </c>
      <c r="B7">
        <v>22</v>
      </c>
      <c r="J7" s="2">
        <v>1101</v>
      </c>
      <c r="K7" s="2" t="str">
        <f>VLOOKUP(J7,$P$7:$Q$34,2,FALSE)</f>
        <v>芜菁种子</v>
      </c>
      <c r="L7" s="1">
        <v>1</v>
      </c>
      <c r="P7">
        <v>1101</v>
      </c>
      <c r="Q7" t="s">
        <v>230</v>
      </c>
    </row>
    <row r="8" spans="1:17" x14ac:dyDescent="0.2">
      <c r="A8" t="s">
        <v>93</v>
      </c>
      <c r="B8">
        <v>23</v>
      </c>
      <c r="J8" s="2">
        <v>1102</v>
      </c>
      <c r="K8" s="2" t="str">
        <f>VLOOKUP(J8,$P$7:$Q$34,2,FALSE)</f>
        <v>卷心菜种子</v>
      </c>
      <c r="L8" s="1">
        <v>1</v>
      </c>
      <c r="P8">
        <v>1102</v>
      </c>
      <c r="Q8" t="s">
        <v>231</v>
      </c>
    </row>
    <row r="9" spans="1:17" x14ac:dyDescent="0.2">
      <c r="A9" t="s">
        <v>94</v>
      </c>
      <c r="B9">
        <v>24</v>
      </c>
      <c r="J9" s="2">
        <v>1103</v>
      </c>
      <c r="K9" s="2" t="str">
        <f>VLOOKUP(J9,$P$7:$Q$34,2,FALSE)</f>
        <v>葱种子</v>
      </c>
      <c r="L9" s="1">
        <v>1</v>
      </c>
      <c r="P9">
        <v>1103</v>
      </c>
      <c r="Q9" t="s">
        <v>232</v>
      </c>
    </row>
    <row r="10" spans="1:17" x14ac:dyDescent="0.2">
      <c r="A10" t="s">
        <v>95</v>
      </c>
      <c r="B10">
        <v>25</v>
      </c>
      <c r="J10" s="2">
        <v>1104</v>
      </c>
      <c r="K10" s="2" t="str">
        <f>VLOOKUP(J10,$P$7:$Q$34,2,FALSE)</f>
        <v>萝卜种子</v>
      </c>
      <c r="L10" s="1">
        <v>2</v>
      </c>
      <c r="P10">
        <v>1104</v>
      </c>
      <c r="Q10" t="s">
        <v>233</v>
      </c>
    </row>
    <row r="11" spans="1:17" x14ac:dyDescent="0.2">
      <c r="A11" t="s">
        <v>96</v>
      </c>
      <c r="B11">
        <v>26</v>
      </c>
      <c r="J11" s="2">
        <v>1105</v>
      </c>
      <c r="K11" s="2" t="str">
        <f>VLOOKUP(J11,$P$7:$Q$34,2,FALSE)</f>
        <v>紫甘蓝种子</v>
      </c>
      <c r="L11" s="1">
        <v>2</v>
      </c>
      <c r="P11">
        <v>1105</v>
      </c>
      <c r="Q11" t="s">
        <v>234</v>
      </c>
    </row>
    <row r="12" spans="1:17" x14ac:dyDescent="0.2">
      <c r="A12" t="s">
        <v>97</v>
      </c>
      <c r="B12">
        <v>27</v>
      </c>
      <c r="J12" s="2">
        <v>1106</v>
      </c>
      <c r="K12" s="2" t="str">
        <f>VLOOKUP(J12,$P$7:$Q$34,2,FALSE)</f>
        <v>黄瓜种子</v>
      </c>
      <c r="L12" s="1">
        <v>2</v>
      </c>
      <c r="P12">
        <v>1106</v>
      </c>
      <c r="Q12" t="s">
        <v>235</v>
      </c>
    </row>
    <row r="13" spans="1:17" x14ac:dyDescent="0.2">
      <c r="A13" t="s">
        <v>98</v>
      </c>
      <c r="B13">
        <v>11</v>
      </c>
      <c r="J13" s="2">
        <v>1107</v>
      </c>
      <c r="K13" s="2" t="str">
        <f>VLOOKUP(J13,$P$7:$Q$34,2,FALSE)</f>
        <v>西兰花种子</v>
      </c>
      <c r="L13" s="1">
        <v>3</v>
      </c>
      <c r="P13">
        <v>1107</v>
      </c>
      <c r="Q13" t="s">
        <v>236</v>
      </c>
    </row>
    <row r="14" spans="1:17" x14ac:dyDescent="0.2">
      <c r="A14" t="s">
        <v>99</v>
      </c>
      <c r="B14">
        <v>12</v>
      </c>
      <c r="J14" s="2">
        <v>1108</v>
      </c>
      <c r="K14" s="2" t="str">
        <f>VLOOKUP(J14,$P$7:$Q$34,2,FALSE)</f>
        <v>番茄种子</v>
      </c>
      <c r="L14" s="1">
        <v>3</v>
      </c>
      <c r="P14">
        <v>1108</v>
      </c>
      <c r="Q14" t="s">
        <v>237</v>
      </c>
    </row>
    <row r="15" spans="1:17" x14ac:dyDescent="0.2">
      <c r="A15" t="s">
        <v>100</v>
      </c>
      <c r="B15">
        <v>20</v>
      </c>
      <c r="J15" s="2">
        <v>1109</v>
      </c>
      <c r="K15" s="2" t="str">
        <f>VLOOKUP(J15,$P$7:$Q$34,2,FALSE)</f>
        <v>胡萝卜种子</v>
      </c>
      <c r="L15" s="1">
        <v>3</v>
      </c>
      <c r="P15">
        <v>1109</v>
      </c>
      <c r="Q15" t="s">
        <v>238</v>
      </c>
    </row>
    <row r="16" spans="1:17" x14ac:dyDescent="0.2">
      <c r="A16" t="s">
        <v>101</v>
      </c>
      <c r="B16">
        <v>21</v>
      </c>
      <c r="J16" s="2">
        <v>1110</v>
      </c>
      <c r="K16" s="2" t="str">
        <f>VLOOKUP(J16,$P$7:$Q$34,2,FALSE)</f>
        <v>西瓜种子</v>
      </c>
      <c r="L16" s="1">
        <v>4</v>
      </c>
      <c r="P16">
        <v>1110</v>
      </c>
      <c r="Q16" t="s">
        <v>239</v>
      </c>
    </row>
    <row r="17" spans="1:17" x14ac:dyDescent="0.2">
      <c r="A17" t="s">
        <v>72</v>
      </c>
      <c r="B17">
        <v>22</v>
      </c>
      <c r="J17" s="2">
        <v>1111</v>
      </c>
      <c r="K17" s="2" t="str">
        <f>VLOOKUP(J17,$P$7:$Q$34,2,FALSE)</f>
        <v>辣椒种子</v>
      </c>
      <c r="L17" s="1">
        <v>4</v>
      </c>
      <c r="P17">
        <v>1111</v>
      </c>
      <c r="Q17" t="s">
        <v>240</v>
      </c>
    </row>
    <row r="18" spans="1:17" x14ac:dyDescent="0.2">
      <c r="A18" t="s">
        <v>82</v>
      </c>
      <c r="B18">
        <v>23</v>
      </c>
      <c r="J18" s="2">
        <v>1112</v>
      </c>
      <c r="K18" s="2" t="str">
        <f>VLOOKUP(J18,$P$7:$Q$34,2,FALSE)</f>
        <v>奇异果种子</v>
      </c>
      <c r="L18" s="1">
        <v>4</v>
      </c>
      <c r="P18">
        <v>1112</v>
      </c>
      <c r="Q18" t="s">
        <v>241</v>
      </c>
    </row>
    <row r="19" spans="1:17" x14ac:dyDescent="0.2">
      <c r="A19" t="s">
        <v>102</v>
      </c>
      <c r="B19">
        <v>24</v>
      </c>
      <c r="J19" s="2">
        <v>1113</v>
      </c>
      <c r="K19" s="2" t="str">
        <f>VLOOKUP(J19,$P$7:$Q$34,2,FALSE)</f>
        <v>茄子种子</v>
      </c>
      <c r="L19" s="1">
        <v>5</v>
      </c>
      <c r="P19">
        <v>1113</v>
      </c>
      <c r="Q19" t="s">
        <v>242</v>
      </c>
    </row>
    <row r="20" spans="1:17" x14ac:dyDescent="0.2">
      <c r="A20" t="s">
        <v>103</v>
      </c>
      <c r="B20">
        <v>100</v>
      </c>
      <c r="J20" s="2">
        <v>1114</v>
      </c>
      <c r="K20" s="2" t="str">
        <f>VLOOKUP(J20,$P$7:$Q$34,2,FALSE)</f>
        <v>豌豆种子</v>
      </c>
      <c r="L20" s="1">
        <v>5</v>
      </c>
      <c r="P20">
        <v>1114</v>
      </c>
      <c r="Q20" t="s">
        <v>243</v>
      </c>
    </row>
    <row r="21" spans="1:17" x14ac:dyDescent="0.2">
      <c r="A21" t="s">
        <v>104</v>
      </c>
      <c r="B21">
        <v>101</v>
      </c>
      <c r="J21" s="2">
        <v>1115</v>
      </c>
      <c r="K21" s="2" t="str">
        <f>VLOOKUP(J21,$P$7:$Q$34,2,FALSE)</f>
        <v>土豆种子</v>
      </c>
      <c r="L21" s="1">
        <v>5</v>
      </c>
      <c r="P21">
        <v>1115</v>
      </c>
      <c r="Q21" t="s">
        <v>244</v>
      </c>
    </row>
    <row r="22" spans="1:17" x14ac:dyDescent="0.2">
      <c r="A22" t="s">
        <v>105</v>
      </c>
      <c r="B22">
        <v>102</v>
      </c>
      <c r="J22" s="2">
        <v>1116</v>
      </c>
      <c r="K22" s="2" t="str">
        <f>VLOOKUP(J22,$P$7:$Q$34,2,FALSE)</f>
        <v>大蒜种子</v>
      </c>
      <c r="L22" s="1">
        <v>6</v>
      </c>
      <c r="P22">
        <v>1116</v>
      </c>
      <c r="Q22" t="s">
        <v>245</v>
      </c>
    </row>
    <row r="23" spans="1:17" x14ac:dyDescent="0.2">
      <c r="A23" t="s">
        <v>106</v>
      </c>
      <c r="B23">
        <v>103</v>
      </c>
      <c r="J23" s="2">
        <v>1117</v>
      </c>
      <c r="K23" s="2" t="str">
        <f>VLOOKUP(J23,$P$7:$Q$34,2,FALSE)</f>
        <v>芦笋种子</v>
      </c>
      <c r="L23" s="1">
        <v>6</v>
      </c>
      <c r="P23">
        <v>1117</v>
      </c>
      <c r="Q23" t="s">
        <v>246</v>
      </c>
    </row>
    <row r="24" spans="1:17" x14ac:dyDescent="0.2">
      <c r="A24" t="s">
        <v>107</v>
      </c>
      <c r="B24">
        <v>104</v>
      </c>
      <c r="J24" s="2">
        <v>1118</v>
      </c>
      <c r="K24" s="2" t="str">
        <f>VLOOKUP(J24,$P$7:$Q$34,2,FALSE)</f>
        <v>南瓜种子</v>
      </c>
      <c r="L24" s="1">
        <v>6</v>
      </c>
      <c r="P24">
        <v>1118</v>
      </c>
      <c r="Q24" t="s">
        <v>247</v>
      </c>
    </row>
    <row r="25" spans="1:17" x14ac:dyDescent="0.2">
      <c r="A25" t="s">
        <v>108</v>
      </c>
      <c r="B25">
        <v>105</v>
      </c>
      <c r="J25" s="2">
        <v>1119</v>
      </c>
      <c r="K25" s="2" t="str">
        <f>VLOOKUP(J25,$P$7:$Q$34,2,FALSE)</f>
        <v>玉米种子</v>
      </c>
      <c r="L25" s="1">
        <v>7</v>
      </c>
      <c r="P25">
        <v>1119</v>
      </c>
      <c r="Q25" t="s">
        <v>248</v>
      </c>
    </row>
    <row r="26" spans="1:17" x14ac:dyDescent="0.2">
      <c r="A26" t="s">
        <v>109</v>
      </c>
      <c r="B26">
        <v>200</v>
      </c>
      <c r="J26" s="2">
        <v>1120</v>
      </c>
      <c r="K26" s="2" t="str">
        <f>VLOOKUP(J26,$P$7:$Q$34,2,FALSE)</f>
        <v>大麦种子</v>
      </c>
      <c r="L26" s="1">
        <v>7</v>
      </c>
      <c r="P26">
        <v>1120</v>
      </c>
      <c r="Q26" t="s">
        <v>249</v>
      </c>
    </row>
    <row r="27" spans="1:17" x14ac:dyDescent="0.2">
      <c r="A27" t="s">
        <v>110</v>
      </c>
      <c r="B27">
        <v>201</v>
      </c>
      <c r="J27" s="2">
        <v>1121</v>
      </c>
      <c r="K27" s="2" t="str">
        <f>VLOOKUP(J27,$P$7:$Q$34,2,FALSE)</f>
        <v>啤酒花种子</v>
      </c>
      <c r="L27" s="1">
        <v>7</v>
      </c>
      <c r="P27">
        <v>1121</v>
      </c>
      <c r="Q27" t="s">
        <v>250</v>
      </c>
    </row>
    <row r="28" spans="1:17" x14ac:dyDescent="0.2">
      <c r="A28" t="s">
        <v>111</v>
      </c>
      <c r="B28">
        <v>202</v>
      </c>
      <c r="J28" s="2">
        <v>1122</v>
      </c>
      <c r="K28" s="2" t="str">
        <f>VLOOKUP(J28,$P$7:$Q$34,2,FALSE)</f>
        <v>葡萄种子</v>
      </c>
      <c r="L28" s="1">
        <v>8</v>
      </c>
      <c r="P28">
        <v>1122</v>
      </c>
      <c r="Q28" t="s">
        <v>251</v>
      </c>
    </row>
    <row r="29" spans="1:17" x14ac:dyDescent="0.2">
      <c r="A29" t="s">
        <v>112</v>
      </c>
      <c r="B29">
        <v>203</v>
      </c>
      <c r="J29" s="2">
        <v>1123</v>
      </c>
      <c r="K29" s="2" t="str">
        <f>VLOOKUP(J29,$P$7:$Q$34,2,FALSE)</f>
        <v>菠萝种子</v>
      </c>
      <c r="L29" s="1">
        <v>8</v>
      </c>
      <c r="P29">
        <v>1123</v>
      </c>
      <c r="Q29" t="s">
        <v>252</v>
      </c>
    </row>
    <row r="30" spans="1:17" x14ac:dyDescent="0.2">
      <c r="A30" t="s">
        <v>85</v>
      </c>
      <c r="B30">
        <v>204</v>
      </c>
      <c r="J30" s="2">
        <v>1124</v>
      </c>
      <c r="K30" s="2" t="str">
        <f>VLOOKUP(J30,$P$7:$Q$34,2,FALSE)</f>
        <v>咖啡种子</v>
      </c>
      <c r="L30" s="1">
        <v>8</v>
      </c>
      <c r="P30">
        <v>1124</v>
      </c>
      <c r="Q30" t="s">
        <v>253</v>
      </c>
    </row>
    <row r="31" spans="1:17" x14ac:dyDescent="0.2">
      <c r="A31" t="s">
        <v>113</v>
      </c>
      <c r="B31">
        <v>205</v>
      </c>
      <c r="J31" s="2">
        <v>1125</v>
      </c>
      <c r="K31" s="2" t="str">
        <f>VLOOKUP(J31,$P$7:$Q$34,2,FALSE)</f>
        <v>草莓种子</v>
      </c>
      <c r="L31" s="1">
        <v>9</v>
      </c>
      <c r="P31">
        <v>1125</v>
      </c>
      <c r="Q31" t="s">
        <v>254</v>
      </c>
    </row>
    <row r="32" spans="1:17" x14ac:dyDescent="0.2">
      <c r="A32" t="s">
        <v>114</v>
      </c>
      <c r="B32">
        <v>207</v>
      </c>
      <c r="J32" s="2">
        <v>1126</v>
      </c>
      <c r="K32" s="2" t="str">
        <f>VLOOKUP(J32,$P$7:$Q$34,2,FALSE)</f>
        <v>蓝莓种子</v>
      </c>
      <c r="L32" s="1">
        <v>9</v>
      </c>
      <c r="P32">
        <v>1126</v>
      </c>
      <c r="Q32" t="s">
        <v>255</v>
      </c>
    </row>
    <row r="33" spans="1:17" x14ac:dyDescent="0.2">
      <c r="A33" t="s">
        <v>115</v>
      </c>
      <c r="B33">
        <v>208</v>
      </c>
      <c r="J33" s="2">
        <v>1127</v>
      </c>
      <c r="K33" s="2" t="str">
        <f>VLOOKUP(J33,$P$7:$Q$34,2,FALSE)</f>
        <v>红薯种子</v>
      </c>
      <c r="L33" s="1">
        <v>9</v>
      </c>
      <c r="P33">
        <v>1127</v>
      </c>
      <c r="Q33" t="s">
        <v>256</v>
      </c>
    </row>
    <row r="34" spans="1:17" x14ac:dyDescent="0.2">
      <c r="A34" t="s">
        <v>116</v>
      </c>
      <c r="B34">
        <v>210</v>
      </c>
      <c r="J34" s="2">
        <v>1128</v>
      </c>
      <c r="K34" s="2" t="str">
        <f>VLOOKUP(J34,$P$7:$Q$34,2,FALSE)</f>
        <v>甜菜种子</v>
      </c>
      <c r="L34" s="1">
        <v>9</v>
      </c>
      <c r="P34">
        <v>1128</v>
      </c>
      <c r="Q34" t="s">
        <v>257</v>
      </c>
    </row>
    <row r="35" spans="1:17" x14ac:dyDescent="0.2">
      <c r="A35" t="s">
        <v>117</v>
      </c>
      <c r="B35">
        <v>211</v>
      </c>
    </row>
    <row r="36" spans="1:17" x14ac:dyDescent="0.2">
      <c r="A36" t="s">
        <v>118</v>
      </c>
      <c r="B36">
        <v>212</v>
      </c>
    </row>
    <row r="37" spans="1:17" x14ac:dyDescent="0.2">
      <c r="A37" t="s">
        <v>119</v>
      </c>
      <c r="B37">
        <v>213</v>
      </c>
    </row>
    <row r="38" spans="1:17" x14ac:dyDescent="0.2">
      <c r="A38" t="s">
        <v>120</v>
      </c>
      <c r="B38">
        <v>214</v>
      </c>
    </row>
    <row r="39" spans="1:17" x14ac:dyDescent="0.2">
      <c r="A39" t="s">
        <v>121</v>
      </c>
      <c r="B39">
        <v>215</v>
      </c>
    </row>
    <row r="40" spans="1:17" x14ac:dyDescent="0.2">
      <c r="A40" t="s">
        <v>122</v>
      </c>
      <c r="B40">
        <v>216</v>
      </c>
    </row>
    <row r="41" spans="1:17" x14ac:dyDescent="0.2">
      <c r="A41" t="s">
        <v>123</v>
      </c>
      <c r="B41">
        <v>217</v>
      </c>
    </row>
    <row r="42" spans="1:17" x14ac:dyDescent="0.2">
      <c r="A42" t="s">
        <v>124</v>
      </c>
      <c r="B42">
        <v>218</v>
      </c>
    </row>
    <row r="43" spans="1:17" x14ac:dyDescent="0.2">
      <c r="A43" t="s">
        <v>125</v>
      </c>
      <c r="B43">
        <v>219</v>
      </c>
    </row>
    <row r="44" spans="1:17" x14ac:dyDescent="0.2">
      <c r="A44" t="s">
        <v>126</v>
      </c>
      <c r="B44">
        <v>220</v>
      </c>
    </row>
    <row r="45" spans="1:17" x14ac:dyDescent="0.2">
      <c r="A45" t="s">
        <v>127</v>
      </c>
      <c r="B45">
        <v>221</v>
      </c>
    </row>
    <row r="46" spans="1:17" x14ac:dyDescent="0.2">
      <c r="A46" t="s">
        <v>128</v>
      </c>
      <c r="B46">
        <v>222</v>
      </c>
    </row>
    <row r="47" spans="1:17" x14ac:dyDescent="0.2">
      <c r="A47" t="s">
        <v>129</v>
      </c>
      <c r="B47">
        <v>223</v>
      </c>
    </row>
    <row r="48" spans="1:17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autoFilter ref="J6:L6">
    <sortState ref="J7:L34">
      <sortCondition ref="J6"/>
    </sortState>
  </autoFilter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2025-02-20T13:44:31Z</dcterms:modified>
</cp:coreProperties>
</file>