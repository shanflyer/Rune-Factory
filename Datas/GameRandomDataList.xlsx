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GameRandomData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definedNames>
    <definedName name="_xlnm._FilterDatabase" localSheetId="0" hidden="1">GameRandomData!$A$3:$I$3</definedName>
    <definedName name="_xlnm._FilterDatabase" localSheetId="3" hidden="1">Sheet3!$B$2:$C$225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8" i="3" l="1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7" i="3"/>
  <c r="B8" i="3" l="1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7" i="3"/>
  <c r="L117" i="2" l="1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16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33" i="2"/>
  <c r="F321" i="1" l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20" i="1"/>
</calcChain>
</file>

<file path=xl/sharedStrings.xml><?xml version="1.0" encoding="utf-8"?>
<sst xmlns="http://schemas.openxmlformats.org/spreadsheetml/2006/main" count="1773" uniqueCount="531">
  <si>
    <t>text</t>
  </si>
  <si>
    <t>id</t>
  </si>
  <si>
    <t>weightRandom</t>
  </si>
  <si>
    <t>string</t>
  </si>
  <si>
    <t>int</t>
    <phoneticPr fontId="1" type="noConversion"/>
  </si>
  <si>
    <t>bool</t>
    <phoneticPr fontId="1" type="noConversion"/>
  </si>
  <si>
    <t>isGroup</t>
  </si>
  <si>
    <t>itemValue</t>
  </si>
  <si>
    <t>randomValue</t>
  </si>
  <si>
    <t>itemText</t>
    <phoneticPr fontId="1" type="noConversion"/>
  </si>
  <si>
    <t>GameRandomDataEditor</t>
  </si>
  <si>
    <t>gameRandomDataEditors</t>
  </si>
  <si>
    <t>maxCount</t>
    <phoneticPr fontId="1" type="noConversion"/>
  </si>
  <si>
    <t>minCount</t>
    <phoneticPr fontId="1" type="noConversion"/>
  </si>
  <si>
    <t>itemId</t>
  </si>
  <si>
    <t>喜欢礼物</t>
    <phoneticPr fontId="1" type="noConversion"/>
  </si>
  <si>
    <t>不喜欢礼物</t>
    <phoneticPr fontId="1" type="noConversion"/>
  </si>
  <si>
    <t>喜欢礼物表情</t>
    <phoneticPr fontId="1" type="noConversion"/>
  </si>
  <si>
    <t>不喜欢礼物</t>
    <phoneticPr fontId="1" type="noConversion"/>
  </si>
  <si>
    <t>不喜欢礼物表情</t>
    <phoneticPr fontId="1" type="noConversion"/>
  </si>
  <si>
    <t>默认礼物对话</t>
    <phoneticPr fontId="1" type="noConversion"/>
  </si>
  <si>
    <t>不喜欢礼物表情</t>
    <phoneticPr fontId="1" type="noConversion"/>
  </si>
  <si>
    <t>默认礼物表情</t>
    <phoneticPr fontId="1" type="noConversion"/>
  </si>
  <si>
    <t>默认礼物表情</t>
    <phoneticPr fontId="1" type="noConversion"/>
  </si>
  <si>
    <t>海边鱼池</t>
    <phoneticPr fontId="1" type="noConversion"/>
  </si>
  <si>
    <t>山地鱼池</t>
    <phoneticPr fontId="1" type="noConversion"/>
  </si>
  <si>
    <t>城市鱼池</t>
    <phoneticPr fontId="1" type="noConversion"/>
  </si>
  <si>
    <t>农场鱼池</t>
    <phoneticPr fontId="1" type="noConversion"/>
  </si>
  <si>
    <t>城门鱼池</t>
    <phoneticPr fontId="1" type="noConversion"/>
  </si>
  <si>
    <t>沙丁鱼</t>
  </si>
  <si>
    <t>竹荚鱼</t>
  </si>
  <si>
    <t>海鳗</t>
  </si>
  <si>
    <t>比目鱼</t>
  </si>
  <si>
    <t>河豚鱼</t>
  </si>
  <si>
    <t>水母</t>
    <phoneticPr fontId="1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</si>
  <si>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</si>
  <si>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</si>
  <si>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</si>
  <si>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</si>
  <si>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</si>
  <si>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</si>
  <si>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</si>
  <si>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丁鱼</t>
    <phoneticPr fontId="2" type="noConversion"/>
  </si>
  <si>
    <t>线鱼</t>
    <phoneticPr fontId="2" type="noConversion"/>
  </si>
  <si>
    <t>樱桃鲑鱼</t>
    <phoneticPr fontId="2" type="noConversion"/>
  </si>
  <si>
    <t>鲷鱼</t>
    <phoneticPr fontId="2" type="noConversion"/>
  </si>
  <si>
    <t>金鳟鱼</t>
    <phoneticPr fontId="1" type="noConversion"/>
  </si>
  <si>
    <t>孔雀鱼</t>
    <phoneticPr fontId="2" type="noConversion"/>
  </si>
  <si>
    <t>洞穴天使鱼</t>
    <phoneticPr fontId="2" type="noConversion"/>
  </si>
  <si>
    <t>鲫鱼</t>
  </si>
  <si>
    <t>鲶鱼</t>
  </si>
  <si>
    <t>锦鲤</t>
  </si>
  <si>
    <t>兰寿金鱼</t>
    <phoneticPr fontId="2" type="noConversion"/>
  </si>
  <si>
    <t>霓虹脂鲤</t>
    <phoneticPr fontId="1" type="noConversion"/>
  </si>
  <si>
    <t>桃花鱼</t>
  </si>
  <si>
    <t>银龙鱼</t>
    <phoneticPr fontId="2" type="noConversion"/>
  </si>
  <si>
    <t>鲮鱼</t>
  </si>
  <si>
    <t>手套蟹.</t>
  </si>
  <si>
    <t>鲮鱼</t>
    <phoneticPr fontId="2" type="noConversion"/>
  </si>
  <si>
    <t>手套蟹.</t>
    <phoneticPr fontId="2" type="noConversion"/>
  </si>
  <si>
    <t>虹鳟鱼</t>
    <phoneticPr fontId="1" type="noConversion"/>
  </si>
  <si>
    <t>鲑鱼</t>
    <phoneticPr fontId="1" type="noConversion"/>
  </si>
  <si>
    <t>章鱼</t>
  </si>
  <si>
    <t>章鱼</t>
    <phoneticPr fontId="1" type="noConversion"/>
  </si>
  <si>
    <t>樱桃鲑鱼</t>
  </si>
  <si>
    <t>金鳟鱼</t>
  </si>
  <si>
    <t>锦鲤</t>
    <phoneticPr fontId="1" type="noConversion"/>
  </si>
  <si>
    <t>int</t>
  </si>
  <si>
    <t>fishName</t>
  </si>
  <si>
    <t>丁鱼</t>
  </si>
  <si>
    <t>线鱼</t>
  </si>
  <si>
    <t>兰寿金鱼</t>
  </si>
  <si>
    <t>虹鳟鱼</t>
  </si>
  <si>
    <t>鲷鱼</t>
  </si>
  <si>
    <t>霓虹脂鲤</t>
  </si>
  <si>
    <t>鲑鱼</t>
  </si>
  <si>
    <t>孔雀鱼</t>
  </si>
  <si>
    <t>银龙鱼</t>
  </si>
  <si>
    <t>洞穴天使鱼</t>
  </si>
  <si>
    <t>水母</t>
  </si>
  <si>
    <t>抱石溪蛙</t>
  </si>
  <si>
    <t>春之山脉0</t>
    <phoneticPr fontId="1" type="noConversion"/>
  </si>
  <si>
    <t>春之山脉1</t>
  </si>
  <si>
    <t>春之山脉2</t>
  </si>
  <si>
    <t>春之山脉3</t>
  </si>
  <si>
    <t>春之山脉4</t>
  </si>
  <si>
    <t>瀑布洞穴0</t>
    <phoneticPr fontId="1" type="noConversion"/>
  </si>
  <si>
    <t>瀑布洞穴1</t>
  </si>
  <si>
    <t>瀑布洞穴2</t>
  </si>
  <si>
    <t>瀑布洞穴3</t>
  </si>
  <si>
    <t>瀑布洞穴4</t>
  </si>
  <si>
    <t>夏之丛林0</t>
    <phoneticPr fontId="1" type="noConversion"/>
  </si>
  <si>
    <t>夏之丛林1</t>
  </si>
  <si>
    <t>夏之丛林2</t>
  </si>
  <si>
    <t>夏之丛林3</t>
  </si>
  <si>
    <t>夏之丛林4</t>
  </si>
  <si>
    <t>和风海岸0</t>
    <phoneticPr fontId="1" type="noConversion"/>
  </si>
  <si>
    <t>和风海岸1</t>
  </si>
  <si>
    <t>和风海岸2</t>
  </si>
  <si>
    <t>和风海岸3</t>
  </si>
  <si>
    <t>和风海岸4</t>
  </si>
  <si>
    <t>秋风之谷0</t>
    <phoneticPr fontId="1" type="noConversion"/>
  </si>
  <si>
    <t>秋风之谷1</t>
  </si>
  <si>
    <t>秋风之谷2</t>
  </si>
  <si>
    <t>秋风之谷3</t>
  </si>
  <si>
    <t>秋风之谷4</t>
  </si>
  <si>
    <t>沙漠废墟0</t>
    <phoneticPr fontId="1" type="noConversion"/>
  </si>
  <si>
    <t>沙漠废墟1</t>
  </si>
  <si>
    <t>沙漠废墟2</t>
  </si>
  <si>
    <t>沙漠废墟3</t>
  </si>
  <si>
    <t>沙漠废墟4</t>
  </si>
  <si>
    <t>冬之雪原0</t>
    <phoneticPr fontId="1" type="noConversion"/>
  </si>
  <si>
    <t>冬之雪原1</t>
  </si>
  <si>
    <t>冬之雪原2</t>
  </si>
  <si>
    <t>冬之雪原3</t>
  </si>
  <si>
    <t>冬之雪原4</t>
  </si>
  <si>
    <t>极寒冰隙0</t>
    <phoneticPr fontId="1" type="noConversion"/>
  </si>
  <si>
    <t>极寒冰隙1</t>
  </si>
  <si>
    <t>极寒冰隙2</t>
  </si>
  <si>
    <t>极寒冰隙3</t>
  </si>
  <si>
    <t>极寒冰隙4</t>
  </si>
  <si>
    <t>春之山脉0</t>
  </si>
  <si>
    <t>瀑布洞穴0</t>
  </si>
  <si>
    <t>夏之丛林0</t>
  </si>
  <si>
    <t>和风海岸0</t>
  </si>
  <si>
    <t>秋风之谷0</t>
  </si>
  <si>
    <t>沙漠废墟0</t>
  </si>
  <si>
    <t>冬之雪原0</t>
  </si>
  <si>
    <t>极寒冰隙0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</si>
  <si>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</si>
  <si>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</si>
  <si>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</si>
  <si>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</si>
  <si>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</si>
  <si>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</si>
  <si>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</si>
  <si>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</si>
  <si>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</si>
  <si>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</si>
  <si>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</si>
  <si>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</si>
  <si>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刺猬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</si>
  <si>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</si>
  <si>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</si>
  <si>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</si>
  <si>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</si>
  <si>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</si>
  <si>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</si>
  <si>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</si>
  <si>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</si>
  <si>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</si>
  <si>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</si>
  <si>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</si>
  <si>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鹿</t>
  </si>
  <si>
    <t>蜜蜂</t>
  </si>
  <si>
    <t>幼虎</t>
  </si>
  <si>
    <t>狮蛇兽</t>
  </si>
  <si>
    <t>绿皮怪</t>
  </si>
  <si>
    <t>海胆</t>
  </si>
  <si>
    <t>水族</t>
  </si>
  <si>
    <t>海盗鸟</t>
  </si>
  <si>
    <t>火烈鸟</t>
  </si>
  <si>
    <t>寄居蟹</t>
  </si>
  <si>
    <t>蓝鳄</t>
  </si>
  <si>
    <t>水之精灵</t>
  </si>
  <si>
    <t>巨齿鲨</t>
  </si>
  <si>
    <t>螺巨人</t>
  </si>
  <si>
    <t>松鼠</t>
  </si>
  <si>
    <t>貘</t>
  </si>
  <si>
    <t>部落巫医</t>
  </si>
  <si>
    <t>土龙</t>
  </si>
  <si>
    <t>毒蛇</t>
  </si>
  <si>
    <t>大黄蜂</t>
  </si>
  <si>
    <t>食人花</t>
  </si>
  <si>
    <t>大象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</si>
  <si>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</si>
  <si>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</si>
  <si>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</si>
  <si>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</si>
  <si>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</si>
  <si>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</si>
  <si>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</si>
  <si>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</si>
  <si>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</si>
  <si>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</si>
  <si>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</si>
  <si>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</si>
  <si>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</si>
  <si>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</si>
  <si>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</si>
  <si>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</si>
  <si>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</si>
  <si>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</si>
  <si>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</si>
  <si>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</si>
  <si>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</si>
  <si>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</si>
  <si>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企鹅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</si>
  <si>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</si>
  <si>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</si>
  <si>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</si>
  <si>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</si>
  <si>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</si>
  <si>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</si>
  <si>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</si>
  <si>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</si>
  <si>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</si>
  <si>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史莱姆</t>
  </si>
  <si>
    <t>纯净之水</t>
  </si>
  <si>
    <t>芜菁种子</t>
  </si>
  <si>
    <t>石块</t>
    <phoneticPr fontId="2" type="noConversion"/>
  </si>
  <si>
    <t>纯净之水</t>
    <phoneticPr fontId="2" type="noConversion"/>
  </si>
  <si>
    <t>干草</t>
    <phoneticPr fontId="2" type="noConversion"/>
  </si>
  <si>
    <t>兽角</t>
  </si>
  <si>
    <t>龟壳</t>
    <phoneticPr fontId="2" type="noConversion"/>
  </si>
  <si>
    <t>废铁</t>
    <phoneticPr fontId="2" type="noConversion"/>
  </si>
  <si>
    <t>兽皮</t>
  </si>
  <si>
    <t>焦炭</t>
  </si>
  <si>
    <t>布片</t>
    <phoneticPr fontId="2" type="noConversion"/>
  </si>
  <si>
    <t>木棒</t>
  </si>
  <si>
    <t>刀刃</t>
    <phoneticPr fontId="2" type="noConversion"/>
  </si>
  <si>
    <t>龟壳</t>
  </si>
  <si>
    <t>鳞片</t>
    <phoneticPr fontId="2" type="noConversion"/>
  </si>
  <si>
    <t>兽皮</t>
    <phoneticPr fontId="2" type="noConversion"/>
  </si>
  <si>
    <t>草药茶</t>
  </si>
  <si>
    <t>武道精华</t>
    <phoneticPr fontId="2" type="noConversion"/>
  </si>
  <si>
    <t>布片</t>
    <phoneticPr fontId="2" type="noConversion"/>
  </si>
  <si>
    <t>风晶石</t>
  </si>
  <si>
    <t>鳞片</t>
  </si>
  <si>
    <t>干草</t>
  </si>
  <si>
    <t>粘液</t>
  </si>
  <si>
    <t>琥珀</t>
    <phoneticPr fontId="2" type="noConversion"/>
  </si>
  <si>
    <t>石块</t>
  </si>
  <si>
    <t>狼牙</t>
  </si>
  <si>
    <t>尖刺</t>
  </si>
  <si>
    <t>蛛丝</t>
  </si>
  <si>
    <t>魔力之土</t>
  </si>
  <si>
    <t>刀刃</t>
    <phoneticPr fontId="2" type="noConversion"/>
  </si>
  <si>
    <t>盐矿</t>
    <phoneticPr fontId="2" type="noConversion"/>
  </si>
  <si>
    <t>石英砂</t>
  </si>
  <si>
    <t>珍珠</t>
    <phoneticPr fontId="2" type="noConversion"/>
  </si>
  <si>
    <t>废铁</t>
  </si>
  <si>
    <t>酸味香料</t>
  </si>
  <si>
    <t>琥珀</t>
  </si>
  <si>
    <t>蛛丝</t>
    <phoneticPr fontId="2" type="noConversion"/>
  </si>
  <si>
    <t>土晶石</t>
  </si>
  <si>
    <t>盐矿</t>
  </si>
  <si>
    <t>琥珀</t>
    <phoneticPr fontId="2" type="noConversion"/>
  </si>
  <si>
    <t>盐矿</t>
    <phoneticPr fontId="2" type="noConversion"/>
  </si>
  <si>
    <t>2|4</t>
  </si>
  <si>
    <t>2|2</t>
  </si>
  <si>
    <t>3|6</t>
  </si>
  <si>
    <t>4|8</t>
  </si>
  <si>
    <t>5|10</t>
  </si>
  <si>
    <t>2|5</t>
  </si>
  <si>
    <t>2|6</t>
  </si>
  <si>
    <t>迷幻孢子</t>
  </si>
  <si>
    <t>原木</t>
  </si>
  <si>
    <t>萤火树汁</t>
  </si>
  <si>
    <t>眼球</t>
  </si>
  <si>
    <t>魅惑药水</t>
  </si>
  <si>
    <t>彩色羽毛</t>
  </si>
  <si>
    <t>植物的藤</t>
  </si>
  <si>
    <t>鹿角</t>
    <phoneticPr fontId="2" type="noConversion"/>
  </si>
  <si>
    <t>蜂蜜</t>
    <phoneticPr fontId="2" type="noConversion"/>
  </si>
  <si>
    <t>蜂刺</t>
  </si>
  <si>
    <t>魔兽皮毛</t>
  </si>
  <si>
    <t>武道精华</t>
    <phoneticPr fontId="2" type="noConversion"/>
  </si>
  <si>
    <t>雷鸣宝珠</t>
  </si>
  <si>
    <t>妖精粉</t>
  </si>
  <si>
    <t>蛇皮</t>
  </si>
  <si>
    <t>鹿角</t>
  </si>
  <si>
    <t>奇美拉之翼</t>
  </si>
  <si>
    <t>兽皮</t>
    <phoneticPr fontId="2" type="noConversion"/>
  </si>
  <si>
    <t>电偶瓶</t>
  </si>
  <si>
    <t>尖刺</t>
    <phoneticPr fontId="2" type="noConversion"/>
  </si>
  <si>
    <t>粘液</t>
    <phoneticPr fontId="2" type="noConversion"/>
  </si>
  <si>
    <t>珊瑚</t>
  </si>
  <si>
    <t>彩色的布</t>
  </si>
  <si>
    <t>火晶石</t>
  </si>
  <si>
    <t>焦炭</t>
    <phoneticPr fontId="2" type="noConversion"/>
  </si>
  <si>
    <t>玻璃瓶</t>
  </si>
  <si>
    <t>防水皮革</t>
  </si>
  <si>
    <t>水晶石</t>
  </si>
  <si>
    <t>月之光华</t>
  </si>
  <si>
    <t>亡者之土</t>
  </si>
  <si>
    <t>珍珠</t>
  </si>
  <si>
    <t>星的眼泪</t>
  </si>
  <si>
    <t>粘液</t>
    <phoneticPr fontId="2" type="noConversion"/>
  </si>
  <si>
    <t>魔兽皮毛</t>
    <phoneticPr fontId="2" type="noConversion"/>
  </si>
  <si>
    <t>神奇泥浆</t>
    <phoneticPr fontId="2" type="noConversion"/>
  </si>
  <si>
    <t>粘土</t>
  </si>
  <si>
    <t>银块</t>
    <phoneticPr fontId="2" type="noConversion"/>
  </si>
  <si>
    <t>木棒</t>
    <phoneticPr fontId="2" type="noConversion"/>
  </si>
  <si>
    <t>土晶石</t>
    <phoneticPr fontId="2" type="noConversion"/>
  </si>
  <si>
    <t>蛇皮</t>
    <phoneticPr fontId="2" type="noConversion"/>
  </si>
  <si>
    <t>毒淤泥</t>
  </si>
  <si>
    <t>蜂刺</t>
    <phoneticPr fontId="2" type="noConversion"/>
  </si>
  <si>
    <t>恶魔花瓣</t>
    <phoneticPr fontId="2" type="noConversion"/>
  </si>
  <si>
    <t>蜂蜜</t>
  </si>
  <si>
    <t>象牙</t>
    <phoneticPr fontId="2" type="noConversion"/>
  </si>
  <si>
    <t>力量果实</t>
  </si>
  <si>
    <t>图腾号角</t>
  </si>
  <si>
    <t>刀刃</t>
  </si>
  <si>
    <t>银块</t>
  </si>
  <si>
    <t>武道精华</t>
  </si>
  <si>
    <t>魔族之血</t>
  </si>
  <si>
    <t>暮光结晶</t>
  </si>
  <si>
    <t>象牙</t>
  </si>
  <si>
    <t>神奇泥浆</t>
  </si>
  <si>
    <t>白磷粉末</t>
  </si>
  <si>
    <t>仙人掌</t>
  </si>
  <si>
    <t>脏绷带</t>
  </si>
  <si>
    <t>幽魂</t>
  </si>
  <si>
    <t>暗夜之露</t>
  </si>
  <si>
    <t>金块</t>
  </si>
  <si>
    <t>贤者晶石</t>
  </si>
  <si>
    <t>布片</t>
  </si>
  <si>
    <t>咒术药水</t>
  </si>
  <si>
    <t>远古的硬币</t>
  </si>
  <si>
    <t>夜之幕</t>
  </si>
  <si>
    <t>骑士之证</t>
  </si>
  <si>
    <t>遗骨</t>
  </si>
  <si>
    <t>幻影水晶</t>
  </si>
  <si>
    <t>雪球</t>
  </si>
  <si>
    <t>冰的结晶</t>
  </si>
  <si>
    <t>诅咒宝珠</t>
  </si>
  <si>
    <t>人狼之证</t>
  </si>
  <si>
    <t>暮光结晶</t>
    <phoneticPr fontId="2" type="noConversion"/>
  </si>
  <si>
    <t>贵族徽章</t>
  </si>
  <si>
    <t>冰晶石</t>
  </si>
  <si>
    <t>彩色的布</t>
    <phoneticPr fontId="2" type="noConversion"/>
  </si>
  <si>
    <t>石化之眼</t>
  </si>
  <si>
    <t>寒冰气息</t>
  </si>
  <si>
    <t>寒冰火种</t>
  </si>
  <si>
    <t>3|4</t>
  </si>
  <si>
    <t>3|5</t>
  </si>
  <si>
    <t>史莱姆掉落</t>
  </si>
  <si>
    <t>抱石溪蛙掉落</t>
  </si>
  <si>
    <t>翼耳兽掉落</t>
  </si>
  <si>
    <t>绿毛龟掉落</t>
  </si>
  <si>
    <t>长颈兽掉落</t>
  </si>
  <si>
    <t>哥布林掉落</t>
  </si>
  <si>
    <t>豺狼哥布林掉落</t>
  </si>
  <si>
    <t>忍者龟掉落</t>
  </si>
  <si>
    <t>史莱克掉落</t>
  </si>
  <si>
    <t>功夫青蛙掉落</t>
  </si>
  <si>
    <t>风之精灵掉落</t>
  </si>
  <si>
    <t>粘液史莱姆掉落</t>
  </si>
  <si>
    <t>岩蚁掉落</t>
  </si>
  <si>
    <t>狼蝠掉落</t>
  </si>
  <si>
    <t>刺猬掉落</t>
  </si>
  <si>
    <t>蜘蛛掉落</t>
  </si>
  <si>
    <t>岩石怪掉落</t>
  </si>
  <si>
    <t>穴居怪掉落</t>
  </si>
  <si>
    <t>地下鱼人掉落</t>
  </si>
  <si>
    <t>蚁王掉落</t>
  </si>
  <si>
    <t>石巨人掉落</t>
  </si>
  <si>
    <t>小毒菇掉落</t>
  </si>
  <si>
    <t>枯树精掉落</t>
  </si>
  <si>
    <t>邪眼掉落</t>
  </si>
  <si>
    <t>彩虹鸟掉落</t>
  </si>
  <si>
    <t>藤蔓怪掉落</t>
  </si>
  <si>
    <t>鹿掉落</t>
  </si>
  <si>
    <t>蜜蜂掉落</t>
  </si>
  <si>
    <t>幼虎掉落</t>
  </si>
  <si>
    <t>狮蛇兽掉落</t>
  </si>
  <si>
    <t>绿皮怪掉落</t>
  </si>
  <si>
    <t>水母掉落</t>
  </si>
  <si>
    <t>海胆掉落</t>
  </si>
  <si>
    <t>水族掉落</t>
  </si>
  <si>
    <t>海盗鸟掉落</t>
  </si>
  <si>
    <t>火烈鸟掉落</t>
  </si>
  <si>
    <t>寄居蟹掉落</t>
  </si>
  <si>
    <t>蓝鳄掉落</t>
  </si>
  <si>
    <t>水之精灵掉落</t>
  </si>
  <si>
    <t>巨齿鲨掉落</t>
  </si>
  <si>
    <t>螺巨人掉落</t>
  </si>
  <si>
    <t>松鼠掉落</t>
  </si>
  <si>
    <t>貘掉落</t>
  </si>
  <si>
    <t>部落巫医掉落</t>
  </si>
  <si>
    <t>土龙掉落</t>
  </si>
  <si>
    <t>毒蛇掉落</t>
  </si>
  <si>
    <t>大黄蜂掉落</t>
  </si>
  <si>
    <t>食人花掉落</t>
  </si>
  <si>
    <t>大象掉落</t>
  </si>
  <si>
    <t>牛头酋长掉落</t>
  </si>
  <si>
    <t>猪人首领掉落</t>
  </si>
  <si>
    <t>沙漠巨蝎掉落</t>
  </si>
  <si>
    <t>尖叫仙人掌掉落</t>
  </si>
  <si>
    <t>木乃伊掉落</t>
  </si>
  <si>
    <t>牛头恶灵掉落</t>
  </si>
  <si>
    <t>黄金蚂蚁掉落</t>
  </si>
  <si>
    <t>邪法师掉落</t>
  </si>
  <si>
    <t>沙兀鹫掉落</t>
  </si>
  <si>
    <t>小偷掉落</t>
  </si>
  <si>
    <t>宝箱恶魔掉落</t>
  </si>
  <si>
    <t>骷髅战士掉落</t>
  </si>
  <si>
    <t>雪兔掉落</t>
  </si>
  <si>
    <t>幻影猫掉落</t>
  </si>
  <si>
    <t>灰狼掉落</t>
  </si>
  <si>
    <t>雪人掉落</t>
  </si>
  <si>
    <t>雪原熊掉落</t>
  </si>
  <si>
    <t>扭曲僵尸掉落</t>
  </si>
  <si>
    <t>骷髅咒师掉落</t>
  </si>
  <si>
    <t>幽灵掉落</t>
  </si>
  <si>
    <t>巨狼掉落</t>
  </si>
  <si>
    <t>吸血鬼掉落</t>
  </si>
  <si>
    <t>企鹅掉落</t>
  </si>
  <si>
    <t>冰恶魔掉落</t>
  </si>
  <si>
    <t>冰霜史莱姆掉落</t>
  </si>
  <si>
    <t>梦魇掉落</t>
  </si>
  <si>
    <t>寒冬渡鸦掉落</t>
  </si>
  <si>
    <t>魅魔掉落</t>
  </si>
  <si>
    <t>恶魔之眼掉落</t>
  </si>
  <si>
    <t>冰牛怪掉落</t>
  </si>
  <si>
    <t>异鬼掉落</t>
  </si>
  <si>
    <t>死神掉落</t>
  </si>
  <si>
    <t>100101</t>
  </si>
  <si>
    <t>100102</t>
  </si>
  <si>
    <t>100111</t>
  </si>
  <si>
    <t>100112</t>
  </si>
  <si>
    <t>100121</t>
  </si>
  <si>
    <t>100122</t>
  </si>
  <si>
    <t>100131</t>
  </si>
  <si>
    <t>100132</t>
  </si>
  <si>
    <t>100141</t>
  </si>
  <si>
    <t>100142</t>
  </si>
  <si>
    <t>100201</t>
  </si>
  <si>
    <t>100202</t>
  </si>
  <si>
    <t>100211</t>
  </si>
  <si>
    <t>100212</t>
  </si>
  <si>
    <t>100221</t>
  </si>
  <si>
    <t>100222</t>
  </si>
  <si>
    <t>100231</t>
  </si>
  <si>
    <t>100232</t>
  </si>
  <si>
    <t>100241</t>
  </si>
  <si>
    <t>100242</t>
  </si>
  <si>
    <t>100301</t>
  </si>
  <si>
    <t>100302</t>
  </si>
  <si>
    <t>100311</t>
  </si>
  <si>
    <t>100312</t>
  </si>
  <si>
    <t>100321</t>
  </si>
  <si>
    <t>100322</t>
  </si>
  <si>
    <t>100331</t>
  </si>
  <si>
    <t>100332</t>
  </si>
  <si>
    <t>100341</t>
  </si>
  <si>
    <t>100342</t>
  </si>
  <si>
    <t>100401</t>
  </si>
  <si>
    <t>100402</t>
  </si>
  <si>
    <t>100411</t>
  </si>
  <si>
    <t>100412</t>
  </si>
  <si>
    <t>100421</t>
  </si>
  <si>
    <t>100422</t>
  </si>
  <si>
    <t>100431</t>
  </si>
  <si>
    <t>100432</t>
  </si>
  <si>
    <t>100441</t>
  </si>
  <si>
    <t>100442</t>
  </si>
  <si>
    <t>100501</t>
  </si>
  <si>
    <t>100502</t>
  </si>
  <si>
    <t>100511</t>
  </si>
  <si>
    <t>100512</t>
  </si>
  <si>
    <t>100521</t>
  </si>
  <si>
    <t>100522</t>
  </si>
  <si>
    <t>100531</t>
  </si>
  <si>
    <t>100532</t>
  </si>
  <si>
    <t>100541</t>
  </si>
  <si>
    <t>100542</t>
  </si>
  <si>
    <t>100601</t>
  </si>
  <si>
    <t>100602</t>
  </si>
  <si>
    <t>100611</t>
  </si>
  <si>
    <t>100612</t>
  </si>
  <si>
    <t>100621</t>
  </si>
  <si>
    <t>100622</t>
  </si>
  <si>
    <t>100631</t>
  </si>
  <si>
    <t>100632</t>
  </si>
  <si>
    <t>100641</t>
  </si>
  <si>
    <t>100642</t>
  </si>
  <si>
    <t>100701</t>
  </si>
  <si>
    <t>100702</t>
  </si>
  <si>
    <t>100711</t>
  </si>
  <si>
    <t>100712</t>
  </si>
  <si>
    <t>100721</t>
  </si>
  <si>
    <t>100722</t>
  </si>
  <si>
    <t>100731</t>
  </si>
  <si>
    <t>100732</t>
  </si>
  <si>
    <t>100741</t>
  </si>
  <si>
    <t>100742</t>
  </si>
  <si>
    <t>100801</t>
  </si>
  <si>
    <t>100802</t>
  </si>
  <si>
    <t>100811</t>
  </si>
  <si>
    <t>100812</t>
  </si>
  <si>
    <t>100821</t>
  </si>
  <si>
    <t>100822</t>
  </si>
  <si>
    <t>100831</t>
  </si>
  <si>
    <t>100832</t>
  </si>
  <si>
    <t>100841</t>
  </si>
  <si>
    <t>100842</t>
  </si>
  <si>
    <t>临时npc默认表情</t>
    <phoneticPr fontId="1" type="noConversion"/>
  </si>
  <si>
    <t>加载</t>
    <phoneticPr fontId="1" type="noConversion"/>
  </si>
  <si>
    <t>文字</t>
    <phoneticPr fontId="1" type="noConversion"/>
  </si>
  <si>
    <t>思考</t>
    <phoneticPr fontId="1" type="noConversion"/>
  </si>
  <si>
    <t>思考</t>
    <phoneticPr fontId="1" type="noConversion"/>
  </si>
  <si>
    <t>乱麻</t>
    <phoneticPr fontId="1" type="noConversion"/>
  </si>
  <si>
    <t>疑问</t>
  </si>
  <si>
    <t>黑线</t>
  </si>
  <si>
    <t>临时npc默认表情</t>
    <phoneticPr fontId="1" type="noConversion"/>
  </si>
  <si>
    <t>住宅区家桥表情</t>
    <phoneticPr fontId="1" type="noConversion"/>
  </si>
  <si>
    <t>住宅区家路表情</t>
    <phoneticPr fontId="1" type="noConversion"/>
  </si>
  <si>
    <t>花店桥表情</t>
    <phoneticPr fontId="1" type="noConversion"/>
  </si>
  <si>
    <t>花店路表情</t>
    <phoneticPr fontId="1" type="noConversion"/>
  </si>
  <si>
    <t>公园表情</t>
    <phoneticPr fontId="1" type="noConversion"/>
  </si>
  <si>
    <t>鱼</t>
    <phoneticPr fontId="1" type="noConversion"/>
  </si>
  <si>
    <t>亮灯</t>
    <phoneticPr fontId="1" type="noConversion"/>
  </si>
  <si>
    <t>脸红</t>
    <phoneticPr fontId="1" type="noConversion"/>
  </si>
  <si>
    <t>眨眼</t>
    <phoneticPr fontId="1" type="noConversion"/>
  </si>
  <si>
    <t>红花</t>
    <phoneticPr fontId="1" type="noConversion"/>
  </si>
  <si>
    <t>彩带</t>
    <phoneticPr fontId="1" type="noConversion"/>
  </si>
  <si>
    <t>彩带</t>
    <phoneticPr fontId="1" type="noConversion"/>
  </si>
  <si>
    <t>亮灯</t>
    <phoneticPr fontId="1" type="noConversion"/>
  </si>
  <si>
    <t>思考</t>
    <phoneticPr fontId="1" type="noConversion"/>
  </si>
  <si>
    <t>乱麻</t>
    <phoneticPr fontId="1" type="noConversion"/>
  </si>
  <si>
    <t>晕</t>
    <phoneticPr fontId="1" type="noConversion"/>
  </si>
  <si>
    <t>汗</t>
    <phoneticPr fontId="1" type="noConversion"/>
  </si>
  <si>
    <t>小花</t>
    <phoneticPr fontId="1" type="noConversion"/>
  </si>
  <si>
    <t>爱心</t>
    <phoneticPr fontId="1" type="noConversion"/>
  </si>
  <si>
    <t>礼物</t>
    <phoneticPr fontId="1" type="noConversion"/>
  </si>
  <si>
    <t>哼唱</t>
    <phoneticPr fontId="1" type="noConversion"/>
  </si>
  <si>
    <t>喊</t>
    <phoneticPr fontId="1" type="noConversion"/>
  </si>
  <si>
    <t>箭靶</t>
    <phoneticPr fontId="1" type="noConversion"/>
  </si>
  <si>
    <t>曲谱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</si>
</sst>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2"/>
      <color rgb="FF22222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3" fillId="0" borderId="0" xfId="0" applyFont="1" applyAlignment="1">
      <alignment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3" borderId="0" xfId="0" applyFill="1" applyAlignment="1">
      <alignment wrapText="1"/>
    </xf>
    <xf numFmtId="0" fontId="0" fillId="3" borderId="0" xfId="0" applyFill="1"/>
    <xf numFmtId="0" fontId="0" fillId="4" borderId="0" xfId="0" applyFill="1" applyAlignment="1">
      <alignment wrapText="1"/>
    </xf>
    <xf numFmtId="0" fontId="0" fillId="4" borderId="0" xfId="0" applyFill="1"/>
    <xf numFmtId="0" fontId="3" fillId="2" borderId="0" xfId="0" applyFont="1" applyFill="1" applyAlignment="1">
      <alignment wrapText="1"/>
    </xf>
    <xf numFmtId="0" fontId="0" fillId="0" borderId="0" xfId="0" applyAlignment="1">
      <alignment vertical="center"/>
    </xf>
    <xf numFmtId="0" fontId="0" fillId="0" borderId="0" xfId="0" applyNumberFormat="1" applyAlignment="1">
      <alignment wrapText="1"/>
    </xf>
    <xf numFmtId="0" fontId="0" fillId="5" borderId="0" xfId="0" applyFill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MyGame\Rune%20Factory_hub\Datas\Monster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nsterData"/>
      <sheetName val="Sheet2"/>
      <sheetName val="Sheet3"/>
      <sheetName val="Sheet1"/>
    </sheetNames>
    <sheetDataSet>
      <sheetData sheetId="0">
        <row r="2">
          <cell r="I2" t="str">
            <v>string</v>
          </cell>
          <cell r="J2" t="str">
            <v>string</v>
          </cell>
          <cell r="K2" t="str">
            <v>int</v>
          </cell>
          <cell r="L2" t="str">
            <v>float</v>
          </cell>
        </row>
        <row r="3">
          <cell r="I3" t="str">
            <v>monsterDescription</v>
          </cell>
          <cell r="J3" t="str">
            <v>SpriteName</v>
          </cell>
          <cell r="K3" t="str">
            <v>attackType</v>
          </cell>
          <cell r="L3" t="str">
            <v>scale</v>
          </cell>
        </row>
        <row r="4">
          <cell r="I4" t="str">
            <v>测试怪物</v>
          </cell>
          <cell r="J4" t="str">
            <v>史莱姆</v>
          </cell>
          <cell r="K4">
            <v>0</v>
          </cell>
          <cell r="L4">
            <v>0.4</v>
          </cell>
        </row>
        <row r="5">
          <cell r="I5" t="str">
            <v>测试怪物</v>
          </cell>
          <cell r="J5" t="str">
            <v>抱石溪蛙</v>
          </cell>
          <cell r="K5">
            <v>0</v>
          </cell>
          <cell r="L5">
            <v>0.5</v>
          </cell>
        </row>
        <row r="6">
          <cell r="I6" t="str">
            <v>测试怪物</v>
          </cell>
          <cell r="J6" t="str">
            <v>翼耳兽</v>
          </cell>
          <cell r="K6">
            <v>0</v>
          </cell>
          <cell r="L6">
            <v>0.6</v>
          </cell>
        </row>
        <row r="7">
          <cell r="I7" t="str">
            <v>测试怪物</v>
          </cell>
          <cell r="J7" t="str">
            <v>绿毛龟</v>
          </cell>
          <cell r="K7">
            <v>4</v>
          </cell>
          <cell r="L7">
            <v>0.7</v>
          </cell>
        </row>
        <row r="8">
          <cell r="I8" t="str">
            <v>测试怪物</v>
          </cell>
          <cell r="J8" t="str">
            <v>长颈兽</v>
          </cell>
          <cell r="K8">
            <v>0</v>
          </cell>
          <cell r="L8">
            <v>0.7</v>
          </cell>
        </row>
        <row r="9">
          <cell r="I9" t="str">
            <v>测试怪物</v>
          </cell>
          <cell r="J9" t="str">
            <v>哥布林</v>
          </cell>
          <cell r="K9">
            <v>0</v>
          </cell>
          <cell r="L9">
            <v>0.6</v>
          </cell>
        </row>
        <row r="10">
          <cell r="I10" t="str">
            <v>测试怪物</v>
          </cell>
          <cell r="J10" t="str">
            <v>豺狼哥布林</v>
          </cell>
          <cell r="K10">
            <v>1</v>
          </cell>
          <cell r="L10">
            <v>0.7</v>
          </cell>
        </row>
        <row r="11">
          <cell r="I11" t="str">
            <v>测试怪物</v>
          </cell>
          <cell r="J11" t="str">
            <v>忍者龟</v>
          </cell>
          <cell r="K11">
            <v>0</v>
          </cell>
          <cell r="L11">
            <v>0.6</v>
          </cell>
        </row>
        <row r="12">
          <cell r="I12" t="str">
            <v>测试怪物</v>
          </cell>
          <cell r="J12" t="str">
            <v>史莱克</v>
          </cell>
          <cell r="K12">
            <v>5</v>
          </cell>
          <cell r="L12">
            <v>0.7</v>
          </cell>
        </row>
        <row r="13">
          <cell r="I13" t="str">
            <v>测试怪物</v>
          </cell>
          <cell r="J13" t="str">
            <v>功夫青蛙</v>
          </cell>
          <cell r="K13">
            <v>0</v>
          </cell>
          <cell r="L13">
            <v>0.5</v>
          </cell>
        </row>
        <row r="14">
          <cell r="I14" t="str">
            <v>测试怪物</v>
          </cell>
          <cell r="J14" t="str">
            <v>风之精灵</v>
          </cell>
          <cell r="K14">
            <v>0</v>
          </cell>
          <cell r="L14">
            <v>0.7</v>
          </cell>
        </row>
        <row r="15">
          <cell r="I15" t="str">
            <v>测试怪物</v>
          </cell>
          <cell r="J15" t="str">
            <v>粘液史莱姆</v>
          </cell>
          <cell r="K15">
            <v>0</v>
          </cell>
          <cell r="L15">
            <v>0.5</v>
          </cell>
        </row>
        <row r="16">
          <cell r="I16" t="str">
            <v>测试怪物</v>
          </cell>
          <cell r="J16" t="str">
            <v>岩蚁</v>
          </cell>
          <cell r="K16">
            <v>4</v>
          </cell>
          <cell r="L16">
            <v>0.7</v>
          </cell>
        </row>
        <row r="17">
          <cell r="I17" t="str">
            <v>测试怪物</v>
          </cell>
          <cell r="J17" t="str">
            <v>狼蝠</v>
          </cell>
          <cell r="K17">
            <v>4</v>
          </cell>
          <cell r="L17">
            <v>0.8</v>
          </cell>
        </row>
        <row r="18">
          <cell r="I18" t="str">
            <v>测试怪物</v>
          </cell>
          <cell r="J18" t="str">
            <v>刺猬</v>
          </cell>
          <cell r="K18">
            <v>2</v>
          </cell>
          <cell r="L18">
            <v>0.4</v>
          </cell>
        </row>
        <row r="19">
          <cell r="I19" t="str">
            <v>测试怪物</v>
          </cell>
          <cell r="J19" t="str">
            <v>蜘蛛</v>
          </cell>
          <cell r="K19">
            <v>4</v>
          </cell>
          <cell r="L19">
            <v>0.6</v>
          </cell>
        </row>
        <row r="20">
          <cell r="I20" t="str">
            <v>测试怪物</v>
          </cell>
          <cell r="J20" t="str">
            <v>岩石怪</v>
          </cell>
          <cell r="K20">
            <v>0</v>
          </cell>
          <cell r="L20">
            <v>0.5</v>
          </cell>
        </row>
        <row r="21">
          <cell r="I21" t="str">
            <v>测试怪物</v>
          </cell>
          <cell r="J21" t="str">
            <v>穴居怪</v>
          </cell>
          <cell r="K21">
            <v>0</v>
          </cell>
          <cell r="L21">
            <v>0.5</v>
          </cell>
        </row>
        <row r="22">
          <cell r="I22" t="str">
            <v>测试怪物</v>
          </cell>
          <cell r="J22" t="str">
            <v>地下鱼人</v>
          </cell>
          <cell r="K22">
            <v>0</v>
          </cell>
          <cell r="L22">
            <v>0.8</v>
          </cell>
        </row>
        <row r="23">
          <cell r="I23" t="str">
            <v>测试怪物</v>
          </cell>
          <cell r="J23" t="str">
            <v>蚁王</v>
          </cell>
          <cell r="K23">
            <v>4</v>
          </cell>
          <cell r="L23">
            <v>0.5</v>
          </cell>
        </row>
        <row r="24">
          <cell r="I24" t="str">
            <v>测试怪物</v>
          </cell>
          <cell r="J24" t="str">
            <v>石巨人</v>
          </cell>
          <cell r="K24">
            <v>0</v>
          </cell>
          <cell r="L24">
            <v>0.6</v>
          </cell>
        </row>
        <row r="25">
          <cell r="I25" t="str">
            <v>测试怪物</v>
          </cell>
          <cell r="J25" t="str">
            <v>小毒菇</v>
          </cell>
          <cell r="K25">
            <v>0</v>
          </cell>
          <cell r="L25">
            <v>0.5</v>
          </cell>
        </row>
        <row r="26">
          <cell r="I26" t="str">
            <v>测试怪物</v>
          </cell>
          <cell r="J26" t="str">
            <v>枯树精</v>
          </cell>
          <cell r="K26">
            <v>0</v>
          </cell>
          <cell r="L26">
            <v>1</v>
          </cell>
        </row>
        <row r="27">
          <cell r="I27" t="str">
            <v>测试怪物</v>
          </cell>
          <cell r="J27" t="str">
            <v>邪眼</v>
          </cell>
          <cell r="K27">
            <v>0</v>
          </cell>
          <cell r="L27">
            <v>0.7</v>
          </cell>
        </row>
        <row r="28">
          <cell r="I28" t="str">
            <v>测试怪物</v>
          </cell>
          <cell r="J28" t="str">
            <v>彩虹鸟</v>
          </cell>
          <cell r="K28">
            <v>5</v>
          </cell>
          <cell r="L28">
            <v>0.6</v>
          </cell>
        </row>
        <row r="29">
          <cell r="I29" t="str">
            <v>测试怪物</v>
          </cell>
          <cell r="J29" t="str">
            <v>藤蔓怪</v>
          </cell>
          <cell r="K29">
            <v>6</v>
          </cell>
          <cell r="L29">
            <v>0.7</v>
          </cell>
        </row>
        <row r="30">
          <cell r="I30" t="str">
            <v>测试怪物</v>
          </cell>
          <cell r="J30" t="str">
            <v>鹿</v>
          </cell>
          <cell r="K30">
            <v>0</v>
          </cell>
          <cell r="L30">
            <v>0.7</v>
          </cell>
        </row>
        <row r="31">
          <cell r="I31" t="str">
            <v>测试怪物</v>
          </cell>
          <cell r="J31" t="str">
            <v>蜜蜂</v>
          </cell>
          <cell r="K31">
            <v>2</v>
          </cell>
          <cell r="L31">
            <v>0.5</v>
          </cell>
        </row>
        <row r="32">
          <cell r="I32" t="str">
            <v>测试怪物</v>
          </cell>
          <cell r="J32" t="str">
            <v>幼虎</v>
          </cell>
          <cell r="K32">
            <v>4</v>
          </cell>
          <cell r="L32">
            <v>0.7</v>
          </cell>
        </row>
        <row r="33">
          <cell r="I33" t="str">
            <v>测试怪物</v>
          </cell>
          <cell r="J33" t="str">
            <v>狮蛇兽</v>
          </cell>
          <cell r="K33">
            <v>4</v>
          </cell>
          <cell r="L33">
            <v>0.6</v>
          </cell>
        </row>
        <row r="34">
          <cell r="I34" t="str">
            <v>测试怪物</v>
          </cell>
          <cell r="J34" t="str">
            <v>绿皮怪</v>
          </cell>
          <cell r="K34">
            <v>5</v>
          </cell>
          <cell r="L34">
            <v>0.7</v>
          </cell>
        </row>
        <row r="35">
          <cell r="I35" t="str">
            <v>测试怪物</v>
          </cell>
          <cell r="J35" t="str">
            <v>水母</v>
          </cell>
          <cell r="K35">
            <v>0</v>
          </cell>
          <cell r="L35">
            <v>0.5</v>
          </cell>
        </row>
        <row r="36">
          <cell r="I36" t="str">
            <v>测试怪物</v>
          </cell>
          <cell r="J36" t="str">
            <v>海胆</v>
          </cell>
          <cell r="K36">
            <v>2</v>
          </cell>
          <cell r="L36">
            <v>0.5</v>
          </cell>
        </row>
        <row r="37">
          <cell r="I37" t="str">
            <v>测试怪物</v>
          </cell>
          <cell r="J37" t="str">
            <v>水族</v>
          </cell>
          <cell r="K37">
            <v>0</v>
          </cell>
          <cell r="L37">
            <v>0.9</v>
          </cell>
        </row>
        <row r="38">
          <cell r="I38" t="str">
            <v>测试怪物</v>
          </cell>
          <cell r="J38" t="str">
            <v>海盗鸟</v>
          </cell>
          <cell r="K38">
            <v>2</v>
          </cell>
          <cell r="L38">
            <v>0.6</v>
          </cell>
        </row>
        <row r="39">
          <cell r="I39" t="str">
            <v>测试怪物</v>
          </cell>
          <cell r="J39" t="str">
            <v>火烈鸟</v>
          </cell>
          <cell r="K39">
            <v>2</v>
          </cell>
          <cell r="L39">
            <v>0.6</v>
          </cell>
        </row>
        <row r="40">
          <cell r="I40" t="str">
            <v>测试怪物</v>
          </cell>
          <cell r="J40" t="str">
            <v>寄居蟹</v>
          </cell>
          <cell r="K40">
            <v>0</v>
          </cell>
          <cell r="L40">
            <v>0.5</v>
          </cell>
        </row>
        <row r="41">
          <cell r="I41" t="str">
            <v>测试怪物</v>
          </cell>
          <cell r="J41" t="str">
            <v>蓝鳄</v>
          </cell>
          <cell r="K41">
            <v>4</v>
          </cell>
          <cell r="L41">
            <v>0.6</v>
          </cell>
        </row>
        <row r="42">
          <cell r="I42" t="str">
            <v>测试怪物</v>
          </cell>
          <cell r="J42" t="str">
            <v>水之精灵</v>
          </cell>
          <cell r="K42">
            <v>0</v>
          </cell>
          <cell r="L42">
            <v>0.6</v>
          </cell>
        </row>
        <row r="43">
          <cell r="I43" t="str">
            <v>测试怪物</v>
          </cell>
          <cell r="J43" t="str">
            <v>巨齿鲨</v>
          </cell>
          <cell r="K43">
            <v>4</v>
          </cell>
          <cell r="L43">
            <v>0.6</v>
          </cell>
        </row>
        <row r="44">
          <cell r="I44" t="str">
            <v>测试怪物</v>
          </cell>
          <cell r="J44" t="str">
            <v>螺巨人</v>
          </cell>
          <cell r="K44">
            <v>0</v>
          </cell>
          <cell r="L44">
            <v>0.5</v>
          </cell>
        </row>
        <row r="45">
          <cell r="I45" t="str">
            <v>测试怪物</v>
          </cell>
          <cell r="J45" t="str">
            <v>松鼠</v>
          </cell>
          <cell r="K45">
            <v>0</v>
          </cell>
          <cell r="L45">
            <v>0.5</v>
          </cell>
        </row>
        <row r="46">
          <cell r="I46" t="str">
            <v>测试怪物</v>
          </cell>
          <cell r="J46" t="str">
            <v>貘</v>
          </cell>
          <cell r="K46">
            <v>4</v>
          </cell>
          <cell r="L46">
            <v>0.8</v>
          </cell>
        </row>
        <row r="47">
          <cell r="I47" t="str">
            <v>测试怪物</v>
          </cell>
          <cell r="J47" t="str">
            <v>部落巫医</v>
          </cell>
          <cell r="K47">
            <v>2</v>
          </cell>
          <cell r="L47">
            <v>1</v>
          </cell>
        </row>
        <row r="48">
          <cell r="I48" t="str">
            <v>测试怪物</v>
          </cell>
          <cell r="J48" t="str">
            <v>土龙</v>
          </cell>
          <cell r="K48">
            <v>0</v>
          </cell>
          <cell r="L48">
            <v>0.8</v>
          </cell>
        </row>
        <row r="49">
          <cell r="I49" t="str">
            <v>测试怪物</v>
          </cell>
          <cell r="J49" t="str">
            <v>毒蛇</v>
          </cell>
          <cell r="K49">
            <v>4</v>
          </cell>
          <cell r="L49">
            <v>0.5</v>
          </cell>
        </row>
        <row r="50">
          <cell r="I50" t="str">
            <v>测试怪物</v>
          </cell>
          <cell r="J50" t="str">
            <v>大黄蜂</v>
          </cell>
          <cell r="K50">
            <v>2</v>
          </cell>
          <cell r="L50">
            <v>0.5</v>
          </cell>
        </row>
        <row r="51">
          <cell r="I51" t="str">
            <v>测试怪物</v>
          </cell>
          <cell r="J51" t="str">
            <v>食人花</v>
          </cell>
          <cell r="K51">
            <v>4</v>
          </cell>
          <cell r="L51">
            <v>1</v>
          </cell>
        </row>
        <row r="52">
          <cell r="I52" t="str">
            <v>测试怪物</v>
          </cell>
          <cell r="J52" t="str">
            <v>大象</v>
          </cell>
          <cell r="K52">
            <v>0</v>
          </cell>
          <cell r="L52">
            <v>1</v>
          </cell>
        </row>
        <row r="53">
          <cell r="I53" t="str">
            <v>测试怪物</v>
          </cell>
          <cell r="J53" t="str">
            <v>牛头酋长</v>
          </cell>
          <cell r="K53">
            <v>3</v>
          </cell>
          <cell r="L53">
            <v>0.7</v>
          </cell>
        </row>
        <row r="54">
          <cell r="I54" t="str">
            <v>测试怪物</v>
          </cell>
          <cell r="J54" t="str">
            <v>猪人首领</v>
          </cell>
          <cell r="K54">
            <v>5</v>
          </cell>
          <cell r="L54">
            <v>0.6</v>
          </cell>
        </row>
        <row r="55">
          <cell r="I55" t="str">
            <v>测试怪物</v>
          </cell>
          <cell r="J55" t="str">
            <v>沙漠巨蝎</v>
          </cell>
          <cell r="K55">
            <v>2</v>
          </cell>
          <cell r="L55">
            <v>0.5</v>
          </cell>
        </row>
        <row r="56">
          <cell r="I56" t="str">
            <v>测试怪物</v>
          </cell>
          <cell r="J56" t="str">
            <v>尖叫仙人掌</v>
          </cell>
          <cell r="K56">
            <v>4</v>
          </cell>
          <cell r="L56">
            <v>0.6</v>
          </cell>
        </row>
        <row r="57">
          <cell r="I57" t="str">
            <v>测试怪物</v>
          </cell>
          <cell r="J57" t="str">
            <v>木乃伊</v>
          </cell>
          <cell r="K57">
            <v>0</v>
          </cell>
          <cell r="L57">
            <v>0.8</v>
          </cell>
        </row>
        <row r="58">
          <cell r="I58" t="str">
            <v>测试怪物</v>
          </cell>
          <cell r="J58" t="str">
            <v>牛头恶灵</v>
          </cell>
          <cell r="K58">
            <v>0</v>
          </cell>
          <cell r="L58">
            <v>1</v>
          </cell>
        </row>
        <row r="59">
          <cell r="I59" t="str">
            <v>测试怪物</v>
          </cell>
          <cell r="J59" t="str">
            <v>黄金蚂蚁</v>
          </cell>
          <cell r="K59">
            <v>4</v>
          </cell>
          <cell r="L59">
            <v>0.5</v>
          </cell>
        </row>
        <row r="60">
          <cell r="I60" t="str">
            <v>测试怪物</v>
          </cell>
          <cell r="J60" t="str">
            <v>邪法师</v>
          </cell>
          <cell r="K60">
            <v>0</v>
          </cell>
          <cell r="L60">
            <v>1</v>
          </cell>
        </row>
        <row r="61">
          <cell r="I61" t="str">
            <v>测试怪物</v>
          </cell>
          <cell r="J61" t="str">
            <v>沙兀鹫</v>
          </cell>
          <cell r="K61">
            <v>3</v>
          </cell>
          <cell r="L61">
            <v>0.6</v>
          </cell>
        </row>
        <row r="62">
          <cell r="I62" t="str">
            <v>测试怪物</v>
          </cell>
          <cell r="J62" t="str">
            <v>小偷</v>
          </cell>
          <cell r="K62">
            <v>1</v>
          </cell>
          <cell r="L62">
            <v>0.9</v>
          </cell>
        </row>
        <row r="63">
          <cell r="I63" t="str">
            <v>测试怪物</v>
          </cell>
          <cell r="J63" t="str">
            <v>宝箱恶魔</v>
          </cell>
          <cell r="K63">
            <v>4</v>
          </cell>
          <cell r="L63">
            <v>0.6</v>
          </cell>
        </row>
        <row r="64">
          <cell r="I64" t="str">
            <v>测试怪物</v>
          </cell>
          <cell r="J64" t="str">
            <v>骷髅战士</v>
          </cell>
          <cell r="K64">
            <v>1</v>
          </cell>
          <cell r="L64">
            <v>0.7</v>
          </cell>
        </row>
        <row r="65">
          <cell r="I65" t="str">
            <v>测试怪物</v>
          </cell>
          <cell r="J65" t="str">
            <v>雪兔</v>
          </cell>
          <cell r="K65">
            <v>0</v>
          </cell>
          <cell r="L65">
            <v>0.5</v>
          </cell>
        </row>
        <row r="66">
          <cell r="I66" t="str">
            <v>测试怪物</v>
          </cell>
          <cell r="J66" t="str">
            <v>幻影猫</v>
          </cell>
          <cell r="K66">
            <v>4</v>
          </cell>
          <cell r="L66">
            <v>0.5</v>
          </cell>
        </row>
        <row r="67">
          <cell r="I67" t="str">
            <v>测试怪物</v>
          </cell>
          <cell r="J67" t="str">
            <v>灰狼</v>
          </cell>
          <cell r="K67">
            <v>4</v>
          </cell>
          <cell r="L67">
            <v>0.7</v>
          </cell>
        </row>
        <row r="68">
          <cell r="I68" t="str">
            <v>测试怪物</v>
          </cell>
          <cell r="J68" t="str">
            <v>雪人</v>
          </cell>
          <cell r="K68">
            <v>0</v>
          </cell>
          <cell r="L68">
            <v>0.7</v>
          </cell>
        </row>
        <row r="69">
          <cell r="I69" t="str">
            <v>测试怪物</v>
          </cell>
          <cell r="J69" t="str">
            <v>雪原熊</v>
          </cell>
          <cell r="K69">
            <v>3</v>
          </cell>
          <cell r="L69">
            <v>0.9</v>
          </cell>
        </row>
        <row r="70">
          <cell r="I70" t="str">
            <v>测试怪物</v>
          </cell>
          <cell r="J70" t="str">
            <v>扭曲僵尸</v>
          </cell>
          <cell r="K70">
            <v>0</v>
          </cell>
          <cell r="L70">
            <v>1</v>
          </cell>
        </row>
        <row r="71">
          <cell r="I71" t="str">
            <v>测试怪物</v>
          </cell>
          <cell r="J71" t="str">
            <v>骷髅咒师</v>
          </cell>
          <cell r="K71">
            <v>0</v>
          </cell>
          <cell r="L71">
            <v>0.7</v>
          </cell>
        </row>
        <row r="72">
          <cell r="I72" t="str">
            <v>测试怪物</v>
          </cell>
          <cell r="J72" t="str">
            <v>幽灵</v>
          </cell>
          <cell r="K72">
            <v>0</v>
          </cell>
          <cell r="L72">
            <v>0.8</v>
          </cell>
        </row>
        <row r="73">
          <cell r="I73" t="str">
            <v>测试怪物</v>
          </cell>
          <cell r="J73" t="str">
            <v>巨狼</v>
          </cell>
          <cell r="K73">
            <v>3</v>
          </cell>
          <cell r="L73">
            <v>0.7</v>
          </cell>
        </row>
        <row r="74">
          <cell r="I74" t="str">
            <v>测试怪物</v>
          </cell>
          <cell r="J74" t="str">
            <v>吸血鬼</v>
          </cell>
          <cell r="K74">
            <v>6</v>
          </cell>
          <cell r="L74">
            <v>0.6</v>
          </cell>
        </row>
        <row r="75">
          <cell r="I75" t="str">
            <v>测试怪物</v>
          </cell>
          <cell r="J75" t="str">
            <v>企鹅</v>
          </cell>
          <cell r="K75">
            <v>0</v>
          </cell>
          <cell r="L75">
            <v>0.5</v>
          </cell>
        </row>
        <row r="76">
          <cell r="I76" t="str">
            <v>测试怪物</v>
          </cell>
          <cell r="J76" t="str">
            <v>冰恶魔</v>
          </cell>
          <cell r="K76">
            <v>4</v>
          </cell>
          <cell r="L76">
            <v>0.5</v>
          </cell>
        </row>
        <row r="77">
          <cell r="I77" t="str">
            <v>测试怪物</v>
          </cell>
          <cell r="J77" t="str">
            <v>冰霜史莱姆</v>
          </cell>
          <cell r="K77">
            <v>0</v>
          </cell>
          <cell r="L77">
            <v>0.5</v>
          </cell>
        </row>
        <row r="78">
          <cell r="I78" t="str">
            <v>测试怪物</v>
          </cell>
          <cell r="J78" t="str">
            <v>梦魇</v>
          </cell>
          <cell r="K78">
            <v>0</v>
          </cell>
          <cell r="L78">
            <v>0.7</v>
          </cell>
        </row>
        <row r="79">
          <cell r="I79" t="str">
            <v>测试怪物</v>
          </cell>
          <cell r="J79" t="str">
            <v>寒冬渡鸦</v>
          </cell>
          <cell r="K79">
            <v>2</v>
          </cell>
          <cell r="L79">
            <v>0.5</v>
          </cell>
        </row>
        <row r="80">
          <cell r="I80" t="str">
            <v>测试怪物</v>
          </cell>
          <cell r="J80" t="str">
            <v>魅魔</v>
          </cell>
          <cell r="K80">
            <v>6</v>
          </cell>
          <cell r="L80">
            <v>1</v>
          </cell>
        </row>
        <row r="81">
          <cell r="I81" t="str">
            <v>测试怪物</v>
          </cell>
          <cell r="J81" t="str">
            <v>恶魔之眼</v>
          </cell>
          <cell r="K81">
            <v>0</v>
          </cell>
          <cell r="L81">
            <v>0.7</v>
          </cell>
        </row>
        <row r="82">
          <cell r="I82" t="str">
            <v>测试怪物</v>
          </cell>
          <cell r="J82" t="str">
            <v>冰牛怪</v>
          </cell>
          <cell r="K82">
            <v>0</v>
          </cell>
          <cell r="L82">
            <v>0.8</v>
          </cell>
        </row>
        <row r="83">
          <cell r="I83" t="str">
            <v>测试怪物</v>
          </cell>
          <cell r="J83" t="str">
            <v>异鬼</v>
          </cell>
          <cell r="K83">
            <v>3</v>
          </cell>
          <cell r="L83">
            <v>0.6</v>
          </cell>
        </row>
        <row r="84">
          <cell r="I84" t="str">
            <v>测试怪物</v>
          </cell>
          <cell r="J84" t="str">
            <v>死神</v>
          </cell>
          <cell r="K84">
            <v>1</v>
          </cell>
          <cell r="L84">
            <v>0.7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89"/>
  <sheetViews>
    <sheetView tabSelected="1" workbookViewId="0">
      <pane ySplit="3" topLeftCell="A166" activePane="bottomLeft" state="frozen"/>
      <selection pane="bottomLeft" activeCell="L112" sqref="L112"/>
    </sheetView>
  </sheetViews>
  <sheetFormatPr defaultRowHeight="14.25" x14ac:dyDescent="0.2"/>
  <cols>
    <col min="1" max="2" width="15" style="1" customWidth="1"/>
    <col min="3" max="3" width="10.75" style="1" customWidth="1"/>
    <col min="4" max="4" width="13.5" style="1" customWidth="1"/>
    <col min="5" max="5" width="16.25" style="1" customWidth="1"/>
    <col min="6" max="6" width="12.625" style="1" customWidth="1"/>
    <col min="7" max="7" width="13.25" style="1" customWidth="1"/>
    <col min="8" max="11" width="9" style="1" customWidth="1"/>
    <col min="12" max="16384" width="9" style="1"/>
  </cols>
  <sheetData>
    <row r="1" spans="1:9" ht="28.5" x14ac:dyDescent="0.2">
      <c r="A1" s="1" t="s">
        <v>10</v>
      </c>
      <c r="B1" s="1" t="s">
        <v>11</v>
      </c>
    </row>
    <row r="2" spans="1:9" x14ac:dyDescent="0.2">
      <c r="A2" s="1" t="s">
        <v>3</v>
      </c>
      <c r="B2" s="1" t="s">
        <v>4</v>
      </c>
      <c r="C2" s="1" t="s">
        <v>5</v>
      </c>
      <c r="D2" s="1" t="s">
        <v>3</v>
      </c>
      <c r="E2" s="1" t="s">
        <v>5</v>
      </c>
      <c r="F2" s="1" t="s">
        <v>3</v>
      </c>
      <c r="G2" s="1" t="s">
        <v>4</v>
      </c>
      <c r="H2" s="1" t="s">
        <v>4</v>
      </c>
      <c r="I2" s="1" t="s">
        <v>4</v>
      </c>
    </row>
    <row r="3" spans="1:9" ht="28.5" x14ac:dyDescent="0.2">
      <c r="A3" s="1" t="s">
        <v>0</v>
      </c>
      <c r="B3" s="1" t="s">
        <v>1</v>
      </c>
      <c r="C3" s="1" t="s">
        <v>2</v>
      </c>
      <c r="D3" s="1" t="s">
        <v>9</v>
      </c>
      <c r="E3" s="1" t="s">
        <v>6</v>
      </c>
      <c r="F3" s="1" t="s">
        <v>7</v>
      </c>
      <c r="G3" s="1" t="s">
        <v>8</v>
      </c>
      <c r="H3" s="1" t="s">
        <v>13</v>
      </c>
      <c r="I3" s="1" t="s">
        <v>12</v>
      </c>
    </row>
    <row r="4" spans="1:9" x14ac:dyDescent="0.2">
      <c r="A4" s="1" t="s">
        <v>337</v>
      </c>
      <c r="B4">
        <v>4001</v>
      </c>
      <c r="C4" s="1">
        <v>0</v>
      </c>
      <c r="D4" s="11" t="s">
        <v>208</v>
      </c>
      <c r="E4" s="1">
        <v>0</v>
      </c>
      <c r="F4" s="1">
        <v>200</v>
      </c>
      <c r="G4" s="1">
        <v>10000</v>
      </c>
      <c r="H4" s="1">
        <v>2</v>
      </c>
      <c r="I4" s="1">
        <v>4</v>
      </c>
    </row>
    <row r="5" spans="1:9" x14ac:dyDescent="0.2">
      <c r="A5" s="1" t="s">
        <v>337</v>
      </c>
      <c r="B5">
        <v>4001</v>
      </c>
      <c r="C5" s="1">
        <v>0</v>
      </c>
      <c r="D5" s="11" t="s">
        <v>209</v>
      </c>
      <c r="E5" s="1">
        <v>0</v>
      </c>
      <c r="F5" s="1">
        <v>1101</v>
      </c>
      <c r="G5" s="1">
        <v>10000</v>
      </c>
      <c r="H5" s="1">
        <v>2</v>
      </c>
      <c r="I5" s="1">
        <v>2</v>
      </c>
    </row>
    <row r="6" spans="1:9" x14ac:dyDescent="0.2">
      <c r="A6" s="1" t="s">
        <v>338</v>
      </c>
      <c r="B6">
        <v>4100</v>
      </c>
      <c r="C6" s="1">
        <v>0</v>
      </c>
      <c r="D6" s="11" t="s">
        <v>210</v>
      </c>
      <c r="E6" s="1">
        <v>0</v>
      </c>
      <c r="F6" s="1">
        <v>201</v>
      </c>
      <c r="G6" s="1">
        <v>10000</v>
      </c>
      <c r="H6" s="1">
        <v>3</v>
      </c>
      <c r="I6" s="1">
        <v>6</v>
      </c>
    </row>
    <row r="7" spans="1:9" x14ac:dyDescent="0.2">
      <c r="A7" s="1" t="s">
        <v>338</v>
      </c>
      <c r="B7">
        <v>4100</v>
      </c>
      <c r="C7" s="1">
        <v>0</v>
      </c>
      <c r="D7" s="11" t="s">
        <v>211</v>
      </c>
      <c r="E7" s="1">
        <v>0</v>
      </c>
      <c r="F7" s="1">
        <v>200</v>
      </c>
      <c r="G7" s="1">
        <v>10000</v>
      </c>
      <c r="H7" s="1">
        <v>3</v>
      </c>
      <c r="I7" s="1">
        <v>6</v>
      </c>
    </row>
    <row r="8" spans="1:9" x14ac:dyDescent="0.2">
      <c r="A8" s="1" t="s">
        <v>339</v>
      </c>
      <c r="B8">
        <v>4101</v>
      </c>
      <c r="C8" s="1">
        <v>0</v>
      </c>
      <c r="D8" s="11" t="s">
        <v>212</v>
      </c>
      <c r="E8" s="1">
        <v>0</v>
      </c>
      <c r="F8" s="1">
        <v>105</v>
      </c>
      <c r="G8" s="1">
        <v>10000</v>
      </c>
      <c r="H8" s="1">
        <v>3</v>
      </c>
      <c r="I8" s="1">
        <v>6</v>
      </c>
    </row>
    <row r="9" spans="1:9" x14ac:dyDescent="0.2">
      <c r="A9" s="1" t="s">
        <v>339</v>
      </c>
      <c r="B9">
        <v>4101</v>
      </c>
      <c r="C9" s="1">
        <v>0</v>
      </c>
      <c r="D9" s="11" t="s">
        <v>213</v>
      </c>
      <c r="E9" s="1">
        <v>0</v>
      </c>
      <c r="F9" s="1">
        <v>241</v>
      </c>
      <c r="G9" s="1">
        <v>10000</v>
      </c>
      <c r="H9" s="1">
        <v>3</v>
      </c>
      <c r="I9" s="1">
        <v>6</v>
      </c>
    </row>
    <row r="10" spans="1:9" x14ac:dyDescent="0.2">
      <c r="A10" s="1" t="s">
        <v>340</v>
      </c>
      <c r="B10">
        <v>4102</v>
      </c>
      <c r="C10" s="1">
        <v>0</v>
      </c>
      <c r="D10" s="11" t="s">
        <v>214</v>
      </c>
      <c r="E10" s="1">
        <v>0</v>
      </c>
      <c r="F10" s="1">
        <v>202</v>
      </c>
      <c r="G10" s="1">
        <v>10000</v>
      </c>
      <c r="H10" s="1">
        <v>2</v>
      </c>
      <c r="I10" s="1">
        <v>4</v>
      </c>
    </row>
    <row r="11" spans="1:9" x14ac:dyDescent="0.2">
      <c r="A11" s="1" t="s">
        <v>340</v>
      </c>
      <c r="B11">
        <v>4102</v>
      </c>
      <c r="C11" s="1">
        <v>0</v>
      </c>
      <c r="D11" s="11" t="s">
        <v>215</v>
      </c>
      <c r="E11" s="1">
        <v>0</v>
      </c>
      <c r="F11" s="1">
        <v>296</v>
      </c>
      <c r="G11" s="1">
        <v>10000</v>
      </c>
      <c r="H11" s="1">
        <v>4</v>
      </c>
      <c r="I11" s="1">
        <v>8</v>
      </c>
    </row>
    <row r="12" spans="1:9" x14ac:dyDescent="0.2">
      <c r="A12" s="1" t="s">
        <v>341</v>
      </c>
      <c r="B12">
        <v>4103</v>
      </c>
      <c r="C12" s="1">
        <v>0</v>
      </c>
      <c r="D12" s="11" t="s">
        <v>216</v>
      </c>
      <c r="E12" s="1">
        <v>0</v>
      </c>
      <c r="F12" s="1">
        <v>203</v>
      </c>
      <c r="G12" s="1">
        <v>10000</v>
      </c>
      <c r="H12" s="1">
        <v>2</v>
      </c>
      <c r="I12" s="1">
        <v>4</v>
      </c>
    </row>
    <row r="13" spans="1:9" x14ac:dyDescent="0.2">
      <c r="A13" s="1" t="s">
        <v>341</v>
      </c>
      <c r="B13">
        <v>4103</v>
      </c>
      <c r="C13" s="1">
        <v>0</v>
      </c>
      <c r="D13" s="11" t="s">
        <v>217</v>
      </c>
      <c r="E13" s="1">
        <v>0</v>
      </c>
      <c r="F13" s="1">
        <v>297</v>
      </c>
      <c r="G13" s="1">
        <v>10000</v>
      </c>
      <c r="H13" s="1">
        <v>4</v>
      </c>
      <c r="I13" s="1">
        <v>8</v>
      </c>
    </row>
    <row r="14" spans="1:9" x14ac:dyDescent="0.2">
      <c r="A14" s="1" t="s">
        <v>342</v>
      </c>
      <c r="B14">
        <v>4104</v>
      </c>
      <c r="C14" s="1">
        <v>0</v>
      </c>
      <c r="D14" s="11" t="s">
        <v>218</v>
      </c>
      <c r="E14" s="1">
        <v>0</v>
      </c>
      <c r="F14" s="1">
        <v>204</v>
      </c>
      <c r="G14" s="1">
        <v>10000</v>
      </c>
      <c r="H14" s="1">
        <v>2</v>
      </c>
      <c r="I14" s="1">
        <v>4</v>
      </c>
    </row>
    <row r="15" spans="1:9" x14ac:dyDescent="0.2">
      <c r="A15" s="1" t="s">
        <v>342</v>
      </c>
      <c r="B15">
        <v>4104</v>
      </c>
      <c r="C15" s="1">
        <v>0</v>
      </c>
      <c r="D15" s="11" t="s">
        <v>219</v>
      </c>
      <c r="E15" s="1">
        <v>0</v>
      </c>
      <c r="F15" s="1">
        <v>104</v>
      </c>
      <c r="G15" s="1">
        <v>10000</v>
      </c>
      <c r="H15" s="1">
        <v>4</v>
      </c>
      <c r="I15" s="1">
        <v>8</v>
      </c>
    </row>
    <row r="16" spans="1:9" x14ac:dyDescent="0.2">
      <c r="A16" s="1" t="s">
        <v>343</v>
      </c>
      <c r="B16">
        <v>4105</v>
      </c>
      <c r="C16" s="1">
        <v>0</v>
      </c>
      <c r="D16" s="11" t="s">
        <v>220</v>
      </c>
      <c r="E16" s="1">
        <v>0</v>
      </c>
      <c r="F16" s="1">
        <v>274</v>
      </c>
      <c r="G16" s="1">
        <v>10000</v>
      </c>
      <c r="H16" s="1">
        <v>5</v>
      </c>
      <c r="I16" s="1">
        <v>10</v>
      </c>
    </row>
    <row r="17" spans="1:9" x14ac:dyDescent="0.2">
      <c r="A17" s="1" t="s">
        <v>344</v>
      </c>
      <c r="B17">
        <v>4106</v>
      </c>
      <c r="C17" s="1">
        <v>0</v>
      </c>
      <c r="D17" s="11" t="s">
        <v>221</v>
      </c>
      <c r="E17" s="1">
        <v>0</v>
      </c>
      <c r="F17" s="1">
        <v>202</v>
      </c>
      <c r="G17" s="1">
        <v>10000</v>
      </c>
      <c r="H17" s="1">
        <v>5</v>
      </c>
      <c r="I17" s="1">
        <v>10</v>
      </c>
    </row>
    <row r="18" spans="1:9" x14ac:dyDescent="0.2">
      <c r="A18" s="1" t="s">
        <v>345</v>
      </c>
      <c r="B18">
        <v>4107</v>
      </c>
      <c r="C18" s="1">
        <v>0</v>
      </c>
      <c r="D18" s="11" t="s">
        <v>222</v>
      </c>
      <c r="E18" s="1">
        <v>0</v>
      </c>
      <c r="F18" s="1">
        <v>273</v>
      </c>
      <c r="G18" s="1">
        <v>10000</v>
      </c>
      <c r="H18" s="1">
        <v>3</v>
      </c>
      <c r="I18" s="1">
        <v>6</v>
      </c>
    </row>
    <row r="19" spans="1:9" x14ac:dyDescent="0.2">
      <c r="A19" s="1" t="s">
        <v>345</v>
      </c>
      <c r="B19">
        <v>4107</v>
      </c>
      <c r="C19" s="1">
        <v>0</v>
      </c>
      <c r="D19" s="11" t="s">
        <v>223</v>
      </c>
      <c r="E19" s="1">
        <v>0</v>
      </c>
      <c r="F19" s="1">
        <v>203</v>
      </c>
      <c r="G19" s="1">
        <v>10000</v>
      </c>
      <c r="H19" s="1">
        <v>3</v>
      </c>
      <c r="I19" s="1">
        <v>6</v>
      </c>
    </row>
    <row r="20" spans="1:9" x14ac:dyDescent="0.2">
      <c r="A20" s="1" t="s">
        <v>346</v>
      </c>
      <c r="B20">
        <v>4108</v>
      </c>
      <c r="C20" s="1">
        <v>0</v>
      </c>
      <c r="D20" s="11" t="s">
        <v>224</v>
      </c>
      <c r="E20" s="1">
        <v>0</v>
      </c>
      <c r="F20" s="1">
        <v>207</v>
      </c>
      <c r="G20" s="1">
        <v>10000</v>
      </c>
      <c r="H20" s="1">
        <v>3</v>
      </c>
      <c r="I20" s="1">
        <v>6</v>
      </c>
    </row>
    <row r="21" spans="1:9" x14ac:dyDescent="0.2">
      <c r="A21" s="1" t="s">
        <v>346</v>
      </c>
      <c r="B21">
        <v>4108</v>
      </c>
      <c r="C21" s="1">
        <v>0</v>
      </c>
      <c r="D21" s="11" t="s">
        <v>211</v>
      </c>
      <c r="E21" s="1">
        <v>0</v>
      </c>
      <c r="F21" s="1">
        <v>200</v>
      </c>
      <c r="G21" s="1">
        <v>10000</v>
      </c>
      <c r="H21" s="1">
        <v>3</v>
      </c>
      <c r="I21" s="1">
        <v>6</v>
      </c>
    </row>
    <row r="22" spans="1:9" x14ac:dyDescent="0.2">
      <c r="A22" s="1" t="s">
        <v>346</v>
      </c>
      <c r="B22">
        <v>4108</v>
      </c>
      <c r="C22" s="1">
        <v>0</v>
      </c>
      <c r="D22" s="11" t="s">
        <v>225</v>
      </c>
      <c r="E22" s="1">
        <v>0</v>
      </c>
      <c r="F22" s="1">
        <v>280</v>
      </c>
      <c r="G22" s="1">
        <v>10000</v>
      </c>
      <c r="H22" s="1">
        <v>2</v>
      </c>
      <c r="I22" s="1">
        <v>4</v>
      </c>
    </row>
    <row r="23" spans="1:9" s="6" customFormat="1" x14ac:dyDescent="0.2">
      <c r="A23" s="1" t="s">
        <v>346</v>
      </c>
      <c r="B23">
        <v>4108</v>
      </c>
      <c r="C23" s="1">
        <v>0</v>
      </c>
      <c r="D23" s="11" t="s">
        <v>219</v>
      </c>
      <c r="E23" s="1">
        <v>0</v>
      </c>
      <c r="F23" s="1">
        <v>104</v>
      </c>
      <c r="G23" s="1">
        <v>10000</v>
      </c>
      <c r="H23" s="1">
        <v>2</v>
      </c>
      <c r="I23" s="1">
        <v>4</v>
      </c>
    </row>
    <row r="24" spans="1:9" s="6" customFormat="1" x14ac:dyDescent="0.2">
      <c r="A24" s="1" t="s">
        <v>346</v>
      </c>
      <c r="B24">
        <v>4108</v>
      </c>
      <c r="C24" s="1">
        <v>0</v>
      </c>
      <c r="D24" s="11" t="s">
        <v>216</v>
      </c>
      <c r="E24" s="1">
        <v>0</v>
      </c>
      <c r="F24" s="1">
        <v>203</v>
      </c>
      <c r="G24" s="1">
        <v>10000</v>
      </c>
      <c r="H24" s="1">
        <v>2</v>
      </c>
      <c r="I24" s="1">
        <v>4</v>
      </c>
    </row>
    <row r="25" spans="1:9" s="6" customFormat="1" x14ac:dyDescent="0.2">
      <c r="A25" s="1" t="s">
        <v>346</v>
      </c>
      <c r="B25">
        <v>4108</v>
      </c>
      <c r="C25" s="1">
        <v>0</v>
      </c>
      <c r="D25" s="11" t="s">
        <v>226</v>
      </c>
      <c r="E25" s="1">
        <v>0</v>
      </c>
      <c r="F25" s="1">
        <v>204</v>
      </c>
      <c r="G25" s="1">
        <v>10000</v>
      </c>
      <c r="H25" s="1">
        <v>2</v>
      </c>
      <c r="I25" s="1">
        <v>4</v>
      </c>
    </row>
    <row r="26" spans="1:9" s="6" customFormat="1" x14ac:dyDescent="0.2">
      <c r="A26" s="1" t="s">
        <v>347</v>
      </c>
      <c r="B26">
        <v>4109</v>
      </c>
      <c r="C26" s="1">
        <v>0</v>
      </c>
      <c r="D26" s="11" t="s">
        <v>227</v>
      </c>
      <c r="E26" s="1">
        <v>0</v>
      </c>
      <c r="F26" s="1">
        <v>208</v>
      </c>
      <c r="G26" s="1">
        <v>10000</v>
      </c>
      <c r="H26" s="1">
        <v>2</v>
      </c>
      <c r="I26" s="1">
        <v>4</v>
      </c>
    </row>
    <row r="27" spans="1:9" s="6" customFormat="1" x14ac:dyDescent="0.2">
      <c r="A27" s="1" t="s">
        <v>347</v>
      </c>
      <c r="B27">
        <v>4109</v>
      </c>
      <c r="C27" s="1">
        <v>0</v>
      </c>
      <c r="D27" s="11" t="s">
        <v>228</v>
      </c>
      <c r="E27" s="1">
        <v>0</v>
      </c>
      <c r="F27" s="1">
        <v>273</v>
      </c>
      <c r="G27" s="1">
        <v>10000</v>
      </c>
      <c r="H27" s="1">
        <v>3</v>
      </c>
      <c r="I27" s="1">
        <v>6</v>
      </c>
    </row>
    <row r="28" spans="1:9" s="6" customFormat="1" x14ac:dyDescent="0.2">
      <c r="A28" s="1" t="s">
        <v>347</v>
      </c>
      <c r="B28">
        <v>4109</v>
      </c>
      <c r="C28" s="1">
        <v>0</v>
      </c>
      <c r="D28" s="11" t="s">
        <v>213</v>
      </c>
      <c r="E28" s="1">
        <v>0</v>
      </c>
      <c r="F28" s="1">
        <v>241</v>
      </c>
      <c r="G28" s="1">
        <v>10000</v>
      </c>
      <c r="H28" s="1">
        <v>3</v>
      </c>
      <c r="I28" s="1">
        <v>6</v>
      </c>
    </row>
    <row r="29" spans="1:9" s="6" customFormat="1" x14ac:dyDescent="0.2">
      <c r="A29" s="1" t="s">
        <v>347</v>
      </c>
      <c r="B29">
        <v>4109</v>
      </c>
      <c r="C29" s="1">
        <v>0</v>
      </c>
      <c r="D29" s="11" t="s">
        <v>229</v>
      </c>
      <c r="E29" s="1">
        <v>0</v>
      </c>
      <c r="F29" s="1">
        <v>105</v>
      </c>
      <c r="G29" s="1">
        <v>10000</v>
      </c>
      <c r="H29" s="1">
        <v>2</v>
      </c>
      <c r="I29" s="1">
        <v>4</v>
      </c>
    </row>
    <row r="30" spans="1:9" s="6" customFormat="1" x14ac:dyDescent="0.2">
      <c r="A30" s="1" t="s">
        <v>347</v>
      </c>
      <c r="B30">
        <v>4109</v>
      </c>
      <c r="C30" s="1">
        <v>0</v>
      </c>
      <c r="D30" s="11" t="s">
        <v>210</v>
      </c>
      <c r="E30" s="1">
        <v>0</v>
      </c>
      <c r="F30" s="1">
        <v>201</v>
      </c>
      <c r="G30" s="1">
        <v>10000</v>
      </c>
      <c r="H30" s="1">
        <v>2</v>
      </c>
      <c r="I30" s="1">
        <v>4</v>
      </c>
    </row>
    <row r="31" spans="1:9" s="6" customFormat="1" x14ac:dyDescent="0.2">
      <c r="A31" s="1" t="s">
        <v>347</v>
      </c>
      <c r="B31">
        <v>4109</v>
      </c>
      <c r="C31" s="1">
        <v>0</v>
      </c>
      <c r="D31" s="11" t="s">
        <v>220</v>
      </c>
      <c r="E31" s="1">
        <v>0</v>
      </c>
      <c r="F31" s="1">
        <v>274</v>
      </c>
      <c r="G31" s="1">
        <v>10000</v>
      </c>
      <c r="H31" s="1">
        <v>2</v>
      </c>
      <c r="I31" s="1">
        <v>4</v>
      </c>
    </row>
    <row r="32" spans="1:9" s="6" customFormat="1" x14ac:dyDescent="0.2">
      <c r="A32" s="1" t="s">
        <v>348</v>
      </c>
      <c r="B32">
        <v>4110</v>
      </c>
      <c r="C32" s="1">
        <v>0</v>
      </c>
      <c r="D32" s="11" t="s">
        <v>230</v>
      </c>
      <c r="E32" s="1">
        <v>0</v>
      </c>
      <c r="F32" s="1">
        <v>278</v>
      </c>
      <c r="G32" s="1">
        <v>10000</v>
      </c>
      <c r="H32" s="1">
        <v>5</v>
      </c>
      <c r="I32" s="1">
        <v>10</v>
      </c>
    </row>
    <row r="33" spans="1:9" s="6" customFormat="1" x14ac:dyDescent="0.2">
      <c r="A33" s="1" t="s">
        <v>349</v>
      </c>
      <c r="B33">
        <v>4111</v>
      </c>
      <c r="C33" s="1">
        <v>0</v>
      </c>
      <c r="D33" s="11" t="s">
        <v>231</v>
      </c>
      <c r="E33" s="1">
        <v>0</v>
      </c>
      <c r="F33" s="1">
        <v>210</v>
      </c>
      <c r="G33" s="1">
        <v>10000</v>
      </c>
      <c r="H33" s="1">
        <v>3</v>
      </c>
      <c r="I33" s="1">
        <v>6</v>
      </c>
    </row>
    <row r="34" spans="1:9" s="6" customFormat="1" x14ac:dyDescent="0.2">
      <c r="A34" s="1" t="s">
        <v>349</v>
      </c>
      <c r="B34">
        <v>4111</v>
      </c>
      <c r="C34" s="1">
        <v>0</v>
      </c>
      <c r="D34" s="11" t="s">
        <v>232</v>
      </c>
      <c r="E34" s="1">
        <v>0</v>
      </c>
      <c r="F34" s="1">
        <v>201</v>
      </c>
      <c r="G34" s="1">
        <v>10000</v>
      </c>
      <c r="H34" s="1">
        <v>3</v>
      </c>
      <c r="I34" s="1">
        <v>6</v>
      </c>
    </row>
    <row r="35" spans="1:9" s="6" customFormat="1" x14ac:dyDescent="0.2">
      <c r="A35" s="1" t="s">
        <v>350</v>
      </c>
      <c r="B35">
        <v>4112</v>
      </c>
      <c r="C35" s="1">
        <v>0</v>
      </c>
      <c r="D35" s="11" t="s">
        <v>233</v>
      </c>
      <c r="E35" s="1">
        <v>0</v>
      </c>
      <c r="F35" s="1">
        <v>211</v>
      </c>
      <c r="G35" s="1">
        <v>10000</v>
      </c>
      <c r="H35" s="1">
        <v>5</v>
      </c>
      <c r="I35" s="1">
        <v>10</v>
      </c>
    </row>
    <row r="36" spans="1:9" s="6" customFormat="1" x14ac:dyDescent="0.2">
      <c r="A36" s="1" t="s">
        <v>351</v>
      </c>
      <c r="B36">
        <v>4113</v>
      </c>
      <c r="C36" s="1">
        <v>0</v>
      </c>
      <c r="D36" s="11" t="s">
        <v>234</v>
      </c>
      <c r="E36" s="1">
        <v>0</v>
      </c>
      <c r="F36" s="1">
        <v>213</v>
      </c>
      <c r="G36" s="1">
        <v>10000</v>
      </c>
      <c r="H36" s="1">
        <v>5</v>
      </c>
      <c r="I36" s="1">
        <v>10</v>
      </c>
    </row>
    <row r="37" spans="1:9" s="8" customFormat="1" x14ac:dyDescent="0.2">
      <c r="A37" s="1" t="s">
        <v>352</v>
      </c>
      <c r="B37">
        <v>4114</v>
      </c>
      <c r="C37" s="1">
        <v>0</v>
      </c>
      <c r="D37" s="11" t="s">
        <v>235</v>
      </c>
      <c r="E37" s="1">
        <v>0</v>
      </c>
      <c r="F37" s="1">
        <v>214</v>
      </c>
      <c r="G37" s="1">
        <v>10000</v>
      </c>
      <c r="H37" s="1">
        <v>5</v>
      </c>
      <c r="I37" s="1">
        <v>10</v>
      </c>
    </row>
    <row r="38" spans="1:9" s="8" customFormat="1" x14ac:dyDescent="0.2">
      <c r="A38" s="1" t="s">
        <v>353</v>
      </c>
      <c r="B38">
        <v>4115</v>
      </c>
      <c r="C38" s="1">
        <v>0</v>
      </c>
      <c r="D38" s="11" t="s">
        <v>236</v>
      </c>
      <c r="E38" s="1">
        <v>0</v>
      </c>
      <c r="F38" s="1">
        <v>286</v>
      </c>
      <c r="G38" s="1">
        <v>10000</v>
      </c>
      <c r="H38" s="1">
        <v>3</v>
      </c>
      <c r="I38" s="1">
        <v>6</v>
      </c>
    </row>
    <row r="39" spans="1:9" s="8" customFormat="1" x14ac:dyDescent="0.2">
      <c r="A39" s="1" t="s">
        <v>353</v>
      </c>
      <c r="B39">
        <v>4115</v>
      </c>
      <c r="C39" s="1">
        <v>0</v>
      </c>
      <c r="D39" s="11" t="s">
        <v>237</v>
      </c>
      <c r="E39" s="1">
        <v>0</v>
      </c>
      <c r="F39" s="1">
        <v>274</v>
      </c>
      <c r="G39" s="1">
        <v>10000</v>
      </c>
      <c r="H39" s="1">
        <v>3</v>
      </c>
      <c r="I39" s="1">
        <v>6</v>
      </c>
    </row>
    <row r="40" spans="1:9" s="8" customFormat="1" x14ac:dyDescent="0.2">
      <c r="A40" s="1" t="s">
        <v>354</v>
      </c>
      <c r="B40">
        <v>4116</v>
      </c>
      <c r="C40" s="1">
        <v>0</v>
      </c>
      <c r="D40" s="11" t="s">
        <v>238</v>
      </c>
      <c r="E40" s="1">
        <v>0</v>
      </c>
      <c r="F40" s="1">
        <v>216</v>
      </c>
      <c r="G40" s="1">
        <v>10000</v>
      </c>
      <c r="H40" s="1">
        <v>3</v>
      </c>
      <c r="I40" s="1">
        <v>6</v>
      </c>
    </row>
    <row r="41" spans="1:9" s="8" customFormat="1" x14ac:dyDescent="0.2">
      <c r="A41" s="1" t="s">
        <v>354</v>
      </c>
      <c r="B41">
        <v>4116</v>
      </c>
      <c r="C41" s="1">
        <v>0</v>
      </c>
      <c r="D41" s="11" t="s">
        <v>239</v>
      </c>
      <c r="E41" s="1">
        <v>0</v>
      </c>
      <c r="F41" s="1">
        <v>205</v>
      </c>
      <c r="G41" s="1">
        <v>10000</v>
      </c>
      <c r="H41" s="1">
        <v>3</v>
      </c>
      <c r="I41" s="1">
        <v>6</v>
      </c>
    </row>
    <row r="42" spans="1:9" s="8" customFormat="1" x14ac:dyDescent="0.2">
      <c r="A42" s="1" t="s">
        <v>355</v>
      </c>
      <c r="B42">
        <v>4117</v>
      </c>
      <c r="C42" s="1">
        <v>0</v>
      </c>
      <c r="D42" s="11" t="s">
        <v>240</v>
      </c>
      <c r="E42" s="1">
        <v>0</v>
      </c>
      <c r="F42" s="1">
        <v>234</v>
      </c>
      <c r="G42" s="1">
        <v>10000</v>
      </c>
      <c r="H42" s="1">
        <v>3</v>
      </c>
      <c r="I42" s="1">
        <v>6</v>
      </c>
    </row>
    <row r="43" spans="1:9" s="8" customFormat="1" x14ac:dyDescent="0.2">
      <c r="A43" s="1" t="s">
        <v>355</v>
      </c>
      <c r="B43">
        <v>4117</v>
      </c>
      <c r="C43" s="1">
        <v>0</v>
      </c>
      <c r="D43" s="11" t="s">
        <v>241</v>
      </c>
      <c r="E43" s="1">
        <v>0</v>
      </c>
      <c r="F43" s="1">
        <v>296</v>
      </c>
      <c r="G43" s="1">
        <v>10000</v>
      </c>
      <c r="H43" s="1">
        <v>3</v>
      </c>
      <c r="I43" s="1">
        <v>6</v>
      </c>
    </row>
    <row r="44" spans="1:9" s="4" customFormat="1" x14ac:dyDescent="0.2">
      <c r="A44" s="1" t="s">
        <v>356</v>
      </c>
      <c r="B44">
        <v>4118</v>
      </c>
      <c r="C44" s="1">
        <v>0</v>
      </c>
      <c r="D44" s="11" t="s">
        <v>242</v>
      </c>
      <c r="E44" s="1">
        <v>0</v>
      </c>
      <c r="F44" s="1">
        <v>3003</v>
      </c>
      <c r="G44" s="1">
        <v>10000</v>
      </c>
      <c r="H44" s="1">
        <v>3</v>
      </c>
      <c r="I44" s="1">
        <v>6</v>
      </c>
    </row>
    <row r="45" spans="1:9" s="4" customFormat="1" x14ac:dyDescent="0.2">
      <c r="A45" s="1" t="s">
        <v>356</v>
      </c>
      <c r="B45">
        <v>4118</v>
      </c>
      <c r="C45" s="1">
        <v>0</v>
      </c>
      <c r="D45" s="11" t="s">
        <v>243</v>
      </c>
      <c r="E45" s="1">
        <v>0</v>
      </c>
      <c r="F45" s="1">
        <v>210</v>
      </c>
      <c r="G45" s="1">
        <v>10000</v>
      </c>
      <c r="H45" s="1">
        <v>3</v>
      </c>
      <c r="I45" s="1">
        <v>6</v>
      </c>
    </row>
    <row r="46" spans="1:9" s="4" customFormat="1" x14ac:dyDescent="0.2">
      <c r="A46" s="1" t="s">
        <v>356</v>
      </c>
      <c r="B46">
        <v>4118</v>
      </c>
      <c r="C46" s="1">
        <v>0</v>
      </c>
      <c r="D46" s="11" t="s">
        <v>236</v>
      </c>
      <c r="E46" s="1">
        <v>0</v>
      </c>
      <c r="F46" s="1">
        <v>286</v>
      </c>
      <c r="G46" s="1">
        <v>10000</v>
      </c>
      <c r="H46" s="1">
        <v>2</v>
      </c>
      <c r="I46" s="1">
        <v>4</v>
      </c>
    </row>
    <row r="47" spans="1:9" s="4" customFormat="1" x14ac:dyDescent="0.2">
      <c r="A47" s="1" t="s">
        <v>356</v>
      </c>
      <c r="B47">
        <v>4118</v>
      </c>
      <c r="C47" s="1">
        <v>0</v>
      </c>
      <c r="D47" s="11" t="s">
        <v>230</v>
      </c>
      <c r="E47" s="1">
        <v>0</v>
      </c>
      <c r="F47" s="1">
        <v>278</v>
      </c>
      <c r="G47" s="1">
        <v>10000</v>
      </c>
      <c r="H47" s="1">
        <v>2</v>
      </c>
      <c r="I47" s="1">
        <v>4</v>
      </c>
    </row>
    <row r="48" spans="1:9" s="4" customFormat="1" x14ac:dyDescent="0.2">
      <c r="A48" s="1" t="s">
        <v>356</v>
      </c>
      <c r="B48">
        <v>4118</v>
      </c>
      <c r="C48" s="1">
        <v>0</v>
      </c>
      <c r="D48" s="11" t="s">
        <v>244</v>
      </c>
      <c r="E48" s="1">
        <v>0</v>
      </c>
      <c r="F48" s="1">
        <v>214</v>
      </c>
      <c r="G48" s="1">
        <v>10000</v>
      </c>
      <c r="H48" s="1">
        <v>2</v>
      </c>
      <c r="I48" s="1">
        <v>4</v>
      </c>
    </row>
    <row r="49" spans="1:9" s="4" customFormat="1" x14ac:dyDescent="0.2">
      <c r="A49" s="1" t="s">
        <v>356</v>
      </c>
      <c r="B49">
        <v>4118</v>
      </c>
      <c r="C49" s="1">
        <v>0</v>
      </c>
      <c r="D49" s="11" t="s">
        <v>234</v>
      </c>
      <c r="E49" s="1">
        <v>0</v>
      </c>
      <c r="F49" s="1">
        <v>213</v>
      </c>
      <c r="G49" s="1">
        <v>10000</v>
      </c>
      <c r="H49" s="1">
        <v>2</v>
      </c>
      <c r="I49" s="1">
        <v>4</v>
      </c>
    </row>
    <row r="50" spans="1:9" s="8" customFormat="1" x14ac:dyDescent="0.2">
      <c r="A50" s="1" t="s">
        <v>357</v>
      </c>
      <c r="B50">
        <v>4119</v>
      </c>
      <c r="C50" s="1">
        <v>0</v>
      </c>
      <c r="D50" s="11" t="s">
        <v>245</v>
      </c>
      <c r="E50" s="1">
        <v>0</v>
      </c>
      <c r="F50" s="1">
        <v>218</v>
      </c>
      <c r="G50" s="1">
        <v>10000</v>
      </c>
      <c r="H50" s="1">
        <v>3</v>
      </c>
      <c r="I50" s="1">
        <v>6</v>
      </c>
    </row>
    <row r="51" spans="1:9" s="8" customFormat="1" x14ac:dyDescent="0.2">
      <c r="A51" s="1" t="s">
        <v>357</v>
      </c>
      <c r="B51">
        <v>4119</v>
      </c>
      <c r="C51" s="1">
        <v>0</v>
      </c>
      <c r="D51" s="11" t="s">
        <v>239</v>
      </c>
      <c r="E51" s="1">
        <v>0</v>
      </c>
      <c r="F51" s="1">
        <v>205</v>
      </c>
      <c r="G51" s="1">
        <v>10000</v>
      </c>
      <c r="H51" s="1">
        <v>3</v>
      </c>
      <c r="I51" s="1">
        <v>6</v>
      </c>
    </row>
    <row r="52" spans="1:9" s="8" customFormat="1" x14ac:dyDescent="0.2">
      <c r="A52" s="1" t="s">
        <v>357</v>
      </c>
      <c r="B52">
        <v>4119</v>
      </c>
      <c r="C52" s="1">
        <v>0</v>
      </c>
      <c r="D52" s="11" t="s">
        <v>246</v>
      </c>
      <c r="E52" s="1">
        <v>0</v>
      </c>
      <c r="F52" s="1">
        <v>216</v>
      </c>
      <c r="G52" s="1">
        <v>10000</v>
      </c>
      <c r="H52" s="1">
        <v>2</v>
      </c>
      <c r="I52" s="1">
        <v>4</v>
      </c>
    </row>
    <row r="53" spans="1:9" s="8" customFormat="1" x14ac:dyDescent="0.2">
      <c r="A53" s="1" t="s">
        <v>357</v>
      </c>
      <c r="B53">
        <v>4119</v>
      </c>
      <c r="C53" s="1">
        <v>0</v>
      </c>
      <c r="D53" s="11" t="s">
        <v>236</v>
      </c>
      <c r="E53" s="1">
        <v>0</v>
      </c>
      <c r="F53" s="1">
        <v>286</v>
      </c>
      <c r="G53" s="1">
        <v>10000</v>
      </c>
      <c r="H53" s="1">
        <v>2</v>
      </c>
      <c r="I53" s="1">
        <v>4</v>
      </c>
    </row>
    <row r="54" spans="1:9" s="8" customFormat="1" x14ac:dyDescent="0.2">
      <c r="A54" s="1" t="s">
        <v>357</v>
      </c>
      <c r="B54">
        <v>4119</v>
      </c>
      <c r="C54" s="1">
        <v>0</v>
      </c>
      <c r="D54" s="11" t="s">
        <v>247</v>
      </c>
      <c r="E54" s="1">
        <v>0</v>
      </c>
      <c r="F54" s="1">
        <v>210</v>
      </c>
      <c r="G54" s="1">
        <v>10000</v>
      </c>
      <c r="H54" s="1">
        <v>2</v>
      </c>
      <c r="I54" s="1">
        <v>4</v>
      </c>
    </row>
    <row r="55" spans="1:9" s="8" customFormat="1" x14ac:dyDescent="0.2">
      <c r="A55" s="1" t="s">
        <v>357</v>
      </c>
      <c r="B55">
        <v>4119</v>
      </c>
      <c r="C55" s="1">
        <v>0</v>
      </c>
      <c r="D55" s="11" t="s">
        <v>248</v>
      </c>
      <c r="E55" s="1">
        <v>0</v>
      </c>
      <c r="F55" s="1">
        <v>216</v>
      </c>
      <c r="G55" s="1">
        <v>10000</v>
      </c>
      <c r="H55" s="1">
        <v>2</v>
      </c>
      <c r="I55" s="1">
        <v>4</v>
      </c>
    </row>
    <row r="56" spans="1:9" s="8" customFormat="1" x14ac:dyDescent="0.2">
      <c r="A56" s="1" t="s">
        <v>358</v>
      </c>
      <c r="B56">
        <v>4120</v>
      </c>
      <c r="C56" s="1">
        <v>0</v>
      </c>
      <c r="D56" s="11" t="s">
        <v>256</v>
      </c>
      <c r="E56" s="1">
        <v>0</v>
      </c>
      <c r="F56" s="1">
        <v>287</v>
      </c>
      <c r="G56" s="1">
        <v>10000</v>
      </c>
      <c r="H56" s="1">
        <v>5</v>
      </c>
      <c r="I56" s="1">
        <v>10</v>
      </c>
    </row>
    <row r="57" spans="1:9" x14ac:dyDescent="0.2">
      <c r="A57" s="1" t="s">
        <v>359</v>
      </c>
      <c r="B57">
        <v>4121</v>
      </c>
      <c r="C57" s="1">
        <v>0</v>
      </c>
      <c r="D57" s="11" t="s">
        <v>257</v>
      </c>
      <c r="E57" s="1">
        <v>0</v>
      </c>
      <c r="F57" s="1">
        <v>102</v>
      </c>
      <c r="G57" s="1">
        <v>10000</v>
      </c>
      <c r="H57" s="1">
        <v>3</v>
      </c>
      <c r="I57" s="1">
        <v>6</v>
      </c>
    </row>
    <row r="58" spans="1:9" x14ac:dyDescent="0.2">
      <c r="A58" s="1" t="s">
        <v>359</v>
      </c>
      <c r="B58">
        <v>4121</v>
      </c>
      <c r="C58" s="1">
        <v>0</v>
      </c>
      <c r="D58" s="11" t="s">
        <v>258</v>
      </c>
      <c r="E58" s="1">
        <v>0</v>
      </c>
      <c r="F58" s="1">
        <v>291</v>
      </c>
      <c r="G58" s="1">
        <v>10000</v>
      </c>
      <c r="H58" s="1">
        <v>3</v>
      </c>
      <c r="I58" s="1">
        <v>6</v>
      </c>
    </row>
    <row r="59" spans="1:9" x14ac:dyDescent="0.2">
      <c r="A59" s="1" t="s">
        <v>360</v>
      </c>
      <c r="B59">
        <v>4122</v>
      </c>
      <c r="C59" s="1">
        <v>0</v>
      </c>
      <c r="D59" s="11" t="s">
        <v>259</v>
      </c>
      <c r="E59" s="1">
        <v>0</v>
      </c>
      <c r="F59" s="1">
        <v>220</v>
      </c>
      <c r="G59" s="1">
        <v>10000</v>
      </c>
      <c r="H59" s="1">
        <v>3</v>
      </c>
      <c r="I59" s="1">
        <v>6</v>
      </c>
    </row>
    <row r="60" spans="1:9" x14ac:dyDescent="0.2">
      <c r="A60" s="1" t="s">
        <v>360</v>
      </c>
      <c r="B60">
        <v>4122</v>
      </c>
      <c r="C60" s="1">
        <v>0</v>
      </c>
      <c r="D60" s="11" t="s">
        <v>260</v>
      </c>
      <c r="E60" s="1">
        <v>0</v>
      </c>
      <c r="F60" s="1">
        <v>293</v>
      </c>
      <c r="G60" s="1">
        <v>10000</v>
      </c>
      <c r="H60" s="1">
        <v>3</v>
      </c>
      <c r="I60" s="1">
        <v>6</v>
      </c>
    </row>
    <row r="61" spans="1:9" x14ac:dyDescent="0.2">
      <c r="A61" s="1" t="s">
        <v>361</v>
      </c>
      <c r="B61">
        <v>4123</v>
      </c>
      <c r="C61" s="1">
        <v>0</v>
      </c>
      <c r="D61" s="11" t="s">
        <v>261</v>
      </c>
      <c r="E61" s="1">
        <v>0</v>
      </c>
      <c r="F61" s="1">
        <v>228</v>
      </c>
      <c r="G61" s="1">
        <v>10000</v>
      </c>
      <c r="H61" s="1">
        <v>5</v>
      </c>
      <c r="I61" s="1">
        <v>10</v>
      </c>
    </row>
    <row r="62" spans="1:9" x14ac:dyDescent="0.2">
      <c r="A62" s="1" t="s">
        <v>362</v>
      </c>
      <c r="B62">
        <v>4124</v>
      </c>
      <c r="C62" s="1">
        <v>0</v>
      </c>
      <c r="D62" s="11" t="s">
        <v>262</v>
      </c>
      <c r="E62" s="1">
        <v>0</v>
      </c>
      <c r="F62" s="1">
        <v>221</v>
      </c>
      <c r="G62" s="1">
        <v>10000</v>
      </c>
      <c r="H62" s="1">
        <v>3</v>
      </c>
      <c r="I62" s="1">
        <v>6</v>
      </c>
    </row>
    <row r="63" spans="1:9" x14ac:dyDescent="0.2">
      <c r="A63" s="1" t="s">
        <v>362</v>
      </c>
      <c r="B63">
        <v>4124</v>
      </c>
      <c r="C63" s="1">
        <v>0</v>
      </c>
      <c r="D63" s="11" t="s">
        <v>229</v>
      </c>
      <c r="E63" s="1">
        <v>0</v>
      </c>
      <c r="F63" s="1">
        <v>105</v>
      </c>
      <c r="G63" s="1">
        <v>10000</v>
      </c>
      <c r="H63" s="1">
        <v>3</v>
      </c>
      <c r="I63" s="1">
        <v>6</v>
      </c>
    </row>
    <row r="64" spans="1:9" x14ac:dyDescent="0.2">
      <c r="A64" s="1" t="s">
        <v>363</v>
      </c>
      <c r="B64">
        <v>4125</v>
      </c>
      <c r="C64" s="1">
        <v>0</v>
      </c>
      <c r="D64" s="11" t="s">
        <v>263</v>
      </c>
      <c r="E64" s="1">
        <v>0</v>
      </c>
      <c r="F64" s="1">
        <v>222</v>
      </c>
      <c r="G64" s="1">
        <v>10000</v>
      </c>
      <c r="H64" s="1">
        <v>3</v>
      </c>
      <c r="I64" s="1">
        <v>6</v>
      </c>
    </row>
    <row r="65" spans="1:9" x14ac:dyDescent="0.2">
      <c r="A65" s="1" t="s">
        <v>363</v>
      </c>
      <c r="B65">
        <v>4125</v>
      </c>
      <c r="C65" s="1">
        <v>0</v>
      </c>
      <c r="D65" s="11" t="s">
        <v>216</v>
      </c>
      <c r="E65" s="1">
        <v>0</v>
      </c>
      <c r="F65" s="1">
        <v>203</v>
      </c>
      <c r="G65" s="1">
        <v>10000</v>
      </c>
      <c r="H65" s="1">
        <v>3</v>
      </c>
      <c r="I65" s="1">
        <v>6</v>
      </c>
    </row>
    <row r="66" spans="1:9" x14ac:dyDescent="0.2">
      <c r="A66" s="1" t="s">
        <v>364</v>
      </c>
      <c r="B66">
        <v>4126</v>
      </c>
      <c r="C66" s="1">
        <v>0</v>
      </c>
      <c r="D66" s="11" t="s">
        <v>264</v>
      </c>
      <c r="E66" s="1">
        <v>0</v>
      </c>
      <c r="F66" s="1">
        <v>3005</v>
      </c>
      <c r="G66" s="1">
        <v>10000</v>
      </c>
      <c r="H66" s="1">
        <v>3</v>
      </c>
      <c r="I66" s="1">
        <v>6</v>
      </c>
    </row>
    <row r="67" spans="1:9" x14ac:dyDescent="0.2">
      <c r="A67" s="1" t="s">
        <v>364</v>
      </c>
      <c r="B67">
        <v>4126</v>
      </c>
      <c r="C67" s="1">
        <v>0</v>
      </c>
      <c r="D67" s="11" t="s">
        <v>265</v>
      </c>
      <c r="E67" s="1">
        <v>0</v>
      </c>
      <c r="F67" s="1">
        <v>239</v>
      </c>
      <c r="G67" s="1">
        <v>5000</v>
      </c>
      <c r="H67" s="1">
        <v>3</v>
      </c>
      <c r="I67" s="1">
        <v>6</v>
      </c>
    </row>
    <row r="68" spans="1:9" x14ac:dyDescent="0.2">
      <c r="A68" s="1" t="s">
        <v>365</v>
      </c>
      <c r="B68">
        <v>4127</v>
      </c>
      <c r="C68" s="1">
        <v>0</v>
      </c>
      <c r="D68" s="11" t="s">
        <v>266</v>
      </c>
      <c r="E68" s="1">
        <v>0</v>
      </c>
      <c r="F68" s="1">
        <v>223</v>
      </c>
      <c r="G68" s="1">
        <v>10000</v>
      </c>
      <c r="H68" s="1">
        <v>3</v>
      </c>
      <c r="I68" s="1">
        <v>6</v>
      </c>
    </row>
    <row r="69" spans="1:9" x14ac:dyDescent="0.2">
      <c r="A69" s="1" t="s">
        <v>365</v>
      </c>
      <c r="B69">
        <v>4127</v>
      </c>
      <c r="C69" s="1">
        <v>0</v>
      </c>
      <c r="D69" s="11" t="s">
        <v>267</v>
      </c>
      <c r="E69" s="1">
        <v>0</v>
      </c>
      <c r="F69" s="1">
        <v>280</v>
      </c>
      <c r="G69" s="1">
        <v>5000</v>
      </c>
      <c r="H69" s="1">
        <v>3</v>
      </c>
      <c r="I69" s="1">
        <v>6</v>
      </c>
    </row>
    <row r="70" spans="1:9" x14ac:dyDescent="0.2">
      <c r="A70" s="1" t="s">
        <v>366</v>
      </c>
      <c r="B70">
        <v>4128</v>
      </c>
      <c r="C70" s="1">
        <v>0</v>
      </c>
      <c r="D70" s="11" t="s">
        <v>268</v>
      </c>
      <c r="E70" s="1">
        <v>0</v>
      </c>
      <c r="F70" s="1">
        <v>270</v>
      </c>
      <c r="G70" s="1">
        <v>10000</v>
      </c>
      <c r="H70" s="1">
        <v>3</v>
      </c>
      <c r="I70" s="1">
        <v>6</v>
      </c>
    </row>
    <row r="71" spans="1:9" x14ac:dyDescent="0.2">
      <c r="A71" s="1" t="s">
        <v>366</v>
      </c>
      <c r="B71">
        <v>4128</v>
      </c>
      <c r="C71" s="1">
        <v>0</v>
      </c>
      <c r="D71" s="11" t="s">
        <v>269</v>
      </c>
      <c r="E71" s="1">
        <v>0</v>
      </c>
      <c r="F71" s="1">
        <v>251</v>
      </c>
      <c r="G71" s="1">
        <v>10000</v>
      </c>
      <c r="H71" s="1">
        <v>3</v>
      </c>
      <c r="I71" s="1">
        <v>6</v>
      </c>
    </row>
    <row r="72" spans="1:9" x14ac:dyDescent="0.2">
      <c r="A72" s="1" t="s">
        <v>366</v>
      </c>
      <c r="B72">
        <v>4128</v>
      </c>
      <c r="C72" s="1">
        <v>0</v>
      </c>
      <c r="D72" s="11" t="s">
        <v>270</v>
      </c>
      <c r="E72" s="1">
        <v>0</v>
      </c>
      <c r="F72" s="1">
        <v>238</v>
      </c>
      <c r="G72" s="1">
        <v>10000</v>
      </c>
      <c r="H72" s="1">
        <v>2</v>
      </c>
      <c r="I72" s="1">
        <v>4</v>
      </c>
    </row>
    <row r="73" spans="1:9" x14ac:dyDescent="0.2">
      <c r="A73" s="1" t="s">
        <v>366</v>
      </c>
      <c r="B73">
        <v>4128</v>
      </c>
      <c r="C73" s="1">
        <v>0</v>
      </c>
      <c r="D73" s="11" t="s">
        <v>271</v>
      </c>
      <c r="E73" s="1">
        <v>0</v>
      </c>
      <c r="F73" s="1">
        <v>222</v>
      </c>
      <c r="G73" s="1">
        <v>10000</v>
      </c>
      <c r="H73" s="1">
        <v>2</v>
      </c>
      <c r="I73" s="1">
        <v>4</v>
      </c>
    </row>
    <row r="74" spans="1:9" x14ac:dyDescent="0.2">
      <c r="A74" s="1" t="s">
        <v>366</v>
      </c>
      <c r="B74">
        <v>4128</v>
      </c>
      <c r="C74" s="1">
        <v>0</v>
      </c>
      <c r="D74" s="11" t="s">
        <v>258</v>
      </c>
      <c r="E74" s="1">
        <v>0</v>
      </c>
      <c r="F74" s="1">
        <v>291</v>
      </c>
      <c r="G74" s="1">
        <v>10000</v>
      </c>
      <c r="H74" s="1">
        <v>2</v>
      </c>
      <c r="I74" s="1">
        <v>4</v>
      </c>
    </row>
    <row r="75" spans="1:9" x14ac:dyDescent="0.2">
      <c r="A75" s="1" t="s">
        <v>366</v>
      </c>
      <c r="B75">
        <v>4128</v>
      </c>
      <c r="C75" s="1">
        <v>0</v>
      </c>
      <c r="D75" s="11" t="s">
        <v>260</v>
      </c>
      <c r="E75" s="1">
        <v>0</v>
      </c>
      <c r="F75" s="1">
        <v>293</v>
      </c>
      <c r="G75" s="1">
        <v>10000</v>
      </c>
      <c r="H75" s="1">
        <v>2</v>
      </c>
      <c r="I75" s="1">
        <v>4</v>
      </c>
    </row>
    <row r="76" spans="1:9" x14ac:dyDescent="0.2">
      <c r="A76" s="1" t="s">
        <v>367</v>
      </c>
      <c r="B76">
        <v>4129</v>
      </c>
      <c r="C76" s="1">
        <v>0</v>
      </c>
      <c r="D76" s="11" t="s">
        <v>272</v>
      </c>
      <c r="E76" s="1">
        <v>0</v>
      </c>
      <c r="F76" s="1">
        <v>224</v>
      </c>
      <c r="G76" s="1">
        <v>10000</v>
      </c>
      <c r="H76" s="1">
        <v>3</v>
      </c>
      <c r="I76" s="1">
        <v>6</v>
      </c>
    </row>
    <row r="77" spans="1:9" x14ac:dyDescent="0.2">
      <c r="A77" s="1" t="s">
        <v>367</v>
      </c>
      <c r="B77">
        <v>4129</v>
      </c>
      <c r="C77" s="1">
        <v>0</v>
      </c>
      <c r="D77" s="11" t="s">
        <v>241</v>
      </c>
      <c r="E77" s="1">
        <v>0</v>
      </c>
      <c r="F77" s="1">
        <v>296</v>
      </c>
      <c r="G77" s="1">
        <v>10000</v>
      </c>
      <c r="H77" s="1">
        <v>3</v>
      </c>
      <c r="I77" s="1">
        <v>6</v>
      </c>
    </row>
    <row r="78" spans="1:9" x14ac:dyDescent="0.2">
      <c r="A78" s="1" t="s">
        <v>367</v>
      </c>
      <c r="B78">
        <v>4129</v>
      </c>
      <c r="C78" s="1">
        <v>0</v>
      </c>
      <c r="D78" s="11" t="s">
        <v>273</v>
      </c>
      <c r="E78" s="1">
        <v>0</v>
      </c>
      <c r="F78" s="1">
        <v>203</v>
      </c>
      <c r="G78" s="1">
        <v>10000</v>
      </c>
      <c r="H78" s="1">
        <v>2</v>
      </c>
      <c r="I78" s="1">
        <v>4</v>
      </c>
    </row>
    <row r="79" spans="1:9" x14ac:dyDescent="0.2">
      <c r="A79" s="1" t="s">
        <v>367</v>
      </c>
      <c r="B79">
        <v>4129</v>
      </c>
      <c r="C79" s="1">
        <v>0</v>
      </c>
      <c r="D79" s="11" t="s">
        <v>262</v>
      </c>
      <c r="E79" s="1">
        <v>0</v>
      </c>
      <c r="F79" s="1">
        <v>221</v>
      </c>
      <c r="G79" s="1">
        <v>10000</v>
      </c>
      <c r="H79" s="1">
        <v>2</v>
      </c>
      <c r="I79" s="1">
        <v>4</v>
      </c>
    </row>
    <row r="80" spans="1:9" x14ac:dyDescent="0.2">
      <c r="A80" s="1" t="s">
        <v>367</v>
      </c>
      <c r="B80">
        <v>4129</v>
      </c>
      <c r="C80" s="1">
        <v>0</v>
      </c>
      <c r="D80" s="11" t="s">
        <v>229</v>
      </c>
      <c r="E80" s="1">
        <v>0</v>
      </c>
      <c r="F80" s="1">
        <v>105</v>
      </c>
      <c r="G80" s="1">
        <v>10000</v>
      </c>
      <c r="H80" s="1">
        <v>2</v>
      </c>
      <c r="I80" s="1">
        <v>4</v>
      </c>
    </row>
    <row r="81" spans="1:9" x14ac:dyDescent="0.2">
      <c r="A81" s="1" t="s">
        <v>367</v>
      </c>
      <c r="B81">
        <v>4129</v>
      </c>
      <c r="C81" s="1">
        <v>0</v>
      </c>
      <c r="D81" s="11" t="s">
        <v>261</v>
      </c>
      <c r="E81" s="1">
        <v>0</v>
      </c>
      <c r="F81" s="1">
        <v>228</v>
      </c>
      <c r="G81" s="1">
        <v>10000</v>
      </c>
      <c r="H81" s="1">
        <v>2</v>
      </c>
      <c r="I81" s="1">
        <v>4</v>
      </c>
    </row>
    <row r="82" spans="1:9" x14ac:dyDescent="0.2">
      <c r="A82" s="1" t="s">
        <v>368</v>
      </c>
      <c r="B82">
        <v>4130</v>
      </c>
      <c r="C82" s="1">
        <v>0</v>
      </c>
      <c r="D82" s="11" t="s">
        <v>274</v>
      </c>
      <c r="E82" s="1">
        <v>0</v>
      </c>
      <c r="F82" s="1">
        <v>225</v>
      </c>
      <c r="G82" s="1">
        <v>10000</v>
      </c>
      <c r="H82" s="1">
        <v>3</v>
      </c>
      <c r="I82" s="1">
        <v>6</v>
      </c>
    </row>
    <row r="83" spans="1:9" x14ac:dyDescent="0.2">
      <c r="A83" s="1" t="s">
        <v>368</v>
      </c>
      <c r="B83">
        <v>4130</v>
      </c>
      <c r="C83" s="1">
        <v>0</v>
      </c>
      <c r="D83" s="11" t="s">
        <v>208</v>
      </c>
      <c r="E83" s="1">
        <v>0</v>
      </c>
      <c r="F83" s="1">
        <v>200</v>
      </c>
      <c r="G83" s="1">
        <v>10000</v>
      </c>
      <c r="H83" s="1">
        <v>3</v>
      </c>
      <c r="I83" s="1">
        <v>6</v>
      </c>
    </row>
    <row r="84" spans="1:9" x14ac:dyDescent="0.2">
      <c r="A84" s="1" t="s">
        <v>369</v>
      </c>
      <c r="B84">
        <v>4131</v>
      </c>
      <c r="C84" s="1">
        <v>0</v>
      </c>
      <c r="D84" s="11" t="s">
        <v>275</v>
      </c>
      <c r="E84" s="1">
        <v>0</v>
      </c>
      <c r="F84" s="1">
        <v>213</v>
      </c>
      <c r="G84" s="1">
        <v>10000</v>
      </c>
      <c r="H84" s="1">
        <v>3</v>
      </c>
      <c r="I84" s="1">
        <v>6</v>
      </c>
    </row>
    <row r="85" spans="1:9" x14ac:dyDescent="0.2">
      <c r="A85" s="1" t="s">
        <v>369</v>
      </c>
      <c r="B85">
        <v>4131</v>
      </c>
      <c r="C85" s="1">
        <v>0</v>
      </c>
      <c r="D85" s="11" t="s">
        <v>276</v>
      </c>
      <c r="E85" s="1">
        <v>0</v>
      </c>
      <c r="F85" s="1">
        <v>278</v>
      </c>
      <c r="G85" s="1">
        <v>10000</v>
      </c>
      <c r="H85" s="1">
        <v>3</v>
      </c>
      <c r="I85" s="1">
        <v>6</v>
      </c>
    </row>
    <row r="86" spans="1:9" x14ac:dyDescent="0.2">
      <c r="A86" s="1" t="s">
        <v>370</v>
      </c>
      <c r="B86">
        <v>4132</v>
      </c>
      <c r="C86" s="1">
        <v>0</v>
      </c>
      <c r="D86" s="11" t="s">
        <v>277</v>
      </c>
      <c r="E86" s="1">
        <v>0</v>
      </c>
      <c r="F86" s="1">
        <v>227</v>
      </c>
      <c r="G86" s="1">
        <v>10000</v>
      </c>
      <c r="H86" s="1">
        <v>3</v>
      </c>
      <c r="I86" s="1">
        <v>6</v>
      </c>
    </row>
    <row r="87" spans="1:9" x14ac:dyDescent="0.2">
      <c r="A87" s="1" t="s">
        <v>370</v>
      </c>
      <c r="B87">
        <v>4132</v>
      </c>
      <c r="C87" s="1">
        <v>0</v>
      </c>
      <c r="D87" s="11" t="s">
        <v>278</v>
      </c>
      <c r="E87" s="1">
        <v>0</v>
      </c>
      <c r="F87" s="1">
        <v>272</v>
      </c>
      <c r="G87" s="1">
        <v>10000</v>
      </c>
      <c r="H87" s="1">
        <v>3</v>
      </c>
      <c r="I87" s="1">
        <v>6</v>
      </c>
    </row>
    <row r="88" spans="1:9" x14ac:dyDescent="0.2">
      <c r="A88" s="1" t="s">
        <v>371</v>
      </c>
      <c r="B88">
        <v>4133</v>
      </c>
      <c r="C88" s="1">
        <v>0</v>
      </c>
      <c r="D88" s="11" t="s">
        <v>261</v>
      </c>
      <c r="E88" s="1">
        <v>0</v>
      </c>
      <c r="F88" s="1">
        <v>228</v>
      </c>
      <c r="G88" s="1">
        <v>10000</v>
      </c>
      <c r="H88" s="1">
        <v>3</v>
      </c>
      <c r="I88" s="1">
        <v>6</v>
      </c>
    </row>
    <row r="89" spans="1:9" x14ac:dyDescent="0.2">
      <c r="A89" s="1" t="s">
        <v>371</v>
      </c>
      <c r="B89">
        <v>4133</v>
      </c>
      <c r="C89" s="1">
        <v>0</v>
      </c>
      <c r="D89" s="11" t="s">
        <v>235</v>
      </c>
      <c r="E89" s="1">
        <v>0</v>
      </c>
      <c r="F89" s="1">
        <v>214</v>
      </c>
      <c r="G89" s="1">
        <v>10000</v>
      </c>
      <c r="H89" s="1">
        <v>3</v>
      </c>
      <c r="I89" s="1">
        <v>6</v>
      </c>
    </row>
    <row r="90" spans="1:9" x14ac:dyDescent="0.2">
      <c r="A90" s="1" t="s">
        <v>372</v>
      </c>
      <c r="B90">
        <v>4134</v>
      </c>
      <c r="C90" s="1">
        <v>0</v>
      </c>
      <c r="D90" s="11" t="s">
        <v>279</v>
      </c>
      <c r="E90" s="1">
        <v>0</v>
      </c>
      <c r="F90" s="1">
        <v>229</v>
      </c>
      <c r="G90" s="1">
        <v>10000</v>
      </c>
      <c r="H90" s="1">
        <v>3</v>
      </c>
      <c r="I90" s="1">
        <v>6</v>
      </c>
    </row>
    <row r="91" spans="1:9" x14ac:dyDescent="0.2">
      <c r="A91" s="1" t="s">
        <v>372</v>
      </c>
      <c r="B91">
        <v>4134</v>
      </c>
      <c r="C91" s="1">
        <v>0</v>
      </c>
      <c r="D91" s="11" t="s">
        <v>280</v>
      </c>
      <c r="E91" s="1">
        <v>0</v>
      </c>
      <c r="F91" s="1">
        <v>297</v>
      </c>
      <c r="G91" s="1">
        <v>10000</v>
      </c>
      <c r="H91" s="1">
        <v>3</v>
      </c>
      <c r="I91" s="1">
        <v>6</v>
      </c>
    </row>
    <row r="92" spans="1:9" x14ac:dyDescent="0.2">
      <c r="A92" s="1" t="s">
        <v>373</v>
      </c>
      <c r="B92">
        <v>4135</v>
      </c>
      <c r="C92" s="1">
        <v>0</v>
      </c>
      <c r="D92" s="11" t="s">
        <v>281</v>
      </c>
      <c r="E92" s="1">
        <v>0</v>
      </c>
      <c r="F92" s="1">
        <v>230</v>
      </c>
      <c r="G92" s="1">
        <v>10000</v>
      </c>
      <c r="H92" s="1">
        <v>3</v>
      </c>
      <c r="I92" s="1">
        <v>6</v>
      </c>
    </row>
    <row r="93" spans="1:9" x14ac:dyDescent="0.2">
      <c r="A93" s="1" t="s">
        <v>373</v>
      </c>
      <c r="B93">
        <v>4135</v>
      </c>
      <c r="C93" s="1">
        <v>0</v>
      </c>
      <c r="D93" s="11" t="s">
        <v>239</v>
      </c>
      <c r="E93" s="1">
        <v>0</v>
      </c>
      <c r="F93" s="1">
        <v>205</v>
      </c>
      <c r="G93" s="1">
        <v>10000</v>
      </c>
      <c r="H93" s="1">
        <v>3</v>
      </c>
      <c r="I93" s="1">
        <v>6</v>
      </c>
    </row>
    <row r="94" spans="1:9" x14ac:dyDescent="0.2">
      <c r="A94" s="1" t="s">
        <v>374</v>
      </c>
      <c r="B94">
        <v>4136</v>
      </c>
      <c r="C94" s="1">
        <v>0</v>
      </c>
      <c r="D94" s="11" t="s">
        <v>282</v>
      </c>
      <c r="E94" s="1">
        <v>0</v>
      </c>
      <c r="F94" s="1">
        <v>282</v>
      </c>
      <c r="G94" s="1">
        <v>10000</v>
      </c>
      <c r="H94" s="1">
        <v>3</v>
      </c>
      <c r="I94" s="1">
        <v>6</v>
      </c>
    </row>
    <row r="95" spans="1:9" x14ac:dyDescent="0.2">
      <c r="A95" s="1" t="s">
        <v>374</v>
      </c>
      <c r="B95">
        <v>4136</v>
      </c>
      <c r="C95" s="1">
        <v>0</v>
      </c>
      <c r="D95" s="11" t="s">
        <v>241</v>
      </c>
      <c r="E95" s="1">
        <v>0</v>
      </c>
      <c r="F95" s="1">
        <v>296</v>
      </c>
      <c r="G95" s="1">
        <v>10000</v>
      </c>
      <c r="H95" s="1">
        <v>3</v>
      </c>
      <c r="I95" s="1">
        <v>6</v>
      </c>
    </row>
    <row r="96" spans="1:9" x14ac:dyDescent="0.2">
      <c r="A96" s="1" t="s">
        <v>375</v>
      </c>
      <c r="B96">
        <v>4137</v>
      </c>
      <c r="C96" s="1">
        <v>0</v>
      </c>
      <c r="D96" s="11" t="s">
        <v>283</v>
      </c>
      <c r="E96" s="1">
        <v>0</v>
      </c>
      <c r="F96" s="1">
        <v>232</v>
      </c>
      <c r="G96" s="1">
        <v>10000</v>
      </c>
      <c r="H96" s="1">
        <v>3</v>
      </c>
      <c r="I96" s="1">
        <v>6</v>
      </c>
    </row>
    <row r="97" spans="1:9" x14ac:dyDescent="0.2">
      <c r="A97" s="1" t="s">
        <v>375</v>
      </c>
      <c r="B97">
        <v>4137</v>
      </c>
      <c r="C97" s="1">
        <v>0</v>
      </c>
      <c r="D97" s="11" t="s">
        <v>284</v>
      </c>
      <c r="E97" s="1">
        <v>0</v>
      </c>
      <c r="F97" s="1">
        <v>290</v>
      </c>
      <c r="G97" s="1">
        <v>10000</v>
      </c>
      <c r="H97" s="1">
        <v>3</v>
      </c>
      <c r="I97" s="1">
        <v>6</v>
      </c>
    </row>
    <row r="98" spans="1:9" x14ac:dyDescent="0.2">
      <c r="A98" s="1" t="s">
        <v>376</v>
      </c>
      <c r="B98">
        <v>4138</v>
      </c>
      <c r="C98" s="1">
        <v>0</v>
      </c>
      <c r="D98" s="11" t="s">
        <v>282</v>
      </c>
      <c r="E98" s="1">
        <v>0</v>
      </c>
      <c r="F98" s="1">
        <v>282</v>
      </c>
      <c r="G98" s="1">
        <v>10000</v>
      </c>
      <c r="H98" s="1">
        <v>3</v>
      </c>
      <c r="I98" s="1">
        <v>6</v>
      </c>
    </row>
    <row r="99" spans="1:9" x14ac:dyDescent="0.2">
      <c r="A99" s="1" t="s">
        <v>376</v>
      </c>
      <c r="B99">
        <v>4138</v>
      </c>
      <c r="C99" s="1">
        <v>0</v>
      </c>
      <c r="D99" s="11" t="s">
        <v>277</v>
      </c>
      <c r="E99" s="1">
        <v>0</v>
      </c>
      <c r="F99" s="1">
        <v>227</v>
      </c>
      <c r="G99" s="1">
        <v>10000</v>
      </c>
      <c r="H99" s="1">
        <v>3</v>
      </c>
      <c r="I99" s="1">
        <v>6</v>
      </c>
    </row>
    <row r="100" spans="1:9" x14ac:dyDescent="0.2">
      <c r="A100" s="1" t="s">
        <v>376</v>
      </c>
      <c r="B100">
        <v>4138</v>
      </c>
      <c r="C100" s="1">
        <v>0</v>
      </c>
      <c r="D100" s="11" t="s">
        <v>285</v>
      </c>
      <c r="E100" s="1">
        <v>0</v>
      </c>
      <c r="F100" s="1">
        <v>255</v>
      </c>
      <c r="G100" s="1">
        <v>10000</v>
      </c>
      <c r="H100" s="1">
        <v>2</v>
      </c>
      <c r="I100" s="1">
        <v>4</v>
      </c>
    </row>
    <row r="101" spans="1:9" x14ac:dyDescent="0.2">
      <c r="A101" s="1" t="s">
        <v>376</v>
      </c>
      <c r="B101">
        <v>4138</v>
      </c>
      <c r="C101" s="1">
        <v>0</v>
      </c>
      <c r="D101" s="11" t="s">
        <v>278</v>
      </c>
      <c r="E101" s="1">
        <v>0</v>
      </c>
      <c r="F101" s="1">
        <v>272</v>
      </c>
      <c r="G101" s="1">
        <v>10000</v>
      </c>
      <c r="H101" s="1">
        <v>2</v>
      </c>
      <c r="I101" s="1">
        <v>4</v>
      </c>
    </row>
    <row r="102" spans="1:9" x14ac:dyDescent="0.2">
      <c r="A102" s="1" t="s">
        <v>376</v>
      </c>
      <c r="B102">
        <v>4138</v>
      </c>
      <c r="C102" s="1">
        <v>0</v>
      </c>
      <c r="D102" s="11" t="s">
        <v>281</v>
      </c>
      <c r="E102" s="1">
        <v>0</v>
      </c>
      <c r="F102" s="1">
        <v>230</v>
      </c>
      <c r="G102" s="1">
        <v>10000</v>
      </c>
      <c r="H102" s="1">
        <v>2</v>
      </c>
      <c r="I102" s="1">
        <v>4</v>
      </c>
    </row>
    <row r="103" spans="1:9" x14ac:dyDescent="0.2">
      <c r="A103" s="1" t="s">
        <v>376</v>
      </c>
      <c r="B103">
        <v>4138</v>
      </c>
      <c r="C103" s="1">
        <v>0</v>
      </c>
      <c r="D103" s="11" t="s">
        <v>234</v>
      </c>
      <c r="E103" s="1">
        <v>0</v>
      </c>
      <c r="F103" s="1">
        <v>213</v>
      </c>
      <c r="G103" s="1">
        <v>10000</v>
      </c>
      <c r="H103" s="1">
        <v>2</v>
      </c>
      <c r="I103" s="1">
        <v>4</v>
      </c>
    </row>
    <row r="104" spans="1:9" x14ac:dyDescent="0.2">
      <c r="A104" s="1" t="s">
        <v>377</v>
      </c>
      <c r="B104">
        <v>4139</v>
      </c>
      <c r="C104" s="1">
        <v>0</v>
      </c>
      <c r="D104" s="11" t="s">
        <v>286</v>
      </c>
      <c r="E104" s="1">
        <v>0</v>
      </c>
      <c r="F104" s="1">
        <v>234</v>
      </c>
      <c r="G104" s="1">
        <v>10000</v>
      </c>
      <c r="H104" s="1">
        <v>3</v>
      </c>
      <c r="I104" s="1">
        <v>6</v>
      </c>
    </row>
    <row r="105" spans="1:9" x14ac:dyDescent="0.2">
      <c r="A105" s="1" t="s">
        <v>377</v>
      </c>
      <c r="B105">
        <v>4139</v>
      </c>
      <c r="C105" s="1">
        <v>0</v>
      </c>
      <c r="D105" s="11" t="s">
        <v>241</v>
      </c>
      <c r="E105" s="1">
        <v>0</v>
      </c>
      <c r="F105" s="1">
        <v>296</v>
      </c>
      <c r="G105" s="1">
        <v>10000</v>
      </c>
      <c r="H105" s="1">
        <v>3</v>
      </c>
      <c r="I105" s="1">
        <v>6</v>
      </c>
    </row>
    <row r="106" spans="1:9" x14ac:dyDescent="0.2">
      <c r="A106" s="1" t="s">
        <v>377</v>
      </c>
      <c r="B106">
        <v>4139</v>
      </c>
      <c r="C106" s="1">
        <v>0</v>
      </c>
      <c r="D106" s="11" t="s">
        <v>287</v>
      </c>
      <c r="E106" s="1">
        <v>0</v>
      </c>
      <c r="F106" s="1">
        <v>265</v>
      </c>
      <c r="G106" s="1">
        <v>10000</v>
      </c>
      <c r="H106" s="1">
        <v>2</v>
      </c>
      <c r="I106" s="1">
        <v>4</v>
      </c>
    </row>
    <row r="107" spans="1:9" x14ac:dyDescent="0.2">
      <c r="A107" s="1" t="s">
        <v>377</v>
      </c>
      <c r="B107">
        <v>4139</v>
      </c>
      <c r="C107" s="1">
        <v>0</v>
      </c>
      <c r="D107" s="11" t="s">
        <v>283</v>
      </c>
      <c r="E107" s="1">
        <v>0</v>
      </c>
      <c r="F107" s="1">
        <v>232</v>
      </c>
      <c r="G107" s="1">
        <v>10000</v>
      </c>
      <c r="H107" s="1">
        <v>2</v>
      </c>
      <c r="I107" s="1">
        <v>4</v>
      </c>
    </row>
    <row r="108" spans="1:9" x14ac:dyDescent="0.2">
      <c r="A108" s="1" t="s">
        <v>377</v>
      </c>
      <c r="B108">
        <v>4139</v>
      </c>
      <c r="C108" s="1">
        <v>0</v>
      </c>
      <c r="D108" s="11" t="s">
        <v>284</v>
      </c>
      <c r="E108" s="1">
        <v>0</v>
      </c>
      <c r="F108" s="1">
        <v>290</v>
      </c>
      <c r="G108" s="1">
        <v>10000</v>
      </c>
      <c r="H108" s="1">
        <v>2</v>
      </c>
      <c r="I108" s="1">
        <v>4</v>
      </c>
    </row>
    <row r="109" spans="1:9" x14ac:dyDescent="0.2">
      <c r="A109" s="1" t="s">
        <v>377</v>
      </c>
      <c r="B109">
        <v>4139</v>
      </c>
      <c r="C109" s="1">
        <v>0</v>
      </c>
      <c r="D109" s="11" t="s">
        <v>288</v>
      </c>
      <c r="E109" s="1">
        <v>0</v>
      </c>
      <c r="F109" s="1">
        <v>278</v>
      </c>
      <c r="G109" s="1">
        <v>10000</v>
      </c>
      <c r="H109" s="1">
        <v>2</v>
      </c>
      <c r="I109" s="1">
        <v>4</v>
      </c>
    </row>
    <row r="110" spans="1:9" x14ac:dyDescent="0.2">
      <c r="A110" s="1" t="s">
        <v>378</v>
      </c>
      <c r="B110">
        <v>4140</v>
      </c>
      <c r="C110" s="1">
        <v>0</v>
      </c>
      <c r="D110" s="11" t="s">
        <v>217</v>
      </c>
      <c r="E110" s="1">
        <v>0</v>
      </c>
      <c r="F110" s="1">
        <v>297</v>
      </c>
      <c r="G110" s="1">
        <v>10000</v>
      </c>
      <c r="H110" s="1">
        <v>4</v>
      </c>
      <c r="I110" s="1">
        <v>8</v>
      </c>
    </row>
    <row r="111" spans="1:9" x14ac:dyDescent="0.2">
      <c r="A111" s="1" t="s">
        <v>378</v>
      </c>
      <c r="B111">
        <v>4140</v>
      </c>
      <c r="C111" s="1">
        <v>0</v>
      </c>
      <c r="D111" s="11" t="s">
        <v>289</v>
      </c>
      <c r="E111" s="1">
        <v>0</v>
      </c>
      <c r="F111" s="1">
        <v>223</v>
      </c>
      <c r="G111" s="1">
        <v>5000</v>
      </c>
      <c r="H111" s="1">
        <v>2</v>
      </c>
      <c r="I111" s="1">
        <v>4</v>
      </c>
    </row>
    <row r="112" spans="1:9" x14ac:dyDescent="0.2">
      <c r="A112" s="1" t="s">
        <v>379</v>
      </c>
      <c r="B112">
        <v>4141</v>
      </c>
      <c r="C112" s="1">
        <v>0</v>
      </c>
      <c r="D112" s="11" t="s">
        <v>290</v>
      </c>
      <c r="E112" s="1">
        <v>0</v>
      </c>
      <c r="F112" s="1">
        <v>236</v>
      </c>
      <c r="G112" s="1">
        <v>10000</v>
      </c>
      <c r="H112" s="1">
        <v>3</v>
      </c>
      <c r="I112" s="1">
        <v>6</v>
      </c>
    </row>
    <row r="113" spans="1:9" x14ac:dyDescent="0.2">
      <c r="A113" s="1" t="s">
        <v>379</v>
      </c>
      <c r="B113">
        <v>4141</v>
      </c>
      <c r="C113" s="1">
        <v>0</v>
      </c>
      <c r="D113" s="11" t="s">
        <v>291</v>
      </c>
      <c r="E113" s="1">
        <v>0</v>
      </c>
      <c r="F113" s="1">
        <v>212</v>
      </c>
      <c r="G113" s="1">
        <v>10000</v>
      </c>
      <c r="H113" s="1">
        <v>3</v>
      </c>
      <c r="I113" s="1">
        <v>6</v>
      </c>
    </row>
    <row r="114" spans="1:9" x14ac:dyDescent="0.2">
      <c r="A114" s="1" t="s">
        <v>380</v>
      </c>
      <c r="B114">
        <v>4142</v>
      </c>
      <c r="C114" s="1">
        <v>0</v>
      </c>
      <c r="D114" s="11" t="s">
        <v>292</v>
      </c>
      <c r="E114" s="1">
        <v>0</v>
      </c>
      <c r="F114" s="1">
        <v>237</v>
      </c>
      <c r="G114" s="1">
        <v>10000</v>
      </c>
      <c r="H114" s="1">
        <v>3</v>
      </c>
      <c r="I114" s="1">
        <v>6</v>
      </c>
    </row>
    <row r="115" spans="1:9" x14ac:dyDescent="0.2">
      <c r="A115" s="1" t="s">
        <v>380</v>
      </c>
      <c r="B115">
        <v>4142</v>
      </c>
      <c r="C115" s="1">
        <v>0</v>
      </c>
      <c r="D115" s="11" t="s">
        <v>293</v>
      </c>
      <c r="E115" s="1">
        <v>0</v>
      </c>
      <c r="F115" s="1">
        <v>104</v>
      </c>
      <c r="G115" s="1">
        <v>10000</v>
      </c>
      <c r="H115" s="1">
        <v>3</v>
      </c>
      <c r="I115" s="1">
        <v>6</v>
      </c>
    </row>
    <row r="116" spans="1:9" x14ac:dyDescent="0.2">
      <c r="A116" s="1" t="s">
        <v>381</v>
      </c>
      <c r="B116">
        <v>4143</v>
      </c>
      <c r="C116" s="1">
        <v>0</v>
      </c>
      <c r="D116" s="11" t="s">
        <v>294</v>
      </c>
      <c r="E116" s="1">
        <v>0</v>
      </c>
      <c r="F116" s="1">
        <v>218</v>
      </c>
      <c r="G116" s="1">
        <v>10000</v>
      </c>
      <c r="H116" s="1">
        <v>2</v>
      </c>
      <c r="I116" s="1">
        <v>4</v>
      </c>
    </row>
    <row r="117" spans="1:9" x14ac:dyDescent="0.2">
      <c r="A117" s="1" t="s">
        <v>381</v>
      </c>
      <c r="B117">
        <v>4143</v>
      </c>
      <c r="C117" s="1">
        <v>0</v>
      </c>
      <c r="D117" s="11" t="s">
        <v>241</v>
      </c>
      <c r="E117" s="1">
        <v>0</v>
      </c>
      <c r="F117" s="1">
        <v>296</v>
      </c>
      <c r="G117" s="1">
        <v>10000</v>
      </c>
      <c r="H117" s="1">
        <v>3</v>
      </c>
      <c r="I117" s="1">
        <v>6</v>
      </c>
    </row>
    <row r="118" spans="1:9" x14ac:dyDescent="0.2">
      <c r="A118" s="1" t="s">
        <v>381</v>
      </c>
      <c r="B118">
        <v>4143</v>
      </c>
      <c r="C118" s="1">
        <v>0</v>
      </c>
      <c r="D118" s="11" t="s">
        <v>216</v>
      </c>
      <c r="E118" s="1">
        <v>0</v>
      </c>
      <c r="F118" s="1">
        <v>203</v>
      </c>
      <c r="G118" s="1">
        <v>5000</v>
      </c>
      <c r="H118" s="1">
        <v>2</v>
      </c>
      <c r="I118" s="1">
        <v>4</v>
      </c>
    </row>
    <row r="119" spans="1:9" x14ac:dyDescent="0.2">
      <c r="A119" s="1" t="s">
        <v>382</v>
      </c>
      <c r="B119">
        <v>4144</v>
      </c>
      <c r="C119" s="1">
        <v>0</v>
      </c>
      <c r="D119" s="11" t="s">
        <v>295</v>
      </c>
      <c r="E119" s="1">
        <v>0</v>
      </c>
      <c r="F119" s="1">
        <v>238</v>
      </c>
      <c r="G119" s="1">
        <v>10000</v>
      </c>
      <c r="H119" s="1">
        <v>3</v>
      </c>
      <c r="I119" s="1">
        <v>6</v>
      </c>
    </row>
    <row r="120" spans="1:9" x14ac:dyDescent="0.2">
      <c r="A120" s="1" t="s">
        <v>382</v>
      </c>
      <c r="B120">
        <v>4144</v>
      </c>
      <c r="C120" s="1">
        <v>0</v>
      </c>
      <c r="D120" s="13" t="s">
        <v>296</v>
      </c>
      <c r="E120" s="1">
        <v>0</v>
      </c>
      <c r="F120" s="1">
        <v>254</v>
      </c>
      <c r="G120" s="1">
        <v>10000</v>
      </c>
      <c r="H120" s="1">
        <v>3</v>
      </c>
      <c r="I120" s="1">
        <v>6</v>
      </c>
    </row>
    <row r="121" spans="1:9" x14ac:dyDescent="0.2">
      <c r="A121" s="1" t="s">
        <v>383</v>
      </c>
      <c r="B121">
        <v>4145</v>
      </c>
      <c r="C121" s="1">
        <v>0</v>
      </c>
      <c r="D121" s="13" t="s">
        <v>297</v>
      </c>
      <c r="E121" s="1">
        <v>0</v>
      </c>
      <c r="F121" s="1">
        <v>239</v>
      </c>
      <c r="G121" s="1">
        <v>10000</v>
      </c>
      <c r="H121" s="1">
        <v>3</v>
      </c>
      <c r="I121" s="1">
        <v>6</v>
      </c>
    </row>
    <row r="122" spans="1:9" x14ac:dyDescent="0.2">
      <c r="A122" s="1" t="s">
        <v>383</v>
      </c>
      <c r="B122">
        <v>4145</v>
      </c>
      <c r="C122" s="1">
        <v>0</v>
      </c>
      <c r="D122" s="11" t="s">
        <v>235</v>
      </c>
      <c r="E122" s="1">
        <v>0</v>
      </c>
      <c r="F122" s="1">
        <v>214</v>
      </c>
      <c r="G122" s="1">
        <v>10000</v>
      </c>
      <c r="H122" s="1">
        <v>3</v>
      </c>
      <c r="I122" s="1">
        <v>6</v>
      </c>
    </row>
    <row r="123" spans="1:9" x14ac:dyDescent="0.2">
      <c r="A123" s="1" t="s">
        <v>384</v>
      </c>
      <c r="B123">
        <v>4146</v>
      </c>
      <c r="C123" s="1">
        <v>0</v>
      </c>
      <c r="D123" s="11" t="s">
        <v>298</v>
      </c>
      <c r="E123" s="1">
        <v>0</v>
      </c>
      <c r="F123" s="1">
        <v>289</v>
      </c>
      <c r="G123" s="1">
        <v>10000</v>
      </c>
      <c r="H123" s="1">
        <v>3</v>
      </c>
      <c r="I123" s="1">
        <v>6</v>
      </c>
    </row>
    <row r="124" spans="1:9" x14ac:dyDescent="0.2">
      <c r="A124" s="1" t="s">
        <v>384</v>
      </c>
      <c r="B124">
        <v>4146</v>
      </c>
      <c r="C124" s="1">
        <v>0</v>
      </c>
      <c r="D124" s="11" t="s">
        <v>299</v>
      </c>
      <c r="E124" s="1">
        <v>0</v>
      </c>
      <c r="F124" s="1">
        <v>3005</v>
      </c>
      <c r="G124" s="1">
        <v>10000</v>
      </c>
      <c r="H124" s="1">
        <v>3</v>
      </c>
      <c r="I124" s="1">
        <v>6</v>
      </c>
    </row>
    <row r="125" spans="1:9" x14ac:dyDescent="0.2">
      <c r="A125" s="1" t="s">
        <v>385</v>
      </c>
      <c r="B125">
        <v>4147</v>
      </c>
      <c r="C125" s="1">
        <v>0</v>
      </c>
      <c r="D125" s="11" t="s">
        <v>300</v>
      </c>
      <c r="E125" s="1">
        <v>0</v>
      </c>
      <c r="F125" s="1">
        <v>240</v>
      </c>
      <c r="G125" s="1">
        <v>10000</v>
      </c>
      <c r="H125" s="1">
        <v>4</v>
      </c>
      <c r="I125" s="1">
        <v>8</v>
      </c>
    </row>
    <row r="126" spans="1:9" x14ac:dyDescent="0.2">
      <c r="A126" s="1" t="s">
        <v>386</v>
      </c>
      <c r="B126">
        <v>4148</v>
      </c>
      <c r="C126" s="1">
        <v>0</v>
      </c>
      <c r="D126" s="11" t="s">
        <v>301</v>
      </c>
      <c r="E126" s="1">
        <v>0</v>
      </c>
      <c r="F126" s="1">
        <v>288</v>
      </c>
      <c r="G126" s="1">
        <v>10000</v>
      </c>
      <c r="H126" s="1">
        <v>3</v>
      </c>
      <c r="I126" s="1">
        <v>6</v>
      </c>
    </row>
    <row r="127" spans="1:9" x14ac:dyDescent="0.2">
      <c r="A127" s="1" t="s">
        <v>386</v>
      </c>
      <c r="B127">
        <v>4148</v>
      </c>
      <c r="C127" s="1">
        <v>0</v>
      </c>
      <c r="D127" s="11" t="s">
        <v>213</v>
      </c>
      <c r="E127" s="1">
        <v>0</v>
      </c>
      <c r="F127" s="1">
        <v>241</v>
      </c>
      <c r="G127" s="1">
        <v>10000</v>
      </c>
      <c r="H127" s="1">
        <v>3</v>
      </c>
      <c r="I127" s="1">
        <v>6</v>
      </c>
    </row>
    <row r="128" spans="1:9" x14ac:dyDescent="0.2">
      <c r="A128" s="1" t="s">
        <v>386</v>
      </c>
      <c r="B128">
        <v>4148</v>
      </c>
      <c r="C128" s="1">
        <v>0</v>
      </c>
      <c r="D128" s="11" t="s">
        <v>302</v>
      </c>
      <c r="E128" s="1">
        <v>0</v>
      </c>
      <c r="F128" s="1">
        <v>294</v>
      </c>
      <c r="G128" s="1">
        <v>10000</v>
      </c>
      <c r="H128" s="1">
        <v>2</v>
      </c>
      <c r="I128" s="1">
        <v>4</v>
      </c>
    </row>
    <row r="129" spans="1:9" x14ac:dyDescent="0.2">
      <c r="A129" s="1" t="s">
        <v>386</v>
      </c>
      <c r="B129">
        <v>4148</v>
      </c>
      <c r="C129" s="1">
        <v>0</v>
      </c>
      <c r="D129" s="11" t="s">
        <v>219</v>
      </c>
      <c r="E129" s="1">
        <v>0</v>
      </c>
      <c r="F129" s="1">
        <v>104</v>
      </c>
      <c r="G129" s="1">
        <v>10000</v>
      </c>
      <c r="H129" s="1">
        <v>2</v>
      </c>
      <c r="I129" s="1">
        <v>4</v>
      </c>
    </row>
    <row r="130" spans="1:9" x14ac:dyDescent="0.2">
      <c r="A130" s="1" t="s">
        <v>386</v>
      </c>
      <c r="B130">
        <v>4148</v>
      </c>
      <c r="C130" s="1">
        <v>0</v>
      </c>
      <c r="D130" s="11" t="s">
        <v>303</v>
      </c>
      <c r="E130" s="1">
        <v>0</v>
      </c>
      <c r="F130" s="1">
        <v>274</v>
      </c>
      <c r="G130" s="1">
        <v>10000</v>
      </c>
      <c r="H130" s="1">
        <v>2</v>
      </c>
      <c r="I130" s="1">
        <v>4</v>
      </c>
    </row>
    <row r="131" spans="1:9" x14ac:dyDescent="0.2">
      <c r="A131" s="1" t="s">
        <v>386</v>
      </c>
      <c r="B131">
        <v>4148</v>
      </c>
      <c r="C131" s="1">
        <v>0</v>
      </c>
      <c r="D131" s="11" t="s">
        <v>304</v>
      </c>
      <c r="E131" s="1">
        <v>0</v>
      </c>
      <c r="F131" s="1">
        <v>237</v>
      </c>
      <c r="G131" s="1">
        <v>10000</v>
      </c>
      <c r="H131" s="1">
        <v>2</v>
      </c>
      <c r="I131" s="1">
        <v>4</v>
      </c>
    </row>
    <row r="132" spans="1:9" x14ac:dyDescent="0.2">
      <c r="A132" s="1" t="s">
        <v>387</v>
      </c>
      <c r="B132">
        <v>4149</v>
      </c>
      <c r="C132" s="1">
        <v>0</v>
      </c>
      <c r="D132" s="11" t="s">
        <v>305</v>
      </c>
      <c r="E132" s="1">
        <v>0</v>
      </c>
      <c r="F132" s="1">
        <v>280</v>
      </c>
      <c r="G132" s="1">
        <v>10000</v>
      </c>
      <c r="H132" s="1">
        <v>3</v>
      </c>
      <c r="I132" s="1">
        <v>6</v>
      </c>
    </row>
    <row r="133" spans="1:9" x14ac:dyDescent="0.2">
      <c r="A133" s="1" t="s">
        <v>387</v>
      </c>
      <c r="B133">
        <v>4149</v>
      </c>
      <c r="C133" s="1">
        <v>0</v>
      </c>
      <c r="D133" s="11" t="s">
        <v>306</v>
      </c>
      <c r="E133" s="1">
        <v>0</v>
      </c>
      <c r="F133" s="1">
        <v>259</v>
      </c>
      <c r="G133" s="1">
        <v>10000</v>
      </c>
      <c r="H133" s="1">
        <v>3</v>
      </c>
      <c r="I133" s="1">
        <v>6</v>
      </c>
    </row>
    <row r="134" spans="1:9" x14ac:dyDescent="0.2">
      <c r="A134" s="1" t="s">
        <v>387</v>
      </c>
      <c r="B134">
        <v>4149</v>
      </c>
      <c r="C134" s="1">
        <v>0</v>
      </c>
      <c r="D134" s="11" t="s">
        <v>307</v>
      </c>
      <c r="E134" s="1">
        <v>0</v>
      </c>
      <c r="F134" s="1">
        <v>285</v>
      </c>
      <c r="G134" s="1">
        <v>10000</v>
      </c>
      <c r="H134" s="1">
        <v>2</v>
      </c>
      <c r="I134" s="1">
        <v>4</v>
      </c>
    </row>
    <row r="135" spans="1:9" x14ac:dyDescent="0.2">
      <c r="A135" s="1" t="s">
        <v>387</v>
      </c>
      <c r="B135">
        <v>4149</v>
      </c>
      <c r="C135" s="1">
        <v>0</v>
      </c>
      <c r="D135" s="11" t="s">
        <v>308</v>
      </c>
      <c r="E135" s="1">
        <v>0</v>
      </c>
      <c r="F135" s="1">
        <v>240</v>
      </c>
      <c r="G135" s="1">
        <v>10000</v>
      </c>
      <c r="H135" s="1">
        <v>2</v>
      </c>
      <c r="I135" s="1">
        <v>4</v>
      </c>
    </row>
    <row r="136" spans="1:9" x14ac:dyDescent="0.2">
      <c r="A136" s="1" t="s">
        <v>387</v>
      </c>
      <c r="B136">
        <v>4149</v>
      </c>
      <c r="C136" s="1">
        <v>0</v>
      </c>
      <c r="D136" s="11" t="s">
        <v>245</v>
      </c>
      <c r="E136" s="1">
        <v>0</v>
      </c>
      <c r="F136" s="1">
        <v>218</v>
      </c>
      <c r="G136" s="1">
        <v>10000</v>
      </c>
      <c r="H136" s="1">
        <v>2</v>
      </c>
      <c r="I136" s="1">
        <v>4</v>
      </c>
    </row>
    <row r="137" spans="1:9" x14ac:dyDescent="0.2">
      <c r="A137" s="1" t="s">
        <v>387</v>
      </c>
      <c r="B137">
        <v>4149</v>
      </c>
      <c r="C137" s="1">
        <v>0</v>
      </c>
      <c r="D137" s="11" t="s">
        <v>309</v>
      </c>
      <c r="E137" s="1">
        <v>0</v>
      </c>
      <c r="F137" s="1">
        <v>236</v>
      </c>
      <c r="G137" s="1">
        <v>10000</v>
      </c>
      <c r="H137" s="1">
        <v>2</v>
      </c>
      <c r="I137" s="1">
        <v>4</v>
      </c>
    </row>
    <row r="138" spans="1:9" x14ac:dyDescent="0.2">
      <c r="A138" s="1" t="s">
        <v>388</v>
      </c>
      <c r="B138">
        <v>4150</v>
      </c>
      <c r="C138" s="1">
        <v>0</v>
      </c>
      <c r="D138" s="11" t="s">
        <v>310</v>
      </c>
      <c r="E138" s="1">
        <v>0</v>
      </c>
      <c r="F138" s="1">
        <v>284</v>
      </c>
      <c r="G138" s="1">
        <v>10000</v>
      </c>
      <c r="H138" s="1">
        <v>3</v>
      </c>
      <c r="I138" s="1">
        <v>6</v>
      </c>
    </row>
    <row r="139" spans="1:9" x14ac:dyDescent="0.2">
      <c r="A139" s="1" t="s">
        <v>388</v>
      </c>
      <c r="B139">
        <v>4150</v>
      </c>
      <c r="C139" s="1">
        <v>0</v>
      </c>
      <c r="D139" s="11" t="s">
        <v>241</v>
      </c>
      <c r="E139" s="1">
        <v>0</v>
      </c>
      <c r="F139" s="1">
        <v>296</v>
      </c>
      <c r="G139" s="1">
        <v>10000</v>
      </c>
      <c r="H139" s="1">
        <v>3</v>
      </c>
      <c r="I139" s="1">
        <v>6</v>
      </c>
    </row>
    <row r="140" spans="1:9" x14ac:dyDescent="0.2">
      <c r="A140" s="1" t="s">
        <v>389</v>
      </c>
      <c r="B140">
        <v>4151</v>
      </c>
      <c r="C140" s="1">
        <v>0</v>
      </c>
      <c r="D140" s="11" t="s">
        <v>311</v>
      </c>
      <c r="E140" s="1">
        <v>0</v>
      </c>
      <c r="F140" s="1">
        <v>244</v>
      </c>
      <c r="G140" s="1">
        <v>10000</v>
      </c>
      <c r="H140" s="1">
        <v>2</v>
      </c>
      <c r="I140" s="1">
        <v>4</v>
      </c>
    </row>
    <row r="141" spans="1:9" x14ac:dyDescent="0.2">
      <c r="A141" s="1" t="s">
        <v>389</v>
      </c>
      <c r="B141">
        <v>4151</v>
      </c>
      <c r="C141" s="1">
        <v>0</v>
      </c>
      <c r="D141" s="11" t="s">
        <v>208</v>
      </c>
      <c r="E141" s="1">
        <v>0</v>
      </c>
      <c r="F141" s="1">
        <v>200</v>
      </c>
      <c r="G141" s="1">
        <v>10000</v>
      </c>
      <c r="H141" s="1">
        <v>3</v>
      </c>
      <c r="I141" s="1">
        <v>6</v>
      </c>
    </row>
    <row r="142" spans="1:9" x14ac:dyDescent="0.2">
      <c r="A142" s="1" t="s">
        <v>389</v>
      </c>
      <c r="B142">
        <v>4151</v>
      </c>
      <c r="C142" s="1">
        <v>0</v>
      </c>
      <c r="D142" s="11" t="s">
        <v>230</v>
      </c>
      <c r="E142" s="1">
        <v>0</v>
      </c>
      <c r="F142" s="1">
        <v>278</v>
      </c>
      <c r="G142" s="1">
        <v>5000</v>
      </c>
      <c r="H142" s="1">
        <v>2</v>
      </c>
      <c r="I142" s="1">
        <v>4</v>
      </c>
    </row>
    <row r="143" spans="1:9" x14ac:dyDescent="0.2">
      <c r="A143" s="1" t="s">
        <v>390</v>
      </c>
      <c r="B143">
        <v>4152</v>
      </c>
      <c r="C143" s="1">
        <v>0</v>
      </c>
      <c r="D143" s="11" t="s">
        <v>312</v>
      </c>
      <c r="E143" s="1">
        <v>0</v>
      </c>
      <c r="F143" s="1">
        <v>245</v>
      </c>
      <c r="G143" s="1">
        <v>10000</v>
      </c>
      <c r="H143" s="1">
        <v>2</v>
      </c>
      <c r="I143" s="1">
        <v>4</v>
      </c>
    </row>
    <row r="144" spans="1:9" x14ac:dyDescent="0.2">
      <c r="A144" s="1" t="s">
        <v>390</v>
      </c>
      <c r="B144">
        <v>4152</v>
      </c>
      <c r="C144" s="1">
        <v>0</v>
      </c>
      <c r="D144" s="11" t="s">
        <v>235</v>
      </c>
      <c r="E144" s="1">
        <v>0</v>
      </c>
      <c r="F144" s="1">
        <v>214</v>
      </c>
      <c r="G144" s="1">
        <v>10000</v>
      </c>
      <c r="H144" s="1">
        <v>3</v>
      </c>
      <c r="I144" s="1">
        <v>6</v>
      </c>
    </row>
    <row r="145" spans="1:9" x14ac:dyDescent="0.2">
      <c r="A145" s="1" t="s">
        <v>390</v>
      </c>
      <c r="B145">
        <v>4152</v>
      </c>
      <c r="C145" s="1">
        <v>0</v>
      </c>
      <c r="D145" s="11" t="s">
        <v>285</v>
      </c>
      <c r="E145" s="1">
        <v>0</v>
      </c>
      <c r="F145" s="1">
        <v>255</v>
      </c>
      <c r="G145" s="1">
        <v>5000</v>
      </c>
      <c r="H145" s="1">
        <v>2</v>
      </c>
      <c r="I145" s="1">
        <v>4</v>
      </c>
    </row>
    <row r="146" spans="1:9" x14ac:dyDescent="0.2">
      <c r="A146" s="1" t="s">
        <v>391</v>
      </c>
      <c r="B146">
        <v>4153</v>
      </c>
      <c r="C146" s="1">
        <v>0</v>
      </c>
      <c r="D146" s="11" t="s">
        <v>313</v>
      </c>
      <c r="E146" s="1">
        <v>0</v>
      </c>
      <c r="F146" s="1">
        <v>246</v>
      </c>
      <c r="G146" s="1">
        <v>10000</v>
      </c>
      <c r="H146" s="1">
        <v>3</v>
      </c>
      <c r="I146" s="1">
        <v>6</v>
      </c>
    </row>
    <row r="147" spans="1:9" x14ac:dyDescent="0.2">
      <c r="A147" s="1" t="s">
        <v>391</v>
      </c>
      <c r="B147">
        <v>4153</v>
      </c>
      <c r="C147" s="1">
        <v>0</v>
      </c>
      <c r="D147" s="11" t="s">
        <v>314</v>
      </c>
      <c r="E147" s="1">
        <v>0</v>
      </c>
      <c r="F147" s="1">
        <v>292</v>
      </c>
      <c r="G147" s="1">
        <v>10000</v>
      </c>
      <c r="H147" s="1">
        <v>3</v>
      </c>
      <c r="I147" s="1">
        <v>6</v>
      </c>
    </row>
    <row r="148" spans="1:9" x14ac:dyDescent="0.2">
      <c r="A148" s="1" t="s">
        <v>392</v>
      </c>
      <c r="B148">
        <v>4154</v>
      </c>
      <c r="C148" s="1">
        <v>0</v>
      </c>
      <c r="D148" s="11" t="s">
        <v>315</v>
      </c>
      <c r="E148" s="1">
        <v>0</v>
      </c>
      <c r="F148" s="1">
        <v>247</v>
      </c>
      <c r="G148" s="1">
        <v>10000</v>
      </c>
      <c r="H148" s="1">
        <v>4</v>
      </c>
      <c r="I148" s="1">
        <v>8</v>
      </c>
    </row>
    <row r="149" spans="1:9" x14ac:dyDescent="0.2">
      <c r="A149" s="1" t="s">
        <v>392</v>
      </c>
      <c r="B149">
        <v>4154</v>
      </c>
      <c r="C149" s="1">
        <v>0</v>
      </c>
      <c r="D149" s="11" t="s">
        <v>299</v>
      </c>
      <c r="E149" s="1">
        <v>0</v>
      </c>
      <c r="F149" s="1">
        <v>3005</v>
      </c>
      <c r="G149" s="1">
        <v>5000</v>
      </c>
      <c r="H149" s="1">
        <v>2</v>
      </c>
      <c r="I149" s="1">
        <v>4</v>
      </c>
    </row>
    <row r="150" spans="1:9" x14ac:dyDescent="0.2">
      <c r="A150" s="1" t="s">
        <v>393</v>
      </c>
      <c r="B150">
        <v>4155</v>
      </c>
      <c r="C150" s="1">
        <v>0</v>
      </c>
      <c r="D150" s="11" t="s">
        <v>316</v>
      </c>
      <c r="E150" s="1">
        <v>0</v>
      </c>
      <c r="F150" s="1">
        <v>281</v>
      </c>
      <c r="G150" s="1">
        <v>10000</v>
      </c>
      <c r="H150" s="1">
        <v>2</v>
      </c>
      <c r="I150" s="1">
        <v>4</v>
      </c>
    </row>
    <row r="151" spans="1:9" x14ac:dyDescent="0.2">
      <c r="A151" s="1" t="s">
        <v>393</v>
      </c>
      <c r="B151">
        <v>4155</v>
      </c>
      <c r="C151" s="1">
        <v>0</v>
      </c>
      <c r="D151" s="11" t="s">
        <v>317</v>
      </c>
      <c r="E151" s="1">
        <v>0</v>
      </c>
      <c r="F151" s="1">
        <v>204</v>
      </c>
      <c r="G151" s="1">
        <v>10000</v>
      </c>
      <c r="H151" s="1">
        <v>3</v>
      </c>
      <c r="I151" s="1">
        <v>6</v>
      </c>
    </row>
    <row r="152" spans="1:9" x14ac:dyDescent="0.2">
      <c r="A152" s="1" t="s">
        <v>393</v>
      </c>
      <c r="B152">
        <v>4155</v>
      </c>
      <c r="C152" s="1">
        <v>0</v>
      </c>
      <c r="D152" s="11" t="s">
        <v>318</v>
      </c>
      <c r="E152" s="1">
        <v>0</v>
      </c>
      <c r="F152" s="1">
        <v>256</v>
      </c>
      <c r="G152" s="1">
        <v>5000</v>
      </c>
      <c r="H152" s="1">
        <v>2</v>
      </c>
      <c r="I152" s="1">
        <v>4</v>
      </c>
    </row>
    <row r="153" spans="1:9" x14ac:dyDescent="0.2">
      <c r="A153" s="1" t="s">
        <v>394</v>
      </c>
      <c r="B153">
        <v>4156</v>
      </c>
      <c r="C153" s="1">
        <v>0</v>
      </c>
      <c r="D153" s="11" t="s">
        <v>272</v>
      </c>
      <c r="E153" s="1">
        <v>0</v>
      </c>
      <c r="F153" s="1">
        <v>224</v>
      </c>
      <c r="G153" s="1">
        <v>10000</v>
      </c>
      <c r="H153" s="1">
        <v>4</v>
      </c>
      <c r="I153" s="1">
        <v>8</v>
      </c>
    </row>
    <row r="154" spans="1:9" x14ac:dyDescent="0.2">
      <c r="A154" s="1" t="s">
        <v>395</v>
      </c>
      <c r="B154">
        <v>4157</v>
      </c>
      <c r="C154" s="1">
        <v>0</v>
      </c>
      <c r="D154" s="11" t="s">
        <v>319</v>
      </c>
      <c r="E154" s="1">
        <v>0</v>
      </c>
      <c r="F154" s="1">
        <v>248</v>
      </c>
      <c r="G154" s="1">
        <v>10000</v>
      </c>
      <c r="H154" s="1">
        <v>2</v>
      </c>
      <c r="I154" s="1">
        <v>4</v>
      </c>
    </row>
    <row r="155" spans="1:9" x14ac:dyDescent="0.2">
      <c r="A155" s="1" t="s">
        <v>395</v>
      </c>
      <c r="B155">
        <v>4157</v>
      </c>
      <c r="C155" s="1">
        <v>0</v>
      </c>
      <c r="D155" s="11" t="s">
        <v>320</v>
      </c>
      <c r="E155" s="1">
        <v>0</v>
      </c>
      <c r="F155" s="1">
        <v>264</v>
      </c>
      <c r="G155" s="1">
        <v>10000</v>
      </c>
      <c r="H155" s="1">
        <v>3</v>
      </c>
      <c r="I155" s="1">
        <v>6</v>
      </c>
    </row>
    <row r="156" spans="1:9" x14ac:dyDescent="0.2">
      <c r="A156" s="1" t="s">
        <v>395</v>
      </c>
      <c r="B156">
        <v>4157</v>
      </c>
      <c r="C156" s="1">
        <v>0</v>
      </c>
      <c r="D156" s="11" t="s">
        <v>317</v>
      </c>
      <c r="E156" s="1">
        <v>0</v>
      </c>
      <c r="F156" s="1">
        <v>204</v>
      </c>
      <c r="G156" s="1">
        <v>5000</v>
      </c>
      <c r="H156" s="1">
        <v>2</v>
      </c>
      <c r="I156" s="1">
        <v>4</v>
      </c>
    </row>
    <row r="157" spans="1:9" x14ac:dyDescent="0.2">
      <c r="A157" s="1" t="s">
        <v>396</v>
      </c>
      <c r="B157">
        <v>4158</v>
      </c>
      <c r="C157" s="1">
        <v>0</v>
      </c>
      <c r="D157" s="11" t="s">
        <v>321</v>
      </c>
      <c r="E157" s="1">
        <v>0</v>
      </c>
      <c r="F157" s="1">
        <v>275</v>
      </c>
      <c r="G157" s="1">
        <v>10000</v>
      </c>
      <c r="H157" s="1">
        <v>3</v>
      </c>
      <c r="I157" s="1">
        <v>6</v>
      </c>
    </row>
    <row r="158" spans="1:9" x14ac:dyDescent="0.2">
      <c r="A158" s="1" t="s">
        <v>396</v>
      </c>
      <c r="B158">
        <v>4158</v>
      </c>
      <c r="C158" s="1">
        <v>0</v>
      </c>
      <c r="D158" s="11" t="s">
        <v>319</v>
      </c>
      <c r="E158" s="1">
        <v>0</v>
      </c>
      <c r="F158" s="1">
        <v>248</v>
      </c>
      <c r="G158" s="1">
        <v>10000</v>
      </c>
      <c r="H158" s="1">
        <v>3</v>
      </c>
      <c r="I158" s="1">
        <v>6</v>
      </c>
    </row>
    <row r="159" spans="1:9" x14ac:dyDescent="0.2">
      <c r="A159" s="1" t="s">
        <v>396</v>
      </c>
      <c r="B159">
        <v>4158</v>
      </c>
      <c r="C159" s="1">
        <v>0</v>
      </c>
      <c r="D159" s="11" t="s">
        <v>315</v>
      </c>
      <c r="E159" s="1">
        <v>0</v>
      </c>
      <c r="F159" s="1">
        <v>247</v>
      </c>
      <c r="G159" s="1">
        <v>10000</v>
      </c>
      <c r="H159" s="1">
        <v>2</v>
      </c>
      <c r="I159" s="1">
        <v>4</v>
      </c>
    </row>
    <row r="160" spans="1:9" x14ac:dyDescent="0.2">
      <c r="A160" s="1" t="s">
        <v>396</v>
      </c>
      <c r="B160">
        <v>4158</v>
      </c>
      <c r="C160" s="1">
        <v>0</v>
      </c>
      <c r="D160" s="11" t="s">
        <v>241</v>
      </c>
      <c r="E160" s="1">
        <v>0</v>
      </c>
      <c r="F160" s="1">
        <v>296</v>
      </c>
      <c r="G160" s="1">
        <v>10000</v>
      </c>
      <c r="H160" s="1">
        <v>3</v>
      </c>
      <c r="I160" s="1">
        <v>6</v>
      </c>
    </row>
    <row r="161" spans="1:9" x14ac:dyDescent="0.2">
      <c r="A161" s="1" t="s">
        <v>396</v>
      </c>
      <c r="B161">
        <v>4158</v>
      </c>
      <c r="C161" s="1">
        <v>0</v>
      </c>
      <c r="D161" s="11" t="s">
        <v>316</v>
      </c>
      <c r="E161" s="1">
        <v>0</v>
      </c>
      <c r="F161" s="1">
        <v>281</v>
      </c>
      <c r="G161" s="1">
        <v>10000</v>
      </c>
      <c r="H161" s="1">
        <v>3</v>
      </c>
      <c r="I161" s="1">
        <v>6</v>
      </c>
    </row>
    <row r="162" spans="1:9" x14ac:dyDescent="0.2">
      <c r="A162" s="1" t="s">
        <v>397</v>
      </c>
      <c r="B162">
        <v>4159</v>
      </c>
      <c r="C162" s="1">
        <v>0</v>
      </c>
      <c r="D162" s="11" t="s">
        <v>322</v>
      </c>
      <c r="E162" s="1">
        <v>0</v>
      </c>
      <c r="F162" s="1">
        <v>250</v>
      </c>
      <c r="G162" s="1">
        <v>10000</v>
      </c>
      <c r="H162" s="1">
        <v>3</v>
      </c>
      <c r="I162" s="1">
        <v>6</v>
      </c>
    </row>
    <row r="163" spans="1:9" x14ac:dyDescent="0.2">
      <c r="A163" s="1" t="s">
        <v>397</v>
      </c>
      <c r="B163">
        <v>4159</v>
      </c>
      <c r="C163" s="1">
        <v>0</v>
      </c>
      <c r="D163" s="11" t="s">
        <v>310</v>
      </c>
      <c r="E163" s="1">
        <v>0</v>
      </c>
      <c r="F163" s="1">
        <v>284</v>
      </c>
      <c r="G163" s="1">
        <v>10000</v>
      </c>
      <c r="H163" s="1">
        <v>3</v>
      </c>
      <c r="I163" s="1">
        <v>6</v>
      </c>
    </row>
    <row r="164" spans="1:9" x14ac:dyDescent="0.2">
      <c r="A164" s="1" t="s">
        <v>397</v>
      </c>
      <c r="B164">
        <v>4159</v>
      </c>
      <c r="C164" s="1">
        <v>0</v>
      </c>
      <c r="D164" s="11" t="s">
        <v>279</v>
      </c>
      <c r="E164" s="1">
        <v>0</v>
      </c>
      <c r="F164" s="1">
        <v>229</v>
      </c>
      <c r="G164" s="1">
        <v>10000</v>
      </c>
      <c r="H164" s="1">
        <v>2</v>
      </c>
      <c r="I164" s="1">
        <v>4</v>
      </c>
    </row>
    <row r="165" spans="1:9" x14ac:dyDescent="0.2">
      <c r="A165" s="1" t="s">
        <v>397</v>
      </c>
      <c r="B165">
        <v>4159</v>
      </c>
      <c r="C165" s="1">
        <v>0</v>
      </c>
      <c r="D165" s="11" t="s">
        <v>235</v>
      </c>
      <c r="E165" s="1">
        <v>0</v>
      </c>
      <c r="F165" s="1">
        <v>214</v>
      </c>
      <c r="G165" s="1">
        <v>10000</v>
      </c>
      <c r="H165" s="1">
        <v>3</v>
      </c>
      <c r="I165" s="1">
        <v>6</v>
      </c>
    </row>
    <row r="166" spans="1:9" x14ac:dyDescent="0.2">
      <c r="A166" s="1" t="s">
        <v>397</v>
      </c>
      <c r="B166">
        <v>4159</v>
      </c>
      <c r="C166" s="1">
        <v>0</v>
      </c>
      <c r="D166" s="11" t="s">
        <v>303</v>
      </c>
      <c r="E166" s="1">
        <v>0</v>
      </c>
      <c r="F166" s="1">
        <v>274</v>
      </c>
      <c r="G166" s="1">
        <v>10000</v>
      </c>
      <c r="H166" s="1">
        <v>3</v>
      </c>
      <c r="I166" s="1">
        <v>6</v>
      </c>
    </row>
    <row r="167" spans="1:9" x14ac:dyDescent="0.2">
      <c r="A167" s="1" t="s">
        <v>398</v>
      </c>
      <c r="B167">
        <v>4160</v>
      </c>
      <c r="C167" s="1">
        <v>0</v>
      </c>
      <c r="D167" s="11" t="s">
        <v>269</v>
      </c>
      <c r="E167" s="1">
        <v>0</v>
      </c>
      <c r="F167" s="1">
        <v>251</v>
      </c>
      <c r="G167" s="1">
        <v>10000</v>
      </c>
      <c r="H167" s="1">
        <v>4</v>
      </c>
      <c r="I167" s="1">
        <v>8</v>
      </c>
    </row>
    <row r="168" spans="1:9" x14ac:dyDescent="0.2">
      <c r="A168" s="1" t="s">
        <v>398</v>
      </c>
      <c r="B168">
        <v>4160</v>
      </c>
      <c r="C168" s="1">
        <v>0</v>
      </c>
      <c r="D168" s="11" t="s">
        <v>289</v>
      </c>
      <c r="E168" s="1">
        <v>0</v>
      </c>
      <c r="F168" s="1">
        <v>223</v>
      </c>
      <c r="G168" s="1">
        <v>5000</v>
      </c>
      <c r="H168" s="1">
        <v>2</v>
      </c>
      <c r="I168" s="1">
        <v>4</v>
      </c>
    </row>
    <row r="169" spans="1:9" x14ac:dyDescent="0.2">
      <c r="A169" s="1" t="s">
        <v>399</v>
      </c>
      <c r="B169">
        <v>4161</v>
      </c>
      <c r="C169" s="1">
        <v>0</v>
      </c>
      <c r="D169" s="11" t="s">
        <v>323</v>
      </c>
      <c r="E169" s="1">
        <v>0</v>
      </c>
      <c r="F169" s="1">
        <v>269</v>
      </c>
      <c r="G169" s="1">
        <v>10000</v>
      </c>
      <c r="H169" s="1">
        <v>3</v>
      </c>
      <c r="I169" s="1">
        <v>6</v>
      </c>
    </row>
    <row r="170" spans="1:9" x14ac:dyDescent="0.2">
      <c r="A170" s="1" t="s">
        <v>399</v>
      </c>
      <c r="B170">
        <v>4161</v>
      </c>
      <c r="C170" s="1">
        <v>0</v>
      </c>
      <c r="D170" s="11" t="s">
        <v>227</v>
      </c>
      <c r="E170" s="1">
        <v>0</v>
      </c>
      <c r="F170" s="1">
        <v>208</v>
      </c>
      <c r="G170" s="1">
        <v>10000</v>
      </c>
      <c r="H170" s="1">
        <v>3</v>
      </c>
      <c r="I170" s="1">
        <v>6</v>
      </c>
    </row>
    <row r="171" spans="1:9" x14ac:dyDescent="0.2">
      <c r="A171" s="1" t="s">
        <v>400</v>
      </c>
      <c r="B171">
        <v>4162</v>
      </c>
      <c r="C171" s="1">
        <v>0</v>
      </c>
      <c r="D171" s="11" t="s">
        <v>284</v>
      </c>
      <c r="E171" s="1">
        <v>0</v>
      </c>
      <c r="F171" s="1">
        <v>290</v>
      </c>
      <c r="G171" s="1">
        <v>10000</v>
      </c>
      <c r="H171" s="1">
        <v>3</v>
      </c>
      <c r="I171" s="1">
        <v>6</v>
      </c>
    </row>
    <row r="172" spans="1:9" x14ac:dyDescent="0.2">
      <c r="A172" s="1" t="s">
        <v>400</v>
      </c>
      <c r="B172">
        <v>4162</v>
      </c>
      <c r="C172" s="1">
        <v>0</v>
      </c>
      <c r="D172" s="11" t="s">
        <v>233</v>
      </c>
      <c r="E172" s="1">
        <v>0</v>
      </c>
      <c r="F172" s="1">
        <v>211</v>
      </c>
      <c r="G172" s="1">
        <v>10000</v>
      </c>
      <c r="H172" s="1">
        <v>3</v>
      </c>
      <c r="I172" s="1">
        <v>6</v>
      </c>
    </row>
    <row r="173" spans="1:9" x14ac:dyDescent="0.2">
      <c r="A173" s="1" t="s">
        <v>401</v>
      </c>
      <c r="B173">
        <v>4163</v>
      </c>
      <c r="C173" s="1">
        <v>0</v>
      </c>
      <c r="D173" s="11" t="s">
        <v>324</v>
      </c>
      <c r="E173" s="1">
        <v>0</v>
      </c>
      <c r="F173" s="1">
        <v>253</v>
      </c>
      <c r="G173" s="1">
        <v>10000</v>
      </c>
      <c r="H173" s="1">
        <v>2</v>
      </c>
      <c r="I173" s="1">
        <v>4</v>
      </c>
    </row>
    <row r="174" spans="1:9" x14ac:dyDescent="0.2">
      <c r="A174" s="1" t="s">
        <v>401</v>
      </c>
      <c r="B174">
        <v>4163</v>
      </c>
      <c r="C174" s="1">
        <v>0</v>
      </c>
      <c r="D174" s="11" t="s">
        <v>208</v>
      </c>
      <c r="E174" s="1">
        <v>0</v>
      </c>
      <c r="F174" s="1">
        <v>200</v>
      </c>
      <c r="G174" s="1">
        <v>10000</v>
      </c>
      <c r="H174" s="1">
        <v>3</v>
      </c>
      <c r="I174" s="1">
        <v>6</v>
      </c>
    </row>
    <row r="175" spans="1:9" x14ac:dyDescent="0.2">
      <c r="A175" s="1" t="s">
        <v>401</v>
      </c>
      <c r="B175">
        <v>4163</v>
      </c>
      <c r="C175" s="1">
        <v>0</v>
      </c>
      <c r="D175" s="11" t="s">
        <v>325</v>
      </c>
      <c r="E175" s="1">
        <v>0</v>
      </c>
      <c r="F175" s="1">
        <v>261</v>
      </c>
      <c r="G175" s="1">
        <v>5000</v>
      </c>
      <c r="H175" s="1">
        <v>2</v>
      </c>
      <c r="I175" s="1">
        <v>4</v>
      </c>
    </row>
    <row r="176" spans="1:9" x14ac:dyDescent="0.2">
      <c r="A176" s="1" t="s">
        <v>402</v>
      </c>
      <c r="B176">
        <v>4164</v>
      </c>
      <c r="C176" s="1">
        <v>0</v>
      </c>
      <c r="D176" s="13" t="s">
        <v>296</v>
      </c>
      <c r="E176" s="1">
        <v>0</v>
      </c>
      <c r="F176" s="1">
        <v>254</v>
      </c>
      <c r="G176" s="1">
        <v>10000</v>
      </c>
      <c r="H176" s="1">
        <v>3</v>
      </c>
      <c r="I176" s="1">
        <v>6</v>
      </c>
    </row>
    <row r="177" spans="1:9" x14ac:dyDescent="0.2">
      <c r="A177" s="1" t="s">
        <v>402</v>
      </c>
      <c r="B177">
        <v>4164</v>
      </c>
      <c r="C177" s="1">
        <v>0</v>
      </c>
      <c r="D177" s="11" t="s">
        <v>301</v>
      </c>
      <c r="E177" s="1">
        <v>0</v>
      </c>
      <c r="F177" s="1">
        <v>288</v>
      </c>
      <c r="G177" s="1">
        <v>10000</v>
      </c>
      <c r="H177" s="1">
        <v>3</v>
      </c>
      <c r="I177" s="1">
        <v>6</v>
      </c>
    </row>
    <row r="178" spans="1:9" x14ac:dyDescent="0.2">
      <c r="A178" s="1" t="s">
        <v>403</v>
      </c>
      <c r="B178">
        <v>4165</v>
      </c>
      <c r="C178" s="1">
        <v>0</v>
      </c>
      <c r="D178" s="11" t="s">
        <v>285</v>
      </c>
      <c r="E178" s="1">
        <v>0</v>
      </c>
      <c r="F178" s="1">
        <v>255</v>
      </c>
      <c r="G178" s="1">
        <v>10000</v>
      </c>
      <c r="H178" s="1">
        <v>3</v>
      </c>
      <c r="I178" s="1">
        <v>6</v>
      </c>
    </row>
    <row r="179" spans="1:9" x14ac:dyDescent="0.2">
      <c r="A179" s="1" t="s">
        <v>403</v>
      </c>
      <c r="B179">
        <v>4165</v>
      </c>
      <c r="C179" s="1">
        <v>0</v>
      </c>
      <c r="D179" s="11" t="s">
        <v>309</v>
      </c>
      <c r="E179" s="1">
        <v>0</v>
      </c>
      <c r="F179" s="1">
        <v>236</v>
      </c>
      <c r="G179" s="1">
        <v>10000</v>
      </c>
      <c r="H179" s="1">
        <v>3</v>
      </c>
      <c r="I179" s="1">
        <v>6</v>
      </c>
    </row>
    <row r="180" spans="1:9" x14ac:dyDescent="0.2">
      <c r="A180" s="1" t="s">
        <v>404</v>
      </c>
      <c r="B180">
        <v>4166</v>
      </c>
      <c r="C180" s="1">
        <v>0</v>
      </c>
      <c r="D180" s="11" t="s">
        <v>318</v>
      </c>
      <c r="E180" s="1">
        <v>0</v>
      </c>
      <c r="F180" s="1">
        <v>256</v>
      </c>
      <c r="G180" s="1">
        <v>10000</v>
      </c>
      <c r="H180" s="1">
        <v>4</v>
      </c>
      <c r="I180" s="1">
        <v>8</v>
      </c>
    </row>
    <row r="181" spans="1:9" x14ac:dyDescent="0.2">
      <c r="A181" s="1" t="s">
        <v>404</v>
      </c>
      <c r="B181">
        <v>4166</v>
      </c>
      <c r="C181" s="1">
        <v>0</v>
      </c>
      <c r="D181" s="11" t="s">
        <v>313</v>
      </c>
      <c r="E181" s="1">
        <v>0</v>
      </c>
      <c r="F181" s="1">
        <v>246</v>
      </c>
      <c r="G181" s="1">
        <v>5000</v>
      </c>
      <c r="H181" s="1">
        <v>2</v>
      </c>
      <c r="I181" s="1">
        <v>4</v>
      </c>
    </row>
    <row r="182" spans="1:9" x14ac:dyDescent="0.2">
      <c r="A182" s="1" t="s">
        <v>405</v>
      </c>
      <c r="B182">
        <v>4167</v>
      </c>
      <c r="C182" s="1">
        <v>0</v>
      </c>
      <c r="D182" s="11" t="s">
        <v>326</v>
      </c>
      <c r="E182" s="1">
        <v>0</v>
      </c>
      <c r="F182" s="1">
        <v>257</v>
      </c>
      <c r="G182" s="1">
        <v>10000</v>
      </c>
      <c r="H182" s="1">
        <v>3</v>
      </c>
      <c r="I182" s="1">
        <v>6</v>
      </c>
    </row>
    <row r="183" spans="1:9" x14ac:dyDescent="0.2">
      <c r="A183" s="1" t="s">
        <v>405</v>
      </c>
      <c r="B183">
        <v>4167</v>
      </c>
      <c r="C183" s="1">
        <v>0</v>
      </c>
      <c r="D183" s="11" t="s">
        <v>268</v>
      </c>
      <c r="E183" s="1">
        <v>0</v>
      </c>
      <c r="F183" s="1">
        <v>270</v>
      </c>
      <c r="G183" s="1">
        <v>10000</v>
      </c>
      <c r="H183" s="1">
        <v>3</v>
      </c>
      <c r="I183" s="1">
        <v>6</v>
      </c>
    </row>
    <row r="184" spans="1:9" x14ac:dyDescent="0.2">
      <c r="A184" s="1" t="s">
        <v>406</v>
      </c>
      <c r="B184">
        <v>4168</v>
      </c>
      <c r="C184" s="1">
        <v>0</v>
      </c>
      <c r="D184" s="11" t="s">
        <v>327</v>
      </c>
      <c r="E184" s="1">
        <v>0</v>
      </c>
      <c r="F184" s="1">
        <v>258</v>
      </c>
      <c r="G184" s="1">
        <v>10000</v>
      </c>
      <c r="H184" s="1">
        <v>3</v>
      </c>
      <c r="I184" s="1">
        <v>6</v>
      </c>
    </row>
    <row r="185" spans="1:9" x14ac:dyDescent="0.2">
      <c r="A185" s="1" t="s">
        <v>406</v>
      </c>
      <c r="B185">
        <v>4168</v>
      </c>
      <c r="C185" s="1">
        <v>0</v>
      </c>
      <c r="D185" s="11" t="s">
        <v>328</v>
      </c>
      <c r="E185" s="1">
        <v>0</v>
      </c>
      <c r="F185" s="1">
        <v>285</v>
      </c>
      <c r="G185" s="1">
        <v>10000</v>
      </c>
      <c r="H185" s="1">
        <v>3</v>
      </c>
      <c r="I185" s="1">
        <v>6</v>
      </c>
    </row>
    <row r="186" spans="1:9" x14ac:dyDescent="0.2">
      <c r="A186" s="1" t="s">
        <v>406</v>
      </c>
      <c r="B186">
        <v>4168</v>
      </c>
      <c r="C186" s="1">
        <v>0</v>
      </c>
      <c r="D186" s="11" t="s">
        <v>318</v>
      </c>
      <c r="E186" s="1">
        <v>0</v>
      </c>
      <c r="F186" s="1">
        <v>256</v>
      </c>
      <c r="G186" s="1">
        <v>10000</v>
      </c>
      <c r="H186" s="1">
        <v>2</v>
      </c>
      <c r="I186" s="1">
        <v>4</v>
      </c>
    </row>
    <row r="187" spans="1:9" x14ac:dyDescent="0.2">
      <c r="A187" s="1" t="s">
        <v>406</v>
      </c>
      <c r="B187">
        <v>4168</v>
      </c>
      <c r="C187" s="1">
        <v>0</v>
      </c>
      <c r="D187" s="11" t="s">
        <v>284</v>
      </c>
      <c r="E187" s="1">
        <v>0</v>
      </c>
      <c r="F187" s="1">
        <v>290</v>
      </c>
      <c r="G187" s="1">
        <v>10000</v>
      </c>
      <c r="H187" s="1">
        <v>2</v>
      </c>
      <c r="I187" s="1">
        <v>4</v>
      </c>
    </row>
    <row r="188" spans="1:9" x14ac:dyDescent="0.2">
      <c r="A188" s="1" t="s">
        <v>406</v>
      </c>
      <c r="B188">
        <v>4168</v>
      </c>
      <c r="C188" s="1">
        <v>0</v>
      </c>
      <c r="D188" s="11" t="s">
        <v>268</v>
      </c>
      <c r="E188" s="1">
        <v>0</v>
      </c>
      <c r="F188" s="1">
        <v>270</v>
      </c>
      <c r="G188" s="1">
        <v>10000</v>
      </c>
      <c r="H188" s="1">
        <v>2</v>
      </c>
      <c r="I188" s="1">
        <v>5</v>
      </c>
    </row>
    <row r="189" spans="1:9" x14ac:dyDescent="0.2">
      <c r="A189" s="1" t="s">
        <v>406</v>
      </c>
      <c r="B189">
        <v>4168</v>
      </c>
      <c r="C189" s="1">
        <v>0</v>
      </c>
      <c r="D189" s="11" t="s">
        <v>233</v>
      </c>
      <c r="E189" s="1">
        <v>0</v>
      </c>
      <c r="F189" s="1">
        <v>211</v>
      </c>
      <c r="G189" s="1">
        <v>10000</v>
      </c>
      <c r="H189" s="1">
        <v>2</v>
      </c>
      <c r="I189" s="1">
        <v>6</v>
      </c>
    </row>
    <row r="190" spans="1:9" x14ac:dyDescent="0.2">
      <c r="A190" s="1" t="s">
        <v>407</v>
      </c>
      <c r="B190">
        <v>4169</v>
      </c>
      <c r="C190" s="1">
        <v>0</v>
      </c>
      <c r="D190" s="11" t="s">
        <v>306</v>
      </c>
      <c r="E190" s="1">
        <v>0</v>
      </c>
      <c r="F190" s="1">
        <v>259</v>
      </c>
      <c r="G190" s="1">
        <v>10000</v>
      </c>
      <c r="H190" s="1">
        <v>3</v>
      </c>
      <c r="I190" s="1">
        <v>6</v>
      </c>
    </row>
    <row r="191" spans="1:9" x14ac:dyDescent="0.2">
      <c r="A191" s="1" t="s">
        <v>407</v>
      </c>
      <c r="B191">
        <v>4169</v>
      </c>
      <c r="C191" s="1">
        <v>0</v>
      </c>
      <c r="D191" s="11" t="s">
        <v>329</v>
      </c>
      <c r="E191" s="1">
        <v>0</v>
      </c>
      <c r="F191" s="1">
        <v>279</v>
      </c>
      <c r="G191" s="1">
        <v>10000</v>
      </c>
      <c r="H191" s="1">
        <v>3</v>
      </c>
      <c r="I191" s="1">
        <v>6</v>
      </c>
    </row>
    <row r="192" spans="1:9" x14ac:dyDescent="0.2">
      <c r="A192" s="1" t="s">
        <v>407</v>
      </c>
      <c r="B192">
        <v>4169</v>
      </c>
      <c r="C192" s="1">
        <v>0</v>
      </c>
      <c r="D192" s="11" t="s">
        <v>312</v>
      </c>
      <c r="E192" s="1">
        <v>0</v>
      </c>
      <c r="F192" s="1">
        <v>245</v>
      </c>
      <c r="G192" s="1">
        <v>10000</v>
      </c>
      <c r="H192" s="1">
        <v>2</v>
      </c>
      <c r="I192" s="1">
        <v>4</v>
      </c>
    </row>
    <row r="193" spans="1:9" x14ac:dyDescent="0.2">
      <c r="A193" s="1" t="s">
        <v>407</v>
      </c>
      <c r="B193">
        <v>4169</v>
      </c>
      <c r="C193" s="1">
        <v>0</v>
      </c>
      <c r="D193" s="11" t="s">
        <v>318</v>
      </c>
      <c r="E193" s="1">
        <v>0</v>
      </c>
      <c r="F193" s="1">
        <v>256</v>
      </c>
      <c r="G193" s="1">
        <v>10000</v>
      </c>
      <c r="H193" s="1">
        <v>2</v>
      </c>
      <c r="I193" s="1">
        <v>4</v>
      </c>
    </row>
    <row r="194" spans="1:9" x14ac:dyDescent="0.2">
      <c r="A194" s="1" t="s">
        <v>407</v>
      </c>
      <c r="B194">
        <v>4169</v>
      </c>
      <c r="C194" s="1">
        <v>0</v>
      </c>
      <c r="D194" s="11" t="s">
        <v>326</v>
      </c>
      <c r="E194" s="1">
        <v>0</v>
      </c>
      <c r="F194" s="1">
        <v>257</v>
      </c>
      <c r="G194" s="1">
        <v>10000</v>
      </c>
      <c r="H194" s="1">
        <v>2</v>
      </c>
      <c r="I194" s="1">
        <v>5</v>
      </c>
    </row>
    <row r="195" spans="1:9" x14ac:dyDescent="0.2">
      <c r="A195" s="1" t="s">
        <v>407</v>
      </c>
      <c r="B195">
        <v>4169</v>
      </c>
      <c r="C195" s="1">
        <v>0</v>
      </c>
      <c r="D195" s="11" t="s">
        <v>323</v>
      </c>
      <c r="E195" s="1">
        <v>0</v>
      </c>
      <c r="F195" s="1">
        <v>269</v>
      </c>
      <c r="G195" s="1">
        <v>10000</v>
      </c>
      <c r="H195" s="1">
        <v>2</v>
      </c>
      <c r="I195" s="1">
        <v>6</v>
      </c>
    </row>
    <row r="196" spans="1:9" x14ac:dyDescent="0.2">
      <c r="A196" s="1" t="s">
        <v>408</v>
      </c>
      <c r="B196">
        <v>4170</v>
      </c>
      <c r="C196" s="1">
        <v>0</v>
      </c>
      <c r="D196" s="11" t="s">
        <v>330</v>
      </c>
      <c r="E196" s="1">
        <v>0</v>
      </c>
      <c r="F196" s="1">
        <v>260</v>
      </c>
      <c r="G196" s="1">
        <v>10000</v>
      </c>
      <c r="H196" s="1">
        <v>5</v>
      </c>
      <c r="I196" s="1">
        <v>10</v>
      </c>
    </row>
    <row r="197" spans="1:9" x14ac:dyDescent="0.2">
      <c r="A197" s="1" t="s">
        <v>409</v>
      </c>
      <c r="B197">
        <v>4171</v>
      </c>
      <c r="C197" s="1">
        <v>0</v>
      </c>
      <c r="D197" s="11" t="s">
        <v>325</v>
      </c>
      <c r="E197" s="1">
        <v>0</v>
      </c>
      <c r="F197" s="1">
        <v>261</v>
      </c>
      <c r="G197" s="1">
        <v>10000</v>
      </c>
      <c r="H197" s="1">
        <v>3</v>
      </c>
      <c r="I197" s="1">
        <v>6</v>
      </c>
    </row>
    <row r="198" spans="1:9" x14ac:dyDescent="0.2">
      <c r="A198" s="1" t="s">
        <v>409</v>
      </c>
      <c r="B198">
        <v>4171</v>
      </c>
      <c r="C198" s="1">
        <v>0</v>
      </c>
      <c r="D198" s="11" t="s">
        <v>283</v>
      </c>
      <c r="E198" s="1">
        <v>0</v>
      </c>
      <c r="F198" s="1">
        <v>232</v>
      </c>
      <c r="G198" s="1">
        <v>10000</v>
      </c>
      <c r="H198" s="1">
        <v>3</v>
      </c>
      <c r="I198" s="1">
        <v>6</v>
      </c>
    </row>
    <row r="199" spans="1:9" x14ac:dyDescent="0.2">
      <c r="A199" s="1" t="s">
        <v>410</v>
      </c>
      <c r="B199">
        <v>4172</v>
      </c>
      <c r="C199" s="1">
        <v>0</v>
      </c>
      <c r="D199" s="11" t="s">
        <v>314</v>
      </c>
      <c r="E199" s="1">
        <v>0</v>
      </c>
      <c r="F199" s="1">
        <v>292</v>
      </c>
      <c r="G199" s="1">
        <v>10000</v>
      </c>
      <c r="H199" s="1">
        <v>5</v>
      </c>
      <c r="I199" s="1">
        <v>10</v>
      </c>
    </row>
    <row r="200" spans="1:9" x14ac:dyDescent="0.2">
      <c r="A200" s="1" t="s">
        <v>411</v>
      </c>
      <c r="B200">
        <v>4173</v>
      </c>
      <c r="C200" s="1">
        <v>0</v>
      </c>
      <c r="D200" s="11" t="s">
        <v>331</v>
      </c>
      <c r="E200" s="1">
        <v>0</v>
      </c>
      <c r="F200" s="1">
        <v>272</v>
      </c>
      <c r="G200" s="1">
        <v>10000</v>
      </c>
      <c r="H200" s="1">
        <v>2</v>
      </c>
      <c r="I200" s="1">
        <v>4</v>
      </c>
    </row>
    <row r="201" spans="1:9" x14ac:dyDescent="0.2">
      <c r="A201" s="1" t="s">
        <v>411</v>
      </c>
      <c r="B201">
        <v>4173</v>
      </c>
      <c r="C201" s="1">
        <v>0</v>
      </c>
      <c r="D201" s="11" t="s">
        <v>241</v>
      </c>
      <c r="E201" s="1">
        <v>0</v>
      </c>
      <c r="F201" s="1">
        <v>296</v>
      </c>
      <c r="G201" s="1">
        <v>10000</v>
      </c>
      <c r="H201" s="1">
        <v>3</v>
      </c>
      <c r="I201" s="1">
        <v>6</v>
      </c>
    </row>
    <row r="202" spans="1:9" x14ac:dyDescent="0.2">
      <c r="A202" s="1" t="s">
        <v>411</v>
      </c>
      <c r="B202">
        <v>4173</v>
      </c>
      <c r="C202" s="1">
        <v>0</v>
      </c>
      <c r="D202" s="11" t="s">
        <v>307</v>
      </c>
      <c r="E202" s="1">
        <v>0</v>
      </c>
      <c r="F202" s="1">
        <v>285</v>
      </c>
      <c r="G202" s="1">
        <v>5000</v>
      </c>
      <c r="H202" s="1">
        <v>2</v>
      </c>
      <c r="I202" s="1">
        <v>4</v>
      </c>
    </row>
    <row r="203" spans="1:9" x14ac:dyDescent="0.2">
      <c r="A203" s="1" t="s">
        <v>412</v>
      </c>
      <c r="B203">
        <v>4174</v>
      </c>
      <c r="C203" s="1">
        <v>0</v>
      </c>
      <c r="D203" s="11" t="s">
        <v>332</v>
      </c>
      <c r="E203" s="1">
        <v>0</v>
      </c>
      <c r="F203" s="1">
        <v>263</v>
      </c>
      <c r="G203" s="1">
        <v>10000</v>
      </c>
      <c r="H203" s="1">
        <v>4</v>
      </c>
      <c r="I203" s="1">
        <v>8</v>
      </c>
    </row>
    <row r="204" spans="1:9" x14ac:dyDescent="0.2">
      <c r="A204" s="1" t="s">
        <v>412</v>
      </c>
      <c r="B204">
        <v>4174</v>
      </c>
      <c r="C204" s="1">
        <v>0</v>
      </c>
      <c r="D204" s="11" t="s">
        <v>324</v>
      </c>
      <c r="E204" s="1">
        <v>0</v>
      </c>
      <c r="F204" s="1">
        <v>253</v>
      </c>
      <c r="G204" s="1">
        <v>5000</v>
      </c>
      <c r="H204" s="1">
        <v>2</v>
      </c>
      <c r="I204" s="1">
        <v>4</v>
      </c>
    </row>
    <row r="205" spans="1:9" x14ac:dyDescent="0.2">
      <c r="A205" s="1" t="s">
        <v>413</v>
      </c>
      <c r="B205">
        <v>4175</v>
      </c>
      <c r="C205" s="1">
        <v>0</v>
      </c>
      <c r="D205" s="11" t="s">
        <v>320</v>
      </c>
      <c r="E205" s="1">
        <v>0</v>
      </c>
      <c r="F205" s="1">
        <v>264</v>
      </c>
      <c r="G205" s="1">
        <v>10000</v>
      </c>
      <c r="H205" s="1">
        <v>3</v>
      </c>
      <c r="I205" s="1">
        <v>6</v>
      </c>
    </row>
    <row r="206" spans="1:9" x14ac:dyDescent="0.2">
      <c r="A206" s="1" t="s">
        <v>413</v>
      </c>
      <c r="B206">
        <v>4175</v>
      </c>
      <c r="C206" s="1">
        <v>0</v>
      </c>
      <c r="D206" s="11" t="s">
        <v>260</v>
      </c>
      <c r="E206" s="1">
        <v>0</v>
      </c>
      <c r="F206" s="1">
        <v>293</v>
      </c>
      <c r="G206" s="1">
        <v>10000</v>
      </c>
      <c r="H206" s="1">
        <v>3</v>
      </c>
      <c r="I206" s="1">
        <v>6</v>
      </c>
    </row>
    <row r="207" spans="1:9" x14ac:dyDescent="0.2">
      <c r="A207" s="1" t="s">
        <v>414</v>
      </c>
      <c r="B207">
        <v>4176</v>
      </c>
      <c r="C207" s="1">
        <v>0</v>
      </c>
      <c r="D207" s="11" t="s">
        <v>287</v>
      </c>
      <c r="E207" s="1">
        <v>0</v>
      </c>
      <c r="F207" s="1">
        <v>265</v>
      </c>
      <c r="G207" s="1">
        <v>10000</v>
      </c>
      <c r="H207" s="1">
        <v>4</v>
      </c>
      <c r="I207" s="1">
        <v>8</v>
      </c>
    </row>
    <row r="208" spans="1:9" x14ac:dyDescent="0.2">
      <c r="A208" s="1" t="s">
        <v>415</v>
      </c>
      <c r="B208">
        <v>4177</v>
      </c>
      <c r="C208" s="1">
        <v>0</v>
      </c>
      <c r="D208" s="11" t="s">
        <v>213</v>
      </c>
      <c r="E208" s="1">
        <v>0</v>
      </c>
      <c r="F208" s="1">
        <v>241</v>
      </c>
      <c r="G208" s="1">
        <v>10000</v>
      </c>
      <c r="H208" s="1">
        <v>3</v>
      </c>
      <c r="I208" s="1">
        <v>4</v>
      </c>
    </row>
    <row r="209" spans="1:9" x14ac:dyDescent="0.2">
      <c r="A209" s="1" t="s">
        <v>415</v>
      </c>
      <c r="B209">
        <v>4177</v>
      </c>
      <c r="C209" s="1">
        <v>0</v>
      </c>
      <c r="D209" s="11" t="s">
        <v>304</v>
      </c>
      <c r="E209" s="1">
        <v>0</v>
      </c>
      <c r="F209" s="1">
        <v>237</v>
      </c>
      <c r="G209" s="1">
        <v>10000</v>
      </c>
      <c r="H209" s="1">
        <v>3</v>
      </c>
      <c r="I209" s="1">
        <v>5</v>
      </c>
    </row>
    <row r="210" spans="1:9" x14ac:dyDescent="0.2">
      <c r="A210" s="1" t="s">
        <v>416</v>
      </c>
      <c r="B210">
        <v>4178</v>
      </c>
      <c r="C210" s="1">
        <v>0</v>
      </c>
      <c r="D210" s="11" t="s">
        <v>333</v>
      </c>
      <c r="E210" s="1">
        <v>0</v>
      </c>
      <c r="F210" s="1">
        <v>267</v>
      </c>
      <c r="G210" s="1">
        <v>10000</v>
      </c>
      <c r="H210" s="1">
        <v>3</v>
      </c>
      <c r="I210" s="1">
        <v>6</v>
      </c>
    </row>
    <row r="211" spans="1:9" x14ac:dyDescent="0.2">
      <c r="A211" s="1" t="s">
        <v>416</v>
      </c>
      <c r="B211">
        <v>4178</v>
      </c>
      <c r="C211" s="1">
        <v>0</v>
      </c>
      <c r="D211" s="11" t="s">
        <v>330</v>
      </c>
      <c r="E211" s="1">
        <v>0</v>
      </c>
      <c r="F211" s="1">
        <v>260</v>
      </c>
      <c r="G211" s="1">
        <v>10000</v>
      </c>
      <c r="H211" s="1">
        <v>3</v>
      </c>
      <c r="I211" s="1">
        <v>6</v>
      </c>
    </row>
    <row r="212" spans="1:9" x14ac:dyDescent="0.2">
      <c r="A212" s="1" t="s">
        <v>416</v>
      </c>
      <c r="B212">
        <v>4178</v>
      </c>
      <c r="C212" s="1">
        <v>0</v>
      </c>
      <c r="D212" s="11" t="s">
        <v>326</v>
      </c>
      <c r="E212" s="1">
        <v>0</v>
      </c>
      <c r="F212" s="1">
        <v>257</v>
      </c>
      <c r="G212" s="1">
        <v>10000</v>
      </c>
      <c r="H212" s="1">
        <v>2</v>
      </c>
      <c r="I212" s="1">
        <v>4</v>
      </c>
    </row>
    <row r="213" spans="1:9" x14ac:dyDescent="0.2">
      <c r="A213" s="1" t="s">
        <v>416</v>
      </c>
      <c r="B213">
        <v>4178</v>
      </c>
      <c r="C213" s="1">
        <v>0</v>
      </c>
      <c r="D213" s="11" t="s">
        <v>330</v>
      </c>
      <c r="E213" s="1">
        <v>0</v>
      </c>
      <c r="F213" s="1">
        <v>260</v>
      </c>
      <c r="G213" s="1">
        <v>10000</v>
      </c>
      <c r="H213" s="1">
        <v>3</v>
      </c>
      <c r="I213" s="1">
        <v>6</v>
      </c>
    </row>
    <row r="214" spans="1:9" x14ac:dyDescent="0.2">
      <c r="A214" s="1" t="s">
        <v>416</v>
      </c>
      <c r="B214">
        <v>4178</v>
      </c>
      <c r="C214" s="1">
        <v>0</v>
      </c>
      <c r="D214" s="11" t="s">
        <v>332</v>
      </c>
      <c r="E214" s="1">
        <v>0</v>
      </c>
      <c r="F214" s="1">
        <v>263</v>
      </c>
      <c r="G214" s="1">
        <v>10000</v>
      </c>
      <c r="H214" s="1">
        <v>3</v>
      </c>
      <c r="I214" s="1">
        <v>6</v>
      </c>
    </row>
    <row r="215" spans="1:9" x14ac:dyDescent="0.2">
      <c r="A215" s="1" t="s">
        <v>417</v>
      </c>
      <c r="B215">
        <v>4179</v>
      </c>
      <c r="C215" s="1">
        <v>0</v>
      </c>
      <c r="D215" s="11" t="s">
        <v>334</v>
      </c>
      <c r="E215" s="1">
        <v>0</v>
      </c>
      <c r="F215" s="1">
        <v>268</v>
      </c>
      <c r="G215" s="1">
        <v>10000</v>
      </c>
      <c r="H215" s="1">
        <v>3</v>
      </c>
      <c r="I215" s="1">
        <v>6</v>
      </c>
    </row>
    <row r="216" spans="1:9" x14ac:dyDescent="0.2">
      <c r="A216" s="1" t="s">
        <v>417</v>
      </c>
      <c r="B216">
        <v>4179</v>
      </c>
      <c r="C216" s="1">
        <v>0</v>
      </c>
      <c r="D216" s="11" t="s">
        <v>313</v>
      </c>
      <c r="E216" s="1">
        <v>0</v>
      </c>
      <c r="F216" s="1">
        <v>246</v>
      </c>
      <c r="G216" s="1">
        <v>10000</v>
      </c>
      <c r="H216" s="1">
        <v>3</v>
      </c>
      <c r="I216" s="1">
        <v>6</v>
      </c>
    </row>
    <row r="217" spans="1:9" x14ac:dyDescent="0.2">
      <c r="A217" s="1" t="s">
        <v>417</v>
      </c>
      <c r="B217">
        <v>4179</v>
      </c>
      <c r="C217" s="1">
        <v>0</v>
      </c>
      <c r="D217" s="11" t="s">
        <v>325</v>
      </c>
      <c r="E217" s="1">
        <v>0</v>
      </c>
      <c r="F217" s="1">
        <v>261</v>
      </c>
      <c r="G217" s="1">
        <v>10000</v>
      </c>
      <c r="H217" s="1">
        <v>2</v>
      </c>
      <c r="I217" s="1">
        <v>4</v>
      </c>
    </row>
    <row r="218" spans="1:9" x14ac:dyDescent="0.2">
      <c r="A218" s="1" t="s">
        <v>417</v>
      </c>
      <c r="B218">
        <v>4179</v>
      </c>
      <c r="C218" s="1">
        <v>0</v>
      </c>
      <c r="D218" s="11" t="s">
        <v>325</v>
      </c>
      <c r="E218" s="1">
        <v>0</v>
      </c>
      <c r="F218" s="1">
        <v>261</v>
      </c>
      <c r="G218" s="1">
        <v>10000</v>
      </c>
      <c r="H218" s="1">
        <v>2</v>
      </c>
      <c r="I218" s="1">
        <v>4</v>
      </c>
    </row>
    <row r="219" spans="1:9" x14ac:dyDescent="0.2">
      <c r="A219" s="1" t="s">
        <v>417</v>
      </c>
      <c r="B219">
        <v>4179</v>
      </c>
      <c r="C219" s="1">
        <v>0</v>
      </c>
      <c r="D219" s="11" t="s">
        <v>314</v>
      </c>
      <c r="E219" s="1">
        <v>0</v>
      </c>
      <c r="F219" s="1">
        <v>292</v>
      </c>
      <c r="G219" s="1">
        <v>10000</v>
      </c>
      <c r="H219" s="1">
        <v>2</v>
      </c>
      <c r="I219" s="1">
        <v>4</v>
      </c>
    </row>
    <row r="220" spans="1:9" x14ac:dyDescent="0.2">
      <c r="A220" s="1" t="s">
        <v>417</v>
      </c>
      <c r="B220">
        <v>4179</v>
      </c>
      <c r="C220" s="1">
        <v>0</v>
      </c>
      <c r="D220" s="11" t="s">
        <v>320</v>
      </c>
      <c r="E220" s="1">
        <v>0</v>
      </c>
      <c r="F220" s="1">
        <v>264</v>
      </c>
      <c r="G220" s="1">
        <v>10000</v>
      </c>
      <c r="H220" s="1">
        <v>2</v>
      </c>
      <c r="I220" s="1">
        <v>4</v>
      </c>
    </row>
    <row r="221" spans="1:9" x14ac:dyDescent="0.2">
      <c r="A221" s="1" t="s">
        <v>121</v>
      </c>
      <c r="B221" s="1">
        <v>10010</v>
      </c>
      <c r="C221" s="1">
        <v>1</v>
      </c>
      <c r="D221" s="11" t="s">
        <v>80</v>
      </c>
      <c r="E221" s="1">
        <v>0</v>
      </c>
      <c r="F221" t="s">
        <v>418</v>
      </c>
      <c r="G221" s="1">
        <v>100</v>
      </c>
      <c r="H221" s="1">
        <v>1</v>
      </c>
      <c r="I221" s="1">
        <v>1</v>
      </c>
    </row>
    <row r="222" spans="1:9" x14ac:dyDescent="0.2">
      <c r="A222" s="1" t="s">
        <v>121</v>
      </c>
      <c r="B222" s="1">
        <v>10010</v>
      </c>
      <c r="C222" s="1">
        <v>1</v>
      </c>
      <c r="D222" s="11" t="s">
        <v>129</v>
      </c>
      <c r="E222" s="1">
        <v>0</v>
      </c>
      <c r="F222" t="s">
        <v>419</v>
      </c>
      <c r="G222" s="1">
        <v>100</v>
      </c>
      <c r="H222" s="1">
        <v>1</v>
      </c>
      <c r="I222" s="1">
        <v>1</v>
      </c>
    </row>
    <row r="223" spans="1:9" x14ac:dyDescent="0.2">
      <c r="A223" s="1" t="s">
        <v>82</v>
      </c>
      <c r="B223" s="12">
        <v>10011</v>
      </c>
      <c r="C223" s="1">
        <v>1</v>
      </c>
      <c r="D223" s="11" t="s">
        <v>130</v>
      </c>
      <c r="E223" s="1">
        <v>0</v>
      </c>
      <c r="F223" t="s">
        <v>420</v>
      </c>
      <c r="G223" s="1">
        <v>100</v>
      </c>
      <c r="H223" s="1">
        <v>1</v>
      </c>
      <c r="I223" s="1">
        <v>1</v>
      </c>
    </row>
    <row r="224" spans="1:9" x14ac:dyDescent="0.2">
      <c r="A224" s="1" t="s">
        <v>82</v>
      </c>
      <c r="B224" s="12">
        <v>10011</v>
      </c>
      <c r="C224" s="1">
        <v>1</v>
      </c>
      <c r="D224" s="11" t="s">
        <v>131</v>
      </c>
      <c r="E224" s="1">
        <v>0</v>
      </c>
      <c r="F224" t="s">
        <v>421</v>
      </c>
      <c r="G224" s="1">
        <v>100</v>
      </c>
      <c r="H224" s="1">
        <v>1</v>
      </c>
      <c r="I224" s="1">
        <v>1</v>
      </c>
    </row>
    <row r="225" spans="1:9" x14ac:dyDescent="0.2">
      <c r="A225" s="1" t="s">
        <v>83</v>
      </c>
      <c r="B225" s="12">
        <v>10012</v>
      </c>
      <c r="C225" s="1">
        <v>1</v>
      </c>
      <c r="D225" s="11" t="s">
        <v>132</v>
      </c>
      <c r="E225" s="1">
        <v>0</v>
      </c>
      <c r="F225" t="s">
        <v>422</v>
      </c>
      <c r="G225" s="1">
        <v>100</v>
      </c>
      <c r="H225" s="1">
        <v>1</v>
      </c>
      <c r="I225" s="1">
        <v>1</v>
      </c>
    </row>
    <row r="226" spans="1:9" x14ac:dyDescent="0.2">
      <c r="A226" s="1" t="s">
        <v>83</v>
      </c>
      <c r="B226" s="12">
        <v>10012</v>
      </c>
      <c r="C226" s="1">
        <v>1</v>
      </c>
      <c r="D226" s="11" t="s">
        <v>133</v>
      </c>
      <c r="E226" s="1">
        <v>0</v>
      </c>
      <c r="F226" t="s">
        <v>423</v>
      </c>
      <c r="G226" s="1">
        <v>100</v>
      </c>
      <c r="H226" s="1">
        <v>1</v>
      </c>
      <c r="I226" s="1">
        <v>1</v>
      </c>
    </row>
    <row r="227" spans="1:9" x14ac:dyDescent="0.2">
      <c r="A227" s="1" t="s">
        <v>84</v>
      </c>
      <c r="B227" s="12">
        <v>10013</v>
      </c>
      <c r="C227" s="1">
        <v>1</v>
      </c>
      <c r="D227" s="11" t="s">
        <v>134</v>
      </c>
      <c r="E227" s="1">
        <v>0</v>
      </c>
      <c r="F227" t="s">
        <v>424</v>
      </c>
      <c r="G227" s="1">
        <v>100</v>
      </c>
      <c r="H227" s="1">
        <v>1</v>
      </c>
      <c r="I227" s="1">
        <v>1</v>
      </c>
    </row>
    <row r="228" spans="1:9" x14ac:dyDescent="0.2">
      <c r="A228" s="1" t="s">
        <v>84</v>
      </c>
      <c r="B228" s="12">
        <v>10013</v>
      </c>
      <c r="C228" s="1">
        <v>1</v>
      </c>
      <c r="D228" s="11" t="s">
        <v>135</v>
      </c>
      <c r="E228" s="1">
        <v>0</v>
      </c>
      <c r="F228" t="s">
        <v>425</v>
      </c>
      <c r="G228" s="1">
        <v>100</v>
      </c>
      <c r="H228" s="1">
        <v>1</v>
      </c>
      <c r="I228" s="1">
        <v>1</v>
      </c>
    </row>
    <row r="229" spans="1:9" x14ac:dyDescent="0.2">
      <c r="A229" s="1" t="s">
        <v>85</v>
      </c>
      <c r="B229" s="12">
        <v>10014</v>
      </c>
      <c r="C229" s="1">
        <v>1</v>
      </c>
      <c r="D229" s="11" t="s">
        <v>136</v>
      </c>
      <c r="E229" s="1">
        <v>0</v>
      </c>
      <c r="F229" t="s">
        <v>426</v>
      </c>
      <c r="G229" s="1">
        <v>100</v>
      </c>
      <c r="H229" s="1">
        <v>1</v>
      </c>
      <c r="I229" s="1">
        <v>1</v>
      </c>
    </row>
    <row r="230" spans="1:9" x14ac:dyDescent="0.2">
      <c r="A230" s="1" t="s">
        <v>85</v>
      </c>
      <c r="B230" s="12">
        <v>10014</v>
      </c>
      <c r="C230" s="1">
        <v>1</v>
      </c>
      <c r="D230" s="11" t="s">
        <v>137</v>
      </c>
      <c r="E230" s="1">
        <v>0</v>
      </c>
      <c r="F230" t="s">
        <v>427</v>
      </c>
      <c r="G230" s="1">
        <v>100</v>
      </c>
      <c r="H230" s="1">
        <v>1</v>
      </c>
      <c r="I230" s="1">
        <v>1</v>
      </c>
    </row>
    <row r="231" spans="1:9" x14ac:dyDescent="0.2">
      <c r="A231" s="1" t="s">
        <v>122</v>
      </c>
      <c r="B231" s="12">
        <v>10020</v>
      </c>
      <c r="C231" s="1">
        <v>1</v>
      </c>
      <c r="D231" s="11" t="s">
        <v>138</v>
      </c>
      <c r="E231" s="1">
        <v>0</v>
      </c>
      <c r="F231" t="s">
        <v>428</v>
      </c>
      <c r="G231" s="1">
        <v>100</v>
      </c>
      <c r="H231" s="1">
        <v>1</v>
      </c>
      <c r="I231" s="1">
        <v>1</v>
      </c>
    </row>
    <row r="232" spans="1:9" x14ac:dyDescent="0.2">
      <c r="A232" s="1" t="s">
        <v>122</v>
      </c>
      <c r="B232" s="12">
        <v>10020</v>
      </c>
      <c r="C232" s="1">
        <v>1</v>
      </c>
      <c r="D232" s="11" t="s">
        <v>139</v>
      </c>
      <c r="E232" s="1">
        <v>0</v>
      </c>
      <c r="F232" t="s">
        <v>429</v>
      </c>
      <c r="G232" s="1">
        <v>100</v>
      </c>
      <c r="H232" s="1">
        <v>1</v>
      </c>
      <c r="I232" s="1">
        <v>1</v>
      </c>
    </row>
    <row r="233" spans="1:9" x14ac:dyDescent="0.2">
      <c r="A233" s="1" t="s">
        <v>87</v>
      </c>
      <c r="B233" s="12">
        <v>10021</v>
      </c>
      <c r="C233" s="1">
        <v>1</v>
      </c>
      <c r="D233" s="11" t="s">
        <v>140</v>
      </c>
      <c r="E233" s="1">
        <v>0</v>
      </c>
      <c r="F233" t="s">
        <v>430</v>
      </c>
      <c r="G233" s="1">
        <v>100</v>
      </c>
      <c r="H233" s="1">
        <v>1</v>
      </c>
      <c r="I233" s="1">
        <v>1</v>
      </c>
    </row>
    <row r="234" spans="1:9" x14ac:dyDescent="0.2">
      <c r="A234" s="1" t="s">
        <v>87</v>
      </c>
      <c r="B234" s="12">
        <v>10021</v>
      </c>
      <c r="C234" s="1">
        <v>1</v>
      </c>
      <c r="D234" s="11" t="s">
        <v>141</v>
      </c>
      <c r="E234" s="1">
        <v>0</v>
      </c>
      <c r="F234" t="s">
        <v>431</v>
      </c>
      <c r="G234" s="1">
        <v>100</v>
      </c>
      <c r="H234" s="1">
        <v>1</v>
      </c>
      <c r="I234" s="1">
        <v>1</v>
      </c>
    </row>
    <row r="235" spans="1:9" x14ac:dyDescent="0.2">
      <c r="A235" s="1" t="s">
        <v>88</v>
      </c>
      <c r="B235" s="12">
        <v>10022</v>
      </c>
      <c r="C235" s="1">
        <v>1</v>
      </c>
      <c r="D235" s="11" t="s">
        <v>142</v>
      </c>
      <c r="E235" s="1">
        <v>0</v>
      </c>
      <c r="F235" t="s">
        <v>432</v>
      </c>
      <c r="G235" s="1">
        <v>100</v>
      </c>
      <c r="H235" s="1">
        <v>1</v>
      </c>
      <c r="I235" s="1">
        <v>1</v>
      </c>
    </row>
    <row r="236" spans="1:9" x14ac:dyDescent="0.2">
      <c r="A236" s="1" t="s">
        <v>88</v>
      </c>
      <c r="B236" s="12">
        <v>10022</v>
      </c>
      <c r="C236" s="1">
        <v>1</v>
      </c>
      <c r="D236" s="11" t="s">
        <v>143</v>
      </c>
      <c r="E236" s="1">
        <v>0</v>
      </c>
      <c r="F236" t="s">
        <v>433</v>
      </c>
      <c r="G236" s="1">
        <v>100</v>
      </c>
      <c r="H236" s="1">
        <v>1</v>
      </c>
      <c r="I236" s="1">
        <v>1</v>
      </c>
    </row>
    <row r="237" spans="1:9" x14ac:dyDescent="0.2">
      <c r="A237" s="1" t="s">
        <v>89</v>
      </c>
      <c r="B237" s="12">
        <v>10023</v>
      </c>
      <c r="C237" s="1">
        <v>1</v>
      </c>
      <c r="D237" s="11" t="s">
        <v>144</v>
      </c>
      <c r="E237" s="1">
        <v>0</v>
      </c>
      <c r="F237" t="s">
        <v>434</v>
      </c>
      <c r="G237" s="1">
        <v>100</v>
      </c>
      <c r="H237" s="1">
        <v>1</v>
      </c>
      <c r="I237" s="1">
        <v>1</v>
      </c>
    </row>
    <row r="238" spans="1:9" x14ac:dyDescent="0.2">
      <c r="A238" s="1" t="s">
        <v>89</v>
      </c>
      <c r="B238" s="12">
        <v>10023</v>
      </c>
      <c r="C238" s="1">
        <v>1</v>
      </c>
      <c r="D238" s="11" t="s">
        <v>145</v>
      </c>
      <c r="E238" s="1">
        <v>0</v>
      </c>
      <c r="F238" t="s">
        <v>435</v>
      </c>
      <c r="G238" s="1">
        <v>100</v>
      </c>
      <c r="H238" s="1">
        <v>1</v>
      </c>
      <c r="I238" s="1">
        <v>1</v>
      </c>
    </row>
    <row r="239" spans="1:9" x14ac:dyDescent="0.2">
      <c r="A239" s="1" t="s">
        <v>90</v>
      </c>
      <c r="B239" s="12">
        <v>10024</v>
      </c>
      <c r="C239" s="1">
        <v>1</v>
      </c>
      <c r="D239" s="11" t="s">
        <v>146</v>
      </c>
      <c r="E239" s="1">
        <v>0</v>
      </c>
      <c r="F239" t="s">
        <v>436</v>
      </c>
      <c r="G239" s="1">
        <v>100</v>
      </c>
      <c r="H239" s="1">
        <v>1</v>
      </c>
      <c r="I239" s="1">
        <v>1</v>
      </c>
    </row>
    <row r="240" spans="1:9" x14ac:dyDescent="0.2">
      <c r="A240" s="1" t="s">
        <v>90</v>
      </c>
      <c r="B240" s="12">
        <v>10024</v>
      </c>
      <c r="C240" s="1">
        <v>1</v>
      </c>
      <c r="D240" s="11" t="s">
        <v>147</v>
      </c>
      <c r="E240" s="1">
        <v>0</v>
      </c>
      <c r="F240" t="s">
        <v>437</v>
      </c>
      <c r="G240" s="1">
        <v>100</v>
      </c>
      <c r="H240" s="1">
        <v>1</v>
      </c>
      <c r="I240" s="1">
        <v>1</v>
      </c>
    </row>
    <row r="241" spans="1:9" x14ac:dyDescent="0.2">
      <c r="A241" s="1" t="s">
        <v>123</v>
      </c>
      <c r="B241" s="12">
        <v>10030</v>
      </c>
      <c r="C241" s="1">
        <v>1</v>
      </c>
      <c r="D241" s="11" t="s">
        <v>148</v>
      </c>
      <c r="E241" s="1">
        <v>0</v>
      </c>
      <c r="F241" t="s">
        <v>438</v>
      </c>
      <c r="G241" s="1">
        <v>100</v>
      </c>
      <c r="H241" s="1">
        <v>1</v>
      </c>
      <c r="I241" s="1">
        <v>1</v>
      </c>
    </row>
    <row r="242" spans="1:9" x14ac:dyDescent="0.2">
      <c r="A242" s="1" t="s">
        <v>123</v>
      </c>
      <c r="B242" s="12">
        <v>10030</v>
      </c>
      <c r="C242" s="1">
        <v>1</v>
      </c>
      <c r="D242" s="11" t="s">
        <v>149</v>
      </c>
      <c r="E242" s="1">
        <v>0</v>
      </c>
      <c r="F242" t="s">
        <v>439</v>
      </c>
      <c r="G242" s="1">
        <v>100</v>
      </c>
      <c r="H242" s="1">
        <v>1</v>
      </c>
      <c r="I242" s="1">
        <v>1</v>
      </c>
    </row>
    <row r="243" spans="1:9" x14ac:dyDescent="0.2">
      <c r="A243" s="1" t="s">
        <v>92</v>
      </c>
      <c r="B243" s="12">
        <v>10031</v>
      </c>
      <c r="C243" s="1">
        <v>1</v>
      </c>
      <c r="D243" s="11" t="s">
        <v>150</v>
      </c>
      <c r="E243" s="1">
        <v>0</v>
      </c>
      <c r="F243" t="s">
        <v>440</v>
      </c>
      <c r="G243" s="1">
        <v>100</v>
      </c>
      <c r="H243" s="1">
        <v>1</v>
      </c>
      <c r="I243" s="1">
        <v>1</v>
      </c>
    </row>
    <row r="244" spans="1:9" x14ac:dyDescent="0.2">
      <c r="A244" s="1" t="s">
        <v>92</v>
      </c>
      <c r="B244" s="12">
        <v>10031</v>
      </c>
      <c r="C244" s="1">
        <v>1</v>
      </c>
      <c r="D244" s="11" t="s">
        <v>151</v>
      </c>
      <c r="E244" s="1">
        <v>0</v>
      </c>
      <c r="F244" t="s">
        <v>441</v>
      </c>
      <c r="G244" s="1">
        <v>100</v>
      </c>
      <c r="H244" s="1">
        <v>1</v>
      </c>
      <c r="I244" s="1">
        <v>1</v>
      </c>
    </row>
    <row r="245" spans="1:9" x14ac:dyDescent="0.2">
      <c r="A245" s="1" t="s">
        <v>93</v>
      </c>
      <c r="B245" s="12">
        <v>10032</v>
      </c>
      <c r="C245" s="1">
        <v>1</v>
      </c>
      <c r="D245" s="11" t="s">
        <v>152</v>
      </c>
      <c r="E245" s="1">
        <v>0</v>
      </c>
      <c r="F245" t="s">
        <v>442</v>
      </c>
      <c r="G245" s="1">
        <v>100</v>
      </c>
      <c r="H245" s="1">
        <v>1</v>
      </c>
      <c r="I245" s="1">
        <v>1</v>
      </c>
    </row>
    <row r="246" spans="1:9" x14ac:dyDescent="0.2">
      <c r="A246" s="1" t="s">
        <v>93</v>
      </c>
      <c r="B246" s="12">
        <v>10032</v>
      </c>
      <c r="C246" s="1">
        <v>1</v>
      </c>
      <c r="D246" s="11" t="s">
        <v>153</v>
      </c>
      <c r="E246" s="1">
        <v>0</v>
      </c>
      <c r="F246" t="s">
        <v>443</v>
      </c>
      <c r="G246" s="1">
        <v>100</v>
      </c>
      <c r="H246" s="1">
        <v>1</v>
      </c>
      <c r="I246" s="1">
        <v>1</v>
      </c>
    </row>
    <row r="247" spans="1:9" x14ac:dyDescent="0.2">
      <c r="A247" s="1" t="s">
        <v>94</v>
      </c>
      <c r="B247" s="12">
        <v>10033</v>
      </c>
      <c r="C247" s="1">
        <v>1</v>
      </c>
      <c r="D247" s="11" t="s">
        <v>154</v>
      </c>
      <c r="E247" s="1">
        <v>0</v>
      </c>
      <c r="F247" t="s">
        <v>444</v>
      </c>
      <c r="G247" s="1">
        <v>100</v>
      </c>
      <c r="H247" s="1">
        <v>1</v>
      </c>
      <c r="I247" s="1">
        <v>1</v>
      </c>
    </row>
    <row r="248" spans="1:9" x14ac:dyDescent="0.2">
      <c r="A248" s="1" t="s">
        <v>94</v>
      </c>
      <c r="B248" s="12">
        <v>10033</v>
      </c>
      <c r="C248" s="1">
        <v>1</v>
      </c>
      <c r="D248" s="11" t="s">
        <v>155</v>
      </c>
      <c r="E248" s="1">
        <v>0</v>
      </c>
      <c r="F248" t="s">
        <v>445</v>
      </c>
      <c r="G248" s="1">
        <v>100</v>
      </c>
      <c r="H248" s="1">
        <v>1</v>
      </c>
      <c r="I248" s="1">
        <v>1</v>
      </c>
    </row>
    <row r="249" spans="1:9" x14ac:dyDescent="0.2">
      <c r="A249" s="1" t="s">
        <v>95</v>
      </c>
      <c r="B249" s="12">
        <v>10034</v>
      </c>
      <c r="C249" s="1">
        <v>1</v>
      </c>
      <c r="D249" s="11" t="s">
        <v>156</v>
      </c>
      <c r="E249" s="1">
        <v>0</v>
      </c>
      <c r="F249" t="s">
        <v>446</v>
      </c>
      <c r="G249" s="1">
        <v>100</v>
      </c>
      <c r="H249" s="1">
        <v>1</v>
      </c>
      <c r="I249" s="1">
        <v>1</v>
      </c>
    </row>
    <row r="250" spans="1:9" x14ac:dyDescent="0.2">
      <c r="A250" s="1" t="s">
        <v>95</v>
      </c>
      <c r="B250" s="12">
        <v>10034</v>
      </c>
      <c r="C250" s="1">
        <v>1</v>
      </c>
      <c r="D250" s="11" t="s">
        <v>157</v>
      </c>
      <c r="E250" s="1">
        <v>0</v>
      </c>
      <c r="F250" t="s">
        <v>447</v>
      </c>
      <c r="G250" s="1">
        <v>100</v>
      </c>
      <c r="H250" s="1">
        <v>1</v>
      </c>
      <c r="I250" s="1">
        <v>1</v>
      </c>
    </row>
    <row r="251" spans="1:9" x14ac:dyDescent="0.2">
      <c r="A251" s="1" t="s">
        <v>124</v>
      </c>
      <c r="B251" s="12">
        <v>10040</v>
      </c>
      <c r="C251" s="1">
        <v>1</v>
      </c>
      <c r="D251" s="11" t="s">
        <v>79</v>
      </c>
      <c r="E251" s="1">
        <v>0</v>
      </c>
      <c r="F251" t="s">
        <v>448</v>
      </c>
      <c r="G251" s="1">
        <v>100</v>
      </c>
      <c r="H251" s="1">
        <v>1</v>
      </c>
      <c r="I251" s="1">
        <v>1</v>
      </c>
    </row>
    <row r="252" spans="1:9" x14ac:dyDescent="0.2">
      <c r="A252" s="1" t="s">
        <v>124</v>
      </c>
      <c r="B252" s="12">
        <v>10040</v>
      </c>
      <c r="C252" s="1">
        <v>1</v>
      </c>
      <c r="D252" s="11" t="s">
        <v>158</v>
      </c>
      <c r="E252" s="1">
        <v>0</v>
      </c>
      <c r="F252" t="s">
        <v>449</v>
      </c>
      <c r="G252" s="1">
        <v>100</v>
      </c>
      <c r="H252" s="1">
        <v>1</v>
      </c>
      <c r="I252" s="1">
        <v>1</v>
      </c>
    </row>
    <row r="253" spans="1:9" x14ac:dyDescent="0.2">
      <c r="A253" s="1" t="s">
        <v>97</v>
      </c>
      <c r="B253" s="12">
        <v>10041</v>
      </c>
      <c r="C253" s="1">
        <v>1</v>
      </c>
      <c r="D253" s="11" t="s">
        <v>159</v>
      </c>
      <c r="E253" s="1">
        <v>0</v>
      </c>
      <c r="F253" t="s">
        <v>450</v>
      </c>
      <c r="G253" s="1">
        <v>100</v>
      </c>
      <c r="H253" s="1">
        <v>1</v>
      </c>
      <c r="I253" s="1">
        <v>1</v>
      </c>
    </row>
    <row r="254" spans="1:9" x14ac:dyDescent="0.2">
      <c r="A254" s="1" t="s">
        <v>97</v>
      </c>
      <c r="B254" s="12">
        <v>10041</v>
      </c>
      <c r="C254" s="1">
        <v>1</v>
      </c>
      <c r="D254" s="11" t="s">
        <v>160</v>
      </c>
      <c r="E254" s="1">
        <v>0</v>
      </c>
      <c r="F254" t="s">
        <v>451</v>
      </c>
      <c r="G254" s="1">
        <v>100</v>
      </c>
      <c r="H254" s="1">
        <v>1</v>
      </c>
      <c r="I254" s="1">
        <v>1</v>
      </c>
    </row>
    <row r="255" spans="1:9" x14ac:dyDescent="0.2">
      <c r="A255" s="1" t="s">
        <v>98</v>
      </c>
      <c r="B255" s="12">
        <v>10042</v>
      </c>
      <c r="C255" s="1">
        <v>1</v>
      </c>
      <c r="D255" s="11" t="s">
        <v>161</v>
      </c>
      <c r="E255" s="1">
        <v>0</v>
      </c>
      <c r="F255" t="s">
        <v>452</v>
      </c>
      <c r="G255" s="1">
        <v>100</v>
      </c>
      <c r="H255" s="1">
        <v>1</v>
      </c>
      <c r="I255" s="1">
        <v>1</v>
      </c>
    </row>
    <row r="256" spans="1:9" x14ac:dyDescent="0.2">
      <c r="A256" s="1" t="s">
        <v>98</v>
      </c>
      <c r="B256" s="12">
        <v>10042</v>
      </c>
      <c r="C256" s="1">
        <v>1</v>
      </c>
      <c r="D256" s="11" t="s">
        <v>162</v>
      </c>
      <c r="E256" s="1">
        <v>0</v>
      </c>
      <c r="F256" t="s">
        <v>453</v>
      </c>
      <c r="G256" s="1">
        <v>100</v>
      </c>
      <c r="H256" s="1">
        <v>1</v>
      </c>
      <c r="I256" s="1">
        <v>1</v>
      </c>
    </row>
    <row r="257" spans="1:9" x14ac:dyDescent="0.2">
      <c r="A257" s="1" t="s">
        <v>99</v>
      </c>
      <c r="B257" s="12">
        <v>10043</v>
      </c>
      <c r="C257" s="1">
        <v>1</v>
      </c>
      <c r="D257" s="11" t="s">
        <v>163</v>
      </c>
      <c r="E257" s="1">
        <v>0</v>
      </c>
      <c r="F257" t="s">
        <v>454</v>
      </c>
      <c r="G257" s="1">
        <v>100</v>
      </c>
      <c r="H257" s="1">
        <v>1</v>
      </c>
      <c r="I257" s="1">
        <v>1</v>
      </c>
    </row>
    <row r="258" spans="1:9" x14ac:dyDescent="0.2">
      <c r="A258" s="1" t="s">
        <v>99</v>
      </c>
      <c r="B258" s="12">
        <v>10043</v>
      </c>
      <c r="C258" s="1">
        <v>1</v>
      </c>
      <c r="D258" s="11" t="s">
        <v>164</v>
      </c>
      <c r="E258" s="1">
        <v>0</v>
      </c>
      <c r="F258" t="s">
        <v>455</v>
      </c>
      <c r="G258" s="1">
        <v>100</v>
      </c>
      <c r="H258" s="1">
        <v>1</v>
      </c>
      <c r="I258" s="1">
        <v>1</v>
      </c>
    </row>
    <row r="259" spans="1:9" x14ac:dyDescent="0.2">
      <c r="A259" s="1" t="s">
        <v>100</v>
      </c>
      <c r="B259" s="12">
        <v>10044</v>
      </c>
      <c r="C259" s="1">
        <v>1</v>
      </c>
      <c r="D259" s="11" t="s">
        <v>165</v>
      </c>
      <c r="E259" s="1">
        <v>0</v>
      </c>
      <c r="F259" t="s">
        <v>456</v>
      </c>
      <c r="G259" s="1">
        <v>100</v>
      </c>
      <c r="H259" s="1">
        <v>1</v>
      </c>
      <c r="I259" s="1">
        <v>1</v>
      </c>
    </row>
    <row r="260" spans="1:9" x14ac:dyDescent="0.2">
      <c r="A260" s="1" t="s">
        <v>100</v>
      </c>
      <c r="B260" s="12">
        <v>10044</v>
      </c>
      <c r="C260" s="1">
        <v>1</v>
      </c>
      <c r="D260" s="11" t="s">
        <v>166</v>
      </c>
      <c r="E260" s="1">
        <v>0</v>
      </c>
      <c r="F260" t="s">
        <v>457</v>
      </c>
      <c r="G260" s="1">
        <v>100</v>
      </c>
      <c r="H260" s="1">
        <v>1</v>
      </c>
      <c r="I260" s="1">
        <v>1</v>
      </c>
    </row>
    <row r="261" spans="1:9" x14ac:dyDescent="0.2">
      <c r="A261" s="1" t="s">
        <v>125</v>
      </c>
      <c r="B261" s="12">
        <v>10050</v>
      </c>
      <c r="C261" s="1">
        <v>1</v>
      </c>
      <c r="D261" s="11" t="s">
        <v>167</v>
      </c>
      <c r="E261" s="1">
        <v>0</v>
      </c>
      <c r="F261" t="s">
        <v>458</v>
      </c>
      <c r="G261" s="1">
        <v>100</v>
      </c>
      <c r="H261" s="1">
        <v>1</v>
      </c>
      <c r="I261" s="1">
        <v>1</v>
      </c>
    </row>
    <row r="262" spans="1:9" x14ac:dyDescent="0.2">
      <c r="A262" s="1" t="s">
        <v>125</v>
      </c>
      <c r="B262" s="12">
        <v>10050</v>
      </c>
      <c r="C262" s="1">
        <v>1</v>
      </c>
      <c r="D262" s="11" t="s">
        <v>168</v>
      </c>
      <c r="E262" s="1">
        <v>0</v>
      </c>
      <c r="F262" t="s">
        <v>459</v>
      </c>
      <c r="G262" s="1">
        <v>100</v>
      </c>
      <c r="H262" s="1">
        <v>1</v>
      </c>
      <c r="I262" s="1">
        <v>1</v>
      </c>
    </row>
    <row r="263" spans="1:9" x14ac:dyDescent="0.2">
      <c r="A263" s="1" t="s">
        <v>102</v>
      </c>
      <c r="B263" s="12">
        <v>10051</v>
      </c>
      <c r="C263" s="1">
        <v>1</v>
      </c>
      <c r="D263" s="11" t="s">
        <v>169</v>
      </c>
      <c r="E263" s="1">
        <v>0</v>
      </c>
      <c r="F263" t="s">
        <v>460</v>
      </c>
      <c r="G263" s="1">
        <v>100</v>
      </c>
      <c r="H263" s="1">
        <v>1</v>
      </c>
      <c r="I263" s="1">
        <v>1</v>
      </c>
    </row>
    <row r="264" spans="1:9" x14ac:dyDescent="0.2">
      <c r="A264" s="1" t="s">
        <v>102</v>
      </c>
      <c r="B264" s="12">
        <v>10051</v>
      </c>
      <c r="C264" s="1">
        <v>1</v>
      </c>
      <c r="D264" s="11" t="s">
        <v>170</v>
      </c>
      <c r="E264" s="1">
        <v>0</v>
      </c>
      <c r="F264" t="s">
        <v>461</v>
      </c>
      <c r="G264" s="1">
        <v>100</v>
      </c>
      <c r="H264" s="1">
        <v>1</v>
      </c>
      <c r="I264" s="1">
        <v>1</v>
      </c>
    </row>
    <row r="265" spans="1:9" x14ac:dyDescent="0.2">
      <c r="A265" s="1" t="s">
        <v>103</v>
      </c>
      <c r="B265" s="12">
        <v>10052</v>
      </c>
      <c r="C265" s="1">
        <v>1</v>
      </c>
      <c r="D265" s="11" t="s">
        <v>171</v>
      </c>
      <c r="E265" s="1">
        <v>0</v>
      </c>
      <c r="F265" t="s">
        <v>462</v>
      </c>
      <c r="G265" s="1">
        <v>100</v>
      </c>
      <c r="H265" s="1">
        <v>1</v>
      </c>
      <c r="I265" s="1">
        <v>1</v>
      </c>
    </row>
    <row r="266" spans="1:9" x14ac:dyDescent="0.2">
      <c r="A266" s="1" t="s">
        <v>103</v>
      </c>
      <c r="B266" s="12">
        <v>10052</v>
      </c>
      <c r="C266" s="1">
        <v>1</v>
      </c>
      <c r="D266" s="11" t="s">
        <v>172</v>
      </c>
      <c r="E266" s="1">
        <v>0</v>
      </c>
      <c r="F266" t="s">
        <v>463</v>
      </c>
      <c r="G266" s="1">
        <v>100</v>
      </c>
      <c r="H266" s="1">
        <v>1</v>
      </c>
      <c r="I266" s="1">
        <v>1</v>
      </c>
    </row>
    <row r="267" spans="1:9" x14ac:dyDescent="0.2">
      <c r="A267" s="1" t="s">
        <v>104</v>
      </c>
      <c r="B267" s="12">
        <v>10053</v>
      </c>
      <c r="C267" s="1">
        <v>1</v>
      </c>
      <c r="D267" s="11" t="s">
        <v>173</v>
      </c>
      <c r="E267" s="1">
        <v>0</v>
      </c>
      <c r="F267" t="s">
        <v>464</v>
      </c>
      <c r="G267" s="1">
        <v>100</v>
      </c>
      <c r="H267" s="1">
        <v>1</v>
      </c>
      <c r="I267" s="1">
        <v>1</v>
      </c>
    </row>
    <row r="268" spans="1:9" x14ac:dyDescent="0.2">
      <c r="A268" s="1" t="s">
        <v>104</v>
      </c>
      <c r="B268" s="12">
        <v>10053</v>
      </c>
      <c r="C268" s="1">
        <v>1</v>
      </c>
      <c r="D268" s="11" t="s">
        <v>174</v>
      </c>
      <c r="E268" s="1">
        <v>0</v>
      </c>
      <c r="F268" t="s">
        <v>465</v>
      </c>
      <c r="G268" s="1">
        <v>100</v>
      </c>
      <c r="H268" s="1">
        <v>1</v>
      </c>
      <c r="I268" s="1">
        <v>1</v>
      </c>
    </row>
    <row r="269" spans="1:9" x14ac:dyDescent="0.2">
      <c r="A269" s="1" t="s">
        <v>105</v>
      </c>
      <c r="B269" s="12">
        <v>10054</v>
      </c>
      <c r="C269" s="1">
        <v>1</v>
      </c>
      <c r="D269" s="11" t="s">
        <v>175</v>
      </c>
      <c r="E269" s="1">
        <v>0</v>
      </c>
      <c r="F269" t="s">
        <v>466</v>
      </c>
      <c r="G269" s="1">
        <v>100</v>
      </c>
      <c r="H269" s="1">
        <v>1</v>
      </c>
      <c r="I269" s="1">
        <v>1</v>
      </c>
    </row>
    <row r="270" spans="1:9" x14ac:dyDescent="0.2">
      <c r="A270" s="1" t="s">
        <v>105</v>
      </c>
      <c r="B270" s="12">
        <v>10054</v>
      </c>
      <c r="C270" s="1">
        <v>1</v>
      </c>
      <c r="D270" s="11" t="s">
        <v>176</v>
      </c>
      <c r="E270" s="1">
        <v>0</v>
      </c>
      <c r="F270" t="s">
        <v>467</v>
      </c>
      <c r="G270" s="1">
        <v>100</v>
      </c>
      <c r="H270" s="1">
        <v>1</v>
      </c>
      <c r="I270" s="1">
        <v>1</v>
      </c>
    </row>
    <row r="271" spans="1:9" x14ac:dyDescent="0.2">
      <c r="A271" s="1" t="s">
        <v>126</v>
      </c>
      <c r="B271" s="12">
        <v>10060</v>
      </c>
      <c r="C271" s="1">
        <v>1</v>
      </c>
      <c r="D271" s="11" t="s">
        <v>177</v>
      </c>
      <c r="E271" s="1">
        <v>0</v>
      </c>
      <c r="F271" t="s">
        <v>468</v>
      </c>
      <c r="G271" s="1">
        <v>100</v>
      </c>
      <c r="H271" s="1">
        <v>1</v>
      </c>
      <c r="I271" s="1">
        <v>1</v>
      </c>
    </row>
    <row r="272" spans="1:9" x14ac:dyDescent="0.2">
      <c r="A272" s="1" t="s">
        <v>126</v>
      </c>
      <c r="B272" s="12">
        <v>10060</v>
      </c>
      <c r="C272" s="1">
        <v>1</v>
      </c>
      <c r="D272" s="11" t="s">
        <v>178</v>
      </c>
      <c r="E272" s="1">
        <v>0</v>
      </c>
      <c r="F272" t="s">
        <v>469</v>
      </c>
      <c r="G272" s="1">
        <v>100</v>
      </c>
      <c r="H272" s="1">
        <v>1</v>
      </c>
      <c r="I272" s="1">
        <v>1</v>
      </c>
    </row>
    <row r="273" spans="1:9" x14ac:dyDescent="0.2">
      <c r="A273" s="1" t="s">
        <v>107</v>
      </c>
      <c r="B273" s="12">
        <v>10061</v>
      </c>
      <c r="C273" s="1">
        <v>1</v>
      </c>
      <c r="D273" s="11" t="s">
        <v>179</v>
      </c>
      <c r="E273" s="1">
        <v>0</v>
      </c>
      <c r="F273" t="s">
        <v>470</v>
      </c>
      <c r="G273" s="1">
        <v>100</v>
      </c>
      <c r="H273" s="1">
        <v>1</v>
      </c>
      <c r="I273" s="1">
        <v>1</v>
      </c>
    </row>
    <row r="274" spans="1:9" x14ac:dyDescent="0.2">
      <c r="A274" s="1" t="s">
        <v>107</v>
      </c>
      <c r="B274" s="12">
        <v>10061</v>
      </c>
      <c r="C274" s="1">
        <v>1</v>
      </c>
      <c r="D274" s="11" t="s">
        <v>180</v>
      </c>
      <c r="E274" s="1">
        <v>0</v>
      </c>
      <c r="F274" t="s">
        <v>471</v>
      </c>
      <c r="G274" s="1">
        <v>100</v>
      </c>
      <c r="H274" s="1">
        <v>1</v>
      </c>
      <c r="I274" s="1">
        <v>1</v>
      </c>
    </row>
    <row r="275" spans="1:9" x14ac:dyDescent="0.2">
      <c r="A275" s="1" t="s">
        <v>108</v>
      </c>
      <c r="B275" s="12">
        <v>10062</v>
      </c>
      <c r="C275" s="1">
        <v>1</v>
      </c>
      <c r="D275" s="11" t="s">
        <v>181</v>
      </c>
      <c r="E275" s="1">
        <v>0</v>
      </c>
      <c r="F275" t="s">
        <v>472</v>
      </c>
      <c r="G275" s="1">
        <v>100</v>
      </c>
      <c r="H275" s="1">
        <v>1</v>
      </c>
      <c r="I275" s="1">
        <v>1</v>
      </c>
    </row>
    <row r="276" spans="1:9" x14ac:dyDescent="0.2">
      <c r="A276" s="1" t="s">
        <v>108</v>
      </c>
      <c r="B276" s="12">
        <v>10062</v>
      </c>
      <c r="C276" s="1">
        <v>1</v>
      </c>
      <c r="D276" s="11" t="s">
        <v>182</v>
      </c>
      <c r="E276" s="1">
        <v>0</v>
      </c>
      <c r="F276" t="s">
        <v>473</v>
      </c>
      <c r="G276" s="1">
        <v>100</v>
      </c>
      <c r="H276" s="1">
        <v>1</v>
      </c>
      <c r="I276" s="1">
        <v>1</v>
      </c>
    </row>
    <row r="277" spans="1:9" x14ac:dyDescent="0.2">
      <c r="A277" s="1" t="s">
        <v>109</v>
      </c>
      <c r="B277" s="12">
        <v>10063</v>
      </c>
      <c r="C277" s="1">
        <v>1</v>
      </c>
      <c r="D277" s="11" t="s">
        <v>183</v>
      </c>
      <c r="E277" s="1">
        <v>0</v>
      </c>
      <c r="F277" t="s">
        <v>474</v>
      </c>
      <c r="G277" s="1">
        <v>100</v>
      </c>
      <c r="H277" s="1">
        <v>1</v>
      </c>
      <c r="I277" s="1">
        <v>1</v>
      </c>
    </row>
    <row r="278" spans="1:9" x14ac:dyDescent="0.2">
      <c r="A278" s="1" t="s">
        <v>109</v>
      </c>
      <c r="B278" s="12">
        <v>10063</v>
      </c>
      <c r="C278" s="1">
        <v>1</v>
      </c>
      <c r="D278" s="11" t="s">
        <v>184</v>
      </c>
      <c r="E278" s="1">
        <v>0</v>
      </c>
      <c r="F278" t="s">
        <v>475</v>
      </c>
      <c r="G278" s="1">
        <v>100</v>
      </c>
      <c r="H278" s="1">
        <v>1</v>
      </c>
      <c r="I278" s="1">
        <v>1</v>
      </c>
    </row>
    <row r="279" spans="1:9" x14ac:dyDescent="0.2">
      <c r="A279" s="1" t="s">
        <v>110</v>
      </c>
      <c r="B279" s="12">
        <v>10064</v>
      </c>
      <c r="C279" s="1">
        <v>1</v>
      </c>
      <c r="D279" s="11" t="s">
        <v>185</v>
      </c>
      <c r="E279" s="1">
        <v>0</v>
      </c>
      <c r="F279" t="s">
        <v>476</v>
      </c>
      <c r="G279" s="1">
        <v>100</v>
      </c>
      <c r="H279" s="1">
        <v>1</v>
      </c>
      <c r="I279" s="1">
        <v>1</v>
      </c>
    </row>
    <row r="280" spans="1:9" x14ac:dyDescent="0.2">
      <c r="A280" s="1" t="s">
        <v>110</v>
      </c>
      <c r="B280" s="12">
        <v>10064</v>
      </c>
      <c r="C280" s="1">
        <v>1</v>
      </c>
      <c r="D280" s="11" t="s">
        <v>186</v>
      </c>
      <c r="E280" s="1">
        <v>0</v>
      </c>
      <c r="F280" t="s">
        <v>477</v>
      </c>
      <c r="G280" s="1">
        <v>100</v>
      </c>
      <c r="H280" s="1">
        <v>1</v>
      </c>
      <c r="I280" s="1">
        <v>1</v>
      </c>
    </row>
    <row r="281" spans="1:9" x14ac:dyDescent="0.2">
      <c r="A281" s="1" t="s">
        <v>127</v>
      </c>
      <c r="B281" s="12">
        <v>10070</v>
      </c>
      <c r="C281" s="1">
        <v>1</v>
      </c>
      <c r="D281" s="11" t="s">
        <v>187</v>
      </c>
      <c r="E281" s="1">
        <v>0</v>
      </c>
      <c r="F281" t="s">
        <v>478</v>
      </c>
      <c r="G281" s="1">
        <v>100</v>
      </c>
      <c r="H281" s="1">
        <v>1</v>
      </c>
      <c r="I281" s="1">
        <v>1</v>
      </c>
    </row>
    <row r="282" spans="1:9" x14ac:dyDescent="0.2">
      <c r="A282" s="1" t="s">
        <v>127</v>
      </c>
      <c r="B282" s="12">
        <v>10070</v>
      </c>
      <c r="C282" s="1">
        <v>1</v>
      </c>
      <c r="D282" s="11" t="s">
        <v>188</v>
      </c>
      <c r="E282" s="1">
        <v>0</v>
      </c>
      <c r="F282" t="s">
        <v>479</v>
      </c>
      <c r="G282" s="1">
        <v>100</v>
      </c>
      <c r="H282" s="1">
        <v>1</v>
      </c>
      <c r="I282" s="1">
        <v>1</v>
      </c>
    </row>
    <row r="283" spans="1:9" x14ac:dyDescent="0.2">
      <c r="A283" s="1" t="s">
        <v>112</v>
      </c>
      <c r="B283" s="12">
        <v>10071</v>
      </c>
      <c r="C283" s="1">
        <v>1</v>
      </c>
      <c r="D283" s="11" t="s">
        <v>189</v>
      </c>
      <c r="E283" s="1">
        <v>0</v>
      </c>
      <c r="F283" t="s">
        <v>480</v>
      </c>
      <c r="G283" s="1">
        <v>100</v>
      </c>
      <c r="H283" s="1">
        <v>1</v>
      </c>
      <c r="I283" s="1">
        <v>1</v>
      </c>
    </row>
    <row r="284" spans="1:9" x14ac:dyDescent="0.2">
      <c r="A284" s="1" t="s">
        <v>112</v>
      </c>
      <c r="B284" s="12">
        <v>10071</v>
      </c>
      <c r="C284" s="1">
        <v>1</v>
      </c>
      <c r="D284" s="11" t="s">
        <v>190</v>
      </c>
      <c r="E284" s="1">
        <v>0</v>
      </c>
      <c r="F284" t="s">
        <v>481</v>
      </c>
      <c r="G284" s="1">
        <v>100</v>
      </c>
      <c r="H284" s="1">
        <v>1</v>
      </c>
      <c r="I284" s="1">
        <v>1</v>
      </c>
    </row>
    <row r="285" spans="1:9" x14ac:dyDescent="0.2">
      <c r="A285" s="1" t="s">
        <v>113</v>
      </c>
      <c r="B285" s="12">
        <v>10072</v>
      </c>
      <c r="C285" s="1">
        <v>1</v>
      </c>
      <c r="D285" s="11" t="s">
        <v>191</v>
      </c>
      <c r="E285" s="1">
        <v>0</v>
      </c>
      <c r="F285" t="s">
        <v>482</v>
      </c>
      <c r="G285" s="1">
        <v>100</v>
      </c>
      <c r="H285" s="1">
        <v>1</v>
      </c>
      <c r="I285" s="1">
        <v>1</v>
      </c>
    </row>
    <row r="286" spans="1:9" x14ac:dyDescent="0.2">
      <c r="A286" s="1" t="s">
        <v>113</v>
      </c>
      <c r="B286" s="12">
        <v>10072</v>
      </c>
      <c r="C286" s="1">
        <v>1</v>
      </c>
      <c r="D286" s="11" t="s">
        <v>192</v>
      </c>
      <c r="E286" s="1">
        <v>0</v>
      </c>
      <c r="F286" t="s">
        <v>483</v>
      </c>
      <c r="G286" s="1">
        <v>100</v>
      </c>
      <c r="H286" s="1">
        <v>1</v>
      </c>
      <c r="I286" s="1">
        <v>1</v>
      </c>
    </row>
    <row r="287" spans="1:9" x14ac:dyDescent="0.2">
      <c r="A287" s="1" t="s">
        <v>114</v>
      </c>
      <c r="B287" s="12">
        <v>10073</v>
      </c>
      <c r="C287" s="1">
        <v>1</v>
      </c>
      <c r="D287" s="11" t="s">
        <v>193</v>
      </c>
      <c r="E287" s="1">
        <v>0</v>
      </c>
      <c r="F287" t="s">
        <v>484</v>
      </c>
      <c r="G287" s="1">
        <v>100</v>
      </c>
      <c r="H287" s="1">
        <v>1</v>
      </c>
      <c r="I287" s="1">
        <v>1</v>
      </c>
    </row>
    <row r="288" spans="1:9" x14ac:dyDescent="0.2">
      <c r="A288" s="1" t="s">
        <v>114</v>
      </c>
      <c r="B288" s="12">
        <v>10073</v>
      </c>
      <c r="C288" s="1">
        <v>1</v>
      </c>
      <c r="D288" s="11" t="s">
        <v>194</v>
      </c>
      <c r="E288" s="1">
        <v>0</v>
      </c>
      <c r="F288" t="s">
        <v>485</v>
      </c>
      <c r="G288" s="1">
        <v>100</v>
      </c>
      <c r="H288" s="1">
        <v>1</v>
      </c>
      <c r="I288" s="1">
        <v>1</v>
      </c>
    </row>
    <row r="289" spans="1:9" x14ac:dyDescent="0.2">
      <c r="A289" s="1" t="s">
        <v>115</v>
      </c>
      <c r="B289" s="12">
        <v>10074</v>
      </c>
      <c r="C289" s="1">
        <v>1</v>
      </c>
      <c r="D289" s="11" t="s">
        <v>195</v>
      </c>
      <c r="E289" s="1">
        <v>0</v>
      </c>
      <c r="F289" t="s">
        <v>486</v>
      </c>
      <c r="G289" s="1">
        <v>100</v>
      </c>
      <c r="H289" s="1">
        <v>1</v>
      </c>
      <c r="I289" s="1">
        <v>1</v>
      </c>
    </row>
    <row r="290" spans="1:9" x14ac:dyDescent="0.2">
      <c r="A290" s="1" t="s">
        <v>115</v>
      </c>
      <c r="B290" s="12">
        <v>10074</v>
      </c>
      <c r="C290" s="1">
        <v>1</v>
      </c>
      <c r="D290" s="11" t="s">
        <v>196</v>
      </c>
      <c r="E290" s="1">
        <v>0</v>
      </c>
      <c r="F290" t="s">
        <v>487</v>
      </c>
      <c r="G290" s="1">
        <v>100</v>
      </c>
      <c r="H290" s="1">
        <v>1</v>
      </c>
      <c r="I290" s="1">
        <v>1</v>
      </c>
    </row>
    <row r="291" spans="1:9" x14ac:dyDescent="0.2">
      <c r="A291" s="1" t="s">
        <v>128</v>
      </c>
      <c r="B291" s="12">
        <v>10080</v>
      </c>
      <c r="C291" s="1">
        <v>1</v>
      </c>
      <c r="D291" s="11" t="s">
        <v>197</v>
      </c>
      <c r="E291" s="1">
        <v>0</v>
      </c>
      <c r="F291" t="s">
        <v>488</v>
      </c>
      <c r="G291" s="1">
        <v>100</v>
      </c>
      <c r="H291" s="1">
        <v>1</v>
      </c>
      <c r="I291" s="1">
        <v>1</v>
      </c>
    </row>
    <row r="292" spans="1:9" x14ac:dyDescent="0.2">
      <c r="A292" s="1" t="s">
        <v>128</v>
      </c>
      <c r="B292" s="12">
        <v>10080</v>
      </c>
      <c r="C292" s="1">
        <v>1</v>
      </c>
      <c r="D292" s="11" t="s">
        <v>198</v>
      </c>
      <c r="E292" s="1">
        <v>0</v>
      </c>
      <c r="F292" t="s">
        <v>489</v>
      </c>
      <c r="G292" s="1">
        <v>100</v>
      </c>
      <c r="H292" s="1">
        <v>1</v>
      </c>
      <c r="I292" s="1">
        <v>1</v>
      </c>
    </row>
    <row r="293" spans="1:9" x14ac:dyDescent="0.2">
      <c r="A293" s="1" t="s">
        <v>117</v>
      </c>
      <c r="B293" s="12">
        <v>10081</v>
      </c>
      <c r="C293" s="1">
        <v>1</v>
      </c>
      <c r="D293" s="11" t="s">
        <v>199</v>
      </c>
      <c r="E293" s="1">
        <v>0</v>
      </c>
      <c r="F293" t="s">
        <v>490</v>
      </c>
      <c r="G293" s="1">
        <v>100</v>
      </c>
      <c r="H293" s="1">
        <v>1</v>
      </c>
      <c r="I293" s="1">
        <v>1</v>
      </c>
    </row>
    <row r="294" spans="1:9" x14ac:dyDescent="0.2">
      <c r="A294" s="1" t="s">
        <v>117</v>
      </c>
      <c r="B294" s="12">
        <v>10081</v>
      </c>
      <c r="C294" s="1">
        <v>1</v>
      </c>
      <c r="D294" s="11" t="s">
        <v>200</v>
      </c>
      <c r="E294" s="1">
        <v>0</v>
      </c>
      <c r="F294" t="s">
        <v>491</v>
      </c>
      <c r="G294" s="1">
        <v>100</v>
      </c>
      <c r="H294" s="1">
        <v>1</v>
      </c>
      <c r="I294" s="1">
        <v>1</v>
      </c>
    </row>
    <row r="295" spans="1:9" x14ac:dyDescent="0.2">
      <c r="A295" s="1" t="s">
        <v>118</v>
      </c>
      <c r="B295" s="12">
        <v>10082</v>
      </c>
      <c r="C295" s="1">
        <v>1</v>
      </c>
      <c r="D295" s="11" t="s">
        <v>201</v>
      </c>
      <c r="E295" s="1">
        <v>0</v>
      </c>
      <c r="F295" t="s">
        <v>492</v>
      </c>
      <c r="G295" s="1">
        <v>100</v>
      </c>
      <c r="H295" s="1">
        <v>1</v>
      </c>
      <c r="I295" s="1">
        <v>1</v>
      </c>
    </row>
    <row r="296" spans="1:9" x14ac:dyDescent="0.2">
      <c r="A296" s="1" t="s">
        <v>118</v>
      </c>
      <c r="B296" s="12">
        <v>10082</v>
      </c>
      <c r="C296" s="1">
        <v>1</v>
      </c>
      <c r="D296" s="11" t="s">
        <v>202</v>
      </c>
      <c r="E296" s="1">
        <v>0</v>
      </c>
      <c r="F296" t="s">
        <v>493</v>
      </c>
      <c r="G296" s="1">
        <v>100</v>
      </c>
      <c r="H296" s="1">
        <v>1</v>
      </c>
      <c r="I296" s="1">
        <v>1</v>
      </c>
    </row>
    <row r="297" spans="1:9" x14ac:dyDescent="0.2">
      <c r="A297" s="1" t="s">
        <v>119</v>
      </c>
      <c r="B297" s="12">
        <v>10083</v>
      </c>
      <c r="C297" s="1">
        <v>1</v>
      </c>
      <c r="D297" s="11" t="s">
        <v>203</v>
      </c>
      <c r="E297" s="1">
        <v>0</v>
      </c>
      <c r="F297" t="s">
        <v>494</v>
      </c>
      <c r="G297" s="1">
        <v>100</v>
      </c>
      <c r="H297" s="1">
        <v>1</v>
      </c>
      <c r="I297" s="1">
        <v>1</v>
      </c>
    </row>
    <row r="298" spans="1:9" x14ac:dyDescent="0.2">
      <c r="A298" s="1" t="s">
        <v>119</v>
      </c>
      <c r="B298" s="12">
        <v>10083</v>
      </c>
      <c r="C298" s="1">
        <v>1</v>
      </c>
      <c r="D298" s="11" t="s">
        <v>204</v>
      </c>
      <c r="E298" s="1">
        <v>0</v>
      </c>
      <c r="F298" t="s">
        <v>495</v>
      </c>
      <c r="G298" s="1">
        <v>100</v>
      </c>
      <c r="H298" s="1">
        <v>1</v>
      </c>
      <c r="I298" s="1">
        <v>1</v>
      </c>
    </row>
    <row r="299" spans="1:9" x14ac:dyDescent="0.2">
      <c r="A299" s="1" t="s">
        <v>120</v>
      </c>
      <c r="B299" s="12">
        <v>10084</v>
      </c>
      <c r="C299" s="1">
        <v>1</v>
      </c>
      <c r="D299" s="11" t="s">
        <v>205</v>
      </c>
      <c r="E299" s="1">
        <v>0</v>
      </c>
      <c r="F299" t="s">
        <v>496</v>
      </c>
      <c r="G299" s="1">
        <v>100</v>
      </c>
      <c r="H299" s="1">
        <v>1</v>
      </c>
      <c r="I299" s="1">
        <v>1</v>
      </c>
    </row>
    <row r="300" spans="1:9" x14ac:dyDescent="0.2">
      <c r="A300" s="1" t="s">
        <v>120</v>
      </c>
      <c r="B300" s="12">
        <v>10084</v>
      </c>
      <c r="C300" s="1">
        <v>1</v>
      </c>
      <c r="D300" s="11" t="s">
        <v>206</v>
      </c>
      <c r="E300" s="1">
        <v>0</v>
      </c>
      <c r="F300" t="s">
        <v>497</v>
      </c>
      <c r="G300" s="1">
        <v>100</v>
      </c>
      <c r="H300" s="1">
        <v>1</v>
      </c>
      <c r="I300" s="1">
        <v>1</v>
      </c>
    </row>
    <row r="301" spans="1:9" x14ac:dyDescent="0.2">
      <c r="A301" s="1" t="s">
        <v>15</v>
      </c>
      <c r="B301" s="1">
        <v>30000</v>
      </c>
      <c r="C301" s="1">
        <v>1</v>
      </c>
      <c r="E301" s="1">
        <v>0</v>
      </c>
      <c r="F301" s="2">
        <v>6000</v>
      </c>
      <c r="G301" s="1">
        <v>5000</v>
      </c>
      <c r="H301" s="1">
        <v>1</v>
      </c>
      <c r="I301" s="1">
        <v>1</v>
      </c>
    </row>
    <row r="302" spans="1:9" x14ac:dyDescent="0.2">
      <c r="A302" s="1" t="s">
        <v>15</v>
      </c>
      <c r="B302" s="1">
        <v>30000</v>
      </c>
      <c r="C302" s="1">
        <v>1</v>
      </c>
      <c r="E302" s="1">
        <v>0</v>
      </c>
      <c r="F302" s="2">
        <v>6001</v>
      </c>
      <c r="G302" s="1">
        <v>5000</v>
      </c>
      <c r="H302" s="1">
        <v>1</v>
      </c>
      <c r="I302" s="1">
        <v>1</v>
      </c>
    </row>
    <row r="303" spans="1:9" x14ac:dyDescent="0.2">
      <c r="A303" s="1" t="s">
        <v>15</v>
      </c>
      <c r="B303" s="1">
        <v>30000</v>
      </c>
      <c r="C303" s="1">
        <v>1</v>
      </c>
      <c r="E303" s="1">
        <v>0</v>
      </c>
      <c r="F303" s="2">
        <v>6002</v>
      </c>
      <c r="G303" s="1">
        <v>5000</v>
      </c>
      <c r="H303" s="1">
        <v>1</v>
      </c>
      <c r="I303" s="1">
        <v>1</v>
      </c>
    </row>
    <row r="304" spans="1:9" x14ac:dyDescent="0.2">
      <c r="A304" s="1" t="s">
        <v>15</v>
      </c>
      <c r="B304" s="1">
        <v>30000</v>
      </c>
      <c r="C304" s="1">
        <v>1</v>
      </c>
      <c r="E304" s="1">
        <v>0</v>
      </c>
      <c r="F304" s="2">
        <v>6003</v>
      </c>
      <c r="G304" s="1">
        <v>5000</v>
      </c>
      <c r="H304" s="1">
        <v>1</v>
      </c>
      <c r="I304" s="1">
        <v>1</v>
      </c>
    </row>
    <row r="305" spans="1:9" x14ac:dyDescent="0.2">
      <c r="A305" s="1" t="s">
        <v>16</v>
      </c>
      <c r="B305" s="1">
        <v>30001</v>
      </c>
      <c r="C305" s="1">
        <v>1</v>
      </c>
      <c r="E305" s="1">
        <v>0</v>
      </c>
      <c r="F305" s="2">
        <v>6004</v>
      </c>
      <c r="G305" s="1">
        <v>5000</v>
      </c>
      <c r="H305" s="1">
        <v>1</v>
      </c>
      <c r="I305" s="1">
        <v>1</v>
      </c>
    </row>
    <row r="306" spans="1:9" x14ac:dyDescent="0.2">
      <c r="A306" s="1" t="s">
        <v>16</v>
      </c>
      <c r="B306" s="1">
        <v>30001</v>
      </c>
      <c r="C306" s="1">
        <v>1</v>
      </c>
      <c r="E306" s="1">
        <v>0</v>
      </c>
      <c r="F306" s="2">
        <v>6005</v>
      </c>
      <c r="G306" s="1">
        <v>5000</v>
      </c>
      <c r="H306" s="1">
        <v>1</v>
      </c>
      <c r="I306" s="1">
        <v>1</v>
      </c>
    </row>
    <row r="307" spans="1:9" x14ac:dyDescent="0.2">
      <c r="A307" s="1" t="s">
        <v>18</v>
      </c>
      <c r="B307" s="1">
        <v>30001</v>
      </c>
      <c r="C307" s="1">
        <v>1</v>
      </c>
      <c r="E307" s="1">
        <v>0</v>
      </c>
      <c r="F307" s="2">
        <v>6006</v>
      </c>
      <c r="G307" s="1">
        <v>5000</v>
      </c>
      <c r="H307" s="1">
        <v>1</v>
      </c>
      <c r="I307" s="1">
        <v>1</v>
      </c>
    </row>
    <row r="308" spans="1:9" x14ac:dyDescent="0.2">
      <c r="A308" s="1" t="s">
        <v>17</v>
      </c>
      <c r="B308" s="1">
        <v>30002</v>
      </c>
      <c r="C308" s="1">
        <v>1</v>
      </c>
      <c r="E308" s="1">
        <v>0</v>
      </c>
      <c r="F308" s="1">
        <v>30</v>
      </c>
      <c r="G308" s="1">
        <v>5000</v>
      </c>
      <c r="H308" s="1">
        <v>1</v>
      </c>
      <c r="I308" s="1">
        <v>1</v>
      </c>
    </row>
    <row r="309" spans="1:9" x14ac:dyDescent="0.2">
      <c r="A309" s="1" t="s">
        <v>17</v>
      </c>
      <c r="B309" s="1">
        <v>30002</v>
      </c>
      <c r="C309" s="1">
        <v>1</v>
      </c>
      <c r="E309" s="1">
        <v>0</v>
      </c>
      <c r="F309" s="1">
        <v>8</v>
      </c>
      <c r="G309" s="1">
        <v>5000</v>
      </c>
      <c r="H309" s="1">
        <v>1</v>
      </c>
      <c r="I309" s="1">
        <v>1</v>
      </c>
    </row>
    <row r="310" spans="1:9" x14ac:dyDescent="0.2">
      <c r="A310" s="1" t="s">
        <v>17</v>
      </c>
      <c r="B310" s="1">
        <v>30002</v>
      </c>
      <c r="C310" s="1">
        <v>1</v>
      </c>
      <c r="E310" s="1">
        <v>0</v>
      </c>
      <c r="F310" s="1">
        <v>5</v>
      </c>
      <c r="G310" s="1">
        <v>5000</v>
      </c>
      <c r="H310" s="1">
        <v>1</v>
      </c>
      <c r="I310" s="1">
        <v>1</v>
      </c>
    </row>
    <row r="311" spans="1:9" x14ac:dyDescent="0.2">
      <c r="A311" s="1" t="s">
        <v>17</v>
      </c>
      <c r="B311" s="1">
        <v>30002</v>
      </c>
      <c r="C311" s="1">
        <v>1</v>
      </c>
      <c r="E311" s="1">
        <v>0</v>
      </c>
      <c r="F311" s="1">
        <v>12</v>
      </c>
      <c r="G311" s="1">
        <v>5000</v>
      </c>
      <c r="H311" s="1">
        <v>1</v>
      </c>
      <c r="I311" s="1">
        <v>1</v>
      </c>
    </row>
    <row r="312" spans="1:9" x14ac:dyDescent="0.2">
      <c r="A312" s="1" t="s">
        <v>19</v>
      </c>
      <c r="B312" s="1">
        <v>30003</v>
      </c>
      <c r="C312" s="1">
        <v>1</v>
      </c>
      <c r="E312" s="1">
        <v>0</v>
      </c>
      <c r="F312" s="1">
        <v>24</v>
      </c>
      <c r="G312" s="1">
        <v>5000</v>
      </c>
      <c r="H312" s="1">
        <v>1</v>
      </c>
      <c r="I312" s="1">
        <v>1</v>
      </c>
    </row>
    <row r="313" spans="1:9" x14ac:dyDescent="0.2">
      <c r="A313" s="1" t="s">
        <v>19</v>
      </c>
      <c r="B313" s="1">
        <v>30003</v>
      </c>
      <c r="C313" s="1">
        <v>1</v>
      </c>
      <c r="E313" s="1">
        <v>0</v>
      </c>
      <c r="F313" s="1">
        <v>25</v>
      </c>
      <c r="G313" s="1">
        <v>5000</v>
      </c>
      <c r="H313" s="1">
        <v>1</v>
      </c>
      <c r="I313" s="1">
        <v>1</v>
      </c>
    </row>
    <row r="314" spans="1:9" x14ac:dyDescent="0.2">
      <c r="A314" s="1" t="s">
        <v>19</v>
      </c>
      <c r="B314" s="1">
        <v>30003</v>
      </c>
      <c r="C314" s="1">
        <v>1</v>
      </c>
      <c r="E314" s="1">
        <v>0</v>
      </c>
      <c r="F314" s="1">
        <v>2</v>
      </c>
      <c r="G314" s="1">
        <v>5000</v>
      </c>
      <c r="H314" s="1">
        <v>1</v>
      </c>
      <c r="I314" s="1">
        <v>1</v>
      </c>
    </row>
    <row r="315" spans="1:9" x14ac:dyDescent="0.2">
      <c r="A315" s="1" t="s">
        <v>21</v>
      </c>
      <c r="B315" s="1">
        <v>30003</v>
      </c>
      <c r="C315" s="1">
        <v>1</v>
      </c>
      <c r="E315" s="1">
        <v>0</v>
      </c>
      <c r="F315" s="1">
        <v>19</v>
      </c>
      <c r="G315" s="1">
        <v>5000</v>
      </c>
      <c r="H315" s="1">
        <v>1</v>
      </c>
      <c r="I315" s="1">
        <v>1</v>
      </c>
    </row>
    <row r="316" spans="1:9" x14ac:dyDescent="0.2">
      <c r="A316" s="1" t="s">
        <v>20</v>
      </c>
      <c r="B316" s="1">
        <v>30004</v>
      </c>
      <c r="C316" s="1">
        <v>1</v>
      </c>
      <c r="E316" s="1">
        <v>0</v>
      </c>
      <c r="F316" s="1">
        <v>6007</v>
      </c>
      <c r="G316" s="1">
        <v>5000</v>
      </c>
      <c r="H316" s="1">
        <v>1</v>
      </c>
      <c r="I316" s="1">
        <v>1</v>
      </c>
    </row>
    <row r="317" spans="1:9" x14ac:dyDescent="0.2">
      <c r="A317" s="1" t="s">
        <v>22</v>
      </c>
      <c r="B317" s="1">
        <v>30005</v>
      </c>
      <c r="C317" s="1">
        <v>1</v>
      </c>
      <c r="E317" s="1">
        <v>0</v>
      </c>
      <c r="F317" s="1">
        <v>4</v>
      </c>
      <c r="G317" s="1">
        <v>5000</v>
      </c>
      <c r="H317" s="1">
        <v>1</v>
      </c>
      <c r="I317" s="1">
        <v>1</v>
      </c>
    </row>
    <row r="318" spans="1:9" x14ac:dyDescent="0.2">
      <c r="A318" s="1" t="s">
        <v>23</v>
      </c>
      <c r="B318" s="1">
        <v>30005</v>
      </c>
      <c r="C318" s="1">
        <v>1</v>
      </c>
      <c r="E318" s="1">
        <v>0</v>
      </c>
      <c r="F318" s="1">
        <v>1</v>
      </c>
      <c r="G318" s="1">
        <v>5000</v>
      </c>
      <c r="H318" s="1">
        <v>1</v>
      </c>
      <c r="I318" s="1">
        <v>1</v>
      </c>
    </row>
    <row r="319" spans="1:9" x14ac:dyDescent="0.2">
      <c r="A319" s="1" t="s">
        <v>22</v>
      </c>
      <c r="B319" s="1">
        <v>30005</v>
      </c>
      <c r="C319" s="1">
        <v>1</v>
      </c>
      <c r="E319" s="1">
        <v>0</v>
      </c>
      <c r="F319" s="1">
        <v>17</v>
      </c>
      <c r="G319" s="1">
        <v>5000</v>
      </c>
      <c r="H319" s="1">
        <v>1</v>
      </c>
      <c r="I319" s="1">
        <v>1</v>
      </c>
    </row>
    <row r="320" spans="1:9" x14ac:dyDescent="0.2">
      <c r="A320" s="6" t="s">
        <v>24</v>
      </c>
      <c r="B320" s="6">
        <v>40000</v>
      </c>
      <c r="C320" s="6">
        <v>1</v>
      </c>
      <c r="D320" s="6" t="s">
        <v>29</v>
      </c>
      <c r="E320" s="6">
        <v>0</v>
      </c>
      <c r="F320" s="7">
        <f>VLOOKUP(D320,Sheet1!$B$2:$C$35,2,FALSE)</f>
        <v>1100</v>
      </c>
      <c r="G320" s="6">
        <v>10000</v>
      </c>
      <c r="H320" s="6">
        <v>10</v>
      </c>
      <c r="I320" s="6">
        <v>30</v>
      </c>
    </row>
    <row r="321" spans="1:9" x14ac:dyDescent="0.2">
      <c r="A321" s="6" t="s">
        <v>24</v>
      </c>
      <c r="B321" s="6">
        <v>40000</v>
      </c>
      <c r="C321" s="6">
        <v>1</v>
      </c>
      <c r="D321" s="6" t="s">
        <v>30</v>
      </c>
      <c r="E321" s="6">
        <v>0</v>
      </c>
      <c r="F321" s="7">
        <f>VLOOKUP(D321,Sheet1!$B$2:$C$35,2,FALSE)</f>
        <v>1101</v>
      </c>
      <c r="G321" s="6">
        <v>9400</v>
      </c>
      <c r="H321" s="6">
        <v>10</v>
      </c>
      <c r="I321" s="6">
        <v>30</v>
      </c>
    </row>
    <row r="322" spans="1:9" x14ac:dyDescent="0.2">
      <c r="A322" s="6" t="s">
        <v>24</v>
      </c>
      <c r="B322" s="6">
        <v>40000</v>
      </c>
      <c r="C322" s="6">
        <v>1</v>
      </c>
      <c r="D322" s="6" t="s">
        <v>31</v>
      </c>
      <c r="E322" s="6">
        <v>0</v>
      </c>
      <c r="F322" s="7">
        <f>VLOOKUP(D322,Sheet1!$B$2:$C$35,2,FALSE)</f>
        <v>1103</v>
      </c>
      <c r="G322" s="6">
        <v>8800</v>
      </c>
      <c r="H322" s="6">
        <v>10</v>
      </c>
      <c r="I322" s="6">
        <v>30</v>
      </c>
    </row>
    <row r="323" spans="1:9" x14ac:dyDescent="0.2">
      <c r="A323" s="6" t="s">
        <v>24</v>
      </c>
      <c r="B323" s="6">
        <v>40000</v>
      </c>
      <c r="C323" s="6">
        <v>1</v>
      </c>
      <c r="D323" s="6" t="s">
        <v>63</v>
      </c>
      <c r="E323" s="6">
        <v>0</v>
      </c>
      <c r="F323" s="7">
        <f>VLOOKUP(D323,Sheet1!$B$2:$C$35,2,FALSE)</f>
        <v>1105</v>
      </c>
      <c r="G323" s="6">
        <v>8200</v>
      </c>
      <c r="H323" s="6">
        <v>10</v>
      </c>
      <c r="I323" s="6">
        <v>30</v>
      </c>
    </row>
    <row r="324" spans="1:9" x14ac:dyDescent="0.2">
      <c r="A324" s="6" t="s">
        <v>24</v>
      </c>
      <c r="B324" s="6">
        <v>40000</v>
      </c>
      <c r="C324" s="6">
        <v>1</v>
      </c>
      <c r="D324" s="6" t="s">
        <v>32</v>
      </c>
      <c r="E324" s="6">
        <v>0</v>
      </c>
      <c r="F324" s="7">
        <f>VLOOKUP(D324,Sheet1!$B$2:$C$35,2,FALSE)</f>
        <v>1106</v>
      </c>
      <c r="G324" s="6">
        <v>7600</v>
      </c>
      <c r="H324" s="6">
        <v>10</v>
      </c>
      <c r="I324" s="6">
        <v>30</v>
      </c>
    </row>
    <row r="325" spans="1:9" x14ac:dyDescent="0.2">
      <c r="A325" s="6" t="s">
        <v>24</v>
      </c>
      <c r="B325" s="6">
        <v>40000</v>
      </c>
      <c r="C325" s="6">
        <v>1</v>
      </c>
      <c r="D325" s="6" t="s">
        <v>33</v>
      </c>
      <c r="E325" s="6">
        <v>0</v>
      </c>
      <c r="F325" s="7">
        <f>VLOOKUP(D325,Sheet1!$B$2:$C$35,2,FALSE)</f>
        <v>1109</v>
      </c>
      <c r="G325" s="6">
        <v>7000</v>
      </c>
      <c r="H325" s="6">
        <v>10</v>
      </c>
      <c r="I325" s="6">
        <v>30</v>
      </c>
    </row>
    <row r="326" spans="1:9" x14ac:dyDescent="0.2">
      <c r="A326" s="6" t="s">
        <v>24</v>
      </c>
      <c r="B326" s="6">
        <v>40000</v>
      </c>
      <c r="C326" s="6">
        <v>1</v>
      </c>
      <c r="D326" s="6" t="s">
        <v>34</v>
      </c>
      <c r="E326" s="6">
        <v>0</v>
      </c>
      <c r="F326" s="7">
        <f>VLOOKUP(D326,Sheet1!$B$2:$C$35,2,FALSE)</f>
        <v>1110</v>
      </c>
      <c r="G326" s="6">
        <v>6400</v>
      </c>
      <c r="H326" s="6">
        <v>10</v>
      </c>
      <c r="I326" s="6">
        <v>30</v>
      </c>
    </row>
    <row r="327" spans="1:9" x14ac:dyDescent="0.2">
      <c r="A327" s="6" t="s">
        <v>24</v>
      </c>
      <c r="B327" s="6">
        <v>40000</v>
      </c>
      <c r="C327" s="6">
        <v>1</v>
      </c>
      <c r="D327" s="6" t="s">
        <v>35</v>
      </c>
      <c r="E327" s="6">
        <v>0</v>
      </c>
      <c r="F327" s="7">
        <f>VLOOKUP(D327,Sheet1!$B$2:$C$35,2,FALSE)</f>
        <v>1111</v>
      </c>
      <c r="G327" s="6">
        <v>5800</v>
      </c>
      <c r="H327" s="6">
        <v>10</v>
      </c>
      <c r="I327" s="6">
        <v>30</v>
      </c>
    </row>
    <row r="328" spans="1:9" x14ac:dyDescent="0.2">
      <c r="A328" s="6" t="s">
        <v>24</v>
      </c>
      <c r="B328" s="6">
        <v>40000</v>
      </c>
      <c r="C328" s="6">
        <v>1</v>
      </c>
      <c r="D328" s="6" t="s">
        <v>36</v>
      </c>
      <c r="E328" s="6">
        <v>0</v>
      </c>
      <c r="F328" s="7">
        <f>VLOOKUP(D328,Sheet1!$B$2:$C$35,2,FALSE)</f>
        <v>1112</v>
      </c>
      <c r="G328" s="6">
        <v>5200</v>
      </c>
      <c r="H328" s="6">
        <v>10</v>
      </c>
      <c r="I328" s="6">
        <v>30</v>
      </c>
    </row>
    <row r="329" spans="1:9" x14ac:dyDescent="0.2">
      <c r="A329" s="6" t="s">
        <v>24</v>
      </c>
      <c r="B329" s="6">
        <v>40000</v>
      </c>
      <c r="C329" s="6">
        <v>1</v>
      </c>
      <c r="D329" s="6" t="s">
        <v>37</v>
      </c>
      <c r="E329" s="6">
        <v>0</v>
      </c>
      <c r="F329" s="7">
        <f>VLOOKUP(D329,Sheet1!$B$2:$C$35,2,FALSE)</f>
        <v>1113</v>
      </c>
      <c r="G329" s="6">
        <v>4600</v>
      </c>
      <c r="H329" s="6">
        <v>10</v>
      </c>
      <c r="I329" s="6">
        <v>30</v>
      </c>
    </row>
    <row r="330" spans="1:9" x14ac:dyDescent="0.2">
      <c r="A330" s="6" t="s">
        <v>24</v>
      </c>
      <c r="B330" s="6">
        <v>40000</v>
      </c>
      <c r="C330" s="6">
        <v>1</v>
      </c>
      <c r="D330" s="6" t="s">
        <v>38</v>
      </c>
      <c r="E330" s="6">
        <v>0</v>
      </c>
      <c r="F330" s="7">
        <f>VLOOKUP(D330,Sheet1!$B$2:$C$35,2,FALSE)</f>
        <v>1114</v>
      </c>
      <c r="G330" s="6">
        <v>4000</v>
      </c>
      <c r="H330" s="6">
        <v>10</v>
      </c>
      <c r="I330" s="6">
        <v>30</v>
      </c>
    </row>
    <row r="331" spans="1:9" x14ac:dyDescent="0.2">
      <c r="A331" s="6" t="s">
        <v>24</v>
      </c>
      <c r="B331" s="6">
        <v>40000</v>
      </c>
      <c r="C331" s="6">
        <v>1</v>
      </c>
      <c r="D331" s="6" t="s">
        <v>39</v>
      </c>
      <c r="E331" s="6">
        <v>0</v>
      </c>
      <c r="F331" s="7">
        <f>VLOOKUP(D331,Sheet1!$B$2:$C$35,2,FALSE)</f>
        <v>1115</v>
      </c>
      <c r="G331" s="6">
        <v>3400</v>
      </c>
      <c r="H331" s="6">
        <v>10</v>
      </c>
      <c r="I331" s="6">
        <v>30</v>
      </c>
    </row>
    <row r="332" spans="1:9" x14ac:dyDescent="0.2">
      <c r="A332" s="6" t="s">
        <v>24</v>
      </c>
      <c r="B332" s="6">
        <v>40000</v>
      </c>
      <c r="C332" s="6">
        <v>1</v>
      </c>
      <c r="D332" s="6" t="s">
        <v>40</v>
      </c>
      <c r="E332" s="6">
        <v>0</v>
      </c>
      <c r="F332" s="7">
        <f>VLOOKUP(D332,Sheet1!$B$2:$C$35,2,FALSE)</f>
        <v>1116</v>
      </c>
      <c r="G332" s="6">
        <v>2800</v>
      </c>
      <c r="H332" s="6">
        <v>10</v>
      </c>
      <c r="I332" s="6">
        <v>30</v>
      </c>
    </row>
    <row r="333" spans="1:9" x14ac:dyDescent="0.2">
      <c r="A333" s="6" t="s">
        <v>24</v>
      </c>
      <c r="B333" s="6">
        <v>40000</v>
      </c>
      <c r="C333" s="6">
        <v>1</v>
      </c>
      <c r="D333" s="6" t="s">
        <v>41</v>
      </c>
      <c r="E333" s="6">
        <v>0</v>
      </c>
      <c r="F333" s="7">
        <f>VLOOKUP(D333,Sheet1!$B$2:$C$35,2,FALSE)</f>
        <v>1117</v>
      </c>
      <c r="G333" s="6">
        <v>2200</v>
      </c>
      <c r="H333" s="6">
        <v>10</v>
      </c>
      <c r="I333" s="6">
        <v>30</v>
      </c>
    </row>
    <row r="334" spans="1:9" x14ac:dyDescent="0.2">
      <c r="A334" s="8" t="s">
        <v>25</v>
      </c>
      <c r="B334" s="8">
        <v>40001</v>
      </c>
      <c r="C334" s="8">
        <v>1</v>
      </c>
      <c r="D334" s="8" t="s">
        <v>42</v>
      </c>
      <c r="E334" s="8">
        <v>0</v>
      </c>
      <c r="F334" s="9">
        <f>VLOOKUP(D334,Sheet1!$B$2:$C$35,2,FALSE)</f>
        <v>1009</v>
      </c>
      <c r="G334" s="8">
        <v>8800</v>
      </c>
      <c r="H334" s="8">
        <v>10</v>
      </c>
      <c r="I334" s="8">
        <v>30</v>
      </c>
    </row>
    <row r="335" spans="1:9" x14ac:dyDescent="0.2">
      <c r="A335" s="8" t="s">
        <v>25</v>
      </c>
      <c r="B335" s="8">
        <v>40001</v>
      </c>
      <c r="C335" s="8">
        <v>1</v>
      </c>
      <c r="D335" s="8" t="s">
        <v>43</v>
      </c>
      <c r="E335" s="8">
        <v>0</v>
      </c>
      <c r="F335" s="9">
        <f>VLOOKUP(D335,Sheet1!$B$2:$C$35,2,FALSE)</f>
        <v>1011</v>
      </c>
      <c r="G335" s="8">
        <v>7600</v>
      </c>
      <c r="H335" s="8">
        <v>10</v>
      </c>
      <c r="I335" s="8">
        <v>30</v>
      </c>
    </row>
    <row r="336" spans="1:9" x14ac:dyDescent="0.2">
      <c r="A336" s="8" t="s">
        <v>25</v>
      </c>
      <c r="B336" s="8">
        <v>40001</v>
      </c>
      <c r="C336" s="8">
        <v>1</v>
      </c>
      <c r="D336" s="8" t="s">
        <v>44</v>
      </c>
      <c r="E336" s="8">
        <v>0</v>
      </c>
      <c r="F336" s="9">
        <f>VLOOKUP(D336,Sheet1!$B$2:$C$35,2,FALSE)</f>
        <v>1014</v>
      </c>
      <c r="G336" s="8">
        <v>6400</v>
      </c>
      <c r="H336" s="8">
        <v>10</v>
      </c>
      <c r="I336" s="8">
        <v>30</v>
      </c>
    </row>
    <row r="337" spans="1:9" x14ac:dyDescent="0.2">
      <c r="A337" s="8" t="s">
        <v>25</v>
      </c>
      <c r="B337" s="8">
        <v>40001</v>
      </c>
      <c r="C337" s="8">
        <v>1</v>
      </c>
      <c r="D337" s="8" t="s">
        <v>45</v>
      </c>
      <c r="E337" s="8">
        <v>0</v>
      </c>
      <c r="F337" s="9">
        <f>VLOOKUP(D337,Sheet1!$B$2:$C$35,2,FALSE)</f>
        <v>1016</v>
      </c>
      <c r="G337" s="8">
        <v>5200</v>
      </c>
      <c r="H337" s="8">
        <v>10</v>
      </c>
      <c r="I337" s="8">
        <v>30</v>
      </c>
    </row>
    <row r="338" spans="1:9" x14ac:dyDescent="0.2">
      <c r="A338" s="8" t="s">
        <v>25</v>
      </c>
      <c r="B338" s="8">
        <v>40001</v>
      </c>
      <c r="C338" s="8">
        <v>1</v>
      </c>
      <c r="D338" s="8" t="s">
        <v>46</v>
      </c>
      <c r="E338" s="8">
        <v>0</v>
      </c>
      <c r="F338" s="9">
        <f>VLOOKUP(D338,Sheet1!$B$2:$C$35,2,FALSE)</f>
        <v>1017</v>
      </c>
      <c r="G338" s="8">
        <v>4000</v>
      </c>
      <c r="H338" s="8">
        <v>10</v>
      </c>
      <c r="I338" s="8">
        <v>30</v>
      </c>
    </row>
    <row r="339" spans="1:9" x14ac:dyDescent="0.2">
      <c r="A339" s="8" t="s">
        <v>25</v>
      </c>
      <c r="B339" s="8">
        <v>40001</v>
      </c>
      <c r="C339" s="8">
        <v>1</v>
      </c>
      <c r="D339" s="8" t="s">
        <v>47</v>
      </c>
      <c r="E339" s="8">
        <v>0</v>
      </c>
      <c r="F339" s="9">
        <f>VLOOKUP(D339,Sheet1!$B$2:$C$35,2,FALSE)</f>
        <v>1022</v>
      </c>
      <c r="G339" s="8">
        <v>2800</v>
      </c>
      <c r="H339" s="8">
        <v>10</v>
      </c>
      <c r="I339" s="8">
        <v>30</v>
      </c>
    </row>
    <row r="340" spans="1:9" x14ac:dyDescent="0.2">
      <c r="A340" s="8" t="s">
        <v>25</v>
      </c>
      <c r="B340" s="8">
        <v>40001</v>
      </c>
      <c r="C340" s="8">
        <v>1</v>
      </c>
      <c r="D340" s="8" t="s">
        <v>48</v>
      </c>
      <c r="E340" s="8">
        <v>0</v>
      </c>
      <c r="F340" s="9">
        <f>VLOOKUP(D340,Sheet1!$B$2:$C$35,2,FALSE)</f>
        <v>1024</v>
      </c>
      <c r="G340" s="8">
        <v>1600</v>
      </c>
      <c r="H340" s="8">
        <v>10</v>
      </c>
      <c r="I340" s="8">
        <v>30</v>
      </c>
    </row>
    <row r="341" spans="1:9" ht="15" x14ac:dyDescent="0.2">
      <c r="A341" s="4" t="s">
        <v>26</v>
      </c>
      <c r="B341" s="4">
        <v>40002</v>
      </c>
      <c r="C341" s="4">
        <v>1</v>
      </c>
      <c r="D341" s="10" t="s">
        <v>49</v>
      </c>
      <c r="E341" s="4">
        <v>0</v>
      </c>
      <c r="F341" s="5">
        <f>VLOOKUP(D341,Sheet1!$B$2:$C$35,2,FALSE)</f>
        <v>1000</v>
      </c>
      <c r="G341" s="4">
        <v>10000</v>
      </c>
      <c r="H341" s="4">
        <v>10</v>
      </c>
      <c r="I341" s="4">
        <v>30</v>
      </c>
    </row>
    <row r="342" spans="1:9" x14ac:dyDescent="0.2">
      <c r="A342" s="4" t="s">
        <v>26</v>
      </c>
      <c r="B342" s="4">
        <v>40002</v>
      </c>
      <c r="C342" s="4">
        <v>1</v>
      </c>
      <c r="D342" s="4" t="s">
        <v>51</v>
      </c>
      <c r="E342" s="4">
        <v>0</v>
      </c>
      <c r="F342" s="5">
        <f>VLOOKUP(D342,Sheet1!$B$2:$C$35,2,FALSE)</f>
        <v>1010</v>
      </c>
      <c r="G342" s="4">
        <v>7200</v>
      </c>
      <c r="H342" s="4">
        <v>10</v>
      </c>
      <c r="I342" s="4">
        <v>30</v>
      </c>
    </row>
    <row r="343" spans="1:9" x14ac:dyDescent="0.2">
      <c r="A343" s="4" t="s">
        <v>26</v>
      </c>
      <c r="B343" s="4">
        <v>40002</v>
      </c>
      <c r="C343" s="4">
        <v>1</v>
      </c>
      <c r="D343" s="4" t="s">
        <v>52</v>
      </c>
      <c r="E343" s="4">
        <v>0</v>
      </c>
      <c r="F343" s="5">
        <f>VLOOKUP(D343,Sheet1!$B$2:$C$35,2,FALSE)</f>
        <v>1013</v>
      </c>
      <c r="G343" s="4">
        <v>5800</v>
      </c>
      <c r="H343" s="4">
        <v>10</v>
      </c>
      <c r="I343" s="4">
        <v>30</v>
      </c>
    </row>
    <row r="344" spans="1:9" x14ac:dyDescent="0.2">
      <c r="A344" s="4" t="s">
        <v>26</v>
      </c>
      <c r="B344" s="4">
        <v>40002</v>
      </c>
      <c r="C344" s="4">
        <v>1</v>
      </c>
      <c r="D344" s="4" t="s">
        <v>53</v>
      </c>
      <c r="E344" s="4">
        <v>0</v>
      </c>
      <c r="F344" s="5">
        <f>VLOOKUP(D344,Sheet1!$B$2:$C$35,2,FALSE)</f>
        <v>1018</v>
      </c>
      <c r="G344" s="4">
        <v>4400</v>
      </c>
      <c r="H344" s="4">
        <v>10</v>
      </c>
      <c r="I344" s="4">
        <v>30</v>
      </c>
    </row>
    <row r="345" spans="1:9" x14ac:dyDescent="0.2">
      <c r="A345" s="4" t="s">
        <v>26</v>
      </c>
      <c r="B345" s="4">
        <v>40002</v>
      </c>
      <c r="C345" s="4">
        <v>1</v>
      </c>
      <c r="D345" s="4" t="s">
        <v>54</v>
      </c>
      <c r="E345" s="4">
        <v>0</v>
      </c>
      <c r="F345" s="5">
        <f>VLOOKUP(D345,Sheet1!$B$2:$C$35,2,FALSE)</f>
        <v>1020</v>
      </c>
      <c r="G345" s="4">
        <v>3000</v>
      </c>
      <c r="H345" s="4">
        <v>10</v>
      </c>
      <c r="I345" s="4">
        <v>30</v>
      </c>
    </row>
    <row r="346" spans="1:9" x14ac:dyDescent="0.2">
      <c r="A346" s="4" t="s">
        <v>26</v>
      </c>
      <c r="B346" s="4">
        <v>40002</v>
      </c>
      <c r="C346" s="4">
        <v>1</v>
      </c>
      <c r="D346" s="4" t="s">
        <v>55</v>
      </c>
      <c r="E346" s="4">
        <v>0</v>
      </c>
      <c r="F346" s="5">
        <f>VLOOKUP(D346,Sheet1!$B$2:$C$35,2,FALSE)</f>
        <v>1023</v>
      </c>
      <c r="G346" s="4">
        <v>1600</v>
      </c>
      <c r="H346" s="4">
        <v>10</v>
      </c>
      <c r="I346" s="4">
        <v>30</v>
      </c>
    </row>
    <row r="347" spans="1:9" x14ac:dyDescent="0.2">
      <c r="A347" s="8" t="s">
        <v>27</v>
      </c>
      <c r="B347" s="8">
        <v>40003</v>
      </c>
      <c r="C347" s="8">
        <v>1</v>
      </c>
      <c r="D347" s="8" t="s">
        <v>49</v>
      </c>
      <c r="E347" s="8">
        <v>0</v>
      </c>
      <c r="F347" s="9">
        <f>VLOOKUP(D347,Sheet1!$B$2:$C$35,2,FALSE)</f>
        <v>1000</v>
      </c>
      <c r="G347" s="8">
        <v>10000</v>
      </c>
      <c r="H347" s="8">
        <v>10</v>
      </c>
      <c r="I347" s="8">
        <v>30</v>
      </c>
    </row>
    <row r="348" spans="1:9" x14ac:dyDescent="0.2">
      <c r="A348" s="8" t="s">
        <v>27</v>
      </c>
      <c r="B348" s="8">
        <v>40003</v>
      </c>
      <c r="C348" s="8">
        <v>1</v>
      </c>
      <c r="D348" s="8" t="s">
        <v>42</v>
      </c>
      <c r="E348" s="8">
        <v>0</v>
      </c>
      <c r="F348" s="9">
        <f>VLOOKUP(D348,Sheet1!$B$2:$C$35,2,FALSE)</f>
        <v>1009</v>
      </c>
      <c r="G348" s="8">
        <v>8600</v>
      </c>
      <c r="H348" s="8">
        <v>10</v>
      </c>
      <c r="I348" s="8">
        <v>30</v>
      </c>
    </row>
    <row r="349" spans="1:9" x14ac:dyDescent="0.2">
      <c r="A349" s="8" t="s">
        <v>27</v>
      </c>
      <c r="B349" s="8">
        <v>40003</v>
      </c>
      <c r="C349" s="8">
        <v>1</v>
      </c>
      <c r="D349" s="8" t="s">
        <v>56</v>
      </c>
      <c r="E349" s="8">
        <v>0</v>
      </c>
      <c r="F349" s="9">
        <f>VLOOKUP(D349,Sheet1!$B$2:$C$35,2,FALSE)</f>
        <v>1006</v>
      </c>
      <c r="G349" s="8">
        <v>7200</v>
      </c>
      <c r="H349" s="8">
        <v>10</v>
      </c>
      <c r="I349" s="8">
        <v>30</v>
      </c>
    </row>
    <row r="350" spans="1:9" x14ac:dyDescent="0.2">
      <c r="A350" s="8" t="s">
        <v>27</v>
      </c>
      <c r="B350" s="8">
        <v>40003</v>
      </c>
      <c r="C350" s="8">
        <v>1</v>
      </c>
      <c r="D350" s="8" t="s">
        <v>57</v>
      </c>
      <c r="E350" s="8">
        <v>0</v>
      </c>
      <c r="F350" s="9">
        <f>VLOOKUP(D350,Sheet1!$B$2:$C$35,2,FALSE)</f>
        <v>1007</v>
      </c>
      <c r="G350" s="8">
        <v>5800</v>
      </c>
      <c r="H350" s="8">
        <v>10</v>
      </c>
      <c r="I350" s="8">
        <v>30</v>
      </c>
    </row>
    <row r="351" spans="1:9" x14ac:dyDescent="0.2">
      <c r="A351" s="8" t="s">
        <v>27</v>
      </c>
      <c r="B351" s="8">
        <v>40003</v>
      </c>
      <c r="C351" s="8">
        <v>1</v>
      </c>
      <c r="D351" s="8" t="s">
        <v>64</v>
      </c>
      <c r="E351" s="8">
        <v>0</v>
      </c>
      <c r="F351" s="9">
        <f>VLOOKUP(D351,Sheet1!$B$2:$C$35,2,FALSE)</f>
        <v>1014</v>
      </c>
      <c r="G351" s="8">
        <v>4400</v>
      </c>
      <c r="H351" s="8">
        <v>10</v>
      </c>
      <c r="I351" s="8">
        <v>30</v>
      </c>
    </row>
    <row r="352" spans="1:9" x14ac:dyDescent="0.2">
      <c r="A352" s="8" t="s">
        <v>27</v>
      </c>
      <c r="B352" s="8">
        <v>40003</v>
      </c>
      <c r="C352" s="8">
        <v>1</v>
      </c>
      <c r="D352" s="8" t="s">
        <v>65</v>
      </c>
      <c r="E352" s="8">
        <v>0</v>
      </c>
      <c r="F352" s="9">
        <f>VLOOKUP(D352,Sheet1!$B$2:$C$35,2,FALSE)</f>
        <v>1017</v>
      </c>
      <c r="G352" s="8">
        <v>3000</v>
      </c>
      <c r="H352" s="8">
        <v>10</v>
      </c>
      <c r="I352" s="8">
        <v>30</v>
      </c>
    </row>
    <row r="353" spans="1:9" x14ac:dyDescent="0.2">
      <c r="A353" s="8" t="s">
        <v>27</v>
      </c>
      <c r="B353" s="8">
        <v>40003</v>
      </c>
      <c r="C353" s="8">
        <v>1</v>
      </c>
      <c r="D353" s="8" t="s">
        <v>54</v>
      </c>
      <c r="E353" s="8">
        <v>0</v>
      </c>
      <c r="F353" s="9">
        <f>VLOOKUP(D353,Sheet1!$B$2:$C$35,2,FALSE)</f>
        <v>1020</v>
      </c>
      <c r="G353" s="8">
        <v>1600</v>
      </c>
      <c r="H353" s="8">
        <v>10</v>
      </c>
      <c r="I353" s="8">
        <v>30</v>
      </c>
    </row>
    <row r="354" spans="1:9" ht="15" x14ac:dyDescent="0.2">
      <c r="A354" s="1" t="s">
        <v>28</v>
      </c>
      <c r="B354" s="1">
        <v>40004</v>
      </c>
      <c r="C354" s="1">
        <v>1</v>
      </c>
      <c r="D354" s="3" t="s">
        <v>49</v>
      </c>
      <c r="E354" s="1">
        <v>0</v>
      </c>
      <c r="F354">
        <f>VLOOKUP(D354,Sheet1!$B$2:$C$35,2,FALSE)</f>
        <v>1000</v>
      </c>
      <c r="G354" s="1">
        <v>10000</v>
      </c>
      <c r="H354" s="1">
        <v>10</v>
      </c>
      <c r="I354" s="1">
        <v>30</v>
      </c>
    </row>
    <row r="355" spans="1:9" x14ac:dyDescent="0.2">
      <c r="A355" s="1" t="s">
        <v>28</v>
      </c>
      <c r="B355" s="1">
        <v>40004</v>
      </c>
      <c r="C355" s="1">
        <v>1</v>
      </c>
      <c r="D355" s="1" t="s">
        <v>58</v>
      </c>
      <c r="E355" s="1">
        <v>0</v>
      </c>
      <c r="F355">
        <f>VLOOKUP(D355,Sheet1!$B$2:$C$35,2,FALSE)</f>
        <v>1006</v>
      </c>
      <c r="G355" s="1">
        <v>7200</v>
      </c>
      <c r="H355" s="1">
        <v>10</v>
      </c>
      <c r="I355" s="1">
        <v>30</v>
      </c>
    </row>
    <row r="356" spans="1:9" x14ac:dyDescent="0.2">
      <c r="A356" s="1" t="s">
        <v>28</v>
      </c>
      <c r="B356" s="1">
        <v>40004</v>
      </c>
      <c r="C356" s="1">
        <v>1</v>
      </c>
      <c r="D356" s="1" t="s">
        <v>59</v>
      </c>
      <c r="E356" s="1">
        <v>0</v>
      </c>
      <c r="F356">
        <f>VLOOKUP(D356,Sheet1!$B$2:$C$35,2,FALSE)</f>
        <v>1007</v>
      </c>
      <c r="G356" s="1">
        <v>5800</v>
      </c>
      <c r="H356" s="1">
        <v>10</v>
      </c>
      <c r="I356" s="1">
        <v>30</v>
      </c>
    </row>
    <row r="357" spans="1:9" x14ac:dyDescent="0.2">
      <c r="A357" s="1" t="s">
        <v>28</v>
      </c>
      <c r="B357" s="1">
        <v>40004</v>
      </c>
      <c r="C357" s="1">
        <v>1</v>
      </c>
      <c r="D357" s="1" t="s">
        <v>66</v>
      </c>
      <c r="E357" s="1">
        <v>0</v>
      </c>
      <c r="F357">
        <f>VLOOKUP(D357,Sheet1!$B$2:$C$35,2,FALSE)</f>
        <v>1010</v>
      </c>
      <c r="G357" s="1">
        <v>4400</v>
      </c>
      <c r="H357" s="1">
        <v>10</v>
      </c>
      <c r="I357" s="1">
        <v>30</v>
      </c>
    </row>
    <row r="358" spans="1:9" x14ac:dyDescent="0.2">
      <c r="A358" s="1" t="s">
        <v>28</v>
      </c>
      <c r="B358" s="1">
        <v>40004</v>
      </c>
      <c r="C358" s="1">
        <v>1</v>
      </c>
      <c r="D358" s="1" t="s">
        <v>60</v>
      </c>
      <c r="E358" s="1">
        <v>0</v>
      </c>
      <c r="F358">
        <f>VLOOKUP(D358,Sheet1!$B$2:$C$35,2,FALSE)</f>
        <v>1015</v>
      </c>
      <c r="G358" s="1">
        <v>3000</v>
      </c>
      <c r="H358" s="1">
        <v>10</v>
      </c>
      <c r="I358" s="1">
        <v>30</v>
      </c>
    </row>
    <row r="359" spans="1:9" x14ac:dyDescent="0.2">
      <c r="A359" s="1" t="s">
        <v>28</v>
      </c>
      <c r="B359" s="1">
        <v>40004</v>
      </c>
      <c r="C359" s="1">
        <v>1</v>
      </c>
      <c r="D359" s="1" t="s">
        <v>61</v>
      </c>
      <c r="E359" s="1">
        <v>0</v>
      </c>
      <c r="F359">
        <f>VLOOKUP(D359,Sheet1!$B$2:$C$35,2,FALSE)</f>
        <v>1021</v>
      </c>
      <c r="G359" s="1">
        <v>1600</v>
      </c>
      <c r="H359" s="1">
        <v>10</v>
      </c>
      <c r="I359" s="1">
        <v>30</v>
      </c>
    </row>
    <row r="360" spans="1:9" x14ac:dyDescent="0.2">
      <c r="A360" s="1" t="s">
        <v>498</v>
      </c>
      <c r="B360" s="1">
        <v>20001</v>
      </c>
      <c r="C360" s="1">
        <v>1</v>
      </c>
      <c r="D360" t="s">
        <v>499</v>
      </c>
      <c r="E360" s="1">
        <v>0</v>
      </c>
      <c r="F360">
        <v>42</v>
      </c>
      <c r="G360" s="1">
        <v>1000</v>
      </c>
      <c r="H360" s="1">
        <v>1</v>
      </c>
      <c r="I360" s="1">
        <v>1</v>
      </c>
    </row>
    <row r="361" spans="1:9" x14ac:dyDescent="0.2">
      <c r="A361" s="1" t="s">
        <v>498</v>
      </c>
      <c r="B361" s="1">
        <v>20001</v>
      </c>
      <c r="C361" s="1">
        <v>1</v>
      </c>
      <c r="D361" t="s">
        <v>500</v>
      </c>
      <c r="E361" s="1">
        <v>0</v>
      </c>
      <c r="F361">
        <v>48</v>
      </c>
      <c r="G361" s="1">
        <v>1000</v>
      </c>
      <c r="H361" s="1">
        <v>1</v>
      </c>
      <c r="I361" s="1">
        <v>1</v>
      </c>
    </row>
    <row r="362" spans="1:9" x14ac:dyDescent="0.2">
      <c r="A362" s="1" t="s">
        <v>498</v>
      </c>
      <c r="B362" s="1">
        <v>20001</v>
      </c>
      <c r="C362" s="1">
        <v>1</v>
      </c>
      <c r="D362" t="s">
        <v>502</v>
      </c>
      <c r="E362" s="1">
        <v>0</v>
      </c>
      <c r="F362">
        <v>17</v>
      </c>
      <c r="G362" s="1">
        <v>1000</v>
      </c>
      <c r="H362" s="1">
        <v>1</v>
      </c>
      <c r="I362" s="1">
        <v>1</v>
      </c>
    </row>
    <row r="363" spans="1:9" x14ac:dyDescent="0.2">
      <c r="A363" s="1" t="s">
        <v>498</v>
      </c>
      <c r="B363" s="1">
        <v>20001</v>
      </c>
      <c r="C363" s="1">
        <v>1</v>
      </c>
      <c r="D363" t="s">
        <v>503</v>
      </c>
      <c r="E363" s="1">
        <v>0</v>
      </c>
      <c r="F363">
        <v>18</v>
      </c>
      <c r="G363" s="1">
        <v>1000</v>
      </c>
      <c r="H363" s="1">
        <v>1</v>
      </c>
      <c r="I363" s="1">
        <v>1</v>
      </c>
    </row>
    <row r="364" spans="1:9" x14ac:dyDescent="0.2">
      <c r="A364" s="1" t="s">
        <v>498</v>
      </c>
      <c r="B364" s="1">
        <v>20001</v>
      </c>
      <c r="C364" s="1">
        <v>1</v>
      </c>
      <c r="D364" s="1" t="s">
        <v>504</v>
      </c>
      <c r="E364" s="1">
        <v>0</v>
      </c>
      <c r="F364" s="1">
        <v>1</v>
      </c>
      <c r="G364" s="1">
        <v>1000</v>
      </c>
      <c r="H364" s="1">
        <v>1</v>
      </c>
      <c r="I364" s="1">
        <v>1</v>
      </c>
    </row>
    <row r="365" spans="1:9" x14ac:dyDescent="0.2">
      <c r="A365" s="1" t="s">
        <v>506</v>
      </c>
      <c r="B365" s="1">
        <v>20001</v>
      </c>
      <c r="C365" s="1">
        <v>1</v>
      </c>
      <c r="D365" s="1" t="s">
        <v>505</v>
      </c>
      <c r="E365" s="1">
        <v>0</v>
      </c>
      <c r="F365" s="1">
        <v>24</v>
      </c>
      <c r="G365" s="1">
        <v>1000</v>
      </c>
      <c r="H365" s="1">
        <v>1</v>
      </c>
      <c r="I365" s="1">
        <v>1</v>
      </c>
    </row>
    <row r="366" spans="1:9" x14ac:dyDescent="0.2">
      <c r="A366" s="1" t="s">
        <v>507</v>
      </c>
      <c r="B366" s="1">
        <v>20002</v>
      </c>
      <c r="C366" s="1">
        <v>1</v>
      </c>
      <c r="D366" t="s">
        <v>512</v>
      </c>
      <c r="E366" s="1">
        <v>0</v>
      </c>
      <c r="F366">
        <v>61</v>
      </c>
      <c r="G366" s="1">
        <v>1000</v>
      </c>
      <c r="H366" s="1">
        <v>1</v>
      </c>
      <c r="I366" s="1">
        <v>1</v>
      </c>
    </row>
    <row r="367" spans="1:9" x14ac:dyDescent="0.2">
      <c r="A367" s="1" t="s">
        <v>507</v>
      </c>
      <c r="B367" s="1">
        <v>20002</v>
      </c>
      <c r="C367" s="1">
        <v>1</v>
      </c>
      <c r="D367" t="s">
        <v>513</v>
      </c>
      <c r="E367" s="1">
        <v>0</v>
      </c>
      <c r="F367">
        <v>16</v>
      </c>
      <c r="G367" s="1">
        <v>1000</v>
      </c>
      <c r="H367" s="1">
        <v>1</v>
      </c>
      <c r="I367" s="1">
        <v>1</v>
      </c>
    </row>
    <row r="368" spans="1:9" x14ac:dyDescent="0.2">
      <c r="A368" s="1" t="s">
        <v>507</v>
      </c>
      <c r="B368" s="1">
        <v>20002</v>
      </c>
      <c r="C368" s="1">
        <v>1</v>
      </c>
      <c r="D368" t="s">
        <v>515</v>
      </c>
      <c r="E368" s="1">
        <v>0</v>
      </c>
      <c r="F368">
        <v>31</v>
      </c>
      <c r="G368" s="1">
        <v>1000</v>
      </c>
      <c r="H368" s="1">
        <v>1</v>
      </c>
      <c r="I368" s="1">
        <v>1</v>
      </c>
    </row>
    <row r="369" spans="1:9" x14ac:dyDescent="0.2">
      <c r="A369" s="1" t="s">
        <v>507</v>
      </c>
      <c r="B369" s="1">
        <v>20002</v>
      </c>
      <c r="C369" s="1">
        <v>1</v>
      </c>
      <c r="D369" t="s">
        <v>503</v>
      </c>
      <c r="E369" s="1">
        <v>0</v>
      </c>
      <c r="F369">
        <v>18</v>
      </c>
      <c r="G369" s="1">
        <v>1000</v>
      </c>
      <c r="H369" s="1">
        <v>1</v>
      </c>
      <c r="I369" s="1">
        <v>1</v>
      </c>
    </row>
    <row r="370" spans="1:9" x14ac:dyDescent="0.2">
      <c r="A370" s="1" t="s">
        <v>507</v>
      </c>
      <c r="B370" s="1">
        <v>20002</v>
      </c>
      <c r="C370" s="1">
        <v>1</v>
      </c>
      <c r="D370" s="1" t="s">
        <v>504</v>
      </c>
      <c r="E370" s="1">
        <v>0</v>
      </c>
      <c r="F370" s="1">
        <v>1</v>
      </c>
      <c r="G370" s="1">
        <v>1000</v>
      </c>
      <c r="H370" s="1">
        <v>1</v>
      </c>
      <c r="I370" s="1">
        <v>1</v>
      </c>
    </row>
    <row r="371" spans="1:9" x14ac:dyDescent="0.2">
      <c r="A371" s="1" t="s">
        <v>508</v>
      </c>
      <c r="B371" s="1">
        <v>20003</v>
      </c>
      <c r="C371" s="1">
        <v>1</v>
      </c>
      <c r="D371" t="s">
        <v>518</v>
      </c>
      <c r="E371" s="1">
        <v>0</v>
      </c>
      <c r="F371">
        <v>14</v>
      </c>
      <c r="G371" s="1">
        <v>1000</v>
      </c>
      <c r="H371" s="1">
        <v>1</v>
      </c>
      <c r="I371" s="1">
        <v>1</v>
      </c>
    </row>
    <row r="372" spans="1:9" x14ac:dyDescent="0.2">
      <c r="A372" s="1" t="s">
        <v>508</v>
      </c>
      <c r="B372" s="1">
        <v>20003</v>
      </c>
      <c r="C372" s="1">
        <v>1</v>
      </c>
      <c r="D372" t="s">
        <v>519</v>
      </c>
      <c r="E372" s="1">
        <v>0</v>
      </c>
      <c r="F372">
        <v>16</v>
      </c>
      <c r="G372" s="1">
        <v>1000</v>
      </c>
      <c r="H372" s="1">
        <v>1</v>
      </c>
      <c r="I372" s="1">
        <v>1</v>
      </c>
    </row>
    <row r="373" spans="1:9" x14ac:dyDescent="0.2">
      <c r="A373" s="1" t="s">
        <v>508</v>
      </c>
      <c r="B373" s="1">
        <v>20003</v>
      </c>
      <c r="C373" s="1">
        <v>1</v>
      </c>
      <c r="D373" t="s">
        <v>520</v>
      </c>
      <c r="E373" s="1">
        <v>0</v>
      </c>
      <c r="F373">
        <v>17</v>
      </c>
      <c r="G373" s="1">
        <v>1000</v>
      </c>
      <c r="H373" s="1">
        <v>1</v>
      </c>
      <c r="I373" s="1">
        <v>1</v>
      </c>
    </row>
    <row r="374" spans="1:9" x14ac:dyDescent="0.2">
      <c r="A374" s="1" t="s">
        <v>508</v>
      </c>
      <c r="B374" s="1">
        <v>20003</v>
      </c>
      <c r="C374" s="1">
        <v>1</v>
      </c>
      <c r="D374" t="s">
        <v>521</v>
      </c>
      <c r="E374" s="1">
        <v>0</v>
      </c>
      <c r="F374">
        <v>18</v>
      </c>
      <c r="G374" s="1">
        <v>1000</v>
      </c>
      <c r="H374" s="1">
        <v>1</v>
      </c>
      <c r="I374" s="1">
        <v>1</v>
      </c>
    </row>
    <row r="375" spans="1:9" x14ac:dyDescent="0.2">
      <c r="A375" s="1" t="s">
        <v>508</v>
      </c>
      <c r="B375" s="1">
        <v>20003</v>
      </c>
      <c r="C375" s="1">
        <v>1</v>
      </c>
      <c r="D375" t="s">
        <v>523</v>
      </c>
      <c r="E375" s="1">
        <v>0</v>
      </c>
      <c r="F375">
        <v>25</v>
      </c>
      <c r="G375" s="1">
        <v>1000</v>
      </c>
      <c r="H375" s="1">
        <v>1</v>
      </c>
      <c r="I375" s="1">
        <v>1</v>
      </c>
    </row>
    <row r="376" spans="1:9" x14ac:dyDescent="0.2">
      <c r="A376" s="1" t="s">
        <v>509</v>
      </c>
      <c r="B376" s="1">
        <v>20004</v>
      </c>
      <c r="C376" s="1">
        <v>1</v>
      </c>
      <c r="D376" t="s">
        <v>524</v>
      </c>
      <c r="E376" s="1">
        <v>0</v>
      </c>
      <c r="F376">
        <v>12</v>
      </c>
      <c r="G376" s="1">
        <v>1000</v>
      </c>
      <c r="H376" s="1">
        <v>1</v>
      </c>
      <c r="I376" s="1">
        <v>1</v>
      </c>
    </row>
    <row r="377" spans="1:9" x14ac:dyDescent="0.2">
      <c r="A377" s="1" t="s">
        <v>509</v>
      </c>
      <c r="B377" s="1">
        <v>20004</v>
      </c>
      <c r="C377" s="1">
        <v>1</v>
      </c>
      <c r="D377" t="s">
        <v>516</v>
      </c>
      <c r="E377" s="1">
        <v>0</v>
      </c>
      <c r="F377">
        <v>13</v>
      </c>
      <c r="G377" s="1">
        <v>1000</v>
      </c>
      <c r="H377" s="1">
        <v>1</v>
      </c>
      <c r="I377" s="1">
        <v>1</v>
      </c>
    </row>
    <row r="378" spans="1:9" x14ac:dyDescent="0.2">
      <c r="A378" s="1" t="s">
        <v>509</v>
      </c>
      <c r="B378" s="1">
        <v>20004</v>
      </c>
      <c r="C378" s="1">
        <v>1</v>
      </c>
      <c r="D378" t="s">
        <v>525</v>
      </c>
      <c r="E378" s="1">
        <v>0</v>
      </c>
      <c r="F378">
        <v>8</v>
      </c>
      <c r="G378" s="1">
        <v>1000</v>
      </c>
      <c r="H378" s="1">
        <v>1</v>
      </c>
      <c r="I378" s="1">
        <v>1</v>
      </c>
    </row>
    <row r="379" spans="1:9" x14ac:dyDescent="0.2">
      <c r="A379" s="1" t="s">
        <v>509</v>
      </c>
      <c r="B379" s="1">
        <v>20004</v>
      </c>
      <c r="C379" s="1">
        <v>1</v>
      </c>
      <c r="D379" t="s">
        <v>526</v>
      </c>
      <c r="E379" s="1">
        <v>0</v>
      </c>
      <c r="F379">
        <v>76</v>
      </c>
      <c r="G379" s="1">
        <v>1000</v>
      </c>
      <c r="H379" s="1">
        <v>1</v>
      </c>
      <c r="I379" s="1">
        <v>1</v>
      </c>
    </row>
    <row r="380" spans="1:9" x14ac:dyDescent="0.2">
      <c r="A380" s="1" t="s">
        <v>509</v>
      </c>
      <c r="B380" s="1">
        <v>20004</v>
      </c>
      <c r="C380" s="1">
        <v>1</v>
      </c>
      <c r="D380" t="s">
        <v>512</v>
      </c>
      <c r="E380" s="1">
        <v>0</v>
      </c>
      <c r="F380">
        <v>61</v>
      </c>
      <c r="G380" s="1">
        <v>1000</v>
      </c>
      <c r="H380" s="1">
        <v>1</v>
      </c>
      <c r="I380" s="1">
        <v>1</v>
      </c>
    </row>
    <row r="381" spans="1:9" x14ac:dyDescent="0.2">
      <c r="A381" s="1" t="s">
        <v>510</v>
      </c>
      <c r="B381" s="1">
        <v>20005</v>
      </c>
      <c r="C381" s="1">
        <v>1</v>
      </c>
      <c r="D381" t="s">
        <v>517</v>
      </c>
      <c r="E381" s="1">
        <v>0</v>
      </c>
      <c r="F381">
        <v>14</v>
      </c>
      <c r="G381" s="1">
        <v>1000</v>
      </c>
      <c r="H381" s="1">
        <v>1</v>
      </c>
      <c r="I381" s="1">
        <v>1</v>
      </c>
    </row>
    <row r="382" spans="1:9" x14ac:dyDescent="0.2">
      <c r="A382" s="1" t="s">
        <v>510</v>
      </c>
      <c r="B382" s="1">
        <v>20005</v>
      </c>
      <c r="C382" s="1">
        <v>1</v>
      </c>
      <c r="D382" t="s">
        <v>522</v>
      </c>
      <c r="E382" s="1">
        <v>0</v>
      </c>
      <c r="F382">
        <v>19</v>
      </c>
      <c r="G382" s="1">
        <v>1000</v>
      </c>
      <c r="H382" s="1">
        <v>1</v>
      </c>
      <c r="I382" s="1">
        <v>1</v>
      </c>
    </row>
    <row r="383" spans="1:9" x14ac:dyDescent="0.2">
      <c r="A383" s="1" t="s">
        <v>510</v>
      </c>
      <c r="B383" s="1">
        <v>20005</v>
      </c>
      <c r="C383" s="1">
        <v>1</v>
      </c>
      <c r="D383" t="s">
        <v>516</v>
      </c>
      <c r="E383" s="1">
        <v>0</v>
      </c>
      <c r="F383">
        <v>13</v>
      </c>
      <c r="G383" s="1">
        <v>1000</v>
      </c>
      <c r="H383" s="1">
        <v>1</v>
      </c>
      <c r="I383" s="1">
        <v>1</v>
      </c>
    </row>
    <row r="384" spans="1:9" x14ac:dyDescent="0.2">
      <c r="A384" s="1" t="s">
        <v>510</v>
      </c>
      <c r="B384" s="1">
        <v>20005</v>
      </c>
      <c r="C384" s="1">
        <v>1</v>
      </c>
      <c r="D384" t="s">
        <v>514</v>
      </c>
      <c r="E384" s="1">
        <v>0</v>
      </c>
      <c r="F384">
        <v>10</v>
      </c>
      <c r="G384" s="1">
        <v>1000</v>
      </c>
      <c r="H384" s="1">
        <v>1</v>
      </c>
      <c r="I384" s="1">
        <v>1</v>
      </c>
    </row>
    <row r="385" spans="1:9" x14ac:dyDescent="0.2">
      <c r="A385" s="1" t="s">
        <v>511</v>
      </c>
      <c r="B385" s="1">
        <v>20006</v>
      </c>
      <c r="C385" s="1">
        <v>1</v>
      </c>
      <c r="D385" t="s">
        <v>501</v>
      </c>
      <c r="E385" s="1">
        <v>0</v>
      </c>
      <c r="F385">
        <v>17</v>
      </c>
      <c r="G385" s="1">
        <v>1000</v>
      </c>
      <c r="H385" s="1">
        <v>1</v>
      </c>
      <c r="I385" s="1">
        <v>1</v>
      </c>
    </row>
    <row r="386" spans="1:9" x14ac:dyDescent="0.2">
      <c r="A386" s="1" t="s">
        <v>511</v>
      </c>
      <c r="B386" s="1">
        <v>20006</v>
      </c>
      <c r="C386" s="1">
        <v>1</v>
      </c>
      <c r="D386" t="s">
        <v>527</v>
      </c>
      <c r="E386" s="1">
        <v>0</v>
      </c>
      <c r="F386">
        <v>4</v>
      </c>
      <c r="G386" s="1">
        <v>1000</v>
      </c>
      <c r="H386" s="1">
        <v>1</v>
      </c>
      <c r="I386" s="1">
        <v>1</v>
      </c>
    </row>
    <row r="387" spans="1:9" x14ac:dyDescent="0.2">
      <c r="A387" s="1" t="s">
        <v>511</v>
      </c>
      <c r="B387" s="1">
        <v>20006</v>
      </c>
      <c r="C387" s="1">
        <v>1</v>
      </c>
      <c r="D387" t="s">
        <v>528</v>
      </c>
      <c r="E387" s="1">
        <v>0</v>
      </c>
      <c r="F387">
        <v>3</v>
      </c>
      <c r="G387" s="1">
        <v>1000</v>
      </c>
      <c r="H387" s="1">
        <v>1</v>
      </c>
      <c r="I387" s="1">
        <v>1</v>
      </c>
    </row>
    <row r="388" spans="1:9" x14ac:dyDescent="0.2">
      <c r="A388" s="1" t="s">
        <v>511</v>
      </c>
      <c r="B388" s="1">
        <v>20006</v>
      </c>
      <c r="C388" s="1">
        <v>1</v>
      </c>
      <c r="D388" t="s">
        <v>529</v>
      </c>
      <c r="E388" s="1">
        <v>0</v>
      </c>
      <c r="F388">
        <v>15</v>
      </c>
      <c r="G388" s="1">
        <v>1000</v>
      </c>
      <c r="H388" s="1">
        <v>1</v>
      </c>
      <c r="I388" s="1">
        <v>1</v>
      </c>
    </row>
    <row r="389" spans="1:9" x14ac:dyDescent="0.2">
      <c r="A389" s="1" t="s">
        <v>511</v>
      </c>
      <c r="B389" s="1">
        <v>20006</v>
      </c>
      <c r="C389" s="1">
        <v>1</v>
      </c>
      <c r="D389" t="s">
        <v>530</v>
      </c>
      <c r="E389" s="1">
        <v>0</v>
      </c>
      <c r="F389">
        <v>49</v>
      </c>
      <c r="G389" s="1">
        <v>1000</v>
      </c>
      <c r="H389" s="1">
        <v>1</v>
      </c>
      <c r="I389" s="1">
        <v>1</v>
      </c>
    </row>
  </sheetData>
  <autoFilter ref="A3:I3">
    <sortState ref="A4:J359">
      <sortCondition ref="B3"/>
    </sortState>
  </autoFilter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193"/>
  <sheetViews>
    <sheetView topLeftCell="A34" workbookViewId="0">
      <selection activeCell="L116" sqref="L116:L193"/>
    </sheetView>
  </sheetViews>
  <sheetFormatPr defaultRowHeight="14.25" x14ac:dyDescent="0.2"/>
  <sheetData>
    <row r="2" spans="2:4" x14ac:dyDescent="0.2">
      <c r="B2" t="s">
        <v>3</v>
      </c>
      <c r="C2" t="s">
        <v>67</v>
      </c>
      <c r="D2" t="s">
        <v>67</v>
      </c>
    </row>
    <row r="3" spans="2:4" x14ac:dyDescent="0.2">
      <c r="B3" t="s">
        <v>68</v>
      </c>
      <c r="C3" t="s">
        <v>1</v>
      </c>
      <c r="D3" t="s">
        <v>14</v>
      </c>
    </row>
    <row r="4" spans="2:4" x14ac:dyDescent="0.2">
      <c r="B4" t="s">
        <v>49</v>
      </c>
      <c r="C4">
        <v>1000</v>
      </c>
      <c r="D4">
        <v>4000</v>
      </c>
    </row>
    <row r="5" spans="2:4" x14ac:dyDescent="0.2">
      <c r="B5" t="s">
        <v>56</v>
      </c>
      <c r="C5">
        <v>1006</v>
      </c>
      <c r="D5">
        <v>4006</v>
      </c>
    </row>
    <row r="6" spans="2:4" x14ac:dyDescent="0.2">
      <c r="B6" t="s">
        <v>57</v>
      </c>
      <c r="C6">
        <v>1007</v>
      </c>
      <c r="D6">
        <v>4007</v>
      </c>
    </row>
    <row r="7" spans="2:4" x14ac:dyDescent="0.2">
      <c r="B7" t="s">
        <v>50</v>
      </c>
      <c r="C7">
        <v>1008</v>
      </c>
      <c r="D7">
        <v>4008</v>
      </c>
    </row>
    <row r="8" spans="2:4" x14ac:dyDescent="0.2">
      <c r="B8" t="s">
        <v>69</v>
      </c>
      <c r="C8">
        <v>1009</v>
      </c>
      <c r="D8">
        <v>4009</v>
      </c>
    </row>
    <row r="9" spans="2:4" x14ac:dyDescent="0.2">
      <c r="B9" t="s">
        <v>51</v>
      </c>
      <c r="C9">
        <v>1010</v>
      </c>
      <c r="D9">
        <v>4010</v>
      </c>
    </row>
    <row r="10" spans="2:4" x14ac:dyDescent="0.2">
      <c r="B10" t="s">
        <v>70</v>
      </c>
      <c r="C10">
        <v>1011</v>
      </c>
      <c r="D10">
        <v>4011</v>
      </c>
    </row>
    <row r="11" spans="2:4" x14ac:dyDescent="0.2">
      <c r="B11" t="s">
        <v>71</v>
      </c>
      <c r="C11">
        <v>1013</v>
      </c>
      <c r="D11">
        <v>4013</v>
      </c>
    </row>
    <row r="12" spans="2:4" x14ac:dyDescent="0.2">
      <c r="B12" t="s">
        <v>64</v>
      </c>
      <c r="C12">
        <v>1014</v>
      </c>
      <c r="D12">
        <v>4014</v>
      </c>
    </row>
    <row r="13" spans="2:4" x14ac:dyDescent="0.2">
      <c r="B13" t="s">
        <v>72</v>
      </c>
      <c r="C13">
        <v>1015</v>
      </c>
      <c r="D13">
        <v>4015</v>
      </c>
    </row>
    <row r="14" spans="2:4" x14ac:dyDescent="0.2">
      <c r="B14" t="s">
        <v>73</v>
      </c>
      <c r="C14">
        <v>1016</v>
      </c>
      <c r="D14">
        <v>4016</v>
      </c>
    </row>
    <row r="15" spans="2:4" x14ac:dyDescent="0.2">
      <c r="B15" t="s">
        <v>65</v>
      </c>
      <c r="C15">
        <v>1017</v>
      </c>
      <c r="D15">
        <v>4017</v>
      </c>
    </row>
    <row r="16" spans="2:4" x14ac:dyDescent="0.2">
      <c r="B16" t="s">
        <v>74</v>
      </c>
      <c r="C16">
        <v>1018</v>
      </c>
      <c r="D16">
        <v>4018</v>
      </c>
    </row>
    <row r="17" spans="2:4" x14ac:dyDescent="0.2">
      <c r="B17" t="s">
        <v>54</v>
      </c>
      <c r="C17">
        <v>1020</v>
      </c>
      <c r="D17">
        <v>4020</v>
      </c>
    </row>
    <row r="18" spans="2:4" x14ac:dyDescent="0.2">
      <c r="B18" t="s">
        <v>75</v>
      </c>
      <c r="C18">
        <v>1021</v>
      </c>
      <c r="D18">
        <v>4021</v>
      </c>
    </row>
    <row r="19" spans="2:4" x14ac:dyDescent="0.2">
      <c r="B19" t="s">
        <v>76</v>
      </c>
      <c r="C19">
        <v>1022</v>
      </c>
      <c r="D19">
        <v>4022</v>
      </c>
    </row>
    <row r="20" spans="2:4" x14ac:dyDescent="0.2">
      <c r="B20" t="s">
        <v>77</v>
      </c>
      <c r="C20">
        <v>1023</v>
      </c>
      <c r="D20">
        <v>4023</v>
      </c>
    </row>
    <row r="21" spans="2:4" x14ac:dyDescent="0.2">
      <c r="B21" t="s">
        <v>78</v>
      </c>
      <c r="C21">
        <v>1024</v>
      </c>
      <c r="D21">
        <v>4024</v>
      </c>
    </row>
    <row r="22" spans="2:4" x14ac:dyDescent="0.2">
      <c r="B22" t="s">
        <v>29</v>
      </c>
      <c r="C22">
        <v>1100</v>
      </c>
      <c r="D22">
        <v>4100</v>
      </c>
    </row>
    <row r="23" spans="2:4" x14ac:dyDescent="0.2">
      <c r="B23" t="s">
        <v>30</v>
      </c>
      <c r="C23">
        <v>1101</v>
      </c>
      <c r="D23">
        <v>4101</v>
      </c>
    </row>
    <row r="24" spans="2:4" x14ac:dyDescent="0.2">
      <c r="B24" t="s">
        <v>31</v>
      </c>
      <c r="C24">
        <v>1103</v>
      </c>
      <c r="D24">
        <v>4103</v>
      </c>
    </row>
    <row r="25" spans="2:4" x14ac:dyDescent="0.2">
      <c r="B25" t="s">
        <v>62</v>
      </c>
      <c r="C25">
        <v>1105</v>
      </c>
      <c r="D25">
        <v>4105</v>
      </c>
    </row>
    <row r="26" spans="2:4" x14ac:dyDescent="0.2">
      <c r="B26" t="s">
        <v>32</v>
      </c>
      <c r="C26">
        <v>1106</v>
      </c>
      <c r="D26">
        <v>4106</v>
      </c>
    </row>
    <row r="27" spans="2:4" x14ac:dyDescent="0.2">
      <c r="B27" t="s">
        <v>33</v>
      </c>
      <c r="C27">
        <v>1109</v>
      </c>
      <c r="D27">
        <v>4109</v>
      </c>
    </row>
    <row r="28" spans="2:4" x14ac:dyDescent="0.2">
      <c r="B28" t="s">
        <v>79</v>
      </c>
      <c r="C28">
        <v>1110</v>
      </c>
      <c r="D28">
        <v>4110</v>
      </c>
    </row>
    <row r="29" spans="2:4" x14ac:dyDescent="0.2">
      <c r="B29" t="s">
        <v>35</v>
      </c>
      <c r="C29">
        <v>1111</v>
      </c>
      <c r="D29">
        <v>4111</v>
      </c>
    </row>
    <row r="30" spans="2:4" x14ac:dyDescent="0.2">
      <c r="B30" t="s">
        <v>36</v>
      </c>
      <c r="C30">
        <v>1112</v>
      </c>
      <c r="D30">
        <v>4112</v>
      </c>
    </row>
    <row r="31" spans="2:4" x14ac:dyDescent="0.2">
      <c r="B31" t="s">
        <v>37</v>
      </c>
      <c r="C31">
        <v>1113</v>
      </c>
      <c r="D31">
        <v>4113</v>
      </c>
    </row>
    <row r="32" spans="2:4" x14ac:dyDescent="0.2">
      <c r="B32" t="s">
        <v>38</v>
      </c>
      <c r="C32">
        <v>1114</v>
      </c>
      <c r="D32">
        <v>4114</v>
      </c>
    </row>
    <row r="33" spans="2:12" ht="28.5" x14ac:dyDescent="0.2">
      <c r="B33" t="s">
        <v>39</v>
      </c>
      <c r="C33">
        <v>1115</v>
      </c>
      <c r="D33">
        <v>4115</v>
      </c>
      <c r="I33" s="1" t="s">
        <v>81</v>
      </c>
      <c r="L33" t="str">
        <f>I33&amp;J33</f>
        <v>春之山脉0</v>
      </c>
    </row>
    <row r="34" spans="2:12" ht="28.5" x14ac:dyDescent="0.2">
      <c r="B34" t="s">
        <v>40</v>
      </c>
      <c r="C34">
        <v>1116</v>
      </c>
      <c r="D34">
        <v>4116</v>
      </c>
      <c r="I34" s="1"/>
      <c r="J34" s="1" t="s">
        <v>81</v>
      </c>
      <c r="L34" t="str">
        <f t="shared" ref="L34:L97" si="0">I34&amp;J34</f>
        <v>春之山脉0</v>
      </c>
    </row>
    <row r="35" spans="2:12" ht="28.5" x14ac:dyDescent="0.2">
      <c r="B35" t="s">
        <v>41</v>
      </c>
      <c r="C35">
        <v>1117</v>
      </c>
      <c r="D35">
        <v>4117</v>
      </c>
      <c r="I35" s="1" t="s">
        <v>82</v>
      </c>
      <c r="J35" s="1"/>
      <c r="L35" t="str">
        <f t="shared" si="0"/>
        <v>春之山脉1</v>
      </c>
    </row>
    <row r="36" spans="2:12" ht="28.5" x14ac:dyDescent="0.2">
      <c r="I36" s="1"/>
      <c r="J36" s="1" t="s">
        <v>82</v>
      </c>
      <c r="L36" t="str">
        <f t="shared" si="0"/>
        <v>春之山脉1</v>
      </c>
    </row>
    <row r="37" spans="2:12" ht="28.5" x14ac:dyDescent="0.2">
      <c r="I37" s="1" t="s">
        <v>83</v>
      </c>
      <c r="J37" s="1"/>
      <c r="L37" t="str">
        <f t="shared" si="0"/>
        <v>春之山脉2</v>
      </c>
    </row>
    <row r="38" spans="2:12" ht="28.5" x14ac:dyDescent="0.2">
      <c r="I38" s="1"/>
      <c r="J38" s="1" t="s">
        <v>83</v>
      </c>
      <c r="L38" t="str">
        <f t="shared" si="0"/>
        <v>春之山脉2</v>
      </c>
    </row>
    <row r="39" spans="2:12" ht="28.5" x14ac:dyDescent="0.2">
      <c r="I39" s="1" t="s">
        <v>84</v>
      </c>
      <c r="J39" s="1"/>
      <c r="L39" t="str">
        <f t="shared" si="0"/>
        <v>春之山脉3</v>
      </c>
    </row>
    <row r="40" spans="2:12" ht="28.5" x14ac:dyDescent="0.2">
      <c r="I40" s="1"/>
      <c r="J40" s="1" t="s">
        <v>84</v>
      </c>
      <c r="L40" t="str">
        <f t="shared" si="0"/>
        <v>春之山脉3</v>
      </c>
    </row>
    <row r="41" spans="2:12" ht="28.5" x14ac:dyDescent="0.2">
      <c r="I41" s="1" t="s">
        <v>85</v>
      </c>
      <c r="J41" s="1"/>
      <c r="L41" t="str">
        <f t="shared" si="0"/>
        <v>春之山脉4</v>
      </c>
    </row>
    <row r="42" spans="2:12" ht="28.5" x14ac:dyDescent="0.2">
      <c r="I42" s="1"/>
      <c r="J42" s="1" t="s">
        <v>85</v>
      </c>
      <c r="L42" t="str">
        <f t="shared" si="0"/>
        <v>春之山脉4</v>
      </c>
    </row>
    <row r="43" spans="2:12" ht="28.5" x14ac:dyDescent="0.2">
      <c r="I43" s="1" t="s">
        <v>86</v>
      </c>
      <c r="J43" s="1"/>
      <c r="L43" t="str">
        <f t="shared" si="0"/>
        <v>瀑布洞穴0</v>
      </c>
    </row>
    <row r="44" spans="2:12" ht="28.5" x14ac:dyDescent="0.2">
      <c r="I44" s="1"/>
      <c r="J44" s="1" t="s">
        <v>86</v>
      </c>
      <c r="L44" t="str">
        <f t="shared" si="0"/>
        <v>瀑布洞穴0</v>
      </c>
    </row>
    <row r="45" spans="2:12" ht="28.5" x14ac:dyDescent="0.2">
      <c r="I45" s="1" t="s">
        <v>87</v>
      </c>
      <c r="J45" s="1"/>
      <c r="L45" t="str">
        <f t="shared" si="0"/>
        <v>瀑布洞穴1</v>
      </c>
    </row>
    <row r="46" spans="2:12" ht="28.5" x14ac:dyDescent="0.2">
      <c r="I46" s="1"/>
      <c r="J46" s="1" t="s">
        <v>87</v>
      </c>
      <c r="L46" t="str">
        <f t="shared" si="0"/>
        <v>瀑布洞穴1</v>
      </c>
    </row>
    <row r="47" spans="2:12" ht="28.5" x14ac:dyDescent="0.2">
      <c r="I47" s="1" t="s">
        <v>88</v>
      </c>
      <c r="J47" s="1"/>
      <c r="L47" t="str">
        <f t="shared" si="0"/>
        <v>瀑布洞穴2</v>
      </c>
    </row>
    <row r="48" spans="2:12" ht="28.5" x14ac:dyDescent="0.2">
      <c r="I48" s="1"/>
      <c r="J48" s="1" t="s">
        <v>88</v>
      </c>
      <c r="L48" t="str">
        <f t="shared" si="0"/>
        <v>瀑布洞穴2</v>
      </c>
    </row>
    <row r="49" spans="9:12" ht="28.5" x14ac:dyDescent="0.2">
      <c r="I49" s="1" t="s">
        <v>89</v>
      </c>
      <c r="J49" s="1"/>
      <c r="L49" t="str">
        <f t="shared" si="0"/>
        <v>瀑布洞穴3</v>
      </c>
    </row>
    <row r="50" spans="9:12" ht="28.5" x14ac:dyDescent="0.2">
      <c r="I50" s="1"/>
      <c r="J50" s="1" t="s">
        <v>89</v>
      </c>
      <c r="L50" t="str">
        <f t="shared" si="0"/>
        <v>瀑布洞穴3</v>
      </c>
    </row>
    <row r="51" spans="9:12" ht="28.5" x14ac:dyDescent="0.2">
      <c r="I51" s="1" t="s">
        <v>90</v>
      </c>
      <c r="J51" s="1"/>
      <c r="L51" t="str">
        <f t="shared" si="0"/>
        <v>瀑布洞穴4</v>
      </c>
    </row>
    <row r="52" spans="9:12" ht="28.5" x14ac:dyDescent="0.2">
      <c r="I52" s="1"/>
      <c r="J52" s="1" t="s">
        <v>90</v>
      </c>
      <c r="L52" t="str">
        <f t="shared" si="0"/>
        <v>瀑布洞穴4</v>
      </c>
    </row>
    <row r="53" spans="9:12" ht="28.5" x14ac:dyDescent="0.2">
      <c r="I53" s="1" t="s">
        <v>91</v>
      </c>
      <c r="J53" s="1"/>
      <c r="L53" t="str">
        <f t="shared" si="0"/>
        <v>夏之丛林0</v>
      </c>
    </row>
    <row r="54" spans="9:12" ht="28.5" x14ac:dyDescent="0.2">
      <c r="I54" s="1"/>
      <c r="J54" s="1" t="s">
        <v>91</v>
      </c>
      <c r="L54" t="str">
        <f t="shared" si="0"/>
        <v>夏之丛林0</v>
      </c>
    </row>
    <row r="55" spans="9:12" ht="28.5" x14ac:dyDescent="0.2">
      <c r="I55" s="1" t="s">
        <v>92</v>
      </c>
      <c r="J55" s="1"/>
      <c r="L55" t="str">
        <f t="shared" si="0"/>
        <v>夏之丛林1</v>
      </c>
    </row>
    <row r="56" spans="9:12" ht="28.5" x14ac:dyDescent="0.2">
      <c r="I56" s="1"/>
      <c r="J56" s="1" t="s">
        <v>92</v>
      </c>
      <c r="L56" t="str">
        <f t="shared" si="0"/>
        <v>夏之丛林1</v>
      </c>
    </row>
    <row r="57" spans="9:12" ht="28.5" x14ac:dyDescent="0.2">
      <c r="I57" s="1" t="s">
        <v>93</v>
      </c>
      <c r="J57" s="1"/>
      <c r="L57" t="str">
        <f t="shared" si="0"/>
        <v>夏之丛林2</v>
      </c>
    </row>
    <row r="58" spans="9:12" ht="28.5" x14ac:dyDescent="0.2">
      <c r="I58" s="1"/>
      <c r="J58" s="1" t="s">
        <v>93</v>
      </c>
      <c r="L58" t="str">
        <f t="shared" si="0"/>
        <v>夏之丛林2</v>
      </c>
    </row>
    <row r="59" spans="9:12" ht="28.5" x14ac:dyDescent="0.2">
      <c r="I59" s="1" t="s">
        <v>94</v>
      </c>
      <c r="J59" s="1"/>
      <c r="L59" t="str">
        <f t="shared" si="0"/>
        <v>夏之丛林3</v>
      </c>
    </row>
    <row r="60" spans="9:12" ht="28.5" x14ac:dyDescent="0.2">
      <c r="I60" s="1"/>
      <c r="J60" s="1" t="s">
        <v>94</v>
      </c>
      <c r="L60" t="str">
        <f t="shared" si="0"/>
        <v>夏之丛林3</v>
      </c>
    </row>
    <row r="61" spans="9:12" ht="28.5" x14ac:dyDescent="0.2">
      <c r="I61" s="1" t="s">
        <v>95</v>
      </c>
      <c r="J61" s="1"/>
      <c r="L61" t="str">
        <f t="shared" si="0"/>
        <v>夏之丛林4</v>
      </c>
    </row>
    <row r="62" spans="9:12" ht="28.5" x14ac:dyDescent="0.2">
      <c r="I62" s="1"/>
      <c r="J62" s="1" t="s">
        <v>95</v>
      </c>
      <c r="L62" t="str">
        <f t="shared" si="0"/>
        <v>夏之丛林4</v>
      </c>
    </row>
    <row r="63" spans="9:12" ht="28.5" x14ac:dyDescent="0.2">
      <c r="I63" s="1" t="s">
        <v>96</v>
      </c>
      <c r="J63" s="1"/>
      <c r="L63" t="str">
        <f t="shared" si="0"/>
        <v>和风海岸0</v>
      </c>
    </row>
    <row r="64" spans="9:12" ht="28.5" x14ac:dyDescent="0.2">
      <c r="I64" s="1"/>
      <c r="J64" s="1" t="s">
        <v>96</v>
      </c>
      <c r="L64" t="str">
        <f t="shared" si="0"/>
        <v>和风海岸0</v>
      </c>
    </row>
    <row r="65" spans="9:12" ht="28.5" x14ac:dyDescent="0.2">
      <c r="I65" s="1" t="s">
        <v>97</v>
      </c>
      <c r="J65" s="1"/>
      <c r="L65" t="str">
        <f t="shared" si="0"/>
        <v>和风海岸1</v>
      </c>
    </row>
    <row r="66" spans="9:12" ht="28.5" x14ac:dyDescent="0.2">
      <c r="I66" s="1"/>
      <c r="J66" s="1" t="s">
        <v>97</v>
      </c>
      <c r="L66" t="str">
        <f t="shared" si="0"/>
        <v>和风海岸1</v>
      </c>
    </row>
    <row r="67" spans="9:12" ht="28.5" x14ac:dyDescent="0.2">
      <c r="I67" s="1" t="s">
        <v>98</v>
      </c>
      <c r="J67" s="1"/>
      <c r="L67" t="str">
        <f t="shared" si="0"/>
        <v>和风海岸2</v>
      </c>
    </row>
    <row r="68" spans="9:12" ht="28.5" x14ac:dyDescent="0.2">
      <c r="I68" s="1"/>
      <c r="J68" s="1" t="s">
        <v>98</v>
      </c>
      <c r="L68" t="str">
        <f t="shared" si="0"/>
        <v>和风海岸2</v>
      </c>
    </row>
    <row r="69" spans="9:12" ht="28.5" x14ac:dyDescent="0.2">
      <c r="I69" s="1" t="s">
        <v>99</v>
      </c>
      <c r="J69" s="1"/>
      <c r="L69" t="str">
        <f t="shared" si="0"/>
        <v>和风海岸3</v>
      </c>
    </row>
    <row r="70" spans="9:12" ht="28.5" x14ac:dyDescent="0.2">
      <c r="I70" s="1"/>
      <c r="J70" s="1" t="s">
        <v>99</v>
      </c>
      <c r="L70" t="str">
        <f t="shared" si="0"/>
        <v>和风海岸3</v>
      </c>
    </row>
    <row r="71" spans="9:12" ht="28.5" x14ac:dyDescent="0.2">
      <c r="I71" s="1" t="s">
        <v>100</v>
      </c>
      <c r="J71" s="1"/>
      <c r="L71" t="str">
        <f t="shared" si="0"/>
        <v>和风海岸4</v>
      </c>
    </row>
    <row r="72" spans="9:12" ht="28.5" x14ac:dyDescent="0.2">
      <c r="I72" s="1"/>
      <c r="J72" s="1" t="s">
        <v>100</v>
      </c>
      <c r="L72" t="str">
        <f t="shared" si="0"/>
        <v>和风海岸4</v>
      </c>
    </row>
    <row r="73" spans="9:12" ht="28.5" x14ac:dyDescent="0.2">
      <c r="I73" s="1" t="s">
        <v>101</v>
      </c>
      <c r="J73" s="1"/>
      <c r="L73" t="str">
        <f t="shared" si="0"/>
        <v>秋风之谷0</v>
      </c>
    </row>
    <row r="74" spans="9:12" ht="28.5" x14ac:dyDescent="0.2">
      <c r="I74" s="1"/>
      <c r="J74" s="1" t="s">
        <v>101</v>
      </c>
      <c r="L74" t="str">
        <f t="shared" si="0"/>
        <v>秋风之谷0</v>
      </c>
    </row>
    <row r="75" spans="9:12" ht="28.5" x14ac:dyDescent="0.2">
      <c r="I75" s="1" t="s">
        <v>102</v>
      </c>
      <c r="J75" s="1"/>
      <c r="L75" t="str">
        <f t="shared" si="0"/>
        <v>秋风之谷1</v>
      </c>
    </row>
    <row r="76" spans="9:12" ht="28.5" x14ac:dyDescent="0.2">
      <c r="I76" s="1"/>
      <c r="J76" s="1" t="s">
        <v>102</v>
      </c>
      <c r="L76" t="str">
        <f t="shared" si="0"/>
        <v>秋风之谷1</v>
      </c>
    </row>
    <row r="77" spans="9:12" ht="28.5" x14ac:dyDescent="0.2">
      <c r="I77" s="1" t="s">
        <v>103</v>
      </c>
      <c r="J77" s="1"/>
      <c r="L77" t="str">
        <f t="shared" si="0"/>
        <v>秋风之谷2</v>
      </c>
    </row>
    <row r="78" spans="9:12" ht="28.5" x14ac:dyDescent="0.2">
      <c r="I78" s="1"/>
      <c r="J78" s="1" t="s">
        <v>103</v>
      </c>
      <c r="L78" t="str">
        <f t="shared" si="0"/>
        <v>秋风之谷2</v>
      </c>
    </row>
    <row r="79" spans="9:12" ht="28.5" x14ac:dyDescent="0.2">
      <c r="I79" s="1" t="s">
        <v>104</v>
      </c>
      <c r="J79" s="1"/>
      <c r="L79" t="str">
        <f t="shared" si="0"/>
        <v>秋风之谷3</v>
      </c>
    </row>
    <row r="80" spans="9:12" ht="28.5" x14ac:dyDescent="0.2">
      <c r="I80" s="1"/>
      <c r="J80" s="1" t="s">
        <v>104</v>
      </c>
      <c r="L80" t="str">
        <f t="shared" si="0"/>
        <v>秋风之谷3</v>
      </c>
    </row>
    <row r="81" spans="9:12" ht="28.5" x14ac:dyDescent="0.2">
      <c r="I81" s="1" t="s">
        <v>105</v>
      </c>
      <c r="J81" s="1"/>
      <c r="L81" t="str">
        <f t="shared" si="0"/>
        <v>秋风之谷4</v>
      </c>
    </row>
    <row r="82" spans="9:12" ht="28.5" x14ac:dyDescent="0.2">
      <c r="I82" s="1"/>
      <c r="J82" s="1" t="s">
        <v>105</v>
      </c>
      <c r="L82" t="str">
        <f t="shared" si="0"/>
        <v>秋风之谷4</v>
      </c>
    </row>
    <row r="83" spans="9:12" ht="28.5" x14ac:dyDescent="0.2">
      <c r="I83" s="1" t="s">
        <v>106</v>
      </c>
      <c r="J83" s="1"/>
      <c r="L83" t="str">
        <f t="shared" si="0"/>
        <v>沙漠废墟0</v>
      </c>
    </row>
    <row r="84" spans="9:12" ht="28.5" x14ac:dyDescent="0.2">
      <c r="I84" s="1"/>
      <c r="J84" s="1" t="s">
        <v>106</v>
      </c>
      <c r="L84" t="str">
        <f t="shared" si="0"/>
        <v>沙漠废墟0</v>
      </c>
    </row>
    <row r="85" spans="9:12" ht="28.5" x14ac:dyDescent="0.2">
      <c r="I85" s="1" t="s">
        <v>107</v>
      </c>
      <c r="J85" s="1"/>
      <c r="L85" t="str">
        <f t="shared" si="0"/>
        <v>沙漠废墟1</v>
      </c>
    </row>
    <row r="86" spans="9:12" ht="28.5" x14ac:dyDescent="0.2">
      <c r="I86" s="1"/>
      <c r="J86" s="1" t="s">
        <v>107</v>
      </c>
      <c r="L86" t="str">
        <f t="shared" si="0"/>
        <v>沙漠废墟1</v>
      </c>
    </row>
    <row r="87" spans="9:12" ht="28.5" x14ac:dyDescent="0.2">
      <c r="I87" s="1" t="s">
        <v>108</v>
      </c>
      <c r="J87" s="1"/>
      <c r="L87" t="str">
        <f t="shared" si="0"/>
        <v>沙漠废墟2</v>
      </c>
    </row>
    <row r="88" spans="9:12" ht="28.5" x14ac:dyDescent="0.2">
      <c r="I88" s="1"/>
      <c r="J88" s="1" t="s">
        <v>108</v>
      </c>
      <c r="L88" t="str">
        <f t="shared" si="0"/>
        <v>沙漠废墟2</v>
      </c>
    </row>
    <row r="89" spans="9:12" ht="28.5" x14ac:dyDescent="0.2">
      <c r="I89" s="1" t="s">
        <v>109</v>
      </c>
      <c r="J89" s="1"/>
      <c r="L89" t="str">
        <f t="shared" si="0"/>
        <v>沙漠废墟3</v>
      </c>
    </row>
    <row r="90" spans="9:12" ht="28.5" x14ac:dyDescent="0.2">
      <c r="I90" s="1"/>
      <c r="J90" s="1" t="s">
        <v>109</v>
      </c>
      <c r="L90" t="str">
        <f t="shared" si="0"/>
        <v>沙漠废墟3</v>
      </c>
    </row>
    <row r="91" spans="9:12" ht="28.5" x14ac:dyDescent="0.2">
      <c r="I91" s="1" t="s">
        <v>110</v>
      </c>
      <c r="J91" s="1"/>
      <c r="L91" t="str">
        <f t="shared" si="0"/>
        <v>沙漠废墟4</v>
      </c>
    </row>
    <row r="92" spans="9:12" ht="28.5" x14ac:dyDescent="0.2">
      <c r="I92" s="1"/>
      <c r="J92" s="1" t="s">
        <v>110</v>
      </c>
      <c r="L92" t="str">
        <f t="shared" si="0"/>
        <v>沙漠废墟4</v>
      </c>
    </row>
    <row r="93" spans="9:12" ht="28.5" x14ac:dyDescent="0.2">
      <c r="I93" s="1" t="s">
        <v>111</v>
      </c>
      <c r="J93" s="1"/>
      <c r="L93" t="str">
        <f t="shared" si="0"/>
        <v>冬之雪原0</v>
      </c>
    </row>
    <row r="94" spans="9:12" ht="28.5" x14ac:dyDescent="0.2">
      <c r="I94" s="1"/>
      <c r="J94" s="1" t="s">
        <v>111</v>
      </c>
      <c r="L94" t="str">
        <f t="shared" si="0"/>
        <v>冬之雪原0</v>
      </c>
    </row>
    <row r="95" spans="9:12" ht="28.5" x14ac:dyDescent="0.2">
      <c r="I95" s="1" t="s">
        <v>112</v>
      </c>
      <c r="J95" s="1"/>
      <c r="L95" t="str">
        <f t="shared" si="0"/>
        <v>冬之雪原1</v>
      </c>
    </row>
    <row r="96" spans="9:12" ht="28.5" x14ac:dyDescent="0.2">
      <c r="I96" s="1"/>
      <c r="J96" s="1" t="s">
        <v>112</v>
      </c>
      <c r="L96" t="str">
        <f t="shared" si="0"/>
        <v>冬之雪原1</v>
      </c>
    </row>
    <row r="97" spans="9:12" ht="28.5" x14ac:dyDescent="0.2">
      <c r="I97" s="1" t="s">
        <v>113</v>
      </c>
      <c r="J97" s="1"/>
      <c r="L97" t="str">
        <f t="shared" si="0"/>
        <v>冬之雪原2</v>
      </c>
    </row>
    <row r="98" spans="9:12" ht="28.5" x14ac:dyDescent="0.2">
      <c r="I98" s="1"/>
      <c r="J98" s="1" t="s">
        <v>113</v>
      </c>
      <c r="L98" t="str">
        <f t="shared" ref="L98:L112" si="1">I98&amp;J98</f>
        <v>冬之雪原2</v>
      </c>
    </row>
    <row r="99" spans="9:12" ht="28.5" x14ac:dyDescent="0.2">
      <c r="I99" s="1" t="s">
        <v>114</v>
      </c>
      <c r="J99" s="1"/>
      <c r="L99" t="str">
        <f t="shared" si="1"/>
        <v>冬之雪原3</v>
      </c>
    </row>
    <row r="100" spans="9:12" ht="28.5" x14ac:dyDescent="0.2">
      <c r="I100" s="1"/>
      <c r="J100" s="1" t="s">
        <v>114</v>
      </c>
      <c r="L100" t="str">
        <f t="shared" si="1"/>
        <v>冬之雪原3</v>
      </c>
    </row>
    <row r="101" spans="9:12" ht="28.5" x14ac:dyDescent="0.2">
      <c r="I101" s="1" t="s">
        <v>115</v>
      </c>
      <c r="J101" s="1"/>
      <c r="L101" t="str">
        <f t="shared" si="1"/>
        <v>冬之雪原4</v>
      </c>
    </row>
    <row r="102" spans="9:12" ht="28.5" x14ac:dyDescent="0.2">
      <c r="I102" s="1"/>
      <c r="J102" s="1" t="s">
        <v>115</v>
      </c>
      <c r="L102" t="str">
        <f t="shared" si="1"/>
        <v>冬之雪原4</v>
      </c>
    </row>
    <row r="103" spans="9:12" ht="28.5" x14ac:dyDescent="0.2">
      <c r="I103" s="1" t="s">
        <v>116</v>
      </c>
      <c r="J103" s="1"/>
      <c r="L103" t="str">
        <f t="shared" si="1"/>
        <v>极寒冰隙0</v>
      </c>
    </row>
    <row r="104" spans="9:12" ht="28.5" x14ac:dyDescent="0.2">
      <c r="I104" s="1"/>
      <c r="J104" s="1" t="s">
        <v>116</v>
      </c>
      <c r="L104" t="str">
        <f t="shared" si="1"/>
        <v>极寒冰隙0</v>
      </c>
    </row>
    <row r="105" spans="9:12" ht="28.5" x14ac:dyDescent="0.2">
      <c r="I105" s="1" t="s">
        <v>117</v>
      </c>
      <c r="J105" s="1"/>
      <c r="L105" t="str">
        <f t="shared" si="1"/>
        <v>极寒冰隙1</v>
      </c>
    </row>
    <row r="106" spans="9:12" ht="28.5" x14ac:dyDescent="0.2">
      <c r="I106" s="1"/>
      <c r="J106" s="1" t="s">
        <v>117</v>
      </c>
      <c r="L106" t="str">
        <f t="shared" si="1"/>
        <v>极寒冰隙1</v>
      </c>
    </row>
    <row r="107" spans="9:12" ht="28.5" x14ac:dyDescent="0.2">
      <c r="I107" s="1" t="s">
        <v>118</v>
      </c>
      <c r="J107" s="1"/>
      <c r="L107" t="str">
        <f t="shared" si="1"/>
        <v>极寒冰隙2</v>
      </c>
    </row>
    <row r="108" spans="9:12" ht="28.5" x14ac:dyDescent="0.2">
      <c r="I108" s="1"/>
      <c r="J108" s="1" t="s">
        <v>118</v>
      </c>
      <c r="L108" t="str">
        <f t="shared" si="1"/>
        <v>极寒冰隙2</v>
      </c>
    </row>
    <row r="109" spans="9:12" ht="28.5" x14ac:dyDescent="0.2">
      <c r="I109" s="1" t="s">
        <v>119</v>
      </c>
      <c r="J109" s="1"/>
      <c r="L109" t="str">
        <f t="shared" si="1"/>
        <v>极寒冰隙3</v>
      </c>
    </row>
    <row r="110" spans="9:12" ht="28.5" x14ac:dyDescent="0.2">
      <c r="I110" s="1"/>
      <c r="J110" s="1" t="s">
        <v>119</v>
      </c>
      <c r="L110" t="str">
        <f t="shared" si="1"/>
        <v>极寒冰隙3</v>
      </c>
    </row>
    <row r="111" spans="9:12" ht="28.5" x14ac:dyDescent="0.2">
      <c r="I111" s="1" t="s">
        <v>120</v>
      </c>
      <c r="J111" s="1"/>
      <c r="L111" t="str">
        <f t="shared" si="1"/>
        <v>极寒冰隙4</v>
      </c>
    </row>
    <row r="112" spans="9:12" ht="28.5" x14ac:dyDescent="0.2">
      <c r="J112" s="1" t="s">
        <v>120</v>
      </c>
      <c r="L112" t="str">
        <f t="shared" si="1"/>
        <v>极寒冰隙4</v>
      </c>
    </row>
    <row r="116" spans="9:12" x14ac:dyDescent="0.2">
      <c r="I116">
        <v>10011</v>
      </c>
      <c r="L116" t="str">
        <f t="shared" ref="L116:L179" si="2">I116&amp;J116</f>
        <v>10011</v>
      </c>
    </row>
    <row r="117" spans="9:12" x14ac:dyDescent="0.2">
      <c r="J117">
        <v>10011</v>
      </c>
      <c r="L117" t="str">
        <f t="shared" si="2"/>
        <v>10011</v>
      </c>
    </row>
    <row r="118" spans="9:12" x14ac:dyDescent="0.2">
      <c r="I118">
        <v>10012</v>
      </c>
      <c r="L118" t="str">
        <f t="shared" si="2"/>
        <v>10012</v>
      </c>
    </row>
    <row r="119" spans="9:12" x14ac:dyDescent="0.2">
      <c r="J119">
        <v>10012</v>
      </c>
      <c r="L119" t="str">
        <f t="shared" si="2"/>
        <v>10012</v>
      </c>
    </row>
    <row r="120" spans="9:12" x14ac:dyDescent="0.2">
      <c r="I120">
        <v>10013</v>
      </c>
      <c r="L120" t="str">
        <f t="shared" si="2"/>
        <v>10013</v>
      </c>
    </row>
    <row r="121" spans="9:12" x14ac:dyDescent="0.2">
      <c r="J121">
        <v>10013</v>
      </c>
      <c r="L121" t="str">
        <f t="shared" si="2"/>
        <v>10013</v>
      </c>
    </row>
    <row r="122" spans="9:12" x14ac:dyDescent="0.2">
      <c r="I122">
        <v>10014</v>
      </c>
      <c r="L122" t="str">
        <f t="shared" si="2"/>
        <v>10014</v>
      </c>
    </row>
    <row r="123" spans="9:12" x14ac:dyDescent="0.2">
      <c r="J123">
        <v>10014</v>
      </c>
      <c r="L123" t="str">
        <f t="shared" si="2"/>
        <v>10014</v>
      </c>
    </row>
    <row r="124" spans="9:12" x14ac:dyDescent="0.2">
      <c r="I124">
        <v>10020</v>
      </c>
      <c r="L124" t="str">
        <f t="shared" si="2"/>
        <v>10020</v>
      </c>
    </row>
    <row r="125" spans="9:12" x14ac:dyDescent="0.2">
      <c r="J125">
        <v>10020</v>
      </c>
      <c r="L125" t="str">
        <f t="shared" si="2"/>
        <v>10020</v>
      </c>
    </row>
    <row r="126" spans="9:12" x14ac:dyDescent="0.2">
      <c r="I126">
        <v>10021</v>
      </c>
      <c r="L126" t="str">
        <f t="shared" si="2"/>
        <v>10021</v>
      </c>
    </row>
    <row r="127" spans="9:12" x14ac:dyDescent="0.2">
      <c r="J127">
        <v>10021</v>
      </c>
      <c r="L127" t="str">
        <f t="shared" si="2"/>
        <v>10021</v>
      </c>
    </row>
    <row r="128" spans="9:12" x14ac:dyDescent="0.2">
      <c r="I128">
        <v>10022</v>
      </c>
      <c r="L128" t="str">
        <f t="shared" si="2"/>
        <v>10022</v>
      </c>
    </row>
    <row r="129" spans="9:12" x14ac:dyDescent="0.2">
      <c r="J129">
        <v>10022</v>
      </c>
      <c r="L129" t="str">
        <f t="shared" si="2"/>
        <v>10022</v>
      </c>
    </row>
    <row r="130" spans="9:12" x14ac:dyDescent="0.2">
      <c r="I130">
        <v>10023</v>
      </c>
      <c r="L130" t="str">
        <f t="shared" si="2"/>
        <v>10023</v>
      </c>
    </row>
    <row r="131" spans="9:12" x14ac:dyDescent="0.2">
      <c r="J131">
        <v>10023</v>
      </c>
      <c r="L131" t="str">
        <f t="shared" si="2"/>
        <v>10023</v>
      </c>
    </row>
    <row r="132" spans="9:12" x14ac:dyDescent="0.2">
      <c r="I132">
        <v>10024</v>
      </c>
      <c r="L132" t="str">
        <f t="shared" si="2"/>
        <v>10024</v>
      </c>
    </row>
    <row r="133" spans="9:12" x14ac:dyDescent="0.2">
      <c r="J133">
        <v>10024</v>
      </c>
      <c r="L133" t="str">
        <f t="shared" si="2"/>
        <v>10024</v>
      </c>
    </row>
    <row r="134" spans="9:12" x14ac:dyDescent="0.2">
      <c r="I134">
        <v>10030</v>
      </c>
      <c r="L134" t="str">
        <f t="shared" si="2"/>
        <v>10030</v>
      </c>
    </row>
    <row r="135" spans="9:12" x14ac:dyDescent="0.2">
      <c r="J135">
        <v>10030</v>
      </c>
      <c r="L135" t="str">
        <f t="shared" si="2"/>
        <v>10030</v>
      </c>
    </row>
    <row r="136" spans="9:12" x14ac:dyDescent="0.2">
      <c r="I136">
        <v>10031</v>
      </c>
      <c r="L136" t="str">
        <f t="shared" si="2"/>
        <v>10031</v>
      </c>
    </row>
    <row r="137" spans="9:12" x14ac:dyDescent="0.2">
      <c r="J137">
        <v>10031</v>
      </c>
      <c r="L137" t="str">
        <f t="shared" si="2"/>
        <v>10031</v>
      </c>
    </row>
    <row r="138" spans="9:12" x14ac:dyDescent="0.2">
      <c r="I138">
        <v>10032</v>
      </c>
      <c r="L138" t="str">
        <f t="shared" si="2"/>
        <v>10032</v>
      </c>
    </row>
    <row r="139" spans="9:12" x14ac:dyDescent="0.2">
      <c r="J139">
        <v>10032</v>
      </c>
      <c r="L139" t="str">
        <f t="shared" si="2"/>
        <v>10032</v>
      </c>
    </row>
    <row r="140" spans="9:12" x14ac:dyDescent="0.2">
      <c r="I140">
        <v>10033</v>
      </c>
      <c r="L140" t="str">
        <f t="shared" si="2"/>
        <v>10033</v>
      </c>
    </row>
    <row r="141" spans="9:12" x14ac:dyDescent="0.2">
      <c r="J141">
        <v>10033</v>
      </c>
      <c r="L141" t="str">
        <f t="shared" si="2"/>
        <v>10033</v>
      </c>
    </row>
    <row r="142" spans="9:12" x14ac:dyDescent="0.2">
      <c r="I142">
        <v>10034</v>
      </c>
      <c r="L142" t="str">
        <f t="shared" si="2"/>
        <v>10034</v>
      </c>
    </row>
    <row r="143" spans="9:12" x14ac:dyDescent="0.2">
      <c r="J143">
        <v>10034</v>
      </c>
      <c r="L143" t="str">
        <f t="shared" si="2"/>
        <v>10034</v>
      </c>
    </row>
    <row r="144" spans="9:12" x14ac:dyDescent="0.2">
      <c r="I144">
        <v>10040</v>
      </c>
      <c r="L144" t="str">
        <f t="shared" si="2"/>
        <v>10040</v>
      </c>
    </row>
    <row r="145" spans="9:12" x14ac:dyDescent="0.2">
      <c r="J145">
        <v>10040</v>
      </c>
      <c r="L145" t="str">
        <f t="shared" si="2"/>
        <v>10040</v>
      </c>
    </row>
    <row r="146" spans="9:12" x14ac:dyDescent="0.2">
      <c r="I146">
        <v>10041</v>
      </c>
      <c r="L146" t="str">
        <f t="shared" si="2"/>
        <v>10041</v>
      </c>
    </row>
    <row r="147" spans="9:12" x14ac:dyDescent="0.2">
      <c r="J147">
        <v>10041</v>
      </c>
      <c r="L147" t="str">
        <f t="shared" si="2"/>
        <v>10041</v>
      </c>
    </row>
    <row r="148" spans="9:12" x14ac:dyDescent="0.2">
      <c r="I148">
        <v>10042</v>
      </c>
      <c r="L148" t="str">
        <f t="shared" si="2"/>
        <v>10042</v>
      </c>
    </row>
    <row r="149" spans="9:12" x14ac:dyDescent="0.2">
      <c r="J149">
        <v>10042</v>
      </c>
      <c r="L149" t="str">
        <f t="shared" si="2"/>
        <v>10042</v>
      </c>
    </row>
    <row r="150" spans="9:12" x14ac:dyDescent="0.2">
      <c r="I150">
        <v>10043</v>
      </c>
      <c r="L150" t="str">
        <f t="shared" si="2"/>
        <v>10043</v>
      </c>
    </row>
    <row r="151" spans="9:12" x14ac:dyDescent="0.2">
      <c r="J151">
        <v>10043</v>
      </c>
      <c r="L151" t="str">
        <f t="shared" si="2"/>
        <v>10043</v>
      </c>
    </row>
    <row r="152" spans="9:12" x14ac:dyDescent="0.2">
      <c r="I152">
        <v>10044</v>
      </c>
      <c r="L152" t="str">
        <f t="shared" si="2"/>
        <v>10044</v>
      </c>
    </row>
    <row r="153" spans="9:12" x14ac:dyDescent="0.2">
      <c r="J153">
        <v>10044</v>
      </c>
      <c r="L153" t="str">
        <f t="shared" si="2"/>
        <v>10044</v>
      </c>
    </row>
    <row r="154" spans="9:12" x14ac:dyDescent="0.2">
      <c r="I154">
        <v>10050</v>
      </c>
      <c r="L154" t="str">
        <f t="shared" si="2"/>
        <v>10050</v>
      </c>
    </row>
    <row r="155" spans="9:12" x14ac:dyDescent="0.2">
      <c r="J155">
        <v>10050</v>
      </c>
      <c r="L155" t="str">
        <f t="shared" si="2"/>
        <v>10050</v>
      </c>
    </row>
    <row r="156" spans="9:12" x14ac:dyDescent="0.2">
      <c r="I156">
        <v>10051</v>
      </c>
      <c r="L156" t="str">
        <f t="shared" si="2"/>
        <v>10051</v>
      </c>
    </row>
    <row r="157" spans="9:12" x14ac:dyDescent="0.2">
      <c r="J157">
        <v>10051</v>
      </c>
      <c r="L157" t="str">
        <f t="shared" si="2"/>
        <v>10051</v>
      </c>
    </row>
    <row r="158" spans="9:12" x14ac:dyDescent="0.2">
      <c r="I158">
        <v>10052</v>
      </c>
      <c r="L158" t="str">
        <f t="shared" si="2"/>
        <v>10052</v>
      </c>
    </row>
    <row r="159" spans="9:12" x14ac:dyDescent="0.2">
      <c r="J159">
        <v>10052</v>
      </c>
      <c r="L159" t="str">
        <f t="shared" si="2"/>
        <v>10052</v>
      </c>
    </row>
    <row r="160" spans="9:12" x14ac:dyDescent="0.2">
      <c r="I160">
        <v>10053</v>
      </c>
      <c r="L160" t="str">
        <f t="shared" si="2"/>
        <v>10053</v>
      </c>
    </row>
    <row r="161" spans="9:12" x14ac:dyDescent="0.2">
      <c r="J161">
        <v>10053</v>
      </c>
      <c r="L161" t="str">
        <f t="shared" si="2"/>
        <v>10053</v>
      </c>
    </row>
    <row r="162" spans="9:12" x14ac:dyDescent="0.2">
      <c r="I162">
        <v>10054</v>
      </c>
      <c r="L162" t="str">
        <f t="shared" si="2"/>
        <v>10054</v>
      </c>
    </row>
    <row r="163" spans="9:12" x14ac:dyDescent="0.2">
      <c r="J163">
        <v>10054</v>
      </c>
      <c r="L163" t="str">
        <f t="shared" si="2"/>
        <v>10054</v>
      </c>
    </row>
    <row r="164" spans="9:12" x14ac:dyDescent="0.2">
      <c r="I164">
        <v>10060</v>
      </c>
      <c r="L164" t="str">
        <f t="shared" si="2"/>
        <v>10060</v>
      </c>
    </row>
    <row r="165" spans="9:12" x14ac:dyDescent="0.2">
      <c r="J165">
        <v>10060</v>
      </c>
      <c r="L165" t="str">
        <f t="shared" si="2"/>
        <v>10060</v>
      </c>
    </row>
    <row r="166" spans="9:12" x14ac:dyDescent="0.2">
      <c r="I166">
        <v>10061</v>
      </c>
      <c r="L166" t="str">
        <f t="shared" si="2"/>
        <v>10061</v>
      </c>
    </row>
    <row r="167" spans="9:12" x14ac:dyDescent="0.2">
      <c r="J167">
        <v>10061</v>
      </c>
      <c r="L167" t="str">
        <f t="shared" si="2"/>
        <v>10061</v>
      </c>
    </row>
    <row r="168" spans="9:12" x14ac:dyDescent="0.2">
      <c r="I168">
        <v>10062</v>
      </c>
      <c r="L168" t="str">
        <f t="shared" si="2"/>
        <v>10062</v>
      </c>
    </row>
    <row r="169" spans="9:12" x14ac:dyDescent="0.2">
      <c r="J169">
        <v>10062</v>
      </c>
      <c r="L169" t="str">
        <f t="shared" si="2"/>
        <v>10062</v>
      </c>
    </row>
    <row r="170" spans="9:12" x14ac:dyDescent="0.2">
      <c r="I170">
        <v>10063</v>
      </c>
      <c r="L170" t="str">
        <f t="shared" si="2"/>
        <v>10063</v>
      </c>
    </row>
    <row r="171" spans="9:12" x14ac:dyDescent="0.2">
      <c r="J171">
        <v>10063</v>
      </c>
      <c r="L171" t="str">
        <f t="shared" si="2"/>
        <v>10063</v>
      </c>
    </row>
    <row r="172" spans="9:12" x14ac:dyDescent="0.2">
      <c r="I172">
        <v>10064</v>
      </c>
      <c r="L172" t="str">
        <f t="shared" si="2"/>
        <v>10064</v>
      </c>
    </row>
    <row r="173" spans="9:12" x14ac:dyDescent="0.2">
      <c r="J173">
        <v>10064</v>
      </c>
      <c r="L173" t="str">
        <f t="shared" si="2"/>
        <v>10064</v>
      </c>
    </row>
    <row r="174" spans="9:12" x14ac:dyDescent="0.2">
      <c r="I174">
        <v>10070</v>
      </c>
      <c r="L174" t="str">
        <f t="shared" si="2"/>
        <v>10070</v>
      </c>
    </row>
    <row r="175" spans="9:12" x14ac:dyDescent="0.2">
      <c r="J175">
        <v>10070</v>
      </c>
      <c r="L175" t="str">
        <f t="shared" si="2"/>
        <v>10070</v>
      </c>
    </row>
    <row r="176" spans="9:12" x14ac:dyDescent="0.2">
      <c r="I176">
        <v>10071</v>
      </c>
      <c r="L176" t="str">
        <f t="shared" si="2"/>
        <v>10071</v>
      </c>
    </row>
    <row r="177" spans="9:12" x14ac:dyDescent="0.2">
      <c r="J177">
        <v>10071</v>
      </c>
      <c r="L177" t="str">
        <f t="shared" si="2"/>
        <v>10071</v>
      </c>
    </row>
    <row r="178" spans="9:12" x14ac:dyDescent="0.2">
      <c r="I178">
        <v>10072</v>
      </c>
      <c r="L178" t="str">
        <f t="shared" si="2"/>
        <v>10072</v>
      </c>
    </row>
    <row r="179" spans="9:12" x14ac:dyDescent="0.2">
      <c r="J179">
        <v>10072</v>
      </c>
      <c r="L179" t="str">
        <f t="shared" si="2"/>
        <v>10072</v>
      </c>
    </row>
    <row r="180" spans="9:12" x14ac:dyDescent="0.2">
      <c r="I180">
        <v>10073</v>
      </c>
      <c r="L180" t="str">
        <f t="shared" ref="L180:L193" si="3">I180&amp;J180</f>
        <v>10073</v>
      </c>
    </row>
    <row r="181" spans="9:12" x14ac:dyDescent="0.2">
      <c r="J181">
        <v>10073</v>
      </c>
      <c r="L181" t="str">
        <f t="shared" si="3"/>
        <v>10073</v>
      </c>
    </row>
    <row r="182" spans="9:12" x14ac:dyDescent="0.2">
      <c r="I182">
        <v>10074</v>
      </c>
      <c r="L182" t="str">
        <f t="shared" si="3"/>
        <v>10074</v>
      </c>
    </row>
    <row r="183" spans="9:12" x14ac:dyDescent="0.2">
      <c r="J183">
        <v>10074</v>
      </c>
      <c r="L183" t="str">
        <f t="shared" si="3"/>
        <v>10074</v>
      </c>
    </row>
    <row r="184" spans="9:12" x14ac:dyDescent="0.2">
      <c r="I184">
        <v>10080</v>
      </c>
      <c r="L184" t="str">
        <f t="shared" si="3"/>
        <v>10080</v>
      </c>
    </row>
    <row r="185" spans="9:12" x14ac:dyDescent="0.2">
      <c r="J185">
        <v>10080</v>
      </c>
      <c r="L185" t="str">
        <f t="shared" si="3"/>
        <v>10080</v>
      </c>
    </row>
    <row r="186" spans="9:12" x14ac:dyDescent="0.2">
      <c r="I186">
        <v>10081</v>
      </c>
      <c r="L186" t="str">
        <f t="shared" si="3"/>
        <v>10081</v>
      </c>
    </row>
    <row r="187" spans="9:12" x14ac:dyDescent="0.2">
      <c r="J187">
        <v>10081</v>
      </c>
      <c r="L187" t="str">
        <f t="shared" si="3"/>
        <v>10081</v>
      </c>
    </row>
    <row r="188" spans="9:12" x14ac:dyDescent="0.2">
      <c r="I188">
        <v>10082</v>
      </c>
      <c r="L188" t="str">
        <f t="shared" si="3"/>
        <v>10082</v>
      </c>
    </row>
    <row r="189" spans="9:12" x14ac:dyDescent="0.2">
      <c r="J189">
        <v>10082</v>
      </c>
      <c r="L189" t="str">
        <f t="shared" si="3"/>
        <v>10082</v>
      </c>
    </row>
    <row r="190" spans="9:12" x14ac:dyDescent="0.2">
      <c r="I190">
        <v>10083</v>
      </c>
      <c r="L190" t="str">
        <f t="shared" si="3"/>
        <v>10083</v>
      </c>
    </row>
    <row r="191" spans="9:12" x14ac:dyDescent="0.2">
      <c r="J191">
        <v>10083</v>
      </c>
      <c r="L191" t="str">
        <f t="shared" si="3"/>
        <v>10083</v>
      </c>
    </row>
    <row r="192" spans="9:12" x14ac:dyDescent="0.2">
      <c r="I192">
        <v>10084</v>
      </c>
      <c r="L192" t="str">
        <f t="shared" si="3"/>
        <v>10084</v>
      </c>
    </row>
    <row r="193" spans="10:12" x14ac:dyDescent="0.2">
      <c r="J193">
        <v>10084</v>
      </c>
      <c r="L193" t="str">
        <f t="shared" si="3"/>
        <v>10084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I223"/>
  <sheetViews>
    <sheetView topLeftCell="A4" workbookViewId="0">
      <selection activeCell="E58" sqref="E58"/>
    </sheetView>
  </sheetViews>
  <sheetFormatPr defaultRowHeight="14.25" x14ac:dyDescent="0.2"/>
  <cols>
    <col min="5" max="5" width="9" customWidth="1"/>
  </cols>
  <sheetData>
    <row r="7" spans="2:9" x14ac:dyDescent="0.2">
      <c r="B7" t="str">
        <f>C7&amp;"掉落"</f>
        <v>史莱姆掉落</v>
      </c>
      <c r="C7" s="11" t="s">
        <v>207</v>
      </c>
      <c r="D7" s="11" t="s">
        <v>208</v>
      </c>
      <c r="E7" s="11">
        <v>200</v>
      </c>
      <c r="F7" s="11"/>
      <c r="G7" s="11" t="s">
        <v>249</v>
      </c>
      <c r="I7" t="e">
        <f>VLOOKUP(C7,[1]MonsterData!$I$2:$L$84,4,FALSE)</f>
        <v>#N/A</v>
      </c>
    </row>
    <row r="8" spans="2:9" x14ac:dyDescent="0.2">
      <c r="B8" t="str">
        <f t="shared" ref="B8:B71" si="0">C8&amp;"掉落"</f>
        <v>史莱姆掉落</v>
      </c>
      <c r="C8" s="11" t="s">
        <v>207</v>
      </c>
      <c r="D8" s="11" t="s">
        <v>209</v>
      </c>
      <c r="E8" s="11">
        <v>1101</v>
      </c>
      <c r="F8" s="11"/>
      <c r="G8" s="11" t="s">
        <v>250</v>
      </c>
      <c r="I8" t="e">
        <f>VLOOKUP(C8,[1]MonsterData!$I$2:$L$84,4,FALSE)</f>
        <v>#N/A</v>
      </c>
    </row>
    <row r="9" spans="2:9" x14ac:dyDescent="0.2">
      <c r="B9" t="str">
        <f t="shared" si="0"/>
        <v>抱石溪蛙掉落</v>
      </c>
      <c r="C9" s="11" t="s">
        <v>80</v>
      </c>
      <c r="D9" s="11" t="s">
        <v>210</v>
      </c>
      <c r="E9" s="11">
        <v>201</v>
      </c>
      <c r="F9" s="11"/>
      <c r="G9" s="11" t="s">
        <v>251</v>
      </c>
      <c r="I9" t="e">
        <f>VLOOKUP(C9,[1]MonsterData!$I$2:$L$84,4,FALSE)</f>
        <v>#N/A</v>
      </c>
    </row>
    <row r="10" spans="2:9" x14ac:dyDescent="0.2">
      <c r="B10" t="str">
        <f t="shared" si="0"/>
        <v>抱石溪蛙掉落</v>
      </c>
      <c r="C10" s="11" t="s">
        <v>80</v>
      </c>
      <c r="D10" s="11" t="s">
        <v>211</v>
      </c>
      <c r="E10" s="11">
        <v>200</v>
      </c>
      <c r="F10" s="11"/>
      <c r="G10" s="11" t="s">
        <v>251</v>
      </c>
      <c r="I10" t="e">
        <f>VLOOKUP(C10,[1]MonsterData!$I$2:$L$84,4,FALSE)</f>
        <v>#N/A</v>
      </c>
    </row>
    <row r="11" spans="2:9" x14ac:dyDescent="0.2">
      <c r="B11" t="str">
        <f t="shared" si="0"/>
        <v>翼耳兽掉落</v>
      </c>
      <c r="C11" s="11" t="s">
        <v>129</v>
      </c>
      <c r="D11" s="11" t="s">
        <v>212</v>
      </c>
      <c r="E11" s="11">
        <v>105</v>
      </c>
      <c r="F11" s="11"/>
      <c r="G11" s="11" t="s">
        <v>251</v>
      </c>
      <c r="I11" t="e">
        <f>VLOOKUP(C11,[1]MonsterData!$I$2:$L$84,4,FALSE)</f>
        <v>#N/A</v>
      </c>
    </row>
    <row r="12" spans="2:9" x14ac:dyDescent="0.2">
      <c r="B12" t="str">
        <f t="shared" si="0"/>
        <v>翼耳兽掉落</v>
      </c>
      <c r="C12" s="11" t="s">
        <v>129</v>
      </c>
      <c r="D12" s="11" t="s">
        <v>213</v>
      </c>
      <c r="E12" s="11">
        <v>241</v>
      </c>
      <c r="F12" s="11"/>
      <c r="G12" s="11" t="s">
        <v>251</v>
      </c>
      <c r="I12" t="e">
        <f>VLOOKUP(C12,[1]MonsterData!$I$2:$L$84,4,FALSE)</f>
        <v>#N/A</v>
      </c>
    </row>
    <row r="13" spans="2:9" x14ac:dyDescent="0.2">
      <c r="B13" t="str">
        <f t="shared" si="0"/>
        <v>绿毛龟掉落</v>
      </c>
      <c r="C13" s="11" t="s">
        <v>130</v>
      </c>
      <c r="D13" s="11" t="s">
        <v>214</v>
      </c>
      <c r="E13" s="11">
        <v>202</v>
      </c>
      <c r="F13" s="11"/>
      <c r="G13" s="11" t="s">
        <v>249</v>
      </c>
      <c r="I13" t="e">
        <f>VLOOKUP(C13,[1]MonsterData!$I$2:$L$84,4,FALSE)</f>
        <v>#N/A</v>
      </c>
    </row>
    <row r="14" spans="2:9" x14ac:dyDescent="0.2">
      <c r="B14" t="str">
        <f t="shared" si="0"/>
        <v>绿毛龟掉落</v>
      </c>
      <c r="C14" s="11" t="s">
        <v>130</v>
      </c>
      <c r="D14" s="11" t="s">
        <v>215</v>
      </c>
      <c r="E14" s="11">
        <v>296</v>
      </c>
      <c r="F14" s="11"/>
      <c r="G14" s="11" t="s">
        <v>252</v>
      </c>
      <c r="I14" t="e">
        <f>VLOOKUP(C14,[1]MonsterData!$I$2:$L$84,4,FALSE)</f>
        <v>#N/A</v>
      </c>
    </row>
    <row r="15" spans="2:9" x14ac:dyDescent="0.2">
      <c r="B15" t="str">
        <f t="shared" si="0"/>
        <v>长颈兽掉落</v>
      </c>
      <c r="C15" s="11" t="s">
        <v>131</v>
      </c>
      <c r="D15" s="11" t="s">
        <v>216</v>
      </c>
      <c r="E15" s="11">
        <v>203</v>
      </c>
      <c r="F15" s="11"/>
      <c r="G15" s="11" t="s">
        <v>249</v>
      </c>
      <c r="I15" t="e">
        <f>VLOOKUP(C15,[1]MonsterData!$I$2:$L$84,4,FALSE)</f>
        <v>#N/A</v>
      </c>
    </row>
    <row r="16" spans="2:9" x14ac:dyDescent="0.2">
      <c r="B16" t="str">
        <f t="shared" si="0"/>
        <v>长颈兽掉落</v>
      </c>
      <c r="C16" s="11" t="s">
        <v>131</v>
      </c>
      <c r="D16" s="11" t="s">
        <v>217</v>
      </c>
      <c r="E16" s="11">
        <v>297</v>
      </c>
      <c r="F16" s="11"/>
      <c r="G16" s="11" t="s">
        <v>252</v>
      </c>
      <c r="I16" t="e">
        <f>VLOOKUP(C16,[1]MonsterData!$I$2:$L$84,4,FALSE)</f>
        <v>#N/A</v>
      </c>
    </row>
    <row r="17" spans="2:9" x14ac:dyDescent="0.2">
      <c r="B17" t="str">
        <f t="shared" si="0"/>
        <v>哥布林掉落</v>
      </c>
      <c r="C17" s="11" t="s">
        <v>132</v>
      </c>
      <c r="D17" s="11" t="s">
        <v>218</v>
      </c>
      <c r="E17" s="11">
        <v>204</v>
      </c>
      <c r="F17" s="11"/>
      <c r="G17" s="11" t="s">
        <v>249</v>
      </c>
      <c r="I17" t="e">
        <f>VLOOKUP(C17,[1]MonsterData!$I$2:$L$84,4,FALSE)</f>
        <v>#N/A</v>
      </c>
    </row>
    <row r="18" spans="2:9" x14ac:dyDescent="0.2">
      <c r="B18" t="str">
        <f t="shared" si="0"/>
        <v>哥布林掉落</v>
      </c>
      <c r="C18" s="11" t="s">
        <v>132</v>
      </c>
      <c r="D18" s="11" t="s">
        <v>219</v>
      </c>
      <c r="E18" s="11">
        <v>104</v>
      </c>
      <c r="F18" s="11"/>
      <c r="G18" s="11" t="s">
        <v>252</v>
      </c>
      <c r="I18" t="e">
        <f>VLOOKUP(C18,[1]MonsterData!$I$2:$L$84,4,FALSE)</f>
        <v>#N/A</v>
      </c>
    </row>
    <row r="19" spans="2:9" x14ac:dyDescent="0.2">
      <c r="B19" t="str">
        <f t="shared" si="0"/>
        <v>豺狼哥布林掉落</v>
      </c>
      <c r="C19" s="11" t="s">
        <v>133</v>
      </c>
      <c r="D19" s="11" t="s">
        <v>220</v>
      </c>
      <c r="E19" s="11">
        <v>274</v>
      </c>
      <c r="F19" s="11"/>
      <c r="G19" s="11" t="s">
        <v>253</v>
      </c>
      <c r="I19" t="e">
        <f>VLOOKUP(C19,[1]MonsterData!$I$2:$L$84,4,FALSE)</f>
        <v>#N/A</v>
      </c>
    </row>
    <row r="20" spans="2:9" x14ac:dyDescent="0.2">
      <c r="B20" t="str">
        <f t="shared" si="0"/>
        <v>忍者龟掉落</v>
      </c>
      <c r="C20" s="11" t="s">
        <v>134</v>
      </c>
      <c r="D20" s="11" t="s">
        <v>221</v>
      </c>
      <c r="E20" s="11">
        <v>202</v>
      </c>
      <c r="F20" s="11"/>
      <c r="G20" s="11" t="s">
        <v>253</v>
      </c>
      <c r="I20" t="e">
        <f>VLOOKUP(C20,[1]MonsterData!$I$2:$L$84,4,FALSE)</f>
        <v>#N/A</v>
      </c>
    </row>
    <row r="21" spans="2:9" x14ac:dyDescent="0.2">
      <c r="B21" t="str">
        <f t="shared" si="0"/>
        <v>史莱克掉落</v>
      </c>
      <c r="C21" s="11" t="s">
        <v>135</v>
      </c>
      <c r="D21" s="11" t="s">
        <v>222</v>
      </c>
      <c r="E21" s="11">
        <v>273</v>
      </c>
      <c r="F21" s="11"/>
      <c r="G21" s="11" t="s">
        <v>251</v>
      </c>
      <c r="I21" t="e">
        <f>VLOOKUP(C21,[1]MonsterData!$I$2:$L$84,4,FALSE)</f>
        <v>#N/A</v>
      </c>
    </row>
    <row r="22" spans="2:9" x14ac:dyDescent="0.2">
      <c r="B22" t="str">
        <f t="shared" si="0"/>
        <v>史莱克掉落</v>
      </c>
      <c r="C22" s="11" t="s">
        <v>135</v>
      </c>
      <c r="D22" s="11" t="s">
        <v>223</v>
      </c>
      <c r="E22" s="11">
        <v>203</v>
      </c>
      <c r="F22" s="11"/>
      <c r="G22" s="11" t="s">
        <v>251</v>
      </c>
      <c r="I22" t="e">
        <f>VLOOKUP(C22,[1]MonsterData!$I$2:$L$84,4,FALSE)</f>
        <v>#N/A</v>
      </c>
    </row>
    <row r="23" spans="2:9" x14ac:dyDescent="0.2">
      <c r="B23" t="str">
        <f t="shared" si="0"/>
        <v>功夫青蛙掉落</v>
      </c>
      <c r="C23" s="11" t="s">
        <v>136</v>
      </c>
      <c r="D23" s="11" t="s">
        <v>224</v>
      </c>
      <c r="E23" s="11">
        <v>207</v>
      </c>
      <c r="F23" s="11"/>
      <c r="G23" s="11" t="s">
        <v>251</v>
      </c>
      <c r="I23" t="e">
        <f>VLOOKUP(C23,[1]MonsterData!$I$2:$L$84,4,FALSE)</f>
        <v>#N/A</v>
      </c>
    </row>
    <row r="24" spans="2:9" x14ac:dyDescent="0.2">
      <c r="B24" t="str">
        <f t="shared" si="0"/>
        <v>功夫青蛙掉落</v>
      </c>
      <c r="C24" s="11" t="s">
        <v>136</v>
      </c>
      <c r="D24" s="11" t="s">
        <v>211</v>
      </c>
      <c r="E24" s="11">
        <v>200</v>
      </c>
      <c r="F24" s="11"/>
      <c r="G24" s="11" t="s">
        <v>251</v>
      </c>
      <c r="I24" t="e">
        <f>VLOOKUP(C24,[1]MonsterData!$I$2:$L$84,4,FALSE)</f>
        <v>#N/A</v>
      </c>
    </row>
    <row r="25" spans="2:9" x14ac:dyDescent="0.2">
      <c r="B25" t="str">
        <f t="shared" si="0"/>
        <v>功夫青蛙掉落</v>
      </c>
      <c r="C25" s="11" t="s">
        <v>136</v>
      </c>
      <c r="D25" s="11" t="s">
        <v>225</v>
      </c>
      <c r="E25" s="11">
        <v>280</v>
      </c>
      <c r="F25" s="11"/>
      <c r="G25" s="11" t="s">
        <v>249</v>
      </c>
      <c r="I25" t="e">
        <f>VLOOKUP(C25,[1]MonsterData!$I$2:$L$84,4,FALSE)</f>
        <v>#N/A</v>
      </c>
    </row>
    <row r="26" spans="2:9" x14ac:dyDescent="0.2">
      <c r="B26" t="str">
        <f t="shared" si="0"/>
        <v>功夫青蛙掉落</v>
      </c>
      <c r="C26" s="11" t="s">
        <v>136</v>
      </c>
      <c r="D26" s="11" t="s">
        <v>219</v>
      </c>
      <c r="E26" s="11">
        <v>104</v>
      </c>
      <c r="F26" s="11">
        <v>0</v>
      </c>
      <c r="G26" s="11" t="s">
        <v>249</v>
      </c>
      <c r="I26" t="e">
        <f>VLOOKUP(C26,[1]MonsterData!$I$2:$L$84,4,FALSE)</f>
        <v>#N/A</v>
      </c>
    </row>
    <row r="27" spans="2:9" x14ac:dyDescent="0.2">
      <c r="B27" t="str">
        <f t="shared" si="0"/>
        <v>功夫青蛙掉落</v>
      </c>
      <c r="C27" s="11" t="s">
        <v>136</v>
      </c>
      <c r="D27" s="11" t="s">
        <v>216</v>
      </c>
      <c r="E27" s="11">
        <v>203</v>
      </c>
      <c r="F27" s="11">
        <v>0</v>
      </c>
      <c r="G27" s="11" t="s">
        <v>249</v>
      </c>
      <c r="I27" t="e">
        <f>VLOOKUP(C27,[1]MonsterData!$I$2:$L$84,4,FALSE)</f>
        <v>#N/A</v>
      </c>
    </row>
    <row r="28" spans="2:9" x14ac:dyDescent="0.2">
      <c r="B28" t="str">
        <f t="shared" si="0"/>
        <v>功夫青蛙掉落</v>
      </c>
      <c r="C28" s="11" t="s">
        <v>136</v>
      </c>
      <c r="D28" s="11" t="s">
        <v>226</v>
      </c>
      <c r="E28" s="11">
        <v>204</v>
      </c>
      <c r="F28" s="11">
        <v>0</v>
      </c>
      <c r="G28" s="11" t="s">
        <v>249</v>
      </c>
      <c r="I28" t="e">
        <f>VLOOKUP(C28,[1]MonsterData!$I$2:$L$84,4,FALSE)</f>
        <v>#N/A</v>
      </c>
    </row>
    <row r="29" spans="2:9" x14ac:dyDescent="0.2">
      <c r="B29" t="str">
        <f t="shared" si="0"/>
        <v>风之精灵掉落</v>
      </c>
      <c r="C29" s="11" t="s">
        <v>137</v>
      </c>
      <c r="D29" s="11" t="s">
        <v>227</v>
      </c>
      <c r="E29" s="11">
        <v>208</v>
      </c>
      <c r="F29" s="11"/>
      <c r="G29" s="11" t="s">
        <v>249</v>
      </c>
      <c r="I29" t="e">
        <f>VLOOKUP(C29,[1]MonsterData!$I$2:$L$84,4,FALSE)</f>
        <v>#N/A</v>
      </c>
    </row>
    <row r="30" spans="2:9" x14ac:dyDescent="0.2">
      <c r="B30" t="str">
        <f t="shared" si="0"/>
        <v>风之精灵掉落</v>
      </c>
      <c r="C30" s="11" t="s">
        <v>137</v>
      </c>
      <c r="D30" s="11" t="s">
        <v>228</v>
      </c>
      <c r="E30" s="11">
        <v>273</v>
      </c>
      <c r="F30" s="11"/>
      <c r="G30" s="11" t="s">
        <v>251</v>
      </c>
      <c r="I30" t="e">
        <f>VLOOKUP(C30,[1]MonsterData!$I$2:$L$84,4,FALSE)</f>
        <v>#N/A</v>
      </c>
    </row>
    <row r="31" spans="2:9" x14ac:dyDescent="0.2">
      <c r="B31" t="str">
        <f t="shared" si="0"/>
        <v>风之精灵掉落</v>
      </c>
      <c r="C31" s="11" t="s">
        <v>137</v>
      </c>
      <c r="D31" s="11" t="s">
        <v>213</v>
      </c>
      <c r="E31" s="11">
        <v>241</v>
      </c>
      <c r="F31" s="11"/>
      <c r="G31" s="11" t="s">
        <v>251</v>
      </c>
      <c r="I31" t="e">
        <f>VLOOKUP(C31,[1]MonsterData!$I$2:$L$84,4,FALSE)</f>
        <v>#N/A</v>
      </c>
    </row>
    <row r="32" spans="2:9" x14ac:dyDescent="0.2">
      <c r="B32" t="str">
        <f t="shared" si="0"/>
        <v>风之精灵掉落</v>
      </c>
      <c r="C32" s="11" t="s">
        <v>137</v>
      </c>
      <c r="D32" s="11" t="s">
        <v>229</v>
      </c>
      <c r="E32" s="11">
        <v>105</v>
      </c>
      <c r="F32" s="11">
        <v>0</v>
      </c>
      <c r="G32" s="11" t="s">
        <v>249</v>
      </c>
      <c r="I32" t="e">
        <f>VLOOKUP(C32,[1]MonsterData!$I$2:$L$84,4,FALSE)</f>
        <v>#N/A</v>
      </c>
    </row>
    <row r="33" spans="2:9" x14ac:dyDescent="0.2">
      <c r="B33" t="str">
        <f t="shared" si="0"/>
        <v>风之精灵掉落</v>
      </c>
      <c r="C33" s="11" t="s">
        <v>137</v>
      </c>
      <c r="D33" s="11" t="s">
        <v>210</v>
      </c>
      <c r="E33" s="11">
        <v>201</v>
      </c>
      <c r="F33" s="11">
        <v>0</v>
      </c>
      <c r="G33" s="11" t="s">
        <v>249</v>
      </c>
      <c r="I33" t="e">
        <f>VLOOKUP(C33,[1]MonsterData!$I$2:$L$84,4,FALSE)</f>
        <v>#N/A</v>
      </c>
    </row>
    <row r="34" spans="2:9" x14ac:dyDescent="0.2">
      <c r="B34" t="str">
        <f t="shared" si="0"/>
        <v>风之精灵掉落</v>
      </c>
      <c r="C34" s="11" t="s">
        <v>137</v>
      </c>
      <c r="D34" s="11" t="s">
        <v>220</v>
      </c>
      <c r="E34" s="11">
        <v>274</v>
      </c>
      <c r="F34" s="11">
        <v>0</v>
      </c>
      <c r="G34" s="11" t="s">
        <v>249</v>
      </c>
      <c r="I34" t="e">
        <f>VLOOKUP(C34,[1]MonsterData!$I$2:$L$84,4,FALSE)</f>
        <v>#N/A</v>
      </c>
    </row>
    <row r="35" spans="2:9" x14ac:dyDescent="0.2">
      <c r="B35" t="str">
        <f t="shared" si="0"/>
        <v>粘液史莱姆掉落</v>
      </c>
      <c r="C35" s="11" t="s">
        <v>138</v>
      </c>
      <c r="D35" s="11" t="s">
        <v>230</v>
      </c>
      <c r="E35" s="11">
        <v>278</v>
      </c>
      <c r="G35" s="11" t="s">
        <v>253</v>
      </c>
      <c r="I35" t="e">
        <f>VLOOKUP(C35,[1]MonsterData!$I$2:$L$84,4,FALSE)</f>
        <v>#N/A</v>
      </c>
    </row>
    <row r="36" spans="2:9" x14ac:dyDescent="0.2">
      <c r="B36" t="str">
        <f t="shared" si="0"/>
        <v>岩蚁掉落</v>
      </c>
      <c r="C36" s="11" t="s">
        <v>139</v>
      </c>
      <c r="D36" s="11" t="s">
        <v>231</v>
      </c>
      <c r="E36" s="11">
        <v>210</v>
      </c>
      <c r="G36" s="11" t="s">
        <v>251</v>
      </c>
      <c r="I36" t="e">
        <f>VLOOKUP(C36,[1]MonsterData!$I$2:$L$84,4,FALSE)</f>
        <v>#N/A</v>
      </c>
    </row>
    <row r="37" spans="2:9" x14ac:dyDescent="0.2">
      <c r="B37" t="str">
        <f t="shared" si="0"/>
        <v>岩蚁掉落</v>
      </c>
      <c r="C37" s="11" t="s">
        <v>139</v>
      </c>
      <c r="D37" s="11" t="s">
        <v>232</v>
      </c>
      <c r="E37" s="11">
        <v>201</v>
      </c>
      <c r="G37" s="11" t="s">
        <v>251</v>
      </c>
      <c r="I37" t="e">
        <f>VLOOKUP(C37,[1]MonsterData!$I$2:$L$84,4,FALSE)</f>
        <v>#N/A</v>
      </c>
    </row>
    <row r="38" spans="2:9" x14ac:dyDescent="0.2">
      <c r="B38" t="str">
        <f t="shared" si="0"/>
        <v>狼蝠掉落</v>
      </c>
      <c r="C38" s="11" t="s">
        <v>140</v>
      </c>
      <c r="D38" s="11" t="s">
        <v>233</v>
      </c>
      <c r="E38" s="11">
        <v>211</v>
      </c>
      <c r="G38" s="11" t="s">
        <v>253</v>
      </c>
      <c r="I38" t="e">
        <f>VLOOKUP(C38,[1]MonsterData!$I$2:$L$84,4,FALSE)</f>
        <v>#N/A</v>
      </c>
    </row>
    <row r="39" spans="2:9" x14ac:dyDescent="0.2">
      <c r="B39" t="str">
        <f t="shared" si="0"/>
        <v>刺猬掉落</v>
      </c>
      <c r="C39" s="11" t="s">
        <v>141</v>
      </c>
      <c r="D39" s="11" t="s">
        <v>234</v>
      </c>
      <c r="E39" s="11">
        <v>213</v>
      </c>
      <c r="G39" s="11" t="s">
        <v>253</v>
      </c>
      <c r="I39" t="e">
        <f>VLOOKUP(C39,[1]MonsterData!$I$2:$L$84,4,FALSE)</f>
        <v>#N/A</v>
      </c>
    </row>
    <row r="40" spans="2:9" x14ac:dyDescent="0.2">
      <c r="B40" t="str">
        <f t="shared" si="0"/>
        <v>蜘蛛掉落</v>
      </c>
      <c r="C40" s="11" t="s">
        <v>142</v>
      </c>
      <c r="D40" s="11" t="s">
        <v>235</v>
      </c>
      <c r="E40" s="11">
        <v>214</v>
      </c>
      <c r="G40" s="11" t="s">
        <v>253</v>
      </c>
      <c r="I40" t="e">
        <f>VLOOKUP(C40,[1]MonsterData!$I$2:$L$84,4,FALSE)</f>
        <v>#N/A</v>
      </c>
    </row>
    <row r="41" spans="2:9" x14ac:dyDescent="0.2">
      <c r="B41" t="str">
        <f t="shared" si="0"/>
        <v>岩石怪掉落</v>
      </c>
      <c r="C41" s="11" t="s">
        <v>143</v>
      </c>
      <c r="D41" s="11" t="s">
        <v>236</v>
      </c>
      <c r="E41" s="11">
        <v>286</v>
      </c>
      <c r="G41" s="11" t="s">
        <v>251</v>
      </c>
      <c r="I41" t="e">
        <f>VLOOKUP(C41,[1]MonsterData!$I$2:$L$84,4,FALSE)</f>
        <v>#N/A</v>
      </c>
    </row>
    <row r="42" spans="2:9" x14ac:dyDescent="0.2">
      <c r="B42" t="str">
        <f t="shared" si="0"/>
        <v>岩石怪掉落</v>
      </c>
      <c r="C42" s="11" t="s">
        <v>143</v>
      </c>
      <c r="D42" s="11" t="s">
        <v>237</v>
      </c>
      <c r="E42" s="11">
        <v>274</v>
      </c>
      <c r="G42" s="11" t="s">
        <v>251</v>
      </c>
      <c r="I42" t="e">
        <f>VLOOKUP(C42,[1]MonsterData!$I$2:$L$84,4,FALSE)</f>
        <v>#N/A</v>
      </c>
    </row>
    <row r="43" spans="2:9" x14ac:dyDescent="0.2">
      <c r="B43" t="str">
        <f t="shared" si="0"/>
        <v>穴居怪掉落</v>
      </c>
      <c r="C43" s="11" t="s">
        <v>144</v>
      </c>
      <c r="D43" s="11" t="s">
        <v>238</v>
      </c>
      <c r="E43" s="11">
        <v>216</v>
      </c>
      <c r="G43" s="11" t="s">
        <v>251</v>
      </c>
      <c r="I43" t="e">
        <f>VLOOKUP(C43,[1]MonsterData!$I$2:$L$84,4,FALSE)</f>
        <v>#N/A</v>
      </c>
    </row>
    <row r="44" spans="2:9" x14ac:dyDescent="0.2">
      <c r="B44" t="str">
        <f t="shared" si="0"/>
        <v>穴居怪掉落</v>
      </c>
      <c r="C44" s="11" t="s">
        <v>144</v>
      </c>
      <c r="D44" s="11" t="s">
        <v>239</v>
      </c>
      <c r="E44" s="11">
        <v>205</v>
      </c>
      <c r="G44" s="11" t="s">
        <v>251</v>
      </c>
      <c r="I44" t="e">
        <f>VLOOKUP(C44,[1]MonsterData!$I$2:$L$84,4,FALSE)</f>
        <v>#N/A</v>
      </c>
    </row>
    <row r="45" spans="2:9" x14ac:dyDescent="0.2">
      <c r="B45" t="str">
        <f t="shared" si="0"/>
        <v>地下鱼人掉落</v>
      </c>
      <c r="C45" s="11" t="s">
        <v>145</v>
      </c>
      <c r="D45" s="11" t="s">
        <v>240</v>
      </c>
      <c r="E45" s="11">
        <v>234</v>
      </c>
      <c r="G45" s="11" t="s">
        <v>251</v>
      </c>
      <c r="I45" t="e">
        <f>VLOOKUP(C45,[1]MonsterData!$I$2:$L$84,4,FALSE)</f>
        <v>#N/A</v>
      </c>
    </row>
    <row r="46" spans="2:9" x14ac:dyDescent="0.2">
      <c r="B46" t="str">
        <f t="shared" si="0"/>
        <v>地下鱼人掉落</v>
      </c>
      <c r="C46" s="11" t="s">
        <v>145</v>
      </c>
      <c r="D46" s="11" t="s">
        <v>241</v>
      </c>
      <c r="E46" s="11">
        <v>296</v>
      </c>
      <c r="G46" s="11" t="s">
        <v>251</v>
      </c>
      <c r="I46" t="e">
        <f>VLOOKUP(C46,[1]MonsterData!$I$2:$L$84,4,FALSE)</f>
        <v>#N/A</v>
      </c>
    </row>
    <row r="47" spans="2:9" x14ac:dyDescent="0.2">
      <c r="B47" t="str">
        <f t="shared" si="0"/>
        <v>蚁王掉落</v>
      </c>
      <c r="C47" s="11" t="s">
        <v>146</v>
      </c>
      <c r="D47" s="11" t="s">
        <v>242</v>
      </c>
      <c r="E47" s="11">
        <v>3003</v>
      </c>
      <c r="G47" s="11" t="s">
        <v>251</v>
      </c>
      <c r="I47" t="e">
        <f>VLOOKUP(C47,[1]MonsterData!$I$2:$L$84,4,FALSE)</f>
        <v>#N/A</v>
      </c>
    </row>
    <row r="48" spans="2:9" x14ac:dyDescent="0.2">
      <c r="B48" t="str">
        <f t="shared" si="0"/>
        <v>蚁王掉落</v>
      </c>
      <c r="C48" s="11" t="s">
        <v>146</v>
      </c>
      <c r="D48" s="11" t="s">
        <v>243</v>
      </c>
      <c r="E48" s="11">
        <v>210</v>
      </c>
      <c r="G48" s="11" t="s">
        <v>251</v>
      </c>
      <c r="I48" t="e">
        <f>VLOOKUP(C48,[1]MonsterData!$I$2:$L$84,4,FALSE)</f>
        <v>#N/A</v>
      </c>
    </row>
    <row r="49" spans="2:9" x14ac:dyDescent="0.2">
      <c r="B49" t="str">
        <f t="shared" si="0"/>
        <v>蚁王掉落</v>
      </c>
      <c r="C49" s="11" t="s">
        <v>146</v>
      </c>
      <c r="D49" s="11" t="s">
        <v>236</v>
      </c>
      <c r="E49" s="11">
        <v>286</v>
      </c>
      <c r="G49" s="11" t="s">
        <v>249</v>
      </c>
      <c r="I49" t="e">
        <f>VLOOKUP(C49,[1]MonsterData!$I$2:$L$84,4,FALSE)</f>
        <v>#N/A</v>
      </c>
    </row>
    <row r="50" spans="2:9" x14ac:dyDescent="0.2">
      <c r="B50" t="str">
        <f t="shared" si="0"/>
        <v>蚁王掉落</v>
      </c>
      <c r="C50" s="11" t="s">
        <v>146</v>
      </c>
      <c r="D50" s="11" t="s">
        <v>230</v>
      </c>
      <c r="E50" s="11">
        <v>278</v>
      </c>
      <c r="G50" s="11" t="s">
        <v>249</v>
      </c>
      <c r="I50" t="e">
        <f>VLOOKUP(C50,[1]MonsterData!$I$2:$L$84,4,FALSE)</f>
        <v>#N/A</v>
      </c>
    </row>
    <row r="51" spans="2:9" x14ac:dyDescent="0.2">
      <c r="B51" t="str">
        <f t="shared" si="0"/>
        <v>蚁王掉落</v>
      </c>
      <c r="C51" s="11" t="s">
        <v>146</v>
      </c>
      <c r="D51" s="11" t="s">
        <v>244</v>
      </c>
      <c r="E51" s="11">
        <v>214</v>
      </c>
      <c r="G51" s="11" t="s">
        <v>249</v>
      </c>
      <c r="I51" t="e">
        <f>VLOOKUP(C51,[1]MonsterData!$I$2:$L$84,4,FALSE)</f>
        <v>#N/A</v>
      </c>
    </row>
    <row r="52" spans="2:9" x14ac:dyDescent="0.2">
      <c r="B52" t="str">
        <f t="shared" si="0"/>
        <v>蚁王掉落</v>
      </c>
      <c r="C52" s="11" t="s">
        <v>146</v>
      </c>
      <c r="D52" s="11" t="s">
        <v>234</v>
      </c>
      <c r="E52" s="11">
        <v>213</v>
      </c>
      <c r="G52" s="11" t="s">
        <v>249</v>
      </c>
      <c r="I52" t="e">
        <f>VLOOKUP(C52,[1]MonsterData!$I$2:$L$84,4,FALSE)</f>
        <v>#N/A</v>
      </c>
    </row>
    <row r="53" spans="2:9" x14ac:dyDescent="0.2">
      <c r="B53" t="str">
        <f t="shared" si="0"/>
        <v>石巨人掉落</v>
      </c>
      <c r="C53" s="11" t="s">
        <v>147</v>
      </c>
      <c r="D53" s="11" t="s">
        <v>245</v>
      </c>
      <c r="E53" s="11">
        <v>218</v>
      </c>
      <c r="G53" s="11" t="s">
        <v>251</v>
      </c>
      <c r="I53" t="e">
        <f>VLOOKUP(C53,[1]MonsterData!$I$2:$L$84,4,FALSE)</f>
        <v>#N/A</v>
      </c>
    </row>
    <row r="54" spans="2:9" x14ac:dyDescent="0.2">
      <c r="B54" t="str">
        <f t="shared" si="0"/>
        <v>石巨人掉落</v>
      </c>
      <c r="C54" s="11" t="s">
        <v>147</v>
      </c>
      <c r="D54" s="11" t="s">
        <v>239</v>
      </c>
      <c r="E54" s="11">
        <v>205</v>
      </c>
      <c r="G54" s="11" t="s">
        <v>251</v>
      </c>
      <c r="I54" t="e">
        <f>VLOOKUP(C54,[1]MonsterData!$I$2:$L$84,4,FALSE)</f>
        <v>#N/A</v>
      </c>
    </row>
    <row r="55" spans="2:9" x14ac:dyDescent="0.2">
      <c r="B55" t="str">
        <f t="shared" si="0"/>
        <v>石巨人掉落</v>
      </c>
      <c r="C55" s="11" t="s">
        <v>147</v>
      </c>
      <c r="D55" s="11" t="s">
        <v>246</v>
      </c>
      <c r="E55" s="11">
        <v>216</v>
      </c>
      <c r="G55" s="11" t="s">
        <v>249</v>
      </c>
      <c r="I55" t="e">
        <f>VLOOKUP(C55,[1]MonsterData!$I$2:$L$84,4,FALSE)</f>
        <v>#N/A</v>
      </c>
    </row>
    <row r="56" spans="2:9" x14ac:dyDescent="0.2">
      <c r="B56" t="str">
        <f t="shared" si="0"/>
        <v>石巨人掉落</v>
      </c>
      <c r="C56" s="11" t="s">
        <v>147</v>
      </c>
      <c r="D56" s="11" t="s">
        <v>236</v>
      </c>
      <c r="E56" s="11">
        <v>286</v>
      </c>
      <c r="G56" s="11" t="s">
        <v>249</v>
      </c>
      <c r="I56" t="e">
        <f>VLOOKUP(C56,[1]MonsterData!$I$2:$L$84,4,FALSE)</f>
        <v>#N/A</v>
      </c>
    </row>
    <row r="57" spans="2:9" x14ac:dyDescent="0.2">
      <c r="B57" t="str">
        <f t="shared" si="0"/>
        <v>石巨人掉落</v>
      </c>
      <c r="C57" s="11" t="s">
        <v>147</v>
      </c>
      <c r="D57" s="11" t="s">
        <v>247</v>
      </c>
      <c r="E57" s="11">
        <v>210</v>
      </c>
      <c r="G57" s="11" t="s">
        <v>249</v>
      </c>
      <c r="I57" t="e">
        <f>VLOOKUP(C57,[1]MonsterData!$I$2:$L$84,4,FALSE)</f>
        <v>#N/A</v>
      </c>
    </row>
    <row r="58" spans="2:9" x14ac:dyDescent="0.2">
      <c r="B58" t="str">
        <f t="shared" si="0"/>
        <v>石巨人掉落</v>
      </c>
      <c r="C58" s="11" t="s">
        <v>147</v>
      </c>
      <c r="D58" s="11" t="s">
        <v>248</v>
      </c>
      <c r="E58" s="11">
        <v>216</v>
      </c>
      <c r="G58" s="11" t="s">
        <v>249</v>
      </c>
      <c r="I58" t="e">
        <f>VLOOKUP(C58,[1]MonsterData!$I$2:$L$84,4,FALSE)</f>
        <v>#N/A</v>
      </c>
    </row>
    <row r="59" spans="2:9" x14ac:dyDescent="0.2">
      <c r="B59" t="str">
        <f t="shared" si="0"/>
        <v>小毒菇掉落</v>
      </c>
      <c r="C59" s="11" t="s">
        <v>148</v>
      </c>
      <c r="D59" s="11" t="s">
        <v>256</v>
      </c>
      <c r="G59" s="11" t="s">
        <v>253</v>
      </c>
      <c r="I59" t="e">
        <f>VLOOKUP(C59,[1]MonsterData!$I$2:$L$84,4,FALSE)</f>
        <v>#N/A</v>
      </c>
    </row>
    <row r="60" spans="2:9" x14ac:dyDescent="0.2">
      <c r="B60" t="str">
        <f t="shared" si="0"/>
        <v>枯树精掉落</v>
      </c>
      <c r="C60" s="11" t="s">
        <v>149</v>
      </c>
      <c r="D60" s="11" t="s">
        <v>257</v>
      </c>
      <c r="G60" s="11" t="s">
        <v>251</v>
      </c>
      <c r="I60" t="e">
        <f>VLOOKUP(C60,[1]MonsterData!$I$2:$L$84,4,FALSE)</f>
        <v>#N/A</v>
      </c>
    </row>
    <row r="61" spans="2:9" x14ac:dyDescent="0.2">
      <c r="B61" t="str">
        <f t="shared" si="0"/>
        <v>枯树精掉落</v>
      </c>
      <c r="C61" s="11" t="s">
        <v>149</v>
      </c>
      <c r="D61" s="11" t="s">
        <v>258</v>
      </c>
      <c r="G61" s="11" t="s">
        <v>251</v>
      </c>
      <c r="I61" t="e">
        <f>VLOOKUP(C61,[1]MonsterData!$I$2:$L$84,4,FALSE)</f>
        <v>#N/A</v>
      </c>
    </row>
    <row r="62" spans="2:9" x14ac:dyDescent="0.2">
      <c r="B62" t="str">
        <f t="shared" si="0"/>
        <v>邪眼掉落</v>
      </c>
      <c r="C62" s="11" t="s">
        <v>150</v>
      </c>
      <c r="D62" s="11" t="s">
        <v>259</v>
      </c>
      <c r="G62" s="11" t="s">
        <v>251</v>
      </c>
      <c r="I62" t="e">
        <f>VLOOKUP(C62,[1]MonsterData!$I$2:$L$84,4,FALSE)</f>
        <v>#N/A</v>
      </c>
    </row>
    <row r="63" spans="2:9" x14ac:dyDescent="0.2">
      <c r="B63" t="str">
        <f t="shared" si="0"/>
        <v>邪眼掉落</v>
      </c>
      <c r="C63" s="11" t="s">
        <v>150</v>
      </c>
      <c r="D63" s="11" t="s">
        <v>260</v>
      </c>
      <c r="G63" s="11" t="s">
        <v>251</v>
      </c>
      <c r="I63" t="e">
        <f>VLOOKUP(C63,[1]MonsterData!$I$2:$L$84,4,FALSE)</f>
        <v>#N/A</v>
      </c>
    </row>
    <row r="64" spans="2:9" x14ac:dyDescent="0.2">
      <c r="B64" t="str">
        <f t="shared" si="0"/>
        <v>彩虹鸟掉落</v>
      </c>
      <c r="C64" s="11" t="s">
        <v>151</v>
      </c>
      <c r="D64" s="11" t="s">
        <v>261</v>
      </c>
      <c r="G64" s="11" t="s">
        <v>253</v>
      </c>
      <c r="I64" t="e">
        <f>VLOOKUP(C64,[1]MonsterData!$I$2:$L$84,4,FALSE)</f>
        <v>#N/A</v>
      </c>
    </row>
    <row r="65" spans="2:9" x14ac:dyDescent="0.2">
      <c r="B65" t="str">
        <f t="shared" si="0"/>
        <v>藤蔓怪掉落</v>
      </c>
      <c r="C65" s="11" t="s">
        <v>152</v>
      </c>
      <c r="D65" s="11" t="s">
        <v>262</v>
      </c>
      <c r="G65" s="11" t="s">
        <v>251</v>
      </c>
      <c r="I65" t="e">
        <f>VLOOKUP(C65,[1]MonsterData!$I$2:$L$84,4,FALSE)</f>
        <v>#N/A</v>
      </c>
    </row>
    <row r="66" spans="2:9" x14ac:dyDescent="0.2">
      <c r="B66" t="str">
        <f t="shared" si="0"/>
        <v>藤蔓怪掉落</v>
      </c>
      <c r="C66" s="11" t="s">
        <v>152</v>
      </c>
      <c r="D66" s="11" t="s">
        <v>229</v>
      </c>
      <c r="G66" s="11" t="s">
        <v>251</v>
      </c>
      <c r="I66" t="e">
        <f>VLOOKUP(C66,[1]MonsterData!$I$2:$L$84,4,FALSE)</f>
        <v>#N/A</v>
      </c>
    </row>
    <row r="67" spans="2:9" x14ac:dyDescent="0.2">
      <c r="B67" t="str">
        <f t="shared" si="0"/>
        <v>鹿掉落</v>
      </c>
      <c r="C67" s="11" t="s">
        <v>153</v>
      </c>
      <c r="D67" s="11" t="s">
        <v>263</v>
      </c>
      <c r="G67" s="11" t="s">
        <v>251</v>
      </c>
      <c r="I67" t="e">
        <f>VLOOKUP(C67,[1]MonsterData!$I$2:$L$84,4,FALSE)</f>
        <v>#N/A</v>
      </c>
    </row>
    <row r="68" spans="2:9" x14ac:dyDescent="0.2">
      <c r="B68" t="str">
        <f t="shared" si="0"/>
        <v>鹿掉落</v>
      </c>
      <c r="C68" s="11" t="s">
        <v>153</v>
      </c>
      <c r="D68" s="11" t="s">
        <v>216</v>
      </c>
      <c r="G68" s="11" t="s">
        <v>251</v>
      </c>
      <c r="I68" t="e">
        <f>VLOOKUP(C68,[1]MonsterData!$I$2:$L$84,4,FALSE)</f>
        <v>#N/A</v>
      </c>
    </row>
    <row r="69" spans="2:9" x14ac:dyDescent="0.2">
      <c r="B69" t="str">
        <f t="shared" si="0"/>
        <v>蜜蜂掉落</v>
      </c>
      <c r="C69" s="11" t="s">
        <v>154</v>
      </c>
      <c r="D69" s="11" t="s">
        <v>264</v>
      </c>
      <c r="G69" s="11" t="s">
        <v>251</v>
      </c>
      <c r="I69" t="e">
        <f>VLOOKUP(C69,[1]MonsterData!$I$2:$L$84,4,FALSE)</f>
        <v>#N/A</v>
      </c>
    </row>
    <row r="70" spans="2:9" x14ac:dyDescent="0.2">
      <c r="B70" t="str">
        <f t="shared" si="0"/>
        <v>蜜蜂掉落</v>
      </c>
      <c r="C70" s="11" t="s">
        <v>154</v>
      </c>
      <c r="D70" s="11" t="s">
        <v>265</v>
      </c>
      <c r="F70">
        <v>5000</v>
      </c>
      <c r="G70" s="11" t="s">
        <v>251</v>
      </c>
      <c r="I70" t="e">
        <f>VLOOKUP(C70,[1]MonsterData!$I$2:$L$84,4,FALSE)</f>
        <v>#N/A</v>
      </c>
    </row>
    <row r="71" spans="2:9" x14ac:dyDescent="0.2">
      <c r="B71" t="str">
        <f t="shared" si="0"/>
        <v>幼虎掉落</v>
      </c>
      <c r="C71" s="11" t="s">
        <v>155</v>
      </c>
      <c r="D71" s="11" t="s">
        <v>266</v>
      </c>
      <c r="G71" s="11" t="s">
        <v>251</v>
      </c>
      <c r="I71" t="e">
        <f>VLOOKUP(C71,[1]MonsterData!$I$2:$L$84,4,FALSE)</f>
        <v>#N/A</v>
      </c>
    </row>
    <row r="72" spans="2:9" x14ac:dyDescent="0.2">
      <c r="B72" t="str">
        <f t="shared" ref="B72:B135" si="1">C72&amp;"掉落"</f>
        <v>幼虎掉落</v>
      </c>
      <c r="C72" s="11" t="s">
        <v>155</v>
      </c>
      <c r="D72" s="11" t="s">
        <v>267</v>
      </c>
      <c r="F72">
        <v>5000</v>
      </c>
      <c r="G72" s="11" t="s">
        <v>251</v>
      </c>
      <c r="I72" t="e">
        <f>VLOOKUP(C72,[1]MonsterData!$I$2:$L$84,4,FALSE)</f>
        <v>#N/A</v>
      </c>
    </row>
    <row r="73" spans="2:9" x14ac:dyDescent="0.2">
      <c r="B73" t="str">
        <f t="shared" si="1"/>
        <v>狮蛇兽掉落</v>
      </c>
      <c r="C73" s="11" t="s">
        <v>156</v>
      </c>
      <c r="D73" s="11" t="s">
        <v>268</v>
      </c>
      <c r="G73" s="11" t="s">
        <v>251</v>
      </c>
      <c r="I73" t="e">
        <f>VLOOKUP(C73,[1]MonsterData!$I$2:$L$84,4,FALSE)</f>
        <v>#N/A</v>
      </c>
    </row>
    <row r="74" spans="2:9" x14ac:dyDescent="0.2">
      <c r="B74" t="str">
        <f t="shared" si="1"/>
        <v>狮蛇兽掉落</v>
      </c>
      <c r="C74" s="11" t="s">
        <v>156</v>
      </c>
      <c r="D74" s="11" t="s">
        <v>269</v>
      </c>
      <c r="G74" s="11" t="s">
        <v>251</v>
      </c>
      <c r="I74" t="e">
        <f>VLOOKUP(C74,[1]MonsterData!$I$2:$L$84,4,FALSE)</f>
        <v>#N/A</v>
      </c>
    </row>
    <row r="75" spans="2:9" x14ac:dyDescent="0.2">
      <c r="B75" t="str">
        <f t="shared" si="1"/>
        <v>狮蛇兽掉落</v>
      </c>
      <c r="C75" s="11" t="s">
        <v>156</v>
      </c>
      <c r="D75" s="11" t="s">
        <v>270</v>
      </c>
      <c r="G75" s="11" t="s">
        <v>249</v>
      </c>
      <c r="I75" t="e">
        <f>VLOOKUP(C75,[1]MonsterData!$I$2:$L$84,4,FALSE)</f>
        <v>#N/A</v>
      </c>
    </row>
    <row r="76" spans="2:9" x14ac:dyDescent="0.2">
      <c r="B76" t="str">
        <f t="shared" si="1"/>
        <v>狮蛇兽掉落</v>
      </c>
      <c r="C76" s="11" t="s">
        <v>156</v>
      </c>
      <c r="D76" s="11" t="s">
        <v>271</v>
      </c>
      <c r="G76" s="11" t="s">
        <v>249</v>
      </c>
      <c r="I76" t="e">
        <f>VLOOKUP(C76,[1]MonsterData!$I$2:$L$84,4,FALSE)</f>
        <v>#N/A</v>
      </c>
    </row>
    <row r="77" spans="2:9" x14ac:dyDescent="0.2">
      <c r="B77" t="str">
        <f t="shared" si="1"/>
        <v>狮蛇兽掉落</v>
      </c>
      <c r="C77" s="11" t="s">
        <v>156</v>
      </c>
      <c r="D77" s="11" t="s">
        <v>258</v>
      </c>
      <c r="G77" s="11" t="s">
        <v>249</v>
      </c>
      <c r="I77" t="e">
        <f>VLOOKUP(C77,[1]MonsterData!$I$2:$L$84,4,FALSE)</f>
        <v>#N/A</v>
      </c>
    </row>
    <row r="78" spans="2:9" x14ac:dyDescent="0.2">
      <c r="B78" t="str">
        <f t="shared" si="1"/>
        <v>狮蛇兽掉落</v>
      </c>
      <c r="C78" s="11" t="s">
        <v>156</v>
      </c>
      <c r="D78" s="11" t="s">
        <v>260</v>
      </c>
      <c r="G78" s="11" t="s">
        <v>249</v>
      </c>
      <c r="I78" t="e">
        <f>VLOOKUP(C78,[1]MonsterData!$I$2:$L$84,4,FALSE)</f>
        <v>#N/A</v>
      </c>
    </row>
    <row r="79" spans="2:9" x14ac:dyDescent="0.2">
      <c r="B79" t="str">
        <f t="shared" si="1"/>
        <v>绿皮怪掉落</v>
      </c>
      <c r="C79" s="11" t="s">
        <v>157</v>
      </c>
      <c r="D79" s="11" t="s">
        <v>272</v>
      </c>
      <c r="G79" s="11" t="s">
        <v>251</v>
      </c>
      <c r="I79" t="e">
        <f>VLOOKUP(C79,[1]MonsterData!$I$2:$L$84,4,FALSE)</f>
        <v>#N/A</v>
      </c>
    </row>
    <row r="80" spans="2:9" x14ac:dyDescent="0.2">
      <c r="B80" t="str">
        <f t="shared" si="1"/>
        <v>绿皮怪掉落</v>
      </c>
      <c r="C80" s="11" t="s">
        <v>157</v>
      </c>
      <c r="D80" s="11" t="s">
        <v>241</v>
      </c>
      <c r="G80" s="11" t="s">
        <v>251</v>
      </c>
      <c r="I80" t="e">
        <f>VLOOKUP(C80,[1]MonsterData!$I$2:$L$84,4,FALSE)</f>
        <v>#N/A</v>
      </c>
    </row>
    <row r="81" spans="2:9" x14ac:dyDescent="0.2">
      <c r="B81" t="str">
        <f t="shared" si="1"/>
        <v>绿皮怪掉落</v>
      </c>
      <c r="C81" s="11" t="s">
        <v>157</v>
      </c>
      <c r="D81" s="11" t="s">
        <v>273</v>
      </c>
      <c r="G81" s="11" t="s">
        <v>249</v>
      </c>
      <c r="I81" t="e">
        <f>VLOOKUP(C81,[1]MonsterData!$I$2:$L$84,4,FALSE)</f>
        <v>#N/A</v>
      </c>
    </row>
    <row r="82" spans="2:9" x14ac:dyDescent="0.2">
      <c r="B82" t="str">
        <f t="shared" si="1"/>
        <v>绿皮怪掉落</v>
      </c>
      <c r="C82" s="11" t="s">
        <v>157</v>
      </c>
      <c r="D82" s="11" t="s">
        <v>262</v>
      </c>
      <c r="G82" s="11" t="s">
        <v>249</v>
      </c>
      <c r="I82" t="e">
        <f>VLOOKUP(C82,[1]MonsterData!$I$2:$L$84,4,FALSE)</f>
        <v>#N/A</v>
      </c>
    </row>
    <row r="83" spans="2:9" x14ac:dyDescent="0.2">
      <c r="B83" t="str">
        <f t="shared" si="1"/>
        <v>绿皮怪掉落</v>
      </c>
      <c r="C83" s="11" t="s">
        <v>157</v>
      </c>
      <c r="D83" s="11" t="s">
        <v>229</v>
      </c>
      <c r="G83" s="11" t="s">
        <v>249</v>
      </c>
      <c r="I83" t="e">
        <f>VLOOKUP(C83,[1]MonsterData!$I$2:$L$84,4,FALSE)</f>
        <v>#N/A</v>
      </c>
    </row>
    <row r="84" spans="2:9" x14ac:dyDescent="0.2">
      <c r="B84" t="str">
        <f t="shared" si="1"/>
        <v>绿皮怪掉落</v>
      </c>
      <c r="C84" s="11" t="s">
        <v>157</v>
      </c>
      <c r="D84" s="11" t="s">
        <v>261</v>
      </c>
      <c r="G84" s="11" t="s">
        <v>249</v>
      </c>
      <c r="I84" t="e">
        <f>VLOOKUP(C84,[1]MonsterData!$I$2:$L$84,4,FALSE)</f>
        <v>#N/A</v>
      </c>
    </row>
    <row r="85" spans="2:9" x14ac:dyDescent="0.2">
      <c r="B85" t="str">
        <f t="shared" si="1"/>
        <v>水母掉落</v>
      </c>
      <c r="C85" s="11" t="s">
        <v>79</v>
      </c>
      <c r="D85" s="11" t="s">
        <v>274</v>
      </c>
      <c r="G85" s="11" t="s">
        <v>251</v>
      </c>
      <c r="I85" t="e">
        <f>VLOOKUP(C85,[1]MonsterData!$I$2:$L$84,4,FALSE)</f>
        <v>#N/A</v>
      </c>
    </row>
    <row r="86" spans="2:9" x14ac:dyDescent="0.2">
      <c r="B86" t="str">
        <f t="shared" si="1"/>
        <v>水母掉落</v>
      </c>
      <c r="C86" s="11" t="s">
        <v>79</v>
      </c>
      <c r="D86" s="11" t="s">
        <v>208</v>
      </c>
      <c r="G86" s="11" t="s">
        <v>251</v>
      </c>
      <c r="I86" t="e">
        <f>VLOOKUP(C86,[1]MonsterData!$I$2:$L$84,4,FALSE)</f>
        <v>#N/A</v>
      </c>
    </row>
    <row r="87" spans="2:9" x14ac:dyDescent="0.2">
      <c r="B87" t="str">
        <f t="shared" si="1"/>
        <v>海胆掉落</v>
      </c>
      <c r="C87" s="11" t="s">
        <v>158</v>
      </c>
      <c r="D87" s="11" t="s">
        <v>275</v>
      </c>
      <c r="G87" s="11" t="s">
        <v>251</v>
      </c>
      <c r="I87" t="e">
        <f>VLOOKUP(C87,[1]MonsterData!$I$2:$L$84,4,FALSE)</f>
        <v>#N/A</v>
      </c>
    </row>
    <row r="88" spans="2:9" x14ac:dyDescent="0.2">
      <c r="B88" t="str">
        <f t="shared" si="1"/>
        <v>海胆掉落</v>
      </c>
      <c r="C88" s="11" t="s">
        <v>158</v>
      </c>
      <c r="D88" s="11" t="s">
        <v>276</v>
      </c>
      <c r="G88" s="11" t="s">
        <v>251</v>
      </c>
      <c r="I88" t="e">
        <f>VLOOKUP(C88,[1]MonsterData!$I$2:$L$84,4,FALSE)</f>
        <v>#N/A</v>
      </c>
    </row>
    <row r="89" spans="2:9" x14ac:dyDescent="0.2">
      <c r="B89" t="str">
        <f t="shared" si="1"/>
        <v>水族掉落</v>
      </c>
      <c r="C89" s="11" t="s">
        <v>159</v>
      </c>
      <c r="D89" s="11" t="s">
        <v>277</v>
      </c>
      <c r="G89" s="11" t="s">
        <v>251</v>
      </c>
      <c r="I89" t="e">
        <f>VLOOKUP(C89,[1]MonsterData!$I$2:$L$84,4,FALSE)</f>
        <v>#N/A</v>
      </c>
    </row>
    <row r="90" spans="2:9" x14ac:dyDescent="0.2">
      <c r="B90" t="str">
        <f t="shared" si="1"/>
        <v>水族掉落</v>
      </c>
      <c r="C90" s="11" t="s">
        <v>159</v>
      </c>
      <c r="D90" s="11" t="s">
        <v>278</v>
      </c>
      <c r="G90" s="11" t="s">
        <v>251</v>
      </c>
      <c r="I90" t="e">
        <f>VLOOKUP(C90,[1]MonsterData!$I$2:$L$84,4,FALSE)</f>
        <v>#N/A</v>
      </c>
    </row>
    <row r="91" spans="2:9" x14ac:dyDescent="0.2">
      <c r="B91" t="str">
        <f t="shared" si="1"/>
        <v>海盗鸟掉落</v>
      </c>
      <c r="C91" s="11" t="s">
        <v>160</v>
      </c>
      <c r="D91" s="11" t="s">
        <v>261</v>
      </c>
      <c r="G91" s="11" t="s">
        <v>251</v>
      </c>
      <c r="I91" t="e">
        <f>VLOOKUP(C91,[1]MonsterData!$I$2:$L$84,4,FALSE)</f>
        <v>#N/A</v>
      </c>
    </row>
    <row r="92" spans="2:9" x14ac:dyDescent="0.2">
      <c r="B92" t="str">
        <f t="shared" si="1"/>
        <v>海盗鸟掉落</v>
      </c>
      <c r="C92" s="11" t="s">
        <v>160</v>
      </c>
      <c r="D92" s="11" t="s">
        <v>235</v>
      </c>
      <c r="G92" s="11" t="s">
        <v>251</v>
      </c>
      <c r="I92" t="e">
        <f>VLOOKUP(C92,[1]MonsterData!$I$2:$L$84,4,FALSE)</f>
        <v>#N/A</v>
      </c>
    </row>
    <row r="93" spans="2:9" x14ac:dyDescent="0.2">
      <c r="B93" t="str">
        <f t="shared" si="1"/>
        <v>火烈鸟掉落</v>
      </c>
      <c r="C93" s="11" t="s">
        <v>161</v>
      </c>
      <c r="D93" s="11" t="s">
        <v>279</v>
      </c>
      <c r="G93" s="11" t="s">
        <v>251</v>
      </c>
      <c r="I93" t="e">
        <f>VLOOKUP(C93,[1]MonsterData!$I$2:$L$84,4,FALSE)</f>
        <v>#N/A</v>
      </c>
    </row>
    <row r="94" spans="2:9" x14ac:dyDescent="0.2">
      <c r="B94" t="str">
        <f t="shared" si="1"/>
        <v>火烈鸟掉落</v>
      </c>
      <c r="C94" s="11" t="s">
        <v>161</v>
      </c>
      <c r="D94" s="11" t="s">
        <v>280</v>
      </c>
      <c r="G94" s="11" t="s">
        <v>251</v>
      </c>
      <c r="I94" t="e">
        <f>VLOOKUP(C94,[1]MonsterData!$I$2:$L$84,4,FALSE)</f>
        <v>#N/A</v>
      </c>
    </row>
    <row r="95" spans="2:9" x14ac:dyDescent="0.2">
      <c r="B95" t="str">
        <f t="shared" si="1"/>
        <v>寄居蟹掉落</v>
      </c>
      <c r="C95" s="11" t="s">
        <v>162</v>
      </c>
      <c r="D95" s="11" t="s">
        <v>281</v>
      </c>
      <c r="G95" s="11" t="s">
        <v>251</v>
      </c>
      <c r="I95" t="e">
        <f>VLOOKUP(C95,[1]MonsterData!$I$2:$L$84,4,FALSE)</f>
        <v>#N/A</v>
      </c>
    </row>
    <row r="96" spans="2:9" x14ac:dyDescent="0.2">
      <c r="B96" t="str">
        <f t="shared" si="1"/>
        <v>寄居蟹掉落</v>
      </c>
      <c r="C96" s="11" t="s">
        <v>162</v>
      </c>
      <c r="D96" s="11" t="s">
        <v>239</v>
      </c>
      <c r="G96" s="11" t="s">
        <v>251</v>
      </c>
      <c r="I96" t="e">
        <f>VLOOKUP(C96,[1]MonsterData!$I$2:$L$84,4,FALSE)</f>
        <v>#N/A</v>
      </c>
    </row>
    <row r="97" spans="2:9" x14ac:dyDescent="0.2">
      <c r="B97" t="str">
        <f t="shared" si="1"/>
        <v>蓝鳄掉落</v>
      </c>
      <c r="C97" s="11" t="s">
        <v>163</v>
      </c>
      <c r="D97" s="11" t="s">
        <v>282</v>
      </c>
      <c r="G97" s="11" t="s">
        <v>251</v>
      </c>
      <c r="I97" t="e">
        <f>VLOOKUP(C97,[1]MonsterData!$I$2:$L$84,4,FALSE)</f>
        <v>#N/A</v>
      </c>
    </row>
    <row r="98" spans="2:9" x14ac:dyDescent="0.2">
      <c r="B98" t="str">
        <f t="shared" si="1"/>
        <v>蓝鳄掉落</v>
      </c>
      <c r="C98" s="11" t="s">
        <v>163</v>
      </c>
      <c r="D98" s="11" t="s">
        <v>241</v>
      </c>
      <c r="G98" s="11" t="s">
        <v>251</v>
      </c>
      <c r="I98" t="e">
        <f>VLOOKUP(C98,[1]MonsterData!$I$2:$L$84,4,FALSE)</f>
        <v>#N/A</v>
      </c>
    </row>
    <row r="99" spans="2:9" x14ac:dyDescent="0.2">
      <c r="B99" t="str">
        <f t="shared" si="1"/>
        <v>水之精灵掉落</v>
      </c>
      <c r="C99" s="11" t="s">
        <v>164</v>
      </c>
      <c r="D99" s="11" t="s">
        <v>283</v>
      </c>
      <c r="G99" s="11" t="s">
        <v>251</v>
      </c>
      <c r="I99" t="e">
        <f>VLOOKUP(C99,[1]MonsterData!$I$2:$L$84,4,FALSE)</f>
        <v>#N/A</v>
      </c>
    </row>
    <row r="100" spans="2:9" x14ac:dyDescent="0.2">
      <c r="B100" t="str">
        <f t="shared" si="1"/>
        <v>水之精灵掉落</v>
      </c>
      <c r="C100" s="11" t="s">
        <v>164</v>
      </c>
      <c r="D100" s="11" t="s">
        <v>284</v>
      </c>
      <c r="G100" s="11" t="s">
        <v>251</v>
      </c>
      <c r="I100" t="e">
        <f>VLOOKUP(C100,[1]MonsterData!$I$2:$L$84,4,FALSE)</f>
        <v>#N/A</v>
      </c>
    </row>
    <row r="101" spans="2:9" x14ac:dyDescent="0.2">
      <c r="B101" t="str">
        <f t="shared" si="1"/>
        <v>巨齿鲨掉落</v>
      </c>
      <c r="C101" s="11" t="s">
        <v>165</v>
      </c>
      <c r="D101" s="11" t="s">
        <v>282</v>
      </c>
      <c r="G101" s="11" t="s">
        <v>251</v>
      </c>
      <c r="I101" t="e">
        <f>VLOOKUP(C101,[1]MonsterData!$I$2:$L$84,4,FALSE)</f>
        <v>#N/A</v>
      </c>
    </row>
    <row r="102" spans="2:9" x14ac:dyDescent="0.2">
      <c r="B102" t="str">
        <f t="shared" si="1"/>
        <v>巨齿鲨掉落</v>
      </c>
      <c r="C102" s="11" t="s">
        <v>165</v>
      </c>
      <c r="D102" s="11" t="s">
        <v>277</v>
      </c>
      <c r="G102" s="11" t="s">
        <v>251</v>
      </c>
      <c r="I102" t="e">
        <f>VLOOKUP(C102,[1]MonsterData!$I$2:$L$84,4,FALSE)</f>
        <v>#N/A</v>
      </c>
    </row>
    <row r="103" spans="2:9" x14ac:dyDescent="0.2">
      <c r="B103" t="str">
        <f t="shared" si="1"/>
        <v>巨齿鲨掉落</v>
      </c>
      <c r="C103" s="11" t="s">
        <v>165</v>
      </c>
      <c r="D103" s="11" t="s">
        <v>285</v>
      </c>
      <c r="G103" s="11" t="s">
        <v>249</v>
      </c>
      <c r="I103" t="e">
        <f>VLOOKUP(C103,[1]MonsterData!$I$2:$L$84,4,FALSE)</f>
        <v>#N/A</v>
      </c>
    </row>
    <row r="104" spans="2:9" x14ac:dyDescent="0.2">
      <c r="B104" t="str">
        <f t="shared" si="1"/>
        <v>巨齿鲨掉落</v>
      </c>
      <c r="C104" s="11" t="s">
        <v>165</v>
      </c>
      <c r="D104" s="11" t="s">
        <v>278</v>
      </c>
      <c r="G104" s="11" t="s">
        <v>249</v>
      </c>
      <c r="I104" t="e">
        <f>VLOOKUP(C104,[1]MonsterData!$I$2:$L$84,4,FALSE)</f>
        <v>#N/A</v>
      </c>
    </row>
    <row r="105" spans="2:9" x14ac:dyDescent="0.2">
      <c r="B105" t="str">
        <f t="shared" si="1"/>
        <v>巨齿鲨掉落</v>
      </c>
      <c r="C105" s="11" t="s">
        <v>165</v>
      </c>
      <c r="D105" s="11" t="s">
        <v>281</v>
      </c>
      <c r="G105" s="11" t="s">
        <v>249</v>
      </c>
      <c r="I105" t="e">
        <f>VLOOKUP(C105,[1]MonsterData!$I$2:$L$84,4,FALSE)</f>
        <v>#N/A</v>
      </c>
    </row>
    <row r="106" spans="2:9" x14ac:dyDescent="0.2">
      <c r="B106" t="str">
        <f t="shared" si="1"/>
        <v>巨齿鲨掉落</v>
      </c>
      <c r="C106" s="11" t="s">
        <v>165</v>
      </c>
      <c r="D106" s="11" t="s">
        <v>234</v>
      </c>
      <c r="G106" s="11" t="s">
        <v>249</v>
      </c>
      <c r="I106" t="e">
        <f>VLOOKUP(C106,[1]MonsterData!$I$2:$L$84,4,FALSE)</f>
        <v>#N/A</v>
      </c>
    </row>
    <row r="107" spans="2:9" x14ac:dyDescent="0.2">
      <c r="B107" t="str">
        <f t="shared" si="1"/>
        <v>螺巨人掉落</v>
      </c>
      <c r="C107" s="11" t="s">
        <v>166</v>
      </c>
      <c r="D107" s="11" t="s">
        <v>286</v>
      </c>
      <c r="G107" s="11" t="s">
        <v>251</v>
      </c>
      <c r="I107" t="e">
        <f>VLOOKUP(C107,[1]MonsterData!$I$2:$L$84,4,FALSE)</f>
        <v>#N/A</v>
      </c>
    </row>
    <row r="108" spans="2:9" x14ac:dyDescent="0.2">
      <c r="B108" t="str">
        <f t="shared" si="1"/>
        <v>螺巨人掉落</v>
      </c>
      <c r="C108" s="11" t="s">
        <v>166</v>
      </c>
      <c r="D108" s="11" t="s">
        <v>241</v>
      </c>
      <c r="G108" s="11" t="s">
        <v>251</v>
      </c>
      <c r="I108" t="e">
        <f>VLOOKUP(C108,[1]MonsterData!$I$2:$L$84,4,FALSE)</f>
        <v>#N/A</v>
      </c>
    </row>
    <row r="109" spans="2:9" x14ac:dyDescent="0.2">
      <c r="B109" t="str">
        <f t="shared" si="1"/>
        <v>螺巨人掉落</v>
      </c>
      <c r="C109" s="11" t="s">
        <v>166</v>
      </c>
      <c r="D109" s="11" t="s">
        <v>287</v>
      </c>
      <c r="G109" s="11" t="s">
        <v>249</v>
      </c>
      <c r="I109" t="e">
        <f>VLOOKUP(C109,[1]MonsterData!$I$2:$L$84,4,FALSE)</f>
        <v>#N/A</v>
      </c>
    </row>
    <row r="110" spans="2:9" x14ac:dyDescent="0.2">
      <c r="B110" t="str">
        <f t="shared" si="1"/>
        <v>螺巨人掉落</v>
      </c>
      <c r="C110" s="11" t="s">
        <v>166</v>
      </c>
      <c r="D110" s="11" t="s">
        <v>283</v>
      </c>
      <c r="G110" s="11" t="s">
        <v>249</v>
      </c>
      <c r="I110" t="e">
        <f>VLOOKUP(C110,[1]MonsterData!$I$2:$L$84,4,FALSE)</f>
        <v>#N/A</v>
      </c>
    </row>
    <row r="111" spans="2:9" x14ac:dyDescent="0.2">
      <c r="B111" t="str">
        <f t="shared" si="1"/>
        <v>螺巨人掉落</v>
      </c>
      <c r="C111" s="11" t="s">
        <v>166</v>
      </c>
      <c r="D111" s="11" t="s">
        <v>284</v>
      </c>
      <c r="G111" s="11" t="s">
        <v>249</v>
      </c>
      <c r="I111" t="e">
        <f>VLOOKUP(C111,[1]MonsterData!$I$2:$L$84,4,FALSE)</f>
        <v>#N/A</v>
      </c>
    </row>
    <row r="112" spans="2:9" x14ac:dyDescent="0.2">
      <c r="B112" t="str">
        <f t="shared" si="1"/>
        <v>螺巨人掉落</v>
      </c>
      <c r="C112" s="11" t="s">
        <v>166</v>
      </c>
      <c r="D112" s="11" t="s">
        <v>288</v>
      </c>
      <c r="G112" s="11" t="s">
        <v>249</v>
      </c>
      <c r="I112" t="e">
        <f>VLOOKUP(C112,[1]MonsterData!$I$2:$L$84,4,FALSE)</f>
        <v>#N/A</v>
      </c>
    </row>
    <row r="113" spans="2:9" x14ac:dyDescent="0.2">
      <c r="B113" t="str">
        <f t="shared" si="1"/>
        <v>松鼠掉落</v>
      </c>
      <c r="C113" s="11" t="s">
        <v>167</v>
      </c>
      <c r="D113" s="11" t="s">
        <v>217</v>
      </c>
      <c r="G113" s="11" t="s">
        <v>252</v>
      </c>
      <c r="I113" t="e">
        <f>VLOOKUP(C113,[1]MonsterData!$I$2:$L$84,4,FALSE)</f>
        <v>#N/A</v>
      </c>
    </row>
    <row r="114" spans="2:9" x14ac:dyDescent="0.2">
      <c r="B114" t="str">
        <f t="shared" si="1"/>
        <v>松鼠掉落</v>
      </c>
      <c r="C114" s="11" t="s">
        <v>167</v>
      </c>
      <c r="D114" s="11" t="s">
        <v>289</v>
      </c>
      <c r="F114">
        <v>5000</v>
      </c>
      <c r="G114" s="11" t="s">
        <v>249</v>
      </c>
      <c r="I114" t="e">
        <f>VLOOKUP(C114,[1]MonsterData!$I$2:$L$84,4,FALSE)</f>
        <v>#N/A</v>
      </c>
    </row>
    <row r="115" spans="2:9" x14ac:dyDescent="0.2">
      <c r="B115" t="str">
        <f t="shared" si="1"/>
        <v>貘掉落</v>
      </c>
      <c r="C115" s="11" t="s">
        <v>168</v>
      </c>
      <c r="D115" s="11" t="s">
        <v>290</v>
      </c>
      <c r="G115" s="11" t="s">
        <v>251</v>
      </c>
      <c r="I115" t="e">
        <f>VLOOKUP(C115,[1]MonsterData!$I$2:$L$84,4,FALSE)</f>
        <v>#N/A</v>
      </c>
    </row>
    <row r="116" spans="2:9" x14ac:dyDescent="0.2">
      <c r="B116" t="str">
        <f t="shared" si="1"/>
        <v>貘掉落</v>
      </c>
      <c r="C116" s="11" t="s">
        <v>168</v>
      </c>
      <c r="D116" s="11" t="s">
        <v>291</v>
      </c>
      <c r="G116" s="11" t="s">
        <v>251</v>
      </c>
      <c r="I116" t="e">
        <f>VLOOKUP(C116,[1]MonsterData!$I$2:$L$84,4,FALSE)</f>
        <v>#N/A</v>
      </c>
    </row>
    <row r="117" spans="2:9" x14ac:dyDescent="0.2">
      <c r="B117" t="str">
        <f t="shared" si="1"/>
        <v>部落巫医掉落</v>
      </c>
      <c r="C117" s="11" t="s">
        <v>169</v>
      </c>
      <c r="D117" s="11" t="s">
        <v>292</v>
      </c>
      <c r="G117" s="11" t="s">
        <v>251</v>
      </c>
      <c r="I117" t="e">
        <f>VLOOKUP(C117,[1]MonsterData!$I$2:$L$84,4,FALSE)</f>
        <v>#N/A</v>
      </c>
    </row>
    <row r="118" spans="2:9" x14ac:dyDescent="0.2">
      <c r="B118" t="str">
        <f t="shared" si="1"/>
        <v>部落巫医掉落</v>
      </c>
      <c r="C118" s="11" t="s">
        <v>169</v>
      </c>
      <c r="D118" s="11" t="s">
        <v>293</v>
      </c>
      <c r="G118" s="11" t="s">
        <v>251</v>
      </c>
      <c r="I118" t="e">
        <f>VLOOKUP(C118,[1]MonsterData!$I$2:$L$84,4,FALSE)</f>
        <v>#N/A</v>
      </c>
    </row>
    <row r="119" spans="2:9" x14ac:dyDescent="0.2">
      <c r="B119" t="str">
        <f t="shared" si="1"/>
        <v>土龙掉落</v>
      </c>
      <c r="C119" s="11" t="s">
        <v>170</v>
      </c>
      <c r="D119" s="11" t="s">
        <v>294</v>
      </c>
      <c r="G119" s="11" t="s">
        <v>249</v>
      </c>
      <c r="I119" t="e">
        <f>VLOOKUP(C119,[1]MonsterData!$I$2:$L$84,4,FALSE)</f>
        <v>#N/A</v>
      </c>
    </row>
    <row r="120" spans="2:9" x14ac:dyDescent="0.2">
      <c r="B120" t="str">
        <f t="shared" si="1"/>
        <v>土龙掉落</v>
      </c>
      <c r="C120" s="11" t="s">
        <v>170</v>
      </c>
      <c r="D120" s="11" t="s">
        <v>241</v>
      </c>
      <c r="G120" s="11" t="s">
        <v>251</v>
      </c>
      <c r="I120" t="e">
        <f>VLOOKUP(C120,[1]MonsterData!$I$2:$L$84,4,FALSE)</f>
        <v>#N/A</v>
      </c>
    </row>
    <row r="121" spans="2:9" x14ac:dyDescent="0.2">
      <c r="B121" t="str">
        <f t="shared" si="1"/>
        <v>土龙掉落</v>
      </c>
      <c r="C121" s="11" t="s">
        <v>170</v>
      </c>
      <c r="D121" s="11" t="s">
        <v>216</v>
      </c>
      <c r="F121">
        <v>5000</v>
      </c>
      <c r="G121" s="11" t="s">
        <v>249</v>
      </c>
      <c r="I121" t="e">
        <f>VLOOKUP(C121,[1]MonsterData!$I$2:$L$84,4,FALSE)</f>
        <v>#N/A</v>
      </c>
    </row>
    <row r="122" spans="2:9" x14ac:dyDescent="0.2">
      <c r="B122" t="str">
        <f t="shared" si="1"/>
        <v>毒蛇掉落</v>
      </c>
      <c r="C122" s="11" t="s">
        <v>171</v>
      </c>
      <c r="D122" s="11" t="s">
        <v>295</v>
      </c>
      <c r="G122" s="11" t="s">
        <v>251</v>
      </c>
      <c r="I122" t="e">
        <f>VLOOKUP(C122,[1]MonsterData!$I$2:$L$84,4,FALSE)</f>
        <v>#N/A</v>
      </c>
    </row>
    <row r="123" spans="2:9" x14ac:dyDescent="0.2">
      <c r="B123" t="str">
        <f t="shared" si="1"/>
        <v>毒蛇掉落</v>
      </c>
      <c r="C123" s="11" t="s">
        <v>171</v>
      </c>
      <c r="D123" s="13" t="s">
        <v>296</v>
      </c>
      <c r="G123" s="11" t="s">
        <v>251</v>
      </c>
      <c r="I123" t="e">
        <f>VLOOKUP(C123,[1]MonsterData!$I$2:$L$84,4,FALSE)</f>
        <v>#N/A</v>
      </c>
    </row>
    <row r="124" spans="2:9" x14ac:dyDescent="0.2">
      <c r="B124" t="str">
        <f t="shared" si="1"/>
        <v>大黄蜂掉落</v>
      </c>
      <c r="C124" s="11" t="s">
        <v>172</v>
      </c>
      <c r="D124" s="13" t="s">
        <v>297</v>
      </c>
      <c r="G124" s="11" t="s">
        <v>251</v>
      </c>
      <c r="I124" t="e">
        <f>VLOOKUP(C124,[1]MonsterData!$I$2:$L$84,4,FALSE)</f>
        <v>#N/A</v>
      </c>
    </row>
    <row r="125" spans="2:9" x14ac:dyDescent="0.2">
      <c r="B125" t="str">
        <f t="shared" si="1"/>
        <v>大黄蜂掉落</v>
      </c>
      <c r="C125" s="11" t="s">
        <v>172</v>
      </c>
      <c r="D125" s="11" t="s">
        <v>235</v>
      </c>
      <c r="G125" s="11" t="s">
        <v>251</v>
      </c>
      <c r="I125" t="e">
        <f>VLOOKUP(C125,[1]MonsterData!$I$2:$L$84,4,FALSE)</f>
        <v>#N/A</v>
      </c>
    </row>
    <row r="126" spans="2:9" x14ac:dyDescent="0.2">
      <c r="B126" t="str">
        <f t="shared" si="1"/>
        <v>食人花掉落</v>
      </c>
      <c r="C126" s="11" t="s">
        <v>173</v>
      </c>
      <c r="D126" s="11" t="s">
        <v>298</v>
      </c>
      <c r="G126" s="11" t="s">
        <v>251</v>
      </c>
      <c r="I126" t="e">
        <f>VLOOKUP(C126,[1]MonsterData!$I$2:$L$84,4,FALSE)</f>
        <v>#N/A</v>
      </c>
    </row>
    <row r="127" spans="2:9" x14ac:dyDescent="0.2">
      <c r="B127" t="str">
        <f t="shared" si="1"/>
        <v>食人花掉落</v>
      </c>
      <c r="C127" s="11" t="s">
        <v>173</v>
      </c>
      <c r="D127" s="11" t="s">
        <v>299</v>
      </c>
      <c r="G127" s="11" t="s">
        <v>251</v>
      </c>
      <c r="I127" t="e">
        <f>VLOOKUP(C127,[1]MonsterData!$I$2:$L$84,4,FALSE)</f>
        <v>#N/A</v>
      </c>
    </row>
    <row r="128" spans="2:9" x14ac:dyDescent="0.2">
      <c r="B128" t="str">
        <f t="shared" si="1"/>
        <v>大象掉落</v>
      </c>
      <c r="C128" s="11" t="s">
        <v>174</v>
      </c>
      <c r="D128" s="11" t="s">
        <v>300</v>
      </c>
      <c r="G128" s="11" t="s">
        <v>252</v>
      </c>
      <c r="I128" t="e">
        <f>VLOOKUP(C128,[1]MonsterData!$I$2:$L$84,4,FALSE)</f>
        <v>#N/A</v>
      </c>
    </row>
    <row r="129" spans="2:9" x14ac:dyDescent="0.2">
      <c r="B129" t="str">
        <f t="shared" si="1"/>
        <v>牛头酋长掉落</v>
      </c>
      <c r="C129" s="11" t="s">
        <v>175</v>
      </c>
      <c r="D129" s="11" t="s">
        <v>301</v>
      </c>
      <c r="G129" s="11" t="s">
        <v>251</v>
      </c>
      <c r="I129" t="e">
        <f>VLOOKUP(C129,[1]MonsterData!$I$2:$L$84,4,FALSE)</f>
        <v>#N/A</v>
      </c>
    </row>
    <row r="130" spans="2:9" x14ac:dyDescent="0.2">
      <c r="B130" t="str">
        <f t="shared" si="1"/>
        <v>牛头酋长掉落</v>
      </c>
      <c r="C130" s="11" t="s">
        <v>175</v>
      </c>
      <c r="D130" s="11" t="s">
        <v>213</v>
      </c>
      <c r="G130" s="11" t="s">
        <v>251</v>
      </c>
      <c r="I130" t="e">
        <f>VLOOKUP(C130,[1]MonsterData!$I$2:$L$84,4,FALSE)</f>
        <v>#N/A</v>
      </c>
    </row>
    <row r="131" spans="2:9" x14ac:dyDescent="0.2">
      <c r="B131" t="str">
        <f t="shared" si="1"/>
        <v>牛头酋长掉落</v>
      </c>
      <c r="C131" s="11" t="s">
        <v>175</v>
      </c>
      <c r="D131" s="11" t="s">
        <v>302</v>
      </c>
      <c r="G131" s="11" t="s">
        <v>249</v>
      </c>
      <c r="I131" t="e">
        <f>VLOOKUP(C131,[1]MonsterData!$I$2:$L$84,4,FALSE)</f>
        <v>#N/A</v>
      </c>
    </row>
    <row r="132" spans="2:9" x14ac:dyDescent="0.2">
      <c r="B132" t="str">
        <f t="shared" si="1"/>
        <v>牛头酋长掉落</v>
      </c>
      <c r="C132" s="11" t="s">
        <v>175</v>
      </c>
      <c r="D132" s="11" t="s">
        <v>219</v>
      </c>
      <c r="G132" s="11" t="s">
        <v>249</v>
      </c>
      <c r="I132" t="e">
        <f>VLOOKUP(C132,[1]MonsterData!$I$2:$L$84,4,FALSE)</f>
        <v>#N/A</v>
      </c>
    </row>
    <row r="133" spans="2:9" x14ac:dyDescent="0.2">
      <c r="B133" t="str">
        <f t="shared" si="1"/>
        <v>牛头酋长掉落</v>
      </c>
      <c r="C133" s="11" t="s">
        <v>175</v>
      </c>
      <c r="D133" s="11" t="s">
        <v>303</v>
      </c>
      <c r="G133" s="11" t="s">
        <v>249</v>
      </c>
      <c r="I133" t="e">
        <f>VLOOKUP(C133,[1]MonsterData!$I$2:$L$84,4,FALSE)</f>
        <v>#N/A</v>
      </c>
    </row>
    <row r="134" spans="2:9" x14ac:dyDescent="0.2">
      <c r="B134" t="str">
        <f t="shared" si="1"/>
        <v>牛头酋长掉落</v>
      </c>
      <c r="C134" s="11" t="s">
        <v>175</v>
      </c>
      <c r="D134" s="11" t="s">
        <v>304</v>
      </c>
      <c r="G134" s="11" t="s">
        <v>249</v>
      </c>
      <c r="I134" t="e">
        <f>VLOOKUP(C134,[1]MonsterData!$I$2:$L$84,4,FALSE)</f>
        <v>#N/A</v>
      </c>
    </row>
    <row r="135" spans="2:9" x14ac:dyDescent="0.2">
      <c r="B135" t="str">
        <f t="shared" si="1"/>
        <v>猪人首领掉落</v>
      </c>
      <c r="C135" s="11" t="s">
        <v>176</v>
      </c>
      <c r="D135" s="11" t="s">
        <v>305</v>
      </c>
      <c r="G135" s="11" t="s">
        <v>251</v>
      </c>
      <c r="I135" t="e">
        <f>VLOOKUP(C135,[1]MonsterData!$I$2:$L$84,4,FALSE)</f>
        <v>#N/A</v>
      </c>
    </row>
    <row r="136" spans="2:9" x14ac:dyDescent="0.2">
      <c r="B136" t="str">
        <f t="shared" ref="B136:B199" si="2">C136&amp;"掉落"</f>
        <v>猪人首领掉落</v>
      </c>
      <c r="C136" s="11" t="s">
        <v>176</v>
      </c>
      <c r="D136" s="11" t="s">
        <v>306</v>
      </c>
      <c r="G136" s="11" t="s">
        <v>251</v>
      </c>
      <c r="I136" t="e">
        <f>VLOOKUP(C136,[1]MonsterData!$I$2:$L$84,4,FALSE)</f>
        <v>#N/A</v>
      </c>
    </row>
    <row r="137" spans="2:9" x14ac:dyDescent="0.2">
      <c r="B137" t="str">
        <f t="shared" si="2"/>
        <v>猪人首领掉落</v>
      </c>
      <c r="C137" s="11" t="s">
        <v>176</v>
      </c>
      <c r="D137" s="11" t="s">
        <v>307</v>
      </c>
      <c r="G137" s="11" t="s">
        <v>249</v>
      </c>
      <c r="I137" t="e">
        <f>VLOOKUP(C137,[1]MonsterData!$I$2:$L$84,4,FALSE)</f>
        <v>#N/A</v>
      </c>
    </row>
    <row r="138" spans="2:9" x14ac:dyDescent="0.2">
      <c r="B138" t="str">
        <f t="shared" si="2"/>
        <v>猪人首领掉落</v>
      </c>
      <c r="C138" s="11" t="s">
        <v>176</v>
      </c>
      <c r="D138" s="11" t="s">
        <v>308</v>
      </c>
      <c r="G138" s="11" t="s">
        <v>249</v>
      </c>
      <c r="I138" t="e">
        <f>VLOOKUP(C138,[1]MonsterData!$I$2:$L$84,4,FALSE)</f>
        <v>#N/A</v>
      </c>
    </row>
    <row r="139" spans="2:9" x14ac:dyDescent="0.2">
      <c r="B139" t="str">
        <f t="shared" si="2"/>
        <v>猪人首领掉落</v>
      </c>
      <c r="C139" s="11" t="s">
        <v>176</v>
      </c>
      <c r="D139" s="11" t="s">
        <v>245</v>
      </c>
      <c r="G139" s="11" t="s">
        <v>249</v>
      </c>
      <c r="I139" t="e">
        <f>VLOOKUP(C139,[1]MonsterData!$I$2:$L$84,4,FALSE)</f>
        <v>#N/A</v>
      </c>
    </row>
    <row r="140" spans="2:9" x14ac:dyDescent="0.2">
      <c r="B140" t="str">
        <f t="shared" si="2"/>
        <v>猪人首领掉落</v>
      </c>
      <c r="C140" s="11" t="s">
        <v>176</v>
      </c>
      <c r="D140" s="11" t="s">
        <v>309</v>
      </c>
      <c r="G140" s="11" t="s">
        <v>249</v>
      </c>
      <c r="I140" t="e">
        <f>VLOOKUP(C140,[1]MonsterData!$I$2:$L$84,4,FALSE)</f>
        <v>#N/A</v>
      </c>
    </row>
    <row r="141" spans="2:9" x14ac:dyDescent="0.2">
      <c r="B141" t="str">
        <f t="shared" si="2"/>
        <v>沙漠巨蝎掉落</v>
      </c>
      <c r="C141" s="11" t="s">
        <v>177</v>
      </c>
      <c r="D141" s="11" t="s">
        <v>310</v>
      </c>
      <c r="G141" s="11" t="s">
        <v>251</v>
      </c>
      <c r="I141" t="e">
        <f>VLOOKUP(C141,[1]MonsterData!$I$2:$L$84,4,FALSE)</f>
        <v>#N/A</v>
      </c>
    </row>
    <row r="142" spans="2:9" x14ac:dyDescent="0.2">
      <c r="B142" t="str">
        <f t="shared" si="2"/>
        <v>沙漠巨蝎掉落</v>
      </c>
      <c r="C142" s="11" t="s">
        <v>177</v>
      </c>
      <c r="D142" s="11" t="s">
        <v>241</v>
      </c>
      <c r="G142" s="11" t="s">
        <v>251</v>
      </c>
      <c r="I142" t="e">
        <f>VLOOKUP(C142,[1]MonsterData!$I$2:$L$84,4,FALSE)</f>
        <v>#N/A</v>
      </c>
    </row>
    <row r="143" spans="2:9" x14ac:dyDescent="0.2">
      <c r="B143" t="str">
        <f t="shared" si="2"/>
        <v>尖叫仙人掌掉落</v>
      </c>
      <c r="C143" s="11" t="s">
        <v>178</v>
      </c>
      <c r="D143" s="11" t="s">
        <v>311</v>
      </c>
      <c r="G143" s="11" t="s">
        <v>249</v>
      </c>
      <c r="I143" t="e">
        <f>VLOOKUP(C143,[1]MonsterData!$I$2:$L$84,4,FALSE)</f>
        <v>#N/A</v>
      </c>
    </row>
    <row r="144" spans="2:9" x14ac:dyDescent="0.2">
      <c r="B144" t="str">
        <f t="shared" si="2"/>
        <v>尖叫仙人掌掉落</v>
      </c>
      <c r="C144" s="11" t="s">
        <v>178</v>
      </c>
      <c r="D144" s="11" t="s">
        <v>208</v>
      </c>
      <c r="G144" s="11" t="s">
        <v>251</v>
      </c>
      <c r="I144" t="e">
        <f>VLOOKUP(C144,[1]MonsterData!$I$2:$L$84,4,FALSE)</f>
        <v>#N/A</v>
      </c>
    </row>
    <row r="145" spans="2:9" x14ac:dyDescent="0.2">
      <c r="B145" t="str">
        <f t="shared" si="2"/>
        <v>尖叫仙人掌掉落</v>
      </c>
      <c r="C145" s="11" t="s">
        <v>178</v>
      </c>
      <c r="D145" s="11" t="s">
        <v>230</v>
      </c>
      <c r="F145">
        <v>5000</v>
      </c>
      <c r="G145" s="11" t="s">
        <v>249</v>
      </c>
      <c r="I145" t="e">
        <f>VLOOKUP(C145,[1]MonsterData!$I$2:$L$84,4,FALSE)</f>
        <v>#N/A</v>
      </c>
    </row>
    <row r="146" spans="2:9" x14ac:dyDescent="0.2">
      <c r="B146" t="str">
        <f t="shared" si="2"/>
        <v>木乃伊掉落</v>
      </c>
      <c r="C146" s="11" t="s">
        <v>179</v>
      </c>
      <c r="D146" s="11" t="s">
        <v>312</v>
      </c>
      <c r="G146" s="11" t="s">
        <v>249</v>
      </c>
      <c r="I146" t="e">
        <f>VLOOKUP(C146,[1]MonsterData!$I$2:$L$84,4,FALSE)</f>
        <v>#N/A</v>
      </c>
    </row>
    <row r="147" spans="2:9" x14ac:dyDescent="0.2">
      <c r="B147" t="str">
        <f t="shared" si="2"/>
        <v>木乃伊掉落</v>
      </c>
      <c r="C147" s="11" t="s">
        <v>179</v>
      </c>
      <c r="D147" s="11" t="s">
        <v>235</v>
      </c>
      <c r="G147" s="11" t="s">
        <v>251</v>
      </c>
      <c r="I147" t="e">
        <f>VLOOKUP(C147,[1]MonsterData!$I$2:$L$84,4,FALSE)</f>
        <v>#N/A</v>
      </c>
    </row>
    <row r="148" spans="2:9" x14ac:dyDescent="0.2">
      <c r="B148" t="str">
        <f t="shared" si="2"/>
        <v>木乃伊掉落</v>
      </c>
      <c r="C148" s="11" t="s">
        <v>179</v>
      </c>
      <c r="D148" s="11" t="s">
        <v>285</v>
      </c>
      <c r="F148">
        <v>5000</v>
      </c>
      <c r="G148" s="11" t="s">
        <v>249</v>
      </c>
      <c r="I148" t="e">
        <f>VLOOKUP(C148,[1]MonsterData!$I$2:$L$84,4,FALSE)</f>
        <v>#N/A</v>
      </c>
    </row>
    <row r="149" spans="2:9" x14ac:dyDescent="0.2">
      <c r="B149" t="str">
        <f t="shared" si="2"/>
        <v>牛头恶灵掉落</v>
      </c>
      <c r="C149" s="11" t="s">
        <v>180</v>
      </c>
      <c r="D149" s="11" t="s">
        <v>313</v>
      </c>
      <c r="G149" s="11" t="s">
        <v>251</v>
      </c>
      <c r="I149" t="e">
        <f>VLOOKUP(C149,[1]MonsterData!$I$2:$L$84,4,FALSE)</f>
        <v>#N/A</v>
      </c>
    </row>
    <row r="150" spans="2:9" x14ac:dyDescent="0.2">
      <c r="B150" t="str">
        <f t="shared" si="2"/>
        <v>牛头恶灵掉落</v>
      </c>
      <c r="C150" s="11" t="s">
        <v>180</v>
      </c>
      <c r="D150" s="11" t="s">
        <v>314</v>
      </c>
      <c r="G150" s="11" t="s">
        <v>251</v>
      </c>
      <c r="I150" t="e">
        <f>VLOOKUP(C150,[1]MonsterData!$I$2:$L$84,4,FALSE)</f>
        <v>#N/A</v>
      </c>
    </row>
    <row r="151" spans="2:9" x14ac:dyDescent="0.2">
      <c r="B151" t="str">
        <f t="shared" si="2"/>
        <v>黄金蚂蚁掉落</v>
      </c>
      <c r="C151" s="11" t="s">
        <v>181</v>
      </c>
      <c r="D151" s="11" t="s">
        <v>315</v>
      </c>
      <c r="G151" s="11" t="s">
        <v>252</v>
      </c>
      <c r="I151" t="e">
        <f>VLOOKUP(C151,[1]MonsterData!$I$2:$L$84,4,FALSE)</f>
        <v>#N/A</v>
      </c>
    </row>
    <row r="152" spans="2:9" x14ac:dyDescent="0.2">
      <c r="B152" t="str">
        <f t="shared" si="2"/>
        <v>黄金蚂蚁掉落</v>
      </c>
      <c r="C152" s="11" t="s">
        <v>181</v>
      </c>
      <c r="D152" s="11" t="s">
        <v>299</v>
      </c>
      <c r="F152">
        <v>5000</v>
      </c>
      <c r="G152" s="11" t="s">
        <v>249</v>
      </c>
      <c r="I152" t="e">
        <f>VLOOKUP(C152,[1]MonsterData!$I$2:$L$84,4,FALSE)</f>
        <v>#N/A</v>
      </c>
    </row>
    <row r="153" spans="2:9" x14ac:dyDescent="0.2">
      <c r="B153" t="str">
        <f t="shared" si="2"/>
        <v>邪法师掉落</v>
      </c>
      <c r="C153" s="11" t="s">
        <v>182</v>
      </c>
      <c r="D153" s="11" t="s">
        <v>316</v>
      </c>
      <c r="G153" s="11" t="s">
        <v>249</v>
      </c>
      <c r="I153" t="e">
        <f>VLOOKUP(C153,[1]MonsterData!$I$2:$L$84,4,FALSE)</f>
        <v>#N/A</v>
      </c>
    </row>
    <row r="154" spans="2:9" x14ac:dyDescent="0.2">
      <c r="B154" t="str">
        <f t="shared" si="2"/>
        <v>邪法师掉落</v>
      </c>
      <c r="C154" s="11" t="s">
        <v>182</v>
      </c>
      <c r="D154" s="11" t="s">
        <v>317</v>
      </c>
      <c r="G154" s="11" t="s">
        <v>251</v>
      </c>
      <c r="I154" t="e">
        <f>VLOOKUP(C154,[1]MonsterData!$I$2:$L$84,4,FALSE)</f>
        <v>#N/A</v>
      </c>
    </row>
    <row r="155" spans="2:9" x14ac:dyDescent="0.2">
      <c r="B155" t="str">
        <f t="shared" si="2"/>
        <v>邪法师掉落</v>
      </c>
      <c r="C155" s="11" t="s">
        <v>182</v>
      </c>
      <c r="D155" s="11" t="s">
        <v>318</v>
      </c>
      <c r="F155">
        <v>5000</v>
      </c>
      <c r="G155" s="11" t="s">
        <v>249</v>
      </c>
      <c r="I155" t="e">
        <f>VLOOKUP(C155,[1]MonsterData!$I$2:$L$84,4,FALSE)</f>
        <v>#N/A</v>
      </c>
    </row>
    <row r="156" spans="2:9" x14ac:dyDescent="0.2">
      <c r="B156" t="str">
        <f t="shared" si="2"/>
        <v>沙兀鹫掉落</v>
      </c>
      <c r="C156" s="11" t="s">
        <v>183</v>
      </c>
      <c r="D156" s="11" t="s">
        <v>272</v>
      </c>
      <c r="G156" s="11" t="s">
        <v>252</v>
      </c>
      <c r="I156" t="e">
        <f>VLOOKUP(C156,[1]MonsterData!$I$2:$L$84,4,FALSE)</f>
        <v>#N/A</v>
      </c>
    </row>
    <row r="157" spans="2:9" x14ac:dyDescent="0.2">
      <c r="B157" t="str">
        <f t="shared" si="2"/>
        <v>小偷掉落</v>
      </c>
      <c r="C157" s="11" t="s">
        <v>184</v>
      </c>
      <c r="D157" s="11" t="s">
        <v>319</v>
      </c>
      <c r="G157" s="11" t="s">
        <v>249</v>
      </c>
      <c r="I157" t="e">
        <f>VLOOKUP(C157,[1]MonsterData!$I$2:$L$84,4,FALSE)</f>
        <v>#N/A</v>
      </c>
    </row>
    <row r="158" spans="2:9" x14ac:dyDescent="0.2">
      <c r="B158" t="str">
        <f t="shared" si="2"/>
        <v>小偷掉落</v>
      </c>
      <c r="C158" s="11" t="s">
        <v>184</v>
      </c>
      <c r="D158" s="11" t="s">
        <v>320</v>
      </c>
      <c r="G158" s="11" t="s">
        <v>251</v>
      </c>
      <c r="I158" t="e">
        <f>VLOOKUP(C158,[1]MonsterData!$I$2:$L$84,4,FALSE)</f>
        <v>#N/A</v>
      </c>
    </row>
    <row r="159" spans="2:9" x14ac:dyDescent="0.2">
      <c r="B159" t="str">
        <f t="shared" si="2"/>
        <v>小偷掉落</v>
      </c>
      <c r="C159" s="11" t="s">
        <v>184</v>
      </c>
      <c r="D159" s="11" t="s">
        <v>317</v>
      </c>
      <c r="F159">
        <v>5000</v>
      </c>
      <c r="G159" s="11" t="s">
        <v>249</v>
      </c>
      <c r="I159" t="e">
        <f>VLOOKUP(C159,[1]MonsterData!$I$2:$L$84,4,FALSE)</f>
        <v>#N/A</v>
      </c>
    </row>
    <row r="160" spans="2:9" x14ac:dyDescent="0.2">
      <c r="B160" t="str">
        <f t="shared" si="2"/>
        <v>宝箱恶魔掉落</v>
      </c>
      <c r="C160" s="11" t="s">
        <v>185</v>
      </c>
      <c r="D160" s="11" t="s">
        <v>321</v>
      </c>
      <c r="G160" s="11" t="s">
        <v>251</v>
      </c>
      <c r="I160" t="e">
        <f>VLOOKUP(C160,[1]MonsterData!$I$2:$L$84,4,FALSE)</f>
        <v>#N/A</v>
      </c>
    </row>
    <row r="161" spans="2:9" x14ac:dyDescent="0.2">
      <c r="B161" t="str">
        <f t="shared" si="2"/>
        <v>宝箱恶魔掉落</v>
      </c>
      <c r="C161" s="11" t="s">
        <v>185</v>
      </c>
      <c r="D161" s="11" t="s">
        <v>319</v>
      </c>
      <c r="G161" s="11" t="s">
        <v>251</v>
      </c>
      <c r="I161" t="e">
        <f>VLOOKUP(C161,[1]MonsterData!$I$2:$L$84,4,FALSE)</f>
        <v>#N/A</v>
      </c>
    </row>
    <row r="162" spans="2:9" x14ac:dyDescent="0.2">
      <c r="B162" t="str">
        <f t="shared" si="2"/>
        <v>宝箱恶魔掉落</v>
      </c>
      <c r="C162" s="11" t="s">
        <v>185</v>
      </c>
      <c r="D162" s="11" t="s">
        <v>315</v>
      </c>
      <c r="G162" s="11" t="s">
        <v>249</v>
      </c>
      <c r="I162" t="e">
        <f>VLOOKUP(C162,[1]MonsterData!$I$2:$L$84,4,FALSE)</f>
        <v>#N/A</v>
      </c>
    </row>
    <row r="163" spans="2:9" x14ac:dyDescent="0.2">
      <c r="B163" t="str">
        <f t="shared" si="2"/>
        <v>宝箱恶魔掉落</v>
      </c>
      <c r="C163" s="11" t="s">
        <v>185</v>
      </c>
      <c r="D163" s="11" t="s">
        <v>241</v>
      </c>
      <c r="G163" s="11" t="s">
        <v>251</v>
      </c>
      <c r="I163" t="e">
        <f>VLOOKUP(C163,[1]MonsterData!$I$2:$L$84,4,FALSE)</f>
        <v>#N/A</v>
      </c>
    </row>
    <row r="164" spans="2:9" x14ac:dyDescent="0.2">
      <c r="B164" t="str">
        <f t="shared" si="2"/>
        <v>宝箱恶魔掉落</v>
      </c>
      <c r="C164" s="11" t="s">
        <v>185</v>
      </c>
      <c r="D164" s="11" t="s">
        <v>316</v>
      </c>
      <c r="G164" s="11" t="s">
        <v>251</v>
      </c>
      <c r="I164" t="e">
        <f>VLOOKUP(C164,[1]MonsterData!$I$2:$L$84,4,FALSE)</f>
        <v>#N/A</v>
      </c>
    </row>
    <row r="165" spans="2:9" x14ac:dyDescent="0.2">
      <c r="B165" t="str">
        <f t="shared" si="2"/>
        <v>骷髅战士掉落</v>
      </c>
      <c r="C165" s="11" t="s">
        <v>186</v>
      </c>
      <c r="D165" s="11" t="s">
        <v>322</v>
      </c>
      <c r="G165" s="11" t="s">
        <v>251</v>
      </c>
      <c r="I165" t="e">
        <f>VLOOKUP(C165,[1]MonsterData!$I$2:$L$84,4,FALSE)</f>
        <v>#N/A</v>
      </c>
    </row>
    <row r="166" spans="2:9" x14ac:dyDescent="0.2">
      <c r="B166" t="str">
        <f t="shared" si="2"/>
        <v>骷髅战士掉落</v>
      </c>
      <c r="C166" s="11" t="s">
        <v>186</v>
      </c>
      <c r="D166" s="11" t="s">
        <v>310</v>
      </c>
      <c r="G166" s="11" t="s">
        <v>251</v>
      </c>
      <c r="I166" t="e">
        <f>VLOOKUP(C166,[1]MonsterData!$I$2:$L$84,4,FALSE)</f>
        <v>#N/A</v>
      </c>
    </row>
    <row r="167" spans="2:9" x14ac:dyDescent="0.2">
      <c r="B167" t="str">
        <f t="shared" si="2"/>
        <v>骷髅战士掉落</v>
      </c>
      <c r="C167" s="11" t="s">
        <v>186</v>
      </c>
      <c r="D167" s="11" t="s">
        <v>279</v>
      </c>
      <c r="G167" s="11" t="s">
        <v>249</v>
      </c>
      <c r="I167" t="e">
        <f>VLOOKUP(C167,[1]MonsterData!$I$2:$L$84,4,FALSE)</f>
        <v>#N/A</v>
      </c>
    </row>
    <row r="168" spans="2:9" x14ac:dyDescent="0.2">
      <c r="B168" t="str">
        <f t="shared" si="2"/>
        <v>骷髅战士掉落</v>
      </c>
      <c r="C168" s="11" t="s">
        <v>186</v>
      </c>
      <c r="D168" s="11" t="s">
        <v>235</v>
      </c>
      <c r="G168" s="11" t="s">
        <v>251</v>
      </c>
      <c r="I168" t="e">
        <f>VLOOKUP(C168,[1]MonsterData!$I$2:$L$84,4,FALSE)</f>
        <v>#N/A</v>
      </c>
    </row>
    <row r="169" spans="2:9" x14ac:dyDescent="0.2">
      <c r="B169" t="str">
        <f t="shared" si="2"/>
        <v>骷髅战士掉落</v>
      </c>
      <c r="C169" s="11" t="s">
        <v>186</v>
      </c>
      <c r="D169" s="11" t="s">
        <v>303</v>
      </c>
      <c r="G169" s="11" t="s">
        <v>251</v>
      </c>
      <c r="I169" t="e">
        <f>VLOOKUP(C169,[1]MonsterData!$I$2:$L$84,4,FALSE)</f>
        <v>#N/A</v>
      </c>
    </row>
    <row r="170" spans="2:9" x14ac:dyDescent="0.2">
      <c r="B170" t="str">
        <f t="shared" si="2"/>
        <v>雪兔掉落</v>
      </c>
      <c r="C170" s="11" t="s">
        <v>187</v>
      </c>
      <c r="D170" s="11" t="s">
        <v>269</v>
      </c>
      <c r="G170" s="11" t="s">
        <v>252</v>
      </c>
      <c r="I170" t="e">
        <f>VLOOKUP(C170,[1]MonsterData!$I$2:$L$84,4,FALSE)</f>
        <v>#N/A</v>
      </c>
    </row>
    <row r="171" spans="2:9" x14ac:dyDescent="0.2">
      <c r="B171" t="str">
        <f t="shared" si="2"/>
        <v>雪兔掉落</v>
      </c>
      <c r="C171" s="11" t="s">
        <v>187</v>
      </c>
      <c r="D171" s="11" t="s">
        <v>289</v>
      </c>
      <c r="F171">
        <v>5000</v>
      </c>
      <c r="G171" s="11" t="s">
        <v>249</v>
      </c>
      <c r="I171" t="e">
        <f>VLOOKUP(C171,[1]MonsterData!$I$2:$L$84,4,FALSE)</f>
        <v>#N/A</v>
      </c>
    </row>
    <row r="172" spans="2:9" x14ac:dyDescent="0.2">
      <c r="B172" t="str">
        <f t="shared" si="2"/>
        <v>幻影猫掉落</v>
      </c>
      <c r="C172" s="11" t="s">
        <v>188</v>
      </c>
      <c r="D172" s="11" t="s">
        <v>323</v>
      </c>
      <c r="G172" s="11" t="s">
        <v>251</v>
      </c>
      <c r="I172" t="e">
        <f>VLOOKUP(C172,[1]MonsterData!$I$2:$L$84,4,FALSE)</f>
        <v>#N/A</v>
      </c>
    </row>
    <row r="173" spans="2:9" x14ac:dyDescent="0.2">
      <c r="B173" t="str">
        <f t="shared" si="2"/>
        <v>幻影猫掉落</v>
      </c>
      <c r="C173" s="11" t="s">
        <v>188</v>
      </c>
      <c r="D173" s="11" t="s">
        <v>227</v>
      </c>
      <c r="G173" s="11" t="s">
        <v>251</v>
      </c>
      <c r="I173" t="e">
        <f>VLOOKUP(C173,[1]MonsterData!$I$2:$L$84,4,FALSE)</f>
        <v>#N/A</v>
      </c>
    </row>
    <row r="174" spans="2:9" x14ac:dyDescent="0.2">
      <c r="B174" t="str">
        <f t="shared" si="2"/>
        <v>灰狼掉落</v>
      </c>
      <c r="C174" s="11" t="s">
        <v>189</v>
      </c>
      <c r="D174" s="11" t="s">
        <v>284</v>
      </c>
      <c r="G174" s="11" t="s">
        <v>251</v>
      </c>
      <c r="I174" t="e">
        <f>VLOOKUP(C174,[1]MonsterData!$I$2:$L$84,4,FALSE)</f>
        <v>#N/A</v>
      </c>
    </row>
    <row r="175" spans="2:9" x14ac:dyDescent="0.2">
      <c r="B175" t="str">
        <f t="shared" si="2"/>
        <v>灰狼掉落</v>
      </c>
      <c r="C175" s="11" t="s">
        <v>189</v>
      </c>
      <c r="D175" s="11" t="s">
        <v>233</v>
      </c>
      <c r="G175" s="11" t="s">
        <v>251</v>
      </c>
      <c r="I175" t="e">
        <f>VLOOKUP(C175,[1]MonsterData!$I$2:$L$84,4,FALSE)</f>
        <v>#N/A</v>
      </c>
    </row>
    <row r="176" spans="2:9" x14ac:dyDescent="0.2">
      <c r="B176" t="str">
        <f t="shared" si="2"/>
        <v>雪人掉落</v>
      </c>
      <c r="C176" s="11" t="s">
        <v>190</v>
      </c>
      <c r="D176" s="11" t="s">
        <v>324</v>
      </c>
      <c r="G176" s="11" t="s">
        <v>249</v>
      </c>
      <c r="I176" t="e">
        <f>VLOOKUP(C176,[1]MonsterData!$I$2:$L$84,4,FALSE)</f>
        <v>#N/A</v>
      </c>
    </row>
    <row r="177" spans="2:9" x14ac:dyDescent="0.2">
      <c r="B177" t="str">
        <f t="shared" si="2"/>
        <v>雪人掉落</v>
      </c>
      <c r="C177" s="11" t="s">
        <v>190</v>
      </c>
      <c r="D177" s="11" t="s">
        <v>208</v>
      </c>
      <c r="G177" s="11" t="s">
        <v>251</v>
      </c>
      <c r="I177" t="e">
        <f>VLOOKUP(C177,[1]MonsterData!$I$2:$L$84,4,FALSE)</f>
        <v>#N/A</v>
      </c>
    </row>
    <row r="178" spans="2:9" x14ac:dyDescent="0.2">
      <c r="B178" t="str">
        <f t="shared" si="2"/>
        <v>雪人掉落</v>
      </c>
      <c r="C178" s="11" t="s">
        <v>190</v>
      </c>
      <c r="D178" s="11" t="s">
        <v>325</v>
      </c>
      <c r="F178">
        <v>5000</v>
      </c>
      <c r="G178" s="11" t="s">
        <v>249</v>
      </c>
      <c r="I178" t="e">
        <f>VLOOKUP(C178,[1]MonsterData!$I$2:$L$84,4,FALSE)</f>
        <v>#N/A</v>
      </c>
    </row>
    <row r="179" spans="2:9" x14ac:dyDescent="0.2">
      <c r="B179" t="str">
        <f t="shared" si="2"/>
        <v>雪原熊掉落</v>
      </c>
      <c r="C179" s="11" t="s">
        <v>191</v>
      </c>
      <c r="D179" s="13" t="s">
        <v>296</v>
      </c>
      <c r="G179" s="11" t="s">
        <v>251</v>
      </c>
      <c r="I179" t="e">
        <f>VLOOKUP(C179,[1]MonsterData!$I$2:$L$84,4,FALSE)</f>
        <v>#N/A</v>
      </c>
    </row>
    <row r="180" spans="2:9" x14ac:dyDescent="0.2">
      <c r="B180" t="str">
        <f t="shared" si="2"/>
        <v>雪原熊掉落</v>
      </c>
      <c r="C180" s="11" t="s">
        <v>191</v>
      </c>
      <c r="D180" s="11" t="s">
        <v>301</v>
      </c>
      <c r="G180" s="11" t="s">
        <v>251</v>
      </c>
      <c r="I180" t="e">
        <f>VLOOKUP(C180,[1]MonsterData!$I$2:$L$84,4,FALSE)</f>
        <v>#N/A</v>
      </c>
    </row>
    <row r="181" spans="2:9" x14ac:dyDescent="0.2">
      <c r="B181" t="str">
        <f t="shared" si="2"/>
        <v>扭曲僵尸掉落</v>
      </c>
      <c r="C181" s="11" t="s">
        <v>192</v>
      </c>
      <c r="D181" s="11" t="s">
        <v>285</v>
      </c>
      <c r="G181" s="11" t="s">
        <v>251</v>
      </c>
      <c r="I181" t="e">
        <f>VLOOKUP(C181,[1]MonsterData!$I$2:$L$84,4,FALSE)</f>
        <v>#N/A</v>
      </c>
    </row>
    <row r="182" spans="2:9" x14ac:dyDescent="0.2">
      <c r="B182" t="str">
        <f t="shared" si="2"/>
        <v>扭曲僵尸掉落</v>
      </c>
      <c r="C182" s="11" t="s">
        <v>192</v>
      </c>
      <c r="D182" s="11" t="s">
        <v>309</v>
      </c>
      <c r="G182" s="11" t="s">
        <v>251</v>
      </c>
      <c r="I182" t="e">
        <f>VLOOKUP(C182,[1]MonsterData!$I$2:$L$84,4,FALSE)</f>
        <v>#N/A</v>
      </c>
    </row>
    <row r="183" spans="2:9" x14ac:dyDescent="0.2">
      <c r="B183" t="str">
        <f t="shared" si="2"/>
        <v>骷髅咒师掉落</v>
      </c>
      <c r="C183" s="11" t="s">
        <v>193</v>
      </c>
      <c r="D183" s="11" t="s">
        <v>318</v>
      </c>
      <c r="G183" s="11" t="s">
        <v>252</v>
      </c>
      <c r="I183" t="e">
        <f>VLOOKUP(C183,[1]MonsterData!$I$2:$L$84,4,FALSE)</f>
        <v>#N/A</v>
      </c>
    </row>
    <row r="184" spans="2:9" x14ac:dyDescent="0.2">
      <c r="B184" t="str">
        <f t="shared" si="2"/>
        <v>骷髅咒师掉落</v>
      </c>
      <c r="C184" s="11" t="s">
        <v>193</v>
      </c>
      <c r="D184" s="11" t="s">
        <v>313</v>
      </c>
      <c r="F184">
        <v>5000</v>
      </c>
      <c r="G184" s="11" t="s">
        <v>249</v>
      </c>
      <c r="I184" t="e">
        <f>VLOOKUP(C184,[1]MonsterData!$I$2:$L$84,4,FALSE)</f>
        <v>#N/A</v>
      </c>
    </row>
    <row r="185" spans="2:9" x14ac:dyDescent="0.2">
      <c r="B185" t="str">
        <f t="shared" si="2"/>
        <v>幽灵掉落</v>
      </c>
      <c r="C185" s="11" t="s">
        <v>194</v>
      </c>
      <c r="D185" s="11" t="s">
        <v>326</v>
      </c>
      <c r="G185" s="11" t="s">
        <v>251</v>
      </c>
      <c r="I185" t="e">
        <f>VLOOKUP(C185,[1]MonsterData!$I$2:$L$84,4,FALSE)</f>
        <v>#N/A</v>
      </c>
    </row>
    <row r="186" spans="2:9" x14ac:dyDescent="0.2">
      <c r="B186" t="str">
        <f t="shared" si="2"/>
        <v>幽灵掉落</v>
      </c>
      <c r="C186" s="11" t="s">
        <v>194</v>
      </c>
      <c r="D186" s="11" t="s">
        <v>268</v>
      </c>
      <c r="G186" s="11" t="s">
        <v>251</v>
      </c>
      <c r="I186" t="e">
        <f>VLOOKUP(C186,[1]MonsterData!$I$2:$L$84,4,FALSE)</f>
        <v>#N/A</v>
      </c>
    </row>
    <row r="187" spans="2:9" x14ac:dyDescent="0.2">
      <c r="B187" t="str">
        <f t="shared" si="2"/>
        <v>巨狼掉落</v>
      </c>
      <c r="C187" s="11" t="s">
        <v>195</v>
      </c>
      <c r="D187" s="11" t="s">
        <v>327</v>
      </c>
      <c r="G187" s="11" t="s">
        <v>251</v>
      </c>
      <c r="I187" t="e">
        <f>VLOOKUP(C187,[1]MonsterData!$I$2:$L$84,4,FALSE)</f>
        <v>#N/A</v>
      </c>
    </row>
    <row r="188" spans="2:9" x14ac:dyDescent="0.2">
      <c r="B188" t="str">
        <f t="shared" si="2"/>
        <v>巨狼掉落</v>
      </c>
      <c r="C188" s="11" t="s">
        <v>195</v>
      </c>
      <c r="D188" s="11" t="s">
        <v>328</v>
      </c>
      <c r="G188" s="11" t="s">
        <v>251</v>
      </c>
      <c r="I188" t="e">
        <f>VLOOKUP(C188,[1]MonsterData!$I$2:$L$84,4,FALSE)</f>
        <v>#N/A</v>
      </c>
    </row>
    <row r="189" spans="2:9" x14ac:dyDescent="0.2">
      <c r="B189" t="str">
        <f t="shared" si="2"/>
        <v>巨狼掉落</v>
      </c>
      <c r="C189" s="11" t="s">
        <v>195</v>
      </c>
      <c r="D189" s="11" t="s">
        <v>318</v>
      </c>
      <c r="G189" s="11" t="s">
        <v>249</v>
      </c>
      <c r="I189" t="e">
        <f>VLOOKUP(C189,[1]MonsterData!$I$2:$L$84,4,FALSE)</f>
        <v>#N/A</v>
      </c>
    </row>
    <row r="190" spans="2:9" x14ac:dyDescent="0.2">
      <c r="B190" t="str">
        <f t="shared" si="2"/>
        <v>巨狼掉落</v>
      </c>
      <c r="C190" s="11" t="s">
        <v>195</v>
      </c>
      <c r="D190" s="11" t="s">
        <v>284</v>
      </c>
      <c r="G190" s="11" t="s">
        <v>249</v>
      </c>
      <c r="I190" t="e">
        <f>VLOOKUP(C190,[1]MonsterData!$I$2:$L$84,4,FALSE)</f>
        <v>#N/A</v>
      </c>
    </row>
    <row r="191" spans="2:9" x14ac:dyDescent="0.2">
      <c r="B191" t="str">
        <f t="shared" si="2"/>
        <v>巨狼掉落</v>
      </c>
      <c r="C191" s="11" t="s">
        <v>195</v>
      </c>
      <c r="D191" s="11" t="s">
        <v>268</v>
      </c>
      <c r="G191" s="11" t="s">
        <v>254</v>
      </c>
      <c r="I191" t="e">
        <f>VLOOKUP(C191,[1]MonsterData!$I$2:$L$84,4,FALSE)</f>
        <v>#N/A</v>
      </c>
    </row>
    <row r="192" spans="2:9" x14ac:dyDescent="0.2">
      <c r="B192" t="str">
        <f t="shared" si="2"/>
        <v>巨狼掉落</v>
      </c>
      <c r="C192" s="11" t="s">
        <v>195</v>
      </c>
      <c r="D192" s="11" t="s">
        <v>233</v>
      </c>
      <c r="G192" s="11" t="s">
        <v>255</v>
      </c>
      <c r="I192" t="e">
        <f>VLOOKUP(C192,[1]MonsterData!$I$2:$L$84,4,FALSE)</f>
        <v>#N/A</v>
      </c>
    </row>
    <row r="193" spans="2:9" x14ac:dyDescent="0.2">
      <c r="B193" t="str">
        <f t="shared" si="2"/>
        <v>吸血鬼掉落</v>
      </c>
      <c r="C193" s="11" t="s">
        <v>196</v>
      </c>
      <c r="D193" s="11" t="s">
        <v>306</v>
      </c>
      <c r="G193" s="11" t="s">
        <v>251</v>
      </c>
      <c r="I193" t="e">
        <f>VLOOKUP(C193,[1]MonsterData!$I$2:$L$84,4,FALSE)</f>
        <v>#N/A</v>
      </c>
    </row>
    <row r="194" spans="2:9" x14ac:dyDescent="0.2">
      <c r="B194" t="str">
        <f t="shared" si="2"/>
        <v>吸血鬼掉落</v>
      </c>
      <c r="C194" s="11" t="s">
        <v>196</v>
      </c>
      <c r="D194" s="11" t="s">
        <v>329</v>
      </c>
      <c r="G194" s="11" t="s">
        <v>251</v>
      </c>
      <c r="I194" t="e">
        <f>VLOOKUP(C194,[1]MonsterData!$I$2:$L$84,4,FALSE)</f>
        <v>#N/A</v>
      </c>
    </row>
    <row r="195" spans="2:9" x14ac:dyDescent="0.2">
      <c r="B195" t="str">
        <f t="shared" si="2"/>
        <v>吸血鬼掉落</v>
      </c>
      <c r="C195" s="11" t="s">
        <v>196</v>
      </c>
      <c r="D195" s="11" t="s">
        <v>312</v>
      </c>
      <c r="G195" s="11" t="s">
        <v>249</v>
      </c>
      <c r="I195" t="e">
        <f>VLOOKUP(C195,[1]MonsterData!$I$2:$L$84,4,FALSE)</f>
        <v>#N/A</v>
      </c>
    </row>
    <row r="196" spans="2:9" x14ac:dyDescent="0.2">
      <c r="B196" t="str">
        <f t="shared" si="2"/>
        <v>吸血鬼掉落</v>
      </c>
      <c r="C196" s="11" t="s">
        <v>196</v>
      </c>
      <c r="D196" s="11" t="s">
        <v>318</v>
      </c>
      <c r="G196" s="11" t="s">
        <v>249</v>
      </c>
      <c r="I196" t="e">
        <f>VLOOKUP(C196,[1]MonsterData!$I$2:$L$84,4,FALSE)</f>
        <v>#N/A</v>
      </c>
    </row>
    <row r="197" spans="2:9" x14ac:dyDescent="0.2">
      <c r="B197" t="str">
        <f t="shared" si="2"/>
        <v>吸血鬼掉落</v>
      </c>
      <c r="C197" s="11" t="s">
        <v>196</v>
      </c>
      <c r="D197" s="11" t="s">
        <v>326</v>
      </c>
      <c r="G197" s="11" t="s">
        <v>254</v>
      </c>
      <c r="I197" t="e">
        <f>VLOOKUP(C197,[1]MonsterData!$I$2:$L$84,4,FALSE)</f>
        <v>#N/A</v>
      </c>
    </row>
    <row r="198" spans="2:9" x14ac:dyDescent="0.2">
      <c r="B198" t="str">
        <f t="shared" si="2"/>
        <v>吸血鬼掉落</v>
      </c>
      <c r="C198" s="11" t="s">
        <v>196</v>
      </c>
      <c r="D198" s="11" t="s">
        <v>323</v>
      </c>
      <c r="G198" s="11" t="s">
        <v>255</v>
      </c>
      <c r="I198" t="e">
        <f>VLOOKUP(C198,[1]MonsterData!$I$2:$L$84,4,FALSE)</f>
        <v>#N/A</v>
      </c>
    </row>
    <row r="199" spans="2:9" x14ac:dyDescent="0.2">
      <c r="B199" t="str">
        <f t="shared" si="2"/>
        <v>企鹅掉落</v>
      </c>
      <c r="C199" s="11" t="s">
        <v>197</v>
      </c>
      <c r="D199" s="11" t="s">
        <v>330</v>
      </c>
      <c r="G199" s="11" t="s">
        <v>253</v>
      </c>
      <c r="I199" t="e">
        <f>VLOOKUP(C199,[1]MonsterData!$I$2:$L$84,4,FALSE)</f>
        <v>#N/A</v>
      </c>
    </row>
    <row r="200" spans="2:9" x14ac:dyDescent="0.2">
      <c r="B200" t="str">
        <f t="shared" ref="B200:B223" si="3">C200&amp;"掉落"</f>
        <v>冰恶魔掉落</v>
      </c>
      <c r="C200" s="11" t="s">
        <v>198</v>
      </c>
      <c r="D200" s="11" t="s">
        <v>325</v>
      </c>
      <c r="G200" s="11" t="s">
        <v>251</v>
      </c>
      <c r="I200" t="e">
        <f>VLOOKUP(C200,[1]MonsterData!$I$2:$L$84,4,FALSE)</f>
        <v>#N/A</v>
      </c>
    </row>
    <row r="201" spans="2:9" x14ac:dyDescent="0.2">
      <c r="B201" t="str">
        <f t="shared" si="3"/>
        <v>冰恶魔掉落</v>
      </c>
      <c r="C201" s="11" t="s">
        <v>198</v>
      </c>
      <c r="D201" s="11" t="s">
        <v>283</v>
      </c>
      <c r="G201" s="11" t="s">
        <v>251</v>
      </c>
      <c r="I201" t="e">
        <f>VLOOKUP(C201,[1]MonsterData!$I$2:$L$84,4,FALSE)</f>
        <v>#N/A</v>
      </c>
    </row>
    <row r="202" spans="2:9" x14ac:dyDescent="0.2">
      <c r="B202" t="str">
        <f t="shared" si="3"/>
        <v>冰霜史莱姆掉落</v>
      </c>
      <c r="C202" s="11" t="s">
        <v>199</v>
      </c>
      <c r="D202" s="11" t="s">
        <v>314</v>
      </c>
      <c r="G202" s="11" t="s">
        <v>253</v>
      </c>
      <c r="I202" t="e">
        <f>VLOOKUP(C202,[1]MonsterData!$I$2:$L$84,4,FALSE)</f>
        <v>#N/A</v>
      </c>
    </row>
    <row r="203" spans="2:9" x14ac:dyDescent="0.2">
      <c r="B203" t="str">
        <f t="shared" si="3"/>
        <v>梦魇掉落</v>
      </c>
      <c r="C203" s="11" t="s">
        <v>200</v>
      </c>
      <c r="D203" s="11" t="s">
        <v>331</v>
      </c>
      <c r="G203" s="11" t="s">
        <v>249</v>
      </c>
      <c r="I203" t="e">
        <f>VLOOKUP(C203,[1]MonsterData!$I$2:$L$84,4,FALSE)</f>
        <v>#N/A</v>
      </c>
    </row>
    <row r="204" spans="2:9" x14ac:dyDescent="0.2">
      <c r="B204" t="str">
        <f t="shared" si="3"/>
        <v>梦魇掉落</v>
      </c>
      <c r="C204" s="11" t="s">
        <v>200</v>
      </c>
      <c r="D204" s="11" t="s">
        <v>241</v>
      </c>
      <c r="G204" s="11" t="s">
        <v>251</v>
      </c>
      <c r="I204" t="e">
        <f>VLOOKUP(C204,[1]MonsterData!$I$2:$L$84,4,FALSE)</f>
        <v>#N/A</v>
      </c>
    </row>
    <row r="205" spans="2:9" x14ac:dyDescent="0.2">
      <c r="B205" t="str">
        <f t="shared" si="3"/>
        <v>梦魇掉落</v>
      </c>
      <c r="C205" s="11" t="s">
        <v>200</v>
      </c>
      <c r="D205" s="11" t="s">
        <v>307</v>
      </c>
      <c r="F205">
        <v>5000</v>
      </c>
      <c r="G205" s="11" t="s">
        <v>249</v>
      </c>
      <c r="I205" t="e">
        <f>VLOOKUP(C205,[1]MonsterData!$I$2:$L$84,4,FALSE)</f>
        <v>#N/A</v>
      </c>
    </row>
    <row r="206" spans="2:9" x14ac:dyDescent="0.2">
      <c r="B206" t="str">
        <f t="shared" si="3"/>
        <v>寒冬渡鸦掉落</v>
      </c>
      <c r="C206" s="11" t="s">
        <v>201</v>
      </c>
      <c r="D206" s="11" t="s">
        <v>332</v>
      </c>
      <c r="G206" s="11" t="s">
        <v>252</v>
      </c>
      <c r="I206" t="e">
        <f>VLOOKUP(C206,[1]MonsterData!$I$2:$L$84,4,FALSE)</f>
        <v>#N/A</v>
      </c>
    </row>
    <row r="207" spans="2:9" x14ac:dyDescent="0.2">
      <c r="B207" t="str">
        <f t="shared" si="3"/>
        <v>寒冬渡鸦掉落</v>
      </c>
      <c r="C207" s="11" t="s">
        <v>201</v>
      </c>
      <c r="D207" s="11" t="s">
        <v>324</v>
      </c>
      <c r="F207">
        <v>5000</v>
      </c>
      <c r="G207" s="11" t="s">
        <v>249</v>
      </c>
      <c r="I207" t="e">
        <f>VLOOKUP(C207,[1]MonsterData!$I$2:$L$84,4,FALSE)</f>
        <v>#N/A</v>
      </c>
    </row>
    <row r="208" spans="2:9" x14ac:dyDescent="0.2">
      <c r="B208" t="str">
        <f t="shared" si="3"/>
        <v>魅魔掉落</v>
      </c>
      <c r="C208" s="11" t="s">
        <v>202</v>
      </c>
      <c r="D208" s="11" t="s">
        <v>320</v>
      </c>
      <c r="G208" s="11" t="s">
        <v>251</v>
      </c>
      <c r="I208" t="e">
        <f>VLOOKUP(C208,[1]MonsterData!$I$2:$L$84,4,FALSE)</f>
        <v>#N/A</v>
      </c>
    </row>
    <row r="209" spans="2:9" x14ac:dyDescent="0.2">
      <c r="B209" t="str">
        <f t="shared" si="3"/>
        <v>魅魔掉落</v>
      </c>
      <c r="C209" s="11" t="s">
        <v>202</v>
      </c>
      <c r="D209" s="11" t="s">
        <v>260</v>
      </c>
      <c r="G209" s="11" t="s">
        <v>251</v>
      </c>
      <c r="I209" t="e">
        <f>VLOOKUP(C209,[1]MonsterData!$I$2:$L$84,4,FALSE)</f>
        <v>#N/A</v>
      </c>
    </row>
    <row r="210" spans="2:9" x14ac:dyDescent="0.2">
      <c r="B210" t="str">
        <f t="shared" si="3"/>
        <v>恶魔之眼掉落</v>
      </c>
      <c r="C210" s="11" t="s">
        <v>203</v>
      </c>
      <c r="D210" s="11" t="s">
        <v>287</v>
      </c>
      <c r="G210" s="11" t="s">
        <v>252</v>
      </c>
      <c r="I210" t="e">
        <f>VLOOKUP(C210,[1]MonsterData!$I$2:$L$84,4,FALSE)</f>
        <v>#N/A</v>
      </c>
    </row>
    <row r="211" spans="2:9" x14ac:dyDescent="0.2">
      <c r="B211" t="str">
        <f t="shared" si="3"/>
        <v>冰牛怪掉落</v>
      </c>
      <c r="C211" s="11" t="s">
        <v>204</v>
      </c>
      <c r="D211" s="11" t="s">
        <v>213</v>
      </c>
      <c r="G211" s="11" t="s">
        <v>335</v>
      </c>
      <c r="I211" t="e">
        <f>VLOOKUP(C211,[1]MonsterData!$I$2:$L$84,4,FALSE)</f>
        <v>#N/A</v>
      </c>
    </row>
    <row r="212" spans="2:9" x14ac:dyDescent="0.2">
      <c r="B212" t="str">
        <f t="shared" si="3"/>
        <v>冰牛怪掉落</v>
      </c>
      <c r="C212" s="11" t="s">
        <v>204</v>
      </c>
      <c r="D212" s="11" t="s">
        <v>304</v>
      </c>
      <c r="G212" s="11" t="s">
        <v>336</v>
      </c>
      <c r="I212" t="e">
        <f>VLOOKUP(C212,[1]MonsterData!$I$2:$L$84,4,FALSE)</f>
        <v>#N/A</v>
      </c>
    </row>
    <row r="213" spans="2:9" x14ac:dyDescent="0.2">
      <c r="B213" t="str">
        <f t="shared" si="3"/>
        <v>异鬼掉落</v>
      </c>
      <c r="C213" s="11" t="s">
        <v>205</v>
      </c>
      <c r="D213" s="11" t="s">
        <v>333</v>
      </c>
      <c r="G213" s="11" t="s">
        <v>251</v>
      </c>
      <c r="I213" t="e">
        <f>VLOOKUP(C213,[1]MonsterData!$I$2:$L$84,4,FALSE)</f>
        <v>#N/A</v>
      </c>
    </row>
    <row r="214" spans="2:9" x14ac:dyDescent="0.2">
      <c r="B214" t="str">
        <f t="shared" si="3"/>
        <v>异鬼掉落</v>
      </c>
      <c r="C214" s="11" t="s">
        <v>205</v>
      </c>
      <c r="D214" s="11" t="s">
        <v>330</v>
      </c>
      <c r="G214" s="11" t="s">
        <v>251</v>
      </c>
      <c r="I214" t="e">
        <f>VLOOKUP(C214,[1]MonsterData!$I$2:$L$84,4,FALSE)</f>
        <v>#N/A</v>
      </c>
    </row>
    <row r="215" spans="2:9" x14ac:dyDescent="0.2">
      <c r="B215" t="str">
        <f t="shared" si="3"/>
        <v>异鬼掉落</v>
      </c>
      <c r="C215" s="11" t="s">
        <v>205</v>
      </c>
      <c r="D215" s="11" t="s">
        <v>326</v>
      </c>
      <c r="G215" s="11" t="s">
        <v>249</v>
      </c>
      <c r="I215" t="e">
        <f>VLOOKUP(C215,[1]MonsterData!$I$2:$L$84,4,FALSE)</f>
        <v>#N/A</v>
      </c>
    </row>
    <row r="216" spans="2:9" x14ac:dyDescent="0.2">
      <c r="B216" t="str">
        <f t="shared" si="3"/>
        <v>异鬼掉落</v>
      </c>
      <c r="C216" s="11" t="s">
        <v>205</v>
      </c>
      <c r="D216" s="11" t="s">
        <v>330</v>
      </c>
      <c r="G216" s="11" t="s">
        <v>251</v>
      </c>
      <c r="I216" t="e">
        <f>VLOOKUP(C216,[1]MonsterData!$I$2:$L$84,4,FALSE)</f>
        <v>#N/A</v>
      </c>
    </row>
    <row r="217" spans="2:9" x14ac:dyDescent="0.2">
      <c r="B217" t="str">
        <f t="shared" si="3"/>
        <v>异鬼掉落</v>
      </c>
      <c r="C217" s="11" t="s">
        <v>205</v>
      </c>
      <c r="D217" s="11" t="s">
        <v>332</v>
      </c>
      <c r="G217" s="11" t="s">
        <v>251</v>
      </c>
      <c r="I217" t="e">
        <f>VLOOKUP(C217,[1]MonsterData!$I$2:$L$84,4,FALSE)</f>
        <v>#N/A</v>
      </c>
    </row>
    <row r="218" spans="2:9" x14ac:dyDescent="0.2">
      <c r="B218" t="str">
        <f t="shared" si="3"/>
        <v>死神掉落</v>
      </c>
      <c r="C218" s="11" t="s">
        <v>206</v>
      </c>
      <c r="D218" s="11" t="s">
        <v>334</v>
      </c>
      <c r="G218" s="11" t="s">
        <v>251</v>
      </c>
      <c r="I218" t="e">
        <f>VLOOKUP(C218,[1]MonsterData!$I$2:$L$84,4,FALSE)</f>
        <v>#N/A</v>
      </c>
    </row>
    <row r="219" spans="2:9" x14ac:dyDescent="0.2">
      <c r="B219" t="str">
        <f t="shared" si="3"/>
        <v>死神掉落</v>
      </c>
      <c r="C219" s="11" t="s">
        <v>206</v>
      </c>
      <c r="D219" s="11" t="s">
        <v>313</v>
      </c>
      <c r="G219" s="11" t="s">
        <v>251</v>
      </c>
      <c r="I219" t="e">
        <f>VLOOKUP(C219,[1]MonsterData!$I$2:$L$84,4,FALSE)</f>
        <v>#N/A</v>
      </c>
    </row>
    <row r="220" spans="2:9" x14ac:dyDescent="0.2">
      <c r="B220" t="str">
        <f t="shared" si="3"/>
        <v>死神掉落</v>
      </c>
      <c r="C220" s="11" t="s">
        <v>206</v>
      </c>
      <c r="D220" s="11" t="s">
        <v>325</v>
      </c>
      <c r="G220" s="11" t="s">
        <v>249</v>
      </c>
      <c r="I220" t="e">
        <f>VLOOKUP(C220,[1]MonsterData!$I$2:$L$84,4,FALSE)</f>
        <v>#N/A</v>
      </c>
    </row>
    <row r="221" spans="2:9" x14ac:dyDescent="0.2">
      <c r="B221" t="str">
        <f t="shared" si="3"/>
        <v>死神掉落</v>
      </c>
      <c r="C221" s="11" t="s">
        <v>206</v>
      </c>
      <c r="D221" s="11" t="s">
        <v>325</v>
      </c>
      <c r="G221" s="11" t="s">
        <v>249</v>
      </c>
      <c r="I221" t="e">
        <f>VLOOKUP(C221,[1]MonsterData!$I$2:$L$84,4,FALSE)</f>
        <v>#N/A</v>
      </c>
    </row>
    <row r="222" spans="2:9" x14ac:dyDescent="0.2">
      <c r="B222" t="str">
        <f t="shared" si="3"/>
        <v>死神掉落</v>
      </c>
      <c r="C222" s="11" t="s">
        <v>206</v>
      </c>
      <c r="D222" s="11" t="s">
        <v>314</v>
      </c>
      <c r="G222" s="11" t="s">
        <v>249</v>
      </c>
      <c r="I222" t="e">
        <f>VLOOKUP(C222,[1]MonsterData!$I$2:$L$84,4,FALSE)</f>
        <v>#N/A</v>
      </c>
    </row>
    <row r="223" spans="2:9" x14ac:dyDescent="0.2">
      <c r="B223" t="str">
        <f t="shared" si="3"/>
        <v>死神掉落</v>
      </c>
      <c r="C223" s="11" t="s">
        <v>206</v>
      </c>
      <c r="D223" s="11" t="s">
        <v>320</v>
      </c>
      <c r="G223" s="11" t="s">
        <v>249</v>
      </c>
      <c r="I223" t="e">
        <f>VLOOKUP(C223,[1]MonsterData!$I$2:$L$84,4,FALSE)</f>
        <v>#N/A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0"/>
  <sheetViews>
    <sheetView topLeftCell="I1" workbookViewId="0">
      <selection activeCell="V23" sqref="V23"/>
    </sheetView>
  </sheetViews>
  <sheetFormatPr defaultRowHeight="14.25" x14ac:dyDescent="0.2"/>
  <sheetData>
    <row r="2" spans="2:24" x14ac:dyDescent="0.2">
      <c r="B2" s="11" t="s">
        <v>80</v>
      </c>
      <c r="C2" s="1">
        <v>201</v>
      </c>
      <c r="E2" s="11" t="s">
        <v>138</v>
      </c>
      <c r="F2" s="1">
        <v>278</v>
      </c>
      <c r="H2" s="11" t="s">
        <v>148</v>
      </c>
      <c r="I2" s="1">
        <v>287</v>
      </c>
      <c r="K2" s="11" t="s">
        <v>79</v>
      </c>
      <c r="L2" s="1">
        <v>225</v>
      </c>
      <c r="N2" s="11" t="s">
        <v>167</v>
      </c>
      <c r="O2" s="1">
        <v>297</v>
      </c>
      <c r="Q2" s="11" t="s">
        <v>177</v>
      </c>
      <c r="R2" s="1">
        <v>284</v>
      </c>
      <c r="T2" s="11" t="s">
        <v>187</v>
      </c>
      <c r="U2" s="1">
        <v>251</v>
      </c>
      <c r="W2" s="11" t="s">
        <v>197</v>
      </c>
      <c r="X2" s="1">
        <v>260</v>
      </c>
    </row>
    <row r="3" spans="2:24" x14ac:dyDescent="0.2">
      <c r="B3" s="11" t="s">
        <v>129</v>
      </c>
      <c r="C3" s="1">
        <v>105</v>
      </c>
      <c r="E3" s="11" t="s">
        <v>139</v>
      </c>
      <c r="F3" s="1">
        <v>210</v>
      </c>
      <c r="H3" s="11" t="s">
        <v>149</v>
      </c>
      <c r="I3" s="1">
        <v>102</v>
      </c>
      <c r="K3" s="11" t="s">
        <v>79</v>
      </c>
      <c r="L3" s="1">
        <v>200</v>
      </c>
      <c r="N3" s="11" t="s">
        <v>167</v>
      </c>
      <c r="O3" s="1">
        <v>223</v>
      </c>
      <c r="Q3" s="11" t="s">
        <v>177</v>
      </c>
      <c r="R3" s="1">
        <v>296</v>
      </c>
      <c r="T3" s="11" t="s">
        <v>187</v>
      </c>
      <c r="U3" s="1">
        <v>223</v>
      </c>
      <c r="W3" s="11" t="s">
        <v>198</v>
      </c>
      <c r="X3" s="1">
        <v>261</v>
      </c>
    </row>
    <row r="4" spans="2:24" x14ac:dyDescent="0.2">
      <c r="B4" s="11" t="s">
        <v>129</v>
      </c>
      <c r="C4" s="1">
        <v>241</v>
      </c>
      <c r="E4" s="11" t="s">
        <v>139</v>
      </c>
      <c r="F4" s="1">
        <v>201</v>
      </c>
      <c r="H4" s="11" t="s">
        <v>149</v>
      </c>
      <c r="I4" s="1">
        <v>291</v>
      </c>
      <c r="K4" s="11" t="s">
        <v>158</v>
      </c>
      <c r="L4" s="1">
        <v>213</v>
      </c>
      <c r="N4" s="11" t="s">
        <v>168</v>
      </c>
      <c r="O4" s="1">
        <v>236</v>
      </c>
      <c r="Q4" s="11" t="s">
        <v>178</v>
      </c>
      <c r="R4" s="1">
        <v>244</v>
      </c>
      <c r="T4" s="11" t="s">
        <v>188</v>
      </c>
      <c r="U4" s="1">
        <v>269</v>
      </c>
      <c r="W4" s="11" t="s">
        <v>198</v>
      </c>
      <c r="X4" s="1">
        <v>232</v>
      </c>
    </row>
    <row r="5" spans="2:24" x14ac:dyDescent="0.2">
      <c r="B5" s="11" t="s">
        <v>130</v>
      </c>
      <c r="C5" s="1">
        <v>202</v>
      </c>
      <c r="E5" s="11" t="s">
        <v>140</v>
      </c>
      <c r="F5" s="1">
        <v>211</v>
      </c>
      <c r="H5" s="11" t="s">
        <v>150</v>
      </c>
      <c r="I5" s="1">
        <v>220</v>
      </c>
      <c r="K5" s="11" t="s">
        <v>158</v>
      </c>
      <c r="L5" s="1">
        <v>278</v>
      </c>
      <c r="N5" s="11" t="s">
        <v>168</v>
      </c>
      <c r="O5" s="1">
        <v>212</v>
      </c>
      <c r="Q5" s="11" t="s">
        <v>178</v>
      </c>
      <c r="R5" s="1">
        <v>200</v>
      </c>
      <c r="T5" s="11" t="s">
        <v>188</v>
      </c>
      <c r="U5" s="1">
        <v>208</v>
      </c>
      <c r="W5" s="11" t="s">
        <v>199</v>
      </c>
      <c r="X5" s="1">
        <v>292</v>
      </c>
    </row>
    <row r="6" spans="2:24" x14ac:dyDescent="0.2">
      <c r="B6" s="11" t="s">
        <v>130</v>
      </c>
      <c r="C6" s="1">
        <v>296</v>
      </c>
      <c r="E6" s="11" t="s">
        <v>141</v>
      </c>
      <c r="F6" s="1">
        <v>213</v>
      </c>
      <c r="H6" s="11" t="s">
        <v>150</v>
      </c>
      <c r="I6" s="1">
        <v>293</v>
      </c>
      <c r="K6" s="11" t="s">
        <v>159</v>
      </c>
      <c r="L6" s="1">
        <v>227</v>
      </c>
      <c r="N6" s="11" t="s">
        <v>169</v>
      </c>
      <c r="O6" s="1">
        <v>237</v>
      </c>
      <c r="Q6" s="11" t="s">
        <v>178</v>
      </c>
      <c r="R6" s="1">
        <v>278</v>
      </c>
      <c r="T6" s="11" t="s">
        <v>189</v>
      </c>
      <c r="U6" s="1">
        <v>290</v>
      </c>
      <c r="W6" s="11" t="s">
        <v>200</v>
      </c>
      <c r="X6" s="1">
        <v>272</v>
      </c>
    </row>
    <row r="7" spans="2:24" x14ac:dyDescent="0.2">
      <c r="B7" s="11" t="s">
        <v>131</v>
      </c>
      <c r="C7" s="1">
        <v>203</v>
      </c>
      <c r="E7" s="11" t="s">
        <v>142</v>
      </c>
      <c r="F7" s="1">
        <v>214</v>
      </c>
      <c r="H7" s="11" t="s">
        <v>151</v>
      </c>
      <c r="I7" s="1">
        <v>228</v>
      </c>
      <c r="K7" s="11" t="s">
        <v>159</v>
      </c>
      <c r="L7" s="1">
        <v>272</v>
      </c>
      <c r="N7" s="11" t="s">
        <v>169</v>
      </c>
      <c r="O7" s="1">
        <v>104</v>
      </c>
      <c r="Q7" s="11" t="s">
        <v>179</v>
      </c>
      <c r="R7" s="1">
        <v>245</v>
      </c>
      <c r="T7" s="11" t="s">
        <v>189</v>
      </c>
      <c r="U7" s="1">
        <v>211</v>
      </c>
      <c r="W7" s="11" t="s">
        <v>200</v>
      </c>
      <c r="X7" s="1">
        <v>296</v>
      </c>
    </row>
    <row r="8" spans="2:24" x14ac:dyDescent="0.2">
      <c r="B8" s="11" t="s">
        <v>131</v>
      </c>
      <c r="C8" s="1">
        <v>297</v>
      </c>
      <c r="E8" s="11" t="s">
        <v>143</v>
      </c>
      <c r="F8" s="1">
        <v>286</v>
      </c>
      <c r="H8" s="11" t="s">
        <v>152</v>
      </c>
      <c r="I8" s="1">
        <v>221</v>
      </c>
      <c r="K8" s="11" t="s">
        <v>160</v>
      </c>
      <c r="L8" s="1">
        <v>228</v>
      </c>
      <c r="N8" s="11" t="s">
        <v>170</v>
      </c>
      <c r="O8" s="1">
        <v>218</v>
      </c>
      <c r="Q8" s="11" t="s">
        <v>179</v>
      </c>
      <c r="R8" s="1">
        <v>214</v>
      </c>
      <c r="T8" s="11" t="s">
        <v>190</v>
      </c>
      <c r="U8" s="1">
        <v>253</v>
      </c>
      <c r="W8" s="11" t="s">
        <v>200</v>
      </c>
      <c r="X8" s="1">
        <v>285</v>
      </c>
    </row>
    <row r="9" spans="2:24" x14ac:dyDescent="0.2">
      <c r="B9" s="11" t="s">
        <v>132</v>
      </c>
      <c r="C9" s="1">
        <v>204</v>
      </c>
      <c r="E9" s="11" t="s">
        <v>143</v>
      </c>
      <c r="F9" s="1">
        <v>274</v>
      </c>
      <c r="H9" s="11" t="s">
        <v>152</v>
      </c>
      <c r="I9" s="1">
        <v>105</v>
      </c>
      <c r="K9" s="11" t="s">
        <v>160</v>
      </c>
      <c r="L9" s="1">
        <v>214</v>
      </c>
      <c r="N9" s="11" t="s">
        <v>170</v>
      </c>
      <c r="O9" s="1">
        <v>296</v>
      </c>
      <c r="Q9" s="11" t="s">
        <v>179</v>
      </c>
      <c r="R9" s="1">
        <v>255</v>
      </c>
      <c r="T9" s="11" t="s">
        <v>190</v>
      </c>
      <c r="U9" s="1">
        <v>200</v>
      </c>
      <c r="W9" s="11" t="s">
        <v>201</v>
      </c>
      <c r="X9" s="1">
        <v>263</v>
      </c>
    </row>
    <row r="10" spans="2:24" x14ac:dyDescent="0.2">
      <c r="B10" s="11" t="s">
        <v>132</v>
      </c>
      <c r="C10" s="1">
        <v>104</v>
      </c>
      <c r="E10" s="11" t="s">
        <v>144</v>
      </c>
      <c r="F10" s="1">
        <v>216</v>
      </c>
      <c r="H10" s="11" t="s">
        <v>153</v>
      </c>
      <c r="I10" s="1">
        <v>222</v>
      </c>
      <c r="K10" s="11" t="s">
        <v>161</v>
      </c>
      <c r="L10" s="1">
        <v>229</v>
      </c>
      <c r="N10" s="11" t="s">
        <v>170</v>
      </c>
      <c r="O10" s="1">
        <v>203</v>
      </c>
      <c r="Q10" s="11" t="s">
        <v>180</v>
      </c>
      <c r="R10" s="1">
        <v>246</v>
      </c>
      <c r="T10" s="11" t="s">
        <v>190</v>
      </c>
      <c r="U10" s="1">
        <v>261</v>
      </c>
      <c r="W10" s="11" t="s">
        <v>201</v>
      </c>
      <c r="X10" s="1">
        <v>253</v>
      </c>
    </row>
    <row r="11" spans="2:24" x14ac:dyDescent="0.2">
      <c r="B11" s="11" t="s">
        <v>133</v>
      </c>
      <c r="C11" s="1">
        <v>274</v>
      </c>
      <c r="E11" s="11" t="s">
        <v>144</v>
      </c>
      <c r="F11" s="1">
        <v>205</v>
      </c>
      <c r="H11" s="11" t="s">
        <v>153</v>
      </c>
      <c r="I11" s="1">
        <v>203</v>
      </c>
      <c r="K11" s="11" t="s">
        <v>161</v>
      </c>
      <c r="L11" s="1">
        <v>297</v>
      </c>
      <c r="N11" s="11" t="s">
        <v>171</v>
      </c>
      <c r="O11" s="1">
        <v>238</v>
      </c>
      <c r="Q11" s="11" t="s">
        <v>180</v>
      </c>
      <c r="R11" s="1">
        <v>292</v>
      </c>
      <c r="T11" s="11" t="s">
        <v>191</v>
      </c>
      <c r="U11" s="1">
        <v>254</v>
      </c>
      <c r="W11" s="11" t="s">
        <v>202</v>
      </c>
      <c r="X11" s="1">
        <v>264</v>
      </c>
    </row>
    <row r="12" spans="2:24" x14ac:dyDescent="0.2">
      <c r="B12" s="11" t="s">
        <v>135</v>
      </c>
      <c r="C12" s="1">
        <v>273</v>
      </c>
      <c r="E12" s="11" t="s">
        <v>145</v>
      </c>
      <c r="F12" s="1">
        <v>234</v>
      </c>
      <c r="H12" s="11" t="s">
        <v>154</v>
      </c>
      <c r="I12" s="1">
        <v>3005</v>
      </c>
      <c r="K12" s="11" t="s">
        <v>162</v>
      </c>
      <c r="L12" s="1">
        <v>230</v>
      </c>
      <c r="N12" s="11" t="s">
        <v>171</v>
      </c>
      <c r="O12" s="1">
        <v>254</v>
      </c>
      <c r="Q12" s="11" t="s">
        <v>181</v>
      </c>
      <c r="R12" s="1">
        <v>247</v>
      </c>
      <c r="T12" s="11" t="s">
        <v>191</v>
      </c>
      <c r="U12" s="1">
        <v>288</v>
      </c>
      <c r="W12" s="11" t="s">
        <v>202</v>
      </c>
      <c r="X12" s="1">
        <v>293</v>
      </c>
    </row>
    <row r="13" spans="2:24" x14ac:dyDescent="0.2">
      <c r="B13" s="11" t="s">
        <v>136</v>
      </c>
      <c r="C13" s="1">
        <v>207</v>
      </c>
      <c r="E13" s="11" t="s">
        <v>145</v>
      </c>
      <c r="F13" s="1">
        <v>296</v>
      </c>
      <c r="H13" s="11" t="s">
        <v>154</v>
      </c>
      <c r="I13" s="1">
        <v>239</v>
      </c>
      <c r="K13" s="11" t="s">
        <v>162</v>
      </c>
      <c r="L13" s="1">
        <v>205</v>
      </c>
      <c r="N13" s="11" t="s">
        <v>172</v>
      </c>
      <c r="O13" s="1">
        <v>239</v>
      </c>
      <c r="Q13" s="11" t="s">
        <v>181</v>
      </c>
      <c r="R13" s="1">
        <v>3005</v>
      </c>
      <c r="T13" s="11" t="s">
        <v>192</v>
      </c>
      <c r="U13" s="1">
        <v>255</v>
      </c>
      <c r="W13" s="11" t="s">
        <v>203</v>
      </c>
      <c r="X13" s="1">
        <v>265</v>
      </c>
    </row>
    <row r="14" spans="2:24" x14ac:dyDescent="0.2">
      <c r="B14" s="11" t="s">
        <v>136</v>
      </c>
      <c r="C14" s="1">
        <v>280</v>
      </c>
      <c r="E14" s="11" t="s">
        <v>146</v>
      </c>
      <c r="F14" s="1">
        <v>3003</v>
      </c>
      <c r="H14" s="11" t="s">
        <v>155</v>
      </c>
      <c r="I14" s="1">
        <v>223</v>
      </c>
      <c r="K14" s="11" t="s">
        <v>163</v>
      </c>
      <c r="L14" s="1">
        <v>282</v>
      </c>
      <c r="N14" s="11" t="s">
        <v>172</v>
      </c>
      <c r="O14" s="1">
        <v>214</v>
      </c>
      <c r="Q14" s="11" t="s">
        <v>182</v>
      </c>
      <c r="R14" s="1">
        <v>281</v>
      </c>
      <c r="T14" s="11" t="s">
        <v>192</v>
      </c>
      <c r="U14" s="1">
        <v>236</v>
      </c>
      <c r="W14" s="11" t="s">
        <v>204</v>
      </c>
      <c r="X14" s="1">
        <v>241</v>
      </c>
    </row>
    <row r="15" spans="2:24" x14ac:dyDescent="0.2">
      <c r="B15" s="11" t="s">
        <v>137</v>
      </c>
      <c r="C15" s="1">
        <v>208</v>
      </c>
      <c r="E15" s="11" t="s">
        <v>147</v>
      </c>
      <c r="F15" s="1">
        <v>218</v>
      </c>
      <c r="H15" s="11" t="s">
        <v>155</v>
      </c>
      <c r="I15" s="1">
        <v>280</v>
      </c>
      <c r="K15" s="11" t="s">
        <v>163</v>
      </c>
      <c r="L15" s="1">
        <v>296</v>
      </c>
      <c r="N15" s="11" t="s">
        <v>173</v>
      </c>
      <c r="O15" s="1">
        <v>289</v>
      </c>
      <c r="Q15" s="11" t="s">
        <v>182</v>
      </c>
      <c r="R15" s="1">
        <v>204</v>
      </c>
      <c r="T15" s="11" t="s">
        <v>193</v>
      </c>
      <c r="U15" s="1">
        <v>256</v>
      </c>
      <c r="W15" s="11" t="s">
        <v>204</v>
      </c>
      <c r="X15" s="1">
        <v>237</v>
      </c>
    </row>
    <row r="16" spans="2:24" x14ac:dyDescent="0.2">
      <c r="H16" s="11" t="s">
        <v>156</v>
      </c>
      <c r="I16" s="1">
        <v>270</v>
      </c>
      <c r="K16" s="11" t="s">
        <v>164</v>
      </c>
      <c r="L16" s="1">
        <v>232</v>
      </c>
      <c r="N16" s="11" t="s">
        <v>173</v>
      </c>
      <c r="O16" s="1">
        <v>3005</v>
      </c>
      <c r="Q16" s="11" t="s">
        <v>182</v>
      </c>
      <c r="R16" s="1">
        <v>256</v>
      </c>
      <c r="T16" s="11" t="s">
        <v>193</v>
      </c>
      <c r="U16" s="1">
        <v>246</v>
      </c>
      <c r="W16" s="11" t="s">
        <v>205</v>
      </c>
      <c r="X16" s="1">
        <v>267</v>
      </c>
    </row>
    <row r="17" spans="2:24" x14ac:dyDescent="0.2">
      <c r="H17" s="11" t="s">
        <v>156</v>
      </c>
      <c r="I17" s="1">
        <v>251</v>
      </c>
      <c r="K17" s="11" t="s">
        <v>164</v>
      </c>
      <c r="L17" s="1">
        <v>290</v>
      </c>
      <c r="N17" s="11" t="s">
        <v>174</v>
      </c>
      <c r="O17" s="1">
        <v>240</v>
      </c>
      <c r="Q17" s="11" t="s">
        <v>183</v>
      </c>
      <c r="R17" s="1">
        <v>224</v>
      </c>
      <c r="T17" s="11" t="s">
        <v>194</v>
      </c>
      <c r="U17" s="1">
        <v>257</v>
      </c>
      <c r="W17" s="11" t="s">
        <v>205</v>
      </c>
      <c r="X17" s="1">
        <v>257</v>
      </c>
    </row>
    <row r="18" spans="2:24" x14ac:dyDescent="0.2">
      <c r="H18" s="11" t="s">
        <v>156</v>
      </c>
      <c r="I18" s="1">
        <v>238</v>
      </c>
      <c r="K18" s="11" t="s">
        <v>165</v>
      </c>
      <c r="L18" s="1">
        <v>255</v>
      </c>
      <c r="N18" s="11" t="s">
        <v>175</v>
      </c>
      <c r="O18" s="1">
        <v>288</v>
      </c>
      <c r="Q18" s="11" t="s">
        <v>184</v>
      </c>
      <c r="R18" s="1">
        <v>248</v>
      </c>
      <c r="T18" s="11" t="s">
        <v>194</v>
      </c>
      <c r="U18" s="1">
        <v>270</v>
      </c>
      <c r="W18" s="11" t="s">
        <v>206</v>
      </c>
      <c r="X18" s="1">
        <v>268</v>
      </c>
    </row>
    <row r="19" spans="2:24" x14ac:dyDescent="0.2">
      <c r="H19" s="11" t="s">
        <v>157</v>
      </c>
      <c r="I19" s="1">
        <v>224</v>
      </c>
      <c r="K19" s="11" t="s">
        <v>166</v>
      </c>
      <c r="L19" s="1">
        <v>234</v>
      </c>
      <c r="N19" s="11" t="s">
        <v>175</v>
      </c>
      <c r="O19" s="1">
        <v>241</v>
      </c>
      <c r="Q19" s="11" t="s">
        <v>184</v>
      </c>
      <c r="R19" s="1">
        <v>264</v>
      </c>
      <c r="T19" s="11" t="s">
        <v>195</v>
      </c>
      <c r="U19" s="1">
        <v>258</v>
      </c>
      <c r="W19" s="11" t="s">
        <v>206</v>
      </c>
      <c r="X19" s="1">
        <v>246</v>
      </c>
    </row>
    <row r="20" spans="2:24" x14ac:dyDescent="0.2">
      <c r="H20" s="11" t="s">
        <v>157</v>
      </c>
      <c r="I20" s="1">
        <v>296</v>
      </c>
      <c r="K20" s="11" t="s">
        <v>166</v>
      </c>
      <c r="L20" s="1">
        <v>265</v>
      </c>
      <c r="N20" s="11" t="s">
        <v>175</v>
      </c>
      <c r="O20" s="1">
        <v>294</v>
      </c>
      <c r="Q20" s="11" t="s">
        <v>185</v>
      </c>
      <c r="R20" s="1">
        <v>275</v>
      </c>
      <c r="T20" s="11" t="s">
        <v>195</v>
      </c>
      <c r="U20" s="1">
        <v>285</v>
      </c>
    </row>
    <row r="21" spans="2:24" x14ac:dyDescent="0.2">
      <c r="N21" s="11" t="s">
        <v>175</v>
      </c>
      <c r="O21" s="1">
        <v>274</v>
      </c>
      <c r="Q21" s="11" t="s">
        <v>186</v>
      </c>
      <c r="R21" s="1">
        <v>250</v>
      </c>
      <c r="T21" s="11" t="s">
        <v>196</v>
      </c>
      <c r="U21" s="1">
        <v>259</v>
      </c>
    </row>
    <row r="22" spans="2:24" x14ac:dyDescent="0.2">
      <c r="N22" s="11" t="s">
        <v>176</v>
      </c>
      <c r="O22" s="1">
        <v>280</v>
      </c>
      <c r="Q22" s="11" t="s">
        <v>186</v>
      </c>
      <c r="R22" s="1">
        <v>229</v>
      </c>
      <c r="T22" s="11" t="s">
        <v>196</v>
      </c>
      <c r="U22" s="1">
        <v>279</v>
      </c>
    </row>
    <row r="23" spans="2:24" x14ac:dyDescent="0.2">
      <c r="N23" s="11" t="s">
        <v>176</v>
      </c>
      <c r="O23" s="1">
        <v>259</v>
      </c>
      <c r="Q23" s="11" t="s">
        <v>186</v>
      </c>
      <c r="R23" s="1">
        <v>274</v>
      </c>
      <c r="T23" s="11" t="s">
        <v>196</v>
      </c>
      <c r="U23" s="1">
        <v>245</v>
      </c>
    </row>
    <row r="24" spans="2:24" x14ac:dyDescent="0.2">
      <c r="N24" s="11" t="s">
        <v>176</v>
      </c>
      <c r="O24" s="1">
        <v>285</v>
      </c>
    </row>
    <row r="30" spans="2:24" x14ac:dyDescent="0.2">
      <c r="B30" s="11"/>
      <c r="C30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GameRandomData</vt:lpstr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2024-07-08T14:21:54Z</dcterms:modified>
</cp:coreProperties>
</file>