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MyGame\Rune Factory\Rune Factory - Copy\Datas\"/>
    </mc:Choice>
  </mc:AlternateContent>
  <bookViews>
    <workbookView xWindow="240" yWindow="135" windowWidth="9675" windowHeight="7380"/>
  </bookViews>
  <sheets>
    <sheet name="ItemData" sheetId="1" r:id="rId1"/>
    <sheet name="Sheet6" sheetId="18" r:id="rId2"/>
    <sheet name="Sheet4" sheetId="17" r:id="rId3"/>
    <sheet name="Sheet13" sheetId="16" r:id="rId4"/>
    <sheet name="Sheet2" sheetId="3" r:id="rId5"/>
    <sheet name="Sheet3" sheetId="5" r:id="rId6"/>
    <sheet name="Sheet1" sheetId="6" r:id="rId7"/>
    <sheet name="Sheet5" sheetId="8" r:id="rId8"/>
    <sheet name="植物" sheetId="7" r:id="rId9"/>
    <sheet name="动物" sheetId="14" r:id="rId10"/>
    <sheet name="装备" sheetId="9" r:id="rId11"/>
    <sheet name="Sheet8" sheetId="11" r:id="rId12"/>
    <sheet name="材料" sheetId="12" r:id="rId13"/>
    <sheet name="食物" sheetId="13" r:id="rId14"/>
    <sheet name="鱼" sheetId="15" r:id="rId15"/>
  </sheets>
  <definedNames>
    <definedName name="_xlnm._FilterDatabase" localSheetId="0" hidden="1">ItemData!$A$3:$AJ$415</definedName>
    <definedName name="_xlnm._FilterDatabase" localSheetId="3" hidden="1">Sheet13!$Q$47:$Q$57</definedName>
    <definedName name="_xlnm._FilterDatabase" localSheetId="4" hidden="1">Sheet2!$B$5:$X$54</definedName>
    <definedName name="_xlnm._FilterDatabase" localSheetId="11" hidden="1">Sheet8!$H$53:$K$324</definedName>
  </definedNames>
  <calcPr calcId="162913"/>
</workbook>
</file>

<file path=xl/calcChain.xml><?xml version="1.0" encoding="utf-8"?>
<calcChain xmlns="http://schemas.openxmlformats.org/spreadsheetml/2006/main">
  <c r="J55" i="11" l="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54" i="11"/>
  <c r="K172" i="11"/>
  <c r="K173" i="11"/>
  <c r="K174" i="11"/>
  <c r="K175" i="11"/>
  <c r="K176" i="11"/>
  <c r="K177" i="11"/>
  <c r="K178" i="11"/>
  <c r="K179" i="11"/>
  <c r="K180" i="11"/>
  <c r="K181" i="11" s="1"/>
  <c r="K182" i="11"/>
  <c r="K184" i="11"/>
  <c r="K185" i="11"/>
  <c r="K186" i="11"/>
  <c r="K187" i="11" s="1"/>
  <c r="K188" i="11"/>
  <c r="K189" i="11" s="1"/>
  <c r="K190" i="11"/>
  <c r="K191" i="11"/>
  <c r="K192" i="11"/>
  <c r="K193" i="11" s="1"/>
  <c r="K194" i="11" s="1"/>
  <c r="K195" i="11"/>
  <c r="K196" i="11" s="1"/>
  <c r="K197" i="11" s="1"/>
  <c r="K198" i="11"/>
  <c r="K199" i="11"/>
  <c r="K200" i="11"/>
  <c r="K201" i="11" s="1"/>
  <c r="K202" i="11"/>
  <c r="K203" i="11" s="1"/>
  <c r="K204" i="11"/>
  <c r="K205" i="11" s="1"/>
  <c r="K206" i="11"/>
  <c r="K207" i="11"/>
  <c r="K208" i="11" s="1"/>
  <c r="K209" i="11" s="1"/>
  <c r="K210" i="11"/>
  <c r="K211" i="11"/>
  <c r="K212" i="11"/>
  <c r="K213" i="11"/>
  <c r="K214" i="11" s="1"/>
  <c r="K215" i="11"/>
  <c r="K216" i="11"/>
  <c r="K217" i="11" s="1"/>
  <c r="K218" i="11"/>
  <c r="K219" i="11"/>
  <c r="K221" i="11"/>
  <c r="K222" i="11" s="1"/>
  <c r="K223" i="11"/>
  <c r="K224" i="11"/>
  <c r="K225" i="11"/>
  <c r="K226" i="11"/>
  <c r="K227" i="11"/>
  <c r="K228" i="11"/>
  <c r="K229" i="11"/>
  <c r="K230" i="11" s="1"/>
  <c r="K231" i="11"/>
  <c r="K232" i="11" s="1"/>
  <c r="K233" i="11"/>
  <c r="K234" i="11"/>
  <c r="K235" i="11"/>
  <c r="K236" i="11"/>
  <c r="K237" i="11"/>
  <c r="K238" i="11"/>
  <c r="K239" i="11"/>
  <c r="K240" i="11"/>
  <c r="K241" i="11"/>
  <c r="K242" i="11"/>
  <c r="K243" i="11"/>
  <c r="K244" i="11"/>
  <c r="K245" i="11"/>
  <c r="K246" i="11"/>
  <c r="K247" i="11"/>
  <c r="K248" i="11"/>
  <c r="K249" i="11"/>
  <c r="K250" i="11"/>
  <c r="K251" i="11"/>
  <c r="K252" i="11"/>
  <c r="K253" i="11" s="1"/>
  <c r="K254" i="11"/>
  <c r="K255" i="11"/>
  <c r="K256" i="11" s="1"/>
  <c r="K257" i="11"/>
  <c r="K258" i="11" s="1"/>
  <c r="K259" i="11"/>
  <c r="K260" i="11" s="1"/>
  <c r="K261" i="11" s="1"/>
  <c r="K262" i="11"/>
  <c r="K265" i="11"/>
  <c r="K268" i="11"/>
  <c r="K269" i="11" s="1"/>
  <c r="K270" i="11"/>
  <c r="K271" i="11"/>
  <c r="K272" i="11"/>
  <c r="K273" i="11" s="1"/>
  <c r="K274" i="11"/>
  <c r="K275" i="11"/>
  <c r="K276" i="11" s="1"/>
  <c r="K277" i="11"/>
  <c r="K278" i="11"/>
  <c r="K279" i="11"/>
  <c r="K280" i="11"/>
  <c r="K281" i="11"/>
  <c r="K282" i="11"/>
  <c r="K283" i="11"/>
  <c r="K284" i="11"/>
  <c r="K285" i="11"/>
  <c r="K286" i="11"/>
  <c r="K287" i="11"/>
  <c r="K288" i="11"/>
  <c r="K289" i="11"/>
  <c r="K290" i="11"/>
  <c r="K291" i="11" s="1"/>
  <c r="K292" i="11"/>
  <c r="K293" i="11"/>
  <c r="K294" i="11"/>
  <c r="K295" i="11"/>
  <c r="K296" i="11"/>
  <c r="K297" i="11"/>
  <c r="K298" i="11"/>
  <c r="K299" i="11"/>
  <c r="K300" i="11"/>
  <c r="K301" i="11"/>
  <c r="K302" i="11" s="1"/>
  <c r="K303" i="11"/>
  <c r="K304" i="11"/>
  <c r="K305" i="11"/>
  <c r="K306" i="11"/>
  <c r="K307" i="11"/>
  <c r="K308" i="11"/>
  <c r="K309" i="11"/>
  <c r="K310" i="11"/>
  <c r="K311" i="11"/>
  <c r="K312" i="11"/>
  <c r="K313" i="11"/>
  <c r="K315" i="11"/>
  <c r="K316" i="11" s="1"/>
  <c r="K317" i="11"/>
  <c r="K318" i="11" s="1"/>
  <c r="K319" i="11"/>
  <c r="K320" i="11" s="1"/>
  <c r="K321" i="11"/>
  <c r="K323" i="11"/>
  <c r="K324" i="11" s="1"/>
  <c r="K73" i="11"/>
  <c r="K74" i="11"/>
  <c r="K75" i="11" s="1"/>
  <c r="K76" i="11"/>
  <c r="K77" i="11"/>
  <c r="K78" i="11"/>
  <c r="K79" i="11"/>
  <c r="K80" i="11"/>
  <c r="K81" i="11"/>
  <c r="K82" i="11" s="1"/>
  <c r="K83" i="11"/>
  <c r="K84" i="11"/>
  <c r="K86" i="11"/>
  <c r="K87" i="11" s="1"/>
  <c r="K88" i="11"/>
  <c r="K90" i="11"/>
  <c r="K91" i="11"/>
  <c r="K92" i="11"/>
  <c r="K93" i="11" s="1"/>
  <c r="K94" i="11"/>
  <c r="K95" i="11"/>
  <c r="K96" i="11"/>
  <c r="K97" i="11"/>
  <c r="K98" i="11"/>
  <c r="K99" i="11"/>
  <c r="K100" i="11" s="1"/>
  <c r="K101" i="11"/>
  <c r="K102" i="11" s="1"/>
  <c r="K103" i="11"/>
  <c r="K104" i="11"/>
  <c r="K105" i="11"/>
  <c r="K106" i="11" s="1"/>
  <c r="K107" i="11"/>
  <c r="K108" i="11"/>
  <c r="K110" i="11"/>
  <c r="K111" i="11"/>
  <c r="K112" i="11" s="1"/>
  <c r="K113" i="11"/>
  <c r="K114" i="11" s="1"/>
  <c r="K115" i="11"/>
  <c r="K116" i="11"/>
  <c r="K118" i="11"/>
  <c r="K119" i="11" s="1"/>
  <c r="K120" i="11" s="1"/>
  <c r="K121" i="11"/>
  <c r="K122" i="11" s="1"/>
  <c r="K123" i="11" s="1"/>
  <c r="K124" i="11"/>
  <c r="K126" i="11"/>
  <c r="K127" i="11" s="1"/>
  <c r="K128" i="11"/>
  <c r="K130" i="11"/>
  <c r="K131" i="11"/>
  <c r="K132" i="11" s="1"/>
  <c r="K133" i="11"/>
  <c r="K134" i="11" s="1"/>
  <c r="K135" i="11"/>
  <c r="K136" i="11" s="1"/>
  <c r="K137" i="11"/>
  <c r="K138" i="11"/>
  <c r="K139" i="11" s="1"/>
  <c r="K140" i="11" s="1"/>
  <c r="K141" i="11"/>
  <c r="K142" i="11"/>
  <c r="K143" i="11" s="1"/>
  <c r="K144" i="11"/>
  <c r="K145" i="11"/>
  <c r="K146" i="11" s="1"/>
  <c r="K147" i="11"/>
  <c r="K148" i="11"/>
  <c r="K149" i="11"/>
  <c r="K150" i="11"/>
  <c r="K151" i="11"/>
  <c r="K152" i="11"/>
  <c r="K154" i="11"/>
  <c r="K155" i="11"/>
  <c r="K156" i="11"/>
  <c r="K157" i="11"/>
  <c r="K158" i="11"/>
  <c r="K159" i="11"/>
  <c r="K161" i="11"/>
  <c r="K162" i="11" s="1"/>
  <c r="K163" i="11"/>
  <c r="K164" i="11" s="1"/>
  <c r="K165" i="11" s="1"/>
  <c r="K166" i="11"/>
  <c r="K169" i="11"/>
  <c r="K170" i="11"/>
  <c r="K55" i="11"/>
  <c r="K56" i="11"/>
  <c r="K57" i="11" s="1"/>
  <c r="K58" i="11"/>
  <c r="K59" i="11"/>
  <c r="K60" i="11"/>
  <c r="K61" i="11"/>
  <c r="K62" i="11" s="1"/>
  <c r="K63" i="11"/>
  <c r="K64" i="11"/>
  <c r="K65" i="11"/>
  <c r="K66" i="11" s="1"/>
  <c r="K67" i="11"/>
  <c r="K69" i="11"/>
  <c r="K71" i="11"/>
  <c r="K72" i="11"/>
  <c r="K54"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I19" i="11"/>
  <c r="AJ19"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I20" i="11"/>
  <c r="AJ20"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AJ21"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AJ22"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I23" i="11"/>
  <c r="AJ23"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I24" i="11"/>
  <c r="AJ24"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I25" i="11"/>
  <c r="AJ25"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I26" i="11"/>
  <c r="AJ26"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I27" i="11"/>
  <c r="AJ27"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I28" i="11"/>
  <c r="AJ28"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I29" i="11"/>
  <c r="AJ29"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I30" i="11"/>
  <c r="AJ30"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I31" i="11"/>
  <c r="AJ31"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I32" i="11"/>
  <c r="AJ32"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I33" i="11"/>
  <c r="AJ33" i="11"/>
  <c r="K314" i="11" l="1"/>
  <c r="K153" i="11"/>
  <c r="K183" i="11"/>
  <c r="K160" i="11"/>
  <c r="K322" i="11"/>
  <c r="K109" i="11"/>
  <c r="K89" i="11"/>
  <c r="K220" i="11"/>
  <c r="K129" i="11"/>
  <c r="K85" i="11"/>
  <c r="K266" i="11"/>
  <c r="K267" i="11" s="1"/>
  <c r="K171" i="11"/>
  <c r="K70" i="11"/>
  <c r="K167" i="11"/>
  <c r="K168" i="11" s="1"/>
  <c r="K125" i="11"/>
  <c r="K68" i="11"/>
  <c r="K263" i="11"/>
  <c r="K264" i="11" s="1"/>
  <c r="K117" i="11"/>
  <c r="O404" i="1" l="1"/>
  <c r="O403" i="1"/>
  <c r="O402" i="1"/>
  <c r="AJ123" i="1" l="1"/>
  <c r="AJ124" i="1"/>
  <c r="AJ126" i="1"/>
  <c r="AJ127" i="1"/>
  <c r="AJ128" i="1"/>
  <c r="AJ130" i="1"/>
  <c r="AJ131" i="1"/>
  <c r="AJ133" i="1"/>
  <c r="AJ135" i="1"/>
  <c r="AJ138" i="1"/>
  <c r="AJ140" i="1"/>
  <c r="AJ144" i="1"/>
  <c r="AJ147" i="1"/>
  <c r="P257" i="1" l="1"/>
  <c r="P256" i="1"/>
  <c r="O396" i="1" l="1"/>
  <c r="O397" i="1"/>
  <c r="O398" i="1"/>
  <c r="O399" i="1"/>
  <c r="O400" i="1"/>
  <c r="O401" i="1"/>
  <c r="O395" i="1"/>
  <c r="P267" i="1" l="1"/>
  <c r="P266" i="1"/>
  <c r="P265" i="1"/>
  <c r="P264" i="1"/>
  <c r="P263" i="1"/>
  <c r="P262" i="1"/>
  <c r="P261" i="1"/>
  <c r="P260" i="1"/>
  <c r="O20" i="1" l="1"/>
  <c r="O21" i="1"/>
  <c r="O23" i="1"/>
  <c r="O26" i="1"/>
  <c r="O39" i="1"/>
  <c r="O41" i="1"/>
  <c r="O43" i="1"/>
  <c r="O50" i="1"/>
  <c r="O57" i="1"/>
  <c r="O64" i="1"/>
  <c r="O65" i="1"/>
  <c r="O71" i="1"/>
  <c r="O86" i="1"/>
  <c r="O91" i="1"/>
  <c r="O96" i="1"/>
  <c r="O97" i="1"/>
  <c r="O103" i="1"/>
  <c r="O115" i="1"/>
  <c r="O118" i="1"/>
  <c r="O119" i="1"/>
  <c r="O120" i="1"/>
  <c r="O121" i="1"/>
  <c r="O122" i="1"/>
  <c r="P276" i="1" l="1"/>
  <c r="P272" i="1"/>
  <c r="P271" i="1"/>
  <c r="P274" i="1"/>
  <c r="P275" i="1"/>
  <c r="P278" i="1"/>
  <c r="P279" i="1"/>
  <c r="S64" i="7" l="1"/>
  <c r="S65" i="7"/>
  <c r="S66" i="7"/>
  <c r="S67" i="7"/>
  <c r="S68" i="7"/>
  <c r="S69" i="7"/>
  <c r="S70" i="7"/>
  <c r="S71" i="7"/>
  <c r="S72" i="7"/>
  <c r="S73" i="7"/>
  <c r="S74" i="7"/>
  <c r="S75" i="7"/>
  <c r="S76" i="7"/>
  <c r="S77" i="7"/>
  <c r="S63" i="7"/>
  <c r="AJ29" i="1" l="1"/>
  <c r="AJ30" i="1"/>
  <c r="AJ35" i="1"/>
  <c r="AJ38" i="1"/>
  <c r="AJ44" i="1"/>
  <c r="AJ47" i="1"/>
  <c r="AJ48" i="1"/>
  <c r="AJ51" i="1"/>
  <c r="AJ52" i="1"/>
  <c r="AJ59" i="1"/>
  <c r="AJ60" i="1"/>
  <c r="AJ61" i="1"/>
  <c r="AJ63" i="1"/>
  <c r="AJ64" i="1"/>
  <c r="AJ65" i="1"/>
  <c r="AJ68" i="1"/>
  <c r="AJ69" i="1"/>
  <c r="AJ74" i="1"/>
  <c r="AJ76" i="1"/>
  <c r="AJ80" i="1"/>
  <c r="AJ83" i="1"/>
  <c r="AJ94" i="1"/>
  <c r="AJ96" i="1"/>
  <c r="AJ103" i="1"/>
  <c r="AJ116" i="1"/>
  <c r="AJ119" i="1"/>
  <c r="AJ148" i="1"/>
  <c r="AJ179" i="1"/>
  <c r="AJ184" i="1"/>
  <c r="P238" i="1" l="1"/>
  <c r="P239" i="1"/>
  <c r="P240" i="1"/>
  <c r="P241" i="1"/>
  <c r="P242" i="1"/>
  <c r="P243" i="1"/>
  <c r="P244" i="1"/>
  <c r="P245" i="1"/>
  <c r="P246" i="1"/>
  <c r="P247" i="1"/>
  <c r="P248" i="1"/>
  <c r="P249" i="1"/>
  <c r="P250" i="1"/>
  <c r="P251" i="1"/>
  <c r="P252" i="1"/>
  <c r="P253" i="1"/>
  <c r="P254" i="1"/>
  <c r="P259" i="1"/>
  <c r="P255" i="1"/>
  <c r="P258" i="1"/>
  <c r="P237" i="1"/>
  <c r="P25" i="1"/>
  <c r="O25" i="1" s="1"/>
  <c r="P27" i="1"/>
  <c r="O27" i="1" s="1"/>
  <c r="P28" i="1"/>
  <c r="O28" i="1" s="1"/>
  <c r="P29" i="1"/>
  <c r="O29" i="1" s="1"/>
  <c r="P30" i="1"/>
  <c r="O30" i="1" s="1"/>
  <c r="P31" i="1"/>
  <c r="O31" i="1" s="1"/>
  <c r="P32" i="1"/>
  <c r="O32" i="1" s="1"/>
  <c r="P33" i="1"/>
  <c r="O33" i="1" s="1"/>
  <c r="P34" i="1"/>
  <c r="O34" i="1" s="1"/>
  <c r="P35" i="1"/>
  <c r="O35" i="1" s="1"/>
  <c r="P36" i="1"/>
  <c r="O36" i="1" s="1"/>
  <c r="P37" i="1"/>
  <c r="O37" i="1" s="1"/>
  <c r="P38" i="1"/>
  <c r="O38" i="1" s="1"/>
  <c r="P40" i="1"/>
  <c r="O40" i="1" s="1"/>
  <c r="P42" i="1"/>
  <c r="O42" i="1" s="1"/>
  <c r="P44" i="1"/>
  <c r="O44" i="1" s="1"/>
  <c r="P45" i="1"/>
  <c r="O45" i="1" s="1"/>
  <c r="P46" i="1"/>
  <c r="O46" i="1" s="1"/>
  <c r="P47" i="1"/>
  <c r="O47" i="1" s="1"/>
  <c r="P48" i="1"/>
  <c r="O48" i="1" s="1"/>
  <c r="P49" i="1"/>
  <c r="O49" i="1" s="1"/>
  <c r="P51" i="1"/>
  <c r="O51" i="1" s="1"/>
  <c r="P52" i="1"/>
  <c r="O52" i="1" s="1"/>
  <c r="P53" i="1"/>
  <c r="O53" i="1" s="1"/>
  <c r="P54" i="1"/>
  <c r="O54" i="1" s="1"/>
  <c r="P55" i="1"/>
  <c r="O55" i="1" s="1"/>
  <c r="P56" i="1"/>
  <c r="O56" i="1" s="1"/>
  <c r="P58" i="1"/>
  <c r="O58" i="1" s="1"/>
  <c r="P59" i="1"/>
  <c r="O59" i="1" s="1"/>
  <c r="P60" i="1"/>
  <c r="O60" i="1" s="1"/>
  <c r="P61" i="1"/>
  <c r="O61" i="1" s="1"/>
  <c r="P62" i="1"/>
  <c r="O62" i="1" s="1"/>
  <c r="P63" i="1"/>
  <c r="O63" i="1" s="1"/>
  <c r="P66" i="1"/>
  <c r="O66" i="1" s="1"/>
  <c r="P67" i="1"/>
  <c r="O67" i="1" s="1"/>
  <c r="P68" i="1"/>
  <c r="O68" i="1" s="1"/>
  <c r="P69" i="1"/>
  <c r="O69" i="1" s="1"/>
  <c r="P70" i="1"/>
  <c r="O70" i="1" s="1"/>
  <c r="P72" i="1"/>
  <c r="O72" i="1" s="1"/>
  <c r="P73" i="1"/>
  <c r="O73" i="1" s="1"/>
  <c r="P74" i="1"/>
  <c r="O74" i="1" s="1"/>
  <c r="P75" i="1"/>
  <c r="O75" i="1" s="1"/>
  <c r="P76" i="1"/>
  <c r="O76" i="1" s="1"/>
  <c r="P77" i="1"/>
  <c r="O77" i="1" s="1"/>
  <c r="P78" i="1"/>
  <c r="O78" i="1" s="1"/>
  <c r="P79" i="1"/>
  <c r="O79" i="1" s="1"/>
  <c r="P80" i="1"/>
  <c r="O80" i="1" s="1"/>
  <c r="P81" i="1"/>
  <c r="O81" i="1" s="1"/>
  <c r="P82" i="1"/>
  <c r="O82" i="1" s="1"/>
  <c r="P83" i="1"/>
  <c r="O83" i="1" s="1"/>
  <c r="P84" i="1"/>
  <c r="O84" i="1" s="1"/>
  <c r="P85" i="1"/>
  <c r="O85" i="1" s="1"/>
  <c r="P87" i="1"/>
  <c r="O87" i="1" s="1"/>
  <c r="P88" i="1"/>
  <c r="O88" i="1" s="1"/>
  <c r="P89" i="1"/>
  <c r="O89" i="1" s="1"/>
  <c r="P90" i="1"/>
  <c r="O90" i="1" s="1"/>
  <c r="P92" i="1"/>
  <c r="O92" i="1" s="1"/>
  <c r="P93" i="1"/>
  <c r="O93" i="1" s="1"/>
  <c r="P94" i="1"/>
  <c r="O94" i="1" s="1"/>
  <c r="P95" i="1"/>
  <c r="O95" i="1" s="1"/>
  <c r="P98" i="1"/>
  <c r="O98" i="1" s="1"/>
  <c r="P99" i="1"/>
  <c r="O99" i="1" s="1"/>
  <c r="P100" i="1"/>
  <c r="O100" i="1" s="1"/>
  <c r="P101" i="1"/>
  <c r="O101" i="1" s="1"/>
  <c r="P102" i="1"/>
  <c r="O102" i="1" s="1"/>
  <c r="P104" i="1"/>
  <c r="O104" i="1" s="1"/>
  <c r="P105" i="1"/>
  <c r="O105" i="1" s="1"/>
  <c r="P106" i="1"/>
  <c r="O106" i="1" s="1"/>
  <c r="P107" i="1"/>
  <c r="O107" i="1" s="1"/>
  <c r="P108" i="1"/>
  <c r="O108" i="1" s="1"/>
  <c r="P109" i="1"/>
  <c r="O109" i="1" s="1"/>
  <c r="P110" i="1"/>
  <c r="O110" i="1" s="1"/>
  <c r="P111" i="1"/>
  <c r="O111" i="1" s="1"/>
  <c r="P112" i="1"/>
  <c r="O112" i="1" s="1"/>
  <c r="P113" i="1"/>
  <c r="O113" i="1" s="1"/>
  <c r="P114" i="1"/>
  <c r="O114" i="1" s="1"/>
  <c r="P116" i="1"/>
  <c r="O116" i="1" s="1"/>
  <c r="P117" i="1"/>
  <c r="O117" i="1" s="1"/>
  <c r="P22" i="1"/>
  <c r="O22" i="1" s="1"/>
  <c r="P24" i="1"/>
  <c r="O24" i="1" s="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180" i="1"/>
  <c r="P181" i="1"/>
  <c r="P182" i="1"/>
  <c r="P183" i="1"/>
  <c r="P184" i="1"/>
  <c r="P185" i="1"/>
  <c r="P186" i="1"/>
  <c r="P187" i="1"/>
  <c r="P188" i="1"/>
  <c r="P189" i="1"/>
  <c r="P190" i="1"/>
  <c r="P191" i="1"/>
  <c r="P192" i="1"/>
  <c r="P193" i="1"/>
  <c r="P194" i="1"/>
  <c r="P179"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15" i="1"/>
  <c r="P280" i="1"/>
  <c r="P281" i="1"/>
  <c r="P282" i="1"/>
  <c r="P283" i="1"/>
  <c r="P284" i="1"/>
  <c r="P285" i="1"/>
  <c r="P286" i="1"/>
  <c r="P287" i="1"/>
  <c r="P288" i="1"/>
  <c r="P289" i="1"/>
  <c r="P290" i="1"/>
  <c r="P291" i="1"/>
  <c r="P292" i="1"/>
  <c r="P293" i="1"/>
  <c r="P295" i="1"/>
  <c r="P296" i="1"/>
  <c r="P297" i="1"/>
  <c r="P298" i="1"/>
  <c r="P299" i="1"/>
  <c r="P300" i="1"/>
  <c r="P301" i="1"/>
  <c r="P302" i="1"/>
  <c r="P268"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23"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51" i="1"/>
  <c r="F34" i="7"/>
  <c r="F35" i="7"/>
  <c r="F36" i="7"/>
  <c r="F37" i="7"/>
  <c r="F38" i="7"/>
  <c r="F39" i="7"/>
  <c r="F40" i="7"/>
  <c r="F41" i="7"/>
  <c r="F42" i="7"/>
  <c r="F43" i="7"/>
  <c r="F44" i="7"/>
  <c r="F45" i="7"/>
  <c r="F46" i="7"/>
  <c r="F47" i="7"/>
  <c r="F48" i="7"/>
  <c r="F49" i="7"/>
  <c r="F50" i="7"/>
  <c r="F51" i="7"/>
  <c r="F52" i="7"/>
  <c r="F53" i="7"/>
  <c r="F54" i="7"/>
  <c r="F55" i="7"/>
  <c r="F56" i="7"/>
  <c r="F57" i="7"/>
  <c r="F58" i="7"/>
  <c r="F59" i="7"/>
  <c r="F60" i="7"/>
  <c r="F33" i="7"/>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AH394" i="1"/>
  <c r="AG394" i="1"/>
  <c r="AF394" i="1"/>
  <c r="AE394" i="1"/>
  <c r="AA394" i="1"/>
  <c r="Z394" i="1"/>
  <c r="Q4" i="13" l="1"/>
  <c r="Q5" i="13"/>
  <c r="Q6" i="13"/>
  <c r="R6" i="13" s="1"/>
  <c r="Q7" i="13"/>
  <c r="Q8" i="13"/>
  <c r="Q9" i="13"/>
  <c r="R9" i="13" s="1"/>
  <c r="Q10" i="13"/>
  <c r="R10" i="13" s="1"/>
  <c r="Q11" i="13"/>
  <c r="R11" i="13" s="1"/>
  <c r="Q12" i="13"/>
  <c r="R12" i="13" s="1"/>
  <c r="Q13" i="13"/>
  <c r="Q14" i="13"/>
  <c r="Q15" i="13"/>
  <c r="Q16" i="13"/>
  <c r="Q17" i="13"/>
  <c r="Q18" i="13"/>
  <c r="R18" i="13" s="1"/>
  <c r="Q19" i="13"/>
  <c r="R19" i="13" s="1"/>
  <c r="Q20" i="13"/>
  <c r="Q21" i="13"/>
  <c r="Q22" i="13"/>
  <c r="Q23" i="13"/>
  <c r="Q24" i="13"/>
  <c r="R24" i="13" s="1"/>
  <c r="Q25" i="13"/>
  <c r="R25" i="13" s="1"/>
  <c r="Q26" i="13"/>
  <c r="R26" i="13" s="1"/>
  <c r="Q27" i="13"/>
  <c r="R27" i="13" s="1"/>
  <c r="Q28" i="13"/>
  <c r="Q29" i="13"/>
  <c r="Q30" i="13"/>
  <c r="Q31" i="13"/>
  <c r="Q32" i="13"/>
  <c r="Q33" i="13"/>
  <c r="Q34" i="13"/>
  <c r="R34" i="13" s="1"/>
  <c r="Q35" i="13"/>
  <c r="R35" i="13" s="1"/>
  <c r="Q36" i="13"/>
  <c r="Q37" i="13"/>
  <c r="Q38" i="13"/>
  <c r="R38" i="13" s="1"/>
  <c r="Q39" i="13"/>
  <c r="Q40" i="13"/>
  <c r="R40" i="13" s="1"/>
  <c r="Q41" i="13"/>
  <c r="R41" i="13" s="1"/>
  <c r="Q42" i="13"/>
  <c r="R42" i="13" s="1"/>
  <c r="Q43" i="13"/>
  <c r="R43" i="13" s="1"/>
  <c r="Q44" i="13"/>
  <c r="R44" i="13" s="1"/>
  <c r="Q45" i="13"/>
  <c r="R45" i="13" s="1"/>
  <c r="Q46" i="13"/>
  <c r="Q47" i="13"/>
  <c r="R47" i="13" s="1"/>
  <c r="Q48" i="13"/>
  <c r="Q49" i="13"/>
  <c r="Q50" i="13"/>
  <c r="Q51" i="13"/>
  <c r="R51" i="13" s="1"/>
  <c r="Q52" i="13"/>
  <c r="Q53" i="13"/>
  <c r="Q54" i="13"/>
  <c r="Q55" i="13"/>
  <c r="Q56" i="13"/>
  <c r="Q57" i="13"/>
  <c r="Q58" i="13"/>
  <c r="R58" i="13" s="1"/>
  <c r="Q59" i="13"/>
  <c r="R59" i="13" s="1"/>
  <c r="Q60" i="13"/>
  <c r="Q61" i="13"/>
  <c r="Q62" i="13"/>
  <c r="R62" i="13" s="1"/>
  <c r="Q63" i="13"/>
  <c r="Q64" i="13"/>
  <c r="R64" i="13" s="1"/>
  <c r="Q65" i="13"/>
  <c r="R65" i="13" s="1"/>
  <c r="Q66" i="13"/>
  <c r="R66" i="13" s="1"/>
  <c r="Q67" i="13"/>
  <c r="R67" i="13" s="1"/>
  <c r="Q68" i="13"/>
  <c r="Q69" i="13"/>
  <c r="Q70" i="13"/>
  <c r="R70" i="13" s="1"/>
  <c r="Q71" i="13"/>
  <c r="Q72" i="13"/>
  <c r="R72" i="13" s="1"/>
  <c r="Q73" i="13"/>
  <c r="R73" i="13" s="1"/>
  <c r="Q74" i="13"/>
  <c r="R74" i="13" s="1"/>
  <c r="Q75" i="13"/>
  <c r="R75" i="13" s="1"/>
  <c r="Q76" i="13"/>
  <c r="Q77" i="13"/>
  <c r="R77" i="13" s="1"/>
  <c r="Q78" i="13"/>
  <c r="Q79" i="13"/>
  <c r="Q80" i="13"/>
  <c r="Q81" i="13"/>
  <c r="Q82" i="13"/>
  <c r="Q3" i="13"/>
  <c r="R4" i="13"/>
  <c r="R5" i="13"/>
  <c r="R13" i="13"/>
  <c r="R15" i="13"/>
  <c r="R20" i="13"/>
  <c r="R23" i="13"/>
  <c r="R28" i="13"/>
  <c r="R29" i="13"/>
  <c r="R48" i="13"/>
  <c r="R52" i="13"/>
  <c r="R53" i="13"/>
  <c r="R55" i="13"/>
  <c r="R57" i="13"/>
  <c r="R60" i="13"/>
  <c r="R61" i="13"/>
  <c r="R68" i="13"/>
  <c r="R69" i="13"/>
  <c r="R3" i="13"/>
  <c r="R14" i="13"/>
  <c r="R17" i="13"/>
  <c r="R31" i="13"/>
  <c r="R56" i="13"/>
  <c r="R78" i="13"/>
  <c r="R7" i="13"/>
  <c r="R8" i="13"/>
  <c r="R16" i="13"/>
  <c r="R21" i="13"/>
  <c r="R22" i="13"/>
  <c r="R30" i="13"/>
  <c r="R32" i="13"/>
  <c r="R33" i="13"/>
  <c r="R36" i="13"/>
  <c r="R37" i="13"/>
  <c r="R39" i="13"/>
  <c r="R46" i="13"/>
  <c r="R49" i="13"/>
  <c r="R50" i="13"/>
  <c r="R54" i="13"/>
  <c r="R63" i="13"/>
  <c r="R71" i="13"/>
  <c r="R76" i="13"/>
  <c r="R79" i="13"/>
  <c r="R80" i="13"/>
  <c r="R81" i="13"/>
  <c r="R82"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3" i="13"/>
  <c r="K3" i="15"/>
  <c r="K4" i="15"/>
  <c r="K5" i="15"/>
  <c r="K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2" i="15"/>
  <c r="M4" i="13"/>
  <c r="M5" i="13"/>
  <c r="M6" i="13"/>
  <c r="M7" i="13"/>
  <c r="M8" i="13"/>
  <c r="M9" i="13"/>
  <c r="M10" i="13"/>
  <c r="M11" i="13"/>
  <c r="M12" i="13"/>
  <c r="M13" i="13"/>
  <c r="M14" i="13"/>
  <c r="M15" i="13"/>
  <c r="M16" i="13"/>
  <c r="M17"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I4" i="13"/>
  <c r="I5" i="13"/>
  <c r="I6" i="13"/>
  <c r="I7" i="13"/>
  <c r="I8"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M3" i="13"/>
  <c r="K3" i="13"/>
  <c r="I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3" i="13"/>
  <c r="L4" i="9" l="1"/>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3" i="9"/>
  <c r="H64" i="7"/>
  <c r="N64" i="7" s="1"/>
  <c r="H65" i="7"/>
  <c r="N65" i="7" s="1"/>
  <c r="H66" i="7"/>
  <c r="N66" i="7" s="1"/>
  <c r="H67" i="7"/>
  <c r="N67" i="7" s="1"/>
  <c r="H68" i="7"/>
  <c r="J68" i="7" s="1"/>
  <c r="L68" i="7" s="1"/>
  <c r="H69" i="7"/>
  <c r="J69" i="7" s="1"/>
  <c r="L69" i="7" s="1"/>
  <c r="H70" i="7"/>
  <c r="J70" i="7" s="1"/>
  <c r="L70" i="7" s="1"/>
  <c r="H71" i="7"/>
  <c r="J71" i="7" s="1"/>
  <c r="L71" i="7" s="1"/>
  <c r="H72" i="7"/>
  <c r="J72" i="7" s="1"/>
  <c r="L72" i="7" s="1"/>
  <c r="H73" i="7"/>
  <c r="J73" i="7" s="1"/>
  <c r="L73" i="7" s="1"/>
  <c r="H74" i="7"/>
  <c r="J74" i="7" s="1"/>
  <c r="L74" i="7" s="1"/>
  <c r="H75" i="7"/>
  <c r="J75" i="7" s="1"/>
  <c r="L75" i="7" s="1"/>
  <c r="H76" i="7"/>
  <c r="J76" i="7" s="1"/>
  <c r="L76" i="7" s="1"/>
  <c r="H77" i="7"/>
  <c r="J77" i="7" s="1"/>
  <c r="L77" i="7" s="1"/>
  <c r="H63" i="7"/>
  <c r="N63" i="7" s="1"/>
  <c r="R3" i="12"/>
  <c r="R4" i="12"/>
  <c r="R5" i="12"/>
  <c r="R6" i="12"/>
  <c r="R7"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2" i="12"/>
  <c r="O15" i="13" l="1"/>
  <c r="J67" i="7"/>
  <c r="L67" i="7" s="1"/>
  <c r="J64" i="7"/>
  <c r="L64" i="7" s="1"/>
  <c r="J65" i="7"/>
  <c r="L65" i="7" s="1"/>
  <c r="M70" i="7"/>
  <c r="O70" i="7" s="1"/>
  <c r="P70" i="7" s="1"/>
  <c r="N70" i="7"/>
  <c r="J63" i="7"/>
  <c r="L63" i="7" s="1"/>
  <c r="N69" i="7"/>
  <c r="J66" i="7"/>
  <c r="L66" i="7" s="1"/>
  <c r="O82" i="13"/>
  <c r="O81" i="13"/>
  <c r="O77" i="13"/>
  <c r="O61" i="13"/>
  <c r="O45" i="13"/>
  <c r="O29" i="13"/>
  <c r="O67" i="13"/>
  <c r="O51" i="13"/>
  <c r="O35" i="13"/>
  <c r="O76" i="13"/>
  <c r="O60" i="13"/>
  <c r="O44" i="13"/>
  <c r="O28" i="13"/>
  <c r="O12" i="13"/>
  <c r="O13" i="13"/>
  <c r="O75" i="13"/>
  <c r="O59" i="13"/>
  <c r="O43" i="13"/>
  <c r="O27" i="13"/>
  <c r="O11" i="13"/>
  <c r="O74" i="13"/>
  <c r="O58" i="13"/>
  <c r="O42" i="13"/>
  <c r="O26" i="13"/>
  <c r="O10" i="13"/>
  <c r="O73" i="13"/>
  <c r="O57" i="13"/>
  <c r="O41" i="13"/>
  <c r="O25" i="13"/>
  <c r="O72" i="13"/>
  <c r="O56" i="13"/>
  <c r="O40" i="13"/>
  <c r="O24" i="13"/>
  <c r="O8" i="13"/>
  <c r="O71" i="13"/>
  <c r="O55" i="13"/>
  <c r="O39" i="13"/>
  <c r="O23" i="13"/>
  <c r="O70" i="13"/>
  <c r="O54" i="13"/>
  <c r="O38" i="13"/>
  <c r="O22" i="13"/>
  <c r="O6" i="13"/>
  <c r="O69" i="13"/>
  <c r="O53" i="13"/>
  <c r="O37" i="13"/>
  <c r="O21" i="13"/>
  <c r="O68" i="13"/>
  <c r="O52" i="13"/>
  <c r="O36" i="13"/>
  <c r="O20" i="13"/>
  <c r="O4" i="13"/>
  <c r="O66" i="13"/>
  <c r="O50" i="13"/>
  <c r="O34" i="13"/>
  <c r="O65" i="13"/>
  <c r="O49" i="13"/>
  <c r="O33" i="13"/>
  <c r="O17" i="13"/>
  <c r="O80" i="13"/>
  <c r="O64" i="13"/>
  <c r="O48" i="13"/>
  <c r="O32" i="13"/>
  <c r="O16" i="13"/>
  <c r="O79" i="13"/>
  <c r="O63" i="13"/>
  <c r="O47" i="13"/>
  <c r="O31" i="13"/>
  <c r="O78" i="13"/>
  <c r="O62" i="13"/>
  <c r="O46" i="13"/>
  <c r="O30" i="13"/>
  <c r="O14" i="13"/>
  <c r="O3" i="13"/>
  <c r="N76" i="7"/>
  <c r="M68" i="7"/>
  <c r="O68" i="7" s="1"/>
  <c r="P68" i="7" s="1"/>
  <c r="N74" i="7"/>
  <c r="N75" i="7"/>
  <c r="M75" i="7"/>
  <c r="O75" i="7" s="1"/>
  <c r="N71" i="7"/>
  <c r="M71" i="7"/>
  <c r="O71" i="7" s="1"/>
  <c r="N77" i="7"/>
  <c r="N72" i="7"/>
  <c r="N68" i="7"/>
  <c r="Q68" i="7" s="1"/>
  <c r="M64" i="7"/>
  <c r="O64" i="7" s="1"/>
  <c r="M77" i="7"/>
  <c r="O77" i="7" s="1"/>
  <c r="M76" i="7"/>
  <c r="O76" i="7" s="1"/>
  <c r="M74" i="7"/>
  <c r="O74" i="7" s="1"/>
  <c r="M72" i="7"/>
  <c r="O72" i="7" s="1"/>
  <c r="N73" i="7"/>
  <c r="M73" i="7"/>
  <c r="O73" i="7" s="1"/>
  <c r="M69" i="7"/>
  <c r="O69" i="7" s="1"/>
  <c r="O7" i="13" l="1"/>
  <c r="Q70" i="7"/>
  <c r="M67" i="7"/>
  <c r="O67" i="7" s="1"/>
  <c r="Q71" i="7"/>
  <c r="M63" i="7"/>
  <c r="O63" i="7" s="1"/>
  <c r="P63" i="7" s="1"/>
  <c r="M65" i="7"/>
  <c r="O65" i="7" s="1"/>
  <c r="Q65" i="7" s="1"/>
  <c r="M66" i="7"/>
  <c r="O66" i="7" s="1"/>
  <c r="Q66" i="7" s="1"/>
  <c r="O5" i="13"/>
  <c r="Q75" i="7"/>
  <c r="P75" i="7"/>
  <c r="P71" i="7"/>
  <c r="P77" i="7"/>
  <c r="Q77" i="7"/>
  <c r="Q76" i="7"/>
  <c r="P76" i="7"/>
  <c r="Q72" i="7"/>
  <c r="P72" i="7"/>
  <c r="Q74" i="7"/>
  <c r="P74" i="7"/>
  <c r="P64" i="7"/>
  <c r="Q64" i="7"/>
  <c r="Q73" i="7"/>
  <c r="P73" i="7"/>
  <c r="Q69" i="7"/>
  <c r="P69" i="7"/>
  <c r="I9" i="13" l="1"/>
  <c r="O9" i="13" s="1"/>
  <c r="M19" i="13"/>
  <c r="O19" i="13" s="1"/>
  <c r="M18" i="13"/>
  <c r="O18" i="13" s="1"/>
  <c r="P66" i="7"/>
  <c r="Q63" i="7"/>
  <c r="P67" i="7"/>
  <c r="Q67" i="7"/>
  <c r="P65" i="7"/>
  <c r="N13" i="3" l="1"/>
  <c r="N14" i="3"/>
  <c r="R2" i="9"/>
  <c r="N44" i="3"/>
  <c r="L6" i="3"/>
  <c r="R9" i="3"/>
  <c r="R10" i="3"/>
  <c r="R12" i="3"/>
  <c r="R14" i="3"/>
  <c r="R15" i="3"/>
  <c r="R16" i="3"/>
  <c r="R19" i="3"/>
  <c r="R20" i="3"/>
  <c r="R25" i="3"/>
  <c r="R32" i="3"/>
  <c r="R34" i="3"/>
  <c r="R36" i="3"/>
  <c r="R38" i="3"/>
  <c r="R39" i="3"/>
  <c r="R42" i="3"/>
  <c r="R43" i="3"/>
  <c r="R47" i="3"/>
  <c r="R49" i="3"/>
  <c r="R50" i="3"/>
  <c r="R51" i="3"/>
  <c r="R52" i="3"/>
  <c r="R53" i="3"/>
  <c r="R54" i="3"/>
  <c r="R8" i="3"/>
  <c r="P8" i="3"/>
  <c r="P9" i="3"/>
  <c r="P10" i="3"/>
  <c r="P11" i="3"/>
  <c r="P12" i="3"/>
  <c r="P13" i="3"/>
  <c r="P14" i="3"/>
  <c r="P15" i="3"/>
  <c r="P16" i="3"/>
  <c r="P17" i="3"/>
  <c r="P18" i="3"/>
  <c r="P19" i="3"/>
  <c r="P20" i="3"/>
  <c r="P21" i="3"/>
  <c r="P22" i="3"/>
  <c r="P23" i="3"/>
  <c r="P25" i="3"/>
  <c r="P26" i="3"/>
  <c r="P28" i="3"/>
  <c r="P29" i="3"/>
  <c r="P30" i="3"/>
  <c r="P32" i="3"/>
  <c r="P33" i="3"/>
  <c r="P34" i="3"/>
  <c r="P35" i="3"/>
  <c r="P36" i="3"/>
  <c r="P37" i="3"/>
  <c r="P38" i="3"/>
  <c r="P39" i="3"/>
  <c r="P40" i="3"/>
  <c r="P41" i="3"/>
  <c r="P42" i="3"/>
  <c r="P43" i="3"/>
  <c r="P44" i="3"/>
  <c r="P45" i="3"/>
  <c r="P46" i="3"/>
  <c r="P47" i="3"/>
  <c r="P48" i="3"/>
  <c r="P49" i="3"/>
  <c r="P50" i="3"/>
  <c r="P51" i="3"/>
  <c r="P52" i="3"/>
  <c r="P53" i="3"/>
  <c r="P54" i="3"/>
  <c r="P7" i="3"/>
  <c r="N7" i="3"/>
  <c r="N8" i="3"/>
  <c r="N9" i="3"/>
  <c r="N10" i="3"/>
  <c r="N11" i="3"/>
  <c r="N12" i="3"/>
  <c r="N15" i="3"/>
  <c r="N17" i="3"/>
  <c r="N18" i="3"/>
  <c r="N19" i="3"/>
  <c r="N20" i="3"/>
  <c r="N21" i="3"/>
  <c r="N22" i="3"/>
  <c r="N23" i="3"/>
  <c r="N24" i="3"/>
  <c r="N25" i="3"/>
  <c r="N26" i="3"/>
  <c r="N27" i="3"/>
  <c r="N28" i="3"/>
  <c r="N29" i="3"/>
  <c r="N30" i="3"/>
  <c r="N31" i="3"/>
  <c r="N32" i="3"/>
  <c r="N34" i="3"/>
  <c r="N35" i="3"/>
  <c r="N36" i="3"/>
  <c r="N37" i="3"/>
  <c r="N38" i="3"/>
  <c r="N39" i="3"/>
  <c r="N40" i="3"/>
  <c r="N41" i="3"/>
  <c r="N42" i="3"/>
  <c r="N45" i="3"/>
  <c r="N46" i="3"/>
  <c r="N47" i="3"/>
  <c r="N48" i="3"/>
  <c r="N49" i="3"/>
  <c r="N50" i="3"/>
  <c r="N51" i="3"/>
  <c r="N52" i="3"/>
  <c r="N54" i="3"/>
  <c r="N6" i="3"/>
  <c r="L7" i="3"/>
  <c r="L11" i="3"/>
  <c r="L13" i="3"/>
  <c r="L14" i="3"/>
  <c r="L15" i="3"/>
  <c r="L16" i="3"/>
  <c r="L17" i="3"/>
  <c r="L21" i="3"/>
  <c r="L22" i="3"/>
  <c r="L23" i="3"/>
  <c r="L25" i="3"/>
  <c r="L26" i="3"/>
  <c r="L27" i="3"/>
  <c r="L28" i="3"/>
  <c r="L30" i="3"/>
  <c r="L31" i="3"/>
  <c r="L33" i="3"/>
  <c r="L34" i="3"/>
  <c r="L35" i="3"/>
  <c r="L36" i="3"/>
  <c r="L39" i="3"/>
  <c r="L40" i="3"/>
  <c r="L42" i="3"/>
  <c r="L43" i="3"/>
  <c r="L44" i="3"/>
  <c r="L45" i="3"/>
  <c r="L46" i="3"/>
  <c r="L53" i="3"/>
  <c r="L54" i="3"/>
  <c r="N16" i="3"/>
  <c r="L18" i="3"/>
  <c r="P24" i="3"/>
  <c r="R26" i="3"/>
  <c r="L37" i="3"/>
  <c r="L38" i="3"/>
  <c r="N33" i="3"/>
  <c r="L48" i="3"/>
  <c r="L47" i="3"/>
  <c r="L51" i="3"/>
  <c r="N53" i="3"/>
  <c r="L8" i="3"/>
  <c r="D20" i="3"/>
  <c r="D21" i="3"/>
  <c r="D36" i="3"/>
  <c r="D37" i="3"/>
  <c r="D49" i="3"/>
  <c r="D50" i="3"/>
  <c r="D51" i="3"/>
  <c r="D52" i="3"/>
  <c r="D53" i="3"/>
  <c r="D54" i="3"/>
  <c r="S23" i="3"/>
  <c r="S24" i="3"/>
  <c r="I86" i="3"/>
  <c r="I90" i="3"/>
  <c r="I83" i="3"/>
  <c r="O41" i="8"/>
  <c r="O42" i="8"/>
  <c r="O43" i="8"/>
  <c r="O44" i="8"/>
  <c r="O45" i="8"/>
  <c r="O46" i="8"/>
  <c r="O47" i="8"/>
  <c r="O48" i="8"/>
  <c r="O49" i="8"/>
  <c r="O50" i="8"/>
  <c r="O51" i="8"/>
  <c r="O52" i="8"/>
  <c r="O53" i="8"/>
  <c r="O40" i="8"/>
  <c r="L41" i="8"/>
  <c r="L42" i="8" s="1"/>
  <c r="L43" i="8" s="1"/>
  <c r="L44" i="8" s="1"/>
  <c r="L45" i="8" s="1"/>
  <c r="L46" i="8" s="1"/>
  <c r="J4" i="9"/>
  <c r="D7" i="3" s="1"/>
  <c r="J5" i="9"/>
  <c r="D8" i="3" s="1"/>
  <c r="J6" i="9"/>
  <c r="D9" i="3" s="1"/>
  <c r="J7" i="9"/>
  <c r="D10" i="3" s="1"/>
  <c r="J8" i="9"/>
  <c r="J9" i="9"/>
  <c r="J10" i="9"/>
  <c r="J11" i="9"/>
  <c r="J12" i="9"/>
  <c r="J13" i="9"/>
  <c r="J14" i="9"/>
  <c r="D17" i="3" s="1"/>
  <c r="J15" i="9"/>
  <c r="D18" i="3" s="1"/>
  <c r="J16" i="9"/>
  <c r="D19" i="3" s="1"/>
  <c r="J17" i="9"/>
  <c r="J18" i="9"/>
  <c r="J19" i="9"/>
  <c r="D22" i="3" s="1"/>
  <c r="J20" i="9"/>
  <c r="D23" i="3" s="1"/>
  <c r="J21" i="9"/>
  <c r="D24" i="3" s="1"/>
  <c r="J22" i="9"/>
  <c r="D25" i="3" s="1"/>
  <c r="J23" i="9"/>
  <c r="D26" i="3" s="1"/>
  <c r="J24" i="9"/>
  <c r="J25" i="9"/>
  <c r="J26" i="9"/>
  <c r="J27" i="9"/>
  <c r="J28" i="9"/>
  <c r="J29" i="9"/>
  <c r="J30" i="9"/>
  <c r="D33" i="3" s="1"/>
  <c r="J31" i="9"/>
  <c r="D34" i="3" s="1"/>
  <c r="J32" i="9"/>
  <c r="D35" i="3" s="1"/>
  <c r="J33" i="9"/>
  <c r="J34" i="9"/>
  <c r="J35" i="9"/>
  <c r="D38" i="3" s="1"/>
  <c r="J36" i="9"/>
  <c r="D39" i="3" s="1"/>
  <c r="J37" i="9"/>
  <c r="D40" i="3" s="1"/>
  <c r="J38" i="9"/>
  <c r="D41" i="3" s="1"/>
  <c r="J39" i="9"/>
  <c r="D42" i="3" s="1"/>
  <c r="J40" i="9"/>
  <c r="J41" i="9"/>
  <c r="J42" i="9"/>
  <c r="J43" i="9"/>
  <c r="J44" i="9"/>
  <c r="J45" i="9"/>
  <c r="J46" i="9"/>
  <c r="J47" i="9"/>
  <c r="J48" i="9"/>
  <c r="J49" i="9"/>
  <c r="J50" i="9"/>
  <c r="J51" i="9"/>
  <c r="J52" i="9"/>
  <c r="J53" i="9"/>
  <c r="I84" i="3" s="1"/>
  <c r="J54" i="9"/>
  <c r="I85" i="3" s="1"/>
  <c r="J55" i="9"/>
  <c r="J56" i="9"/>
  <c r="J57" i="9"/>
  <c r="J58" i="9"/>
  <c r="J59" i="9"/>
  <c r="J60" i="9"/>
  <c r="J3" i="9"/>
  <c r="D6" i="3" s="1"/>
  <c r="L12" i="3" l="1"/>
  <c r="L10" i="3"/>
  <c r="N43" i="3"/>
  <c r="L41" i="3"/>
  <c r="L9" i="3"/>
  <c r="L24" i="3"/>
  <c r="L52" i="3"/>
  <c r="L20" i="3"/>
  <c r="L29" i="3"/>
  <c r="L19" i="3"/>
  <c r="L50" i="3"/>
  <c r="L32" i="3"/>
  <c r="L49" i="3"/>
  <c r="I91" i="3"/>
  <c r="D48" i="3"/>
  <c r="D32" i="3"/>
  <c r="D16" i="3"/>
  <c r="I89" i="3"/>
  <c r="D47" i="3"/>
  <c r="D31" i="3"/>
  <c r="D15" i="3"/>
  <c r="I88" i="3"/>
  <c r="D46" i="3"/>
  <c r="D30" i="3"/>
  <c r="D14" i="3"/>
  <c r="I87" i="3"/>
  <c r="D45" i="3"/>
  <c r="D29" i="3"/>
  <c r="D13" i="3"/>
  <c r="D44" i="3"/>
  <c r="D28" i="3"/>
  <c r="D12" i="3"/>
  <c r="D43" i="3"/>
  <c r="D27" i="3"/>
  <c r="D11" i="3"/>
  <c r="I47" i="7"/>
  <c r="J47" i="7" s="1"/>
  <c r="L47" i="7" s="1"/>
  <c r="N47" i="7" s="1"/>
  <c r="I34" i="7"/>
  <c r="J34" i="7" s="1"/>
  <c r="L34" i="7" s="1"/>
  <c r="N34" i="7" s="1"/>
  <c r="I35" i="7"/>
  <c r="J35" i="7" s="1"/>
  <c r="L35" i="7" s="1"/>
  <c r="I36" i="7"/>
  <c r="J36" i="7" s="1"/>
  <c r="L36" i="7" s="1"/>
  <c r="I37" i="7"/>
  <c r="J37" i="7" s="1"/>
  <c r="L37" i="7" s="1"/>
  <c r="I38" i="7"/>
  <c r="J38" i="7" s="1"/>
  <c r="L38" i="7" s="1"/>
  <c r="I39" i="7"/>
  <c r="J39" i="7" s="1"/>
  <c r="L39" i="7" s="1"/>
  <c r="I40" i="7"/>
  <c r="J40" i="7" s="1"/>
  <c r="L40" i="7" s="1"/>
  <c r="N40" i="7" s="1"/>
  <c r="I41" i="7"/>
  <c r="J41" i="7" s="1"/>
  <c r="L41" i="7" s="1"/>
  <c r="N41" i="7" s="1"/>
  <c r="I42" i="7"/>
  <c r="J42" i="7" s="1"/>
  <c r="L42" i="7" s="1"/>
  <c r="N42" i="7" s="1"/>
  <c r="I43" i="7"/>
  <c r="J43" i="7" s="1"/>
  <c r="L43" i="7" s="1"/>
  <c r="I45" i="7"/>
  <c r="J45" i="7" s="1"/>
  <c r="L45" i="7" s="1"/>
  <c r="I44" i="7"/>
  <c r="J44" i="7" s="1"/>
  <c r="L44" i="7" s="1"/>
  <c r="N44" i="7" s="1"/>
  <c r="I46" i="7"/>
  <c r="J46" i="7" s="1"/>
  <c r="L46" i="7" s="1"/>
  <c r="I48" i="7"/>
  <c r="J48" i="7" s="1"/>
  <c r="L48" i="7" s="1"/>
  <c r="I49" i="7"/>
  <c r="J49" i="7" s="1"/>
  <c r="L49" i="7" s="1"/>
  <c r="I50" i="7"/>
  <c r="J50" i="7" s="1"/>
  <c r="L50" i="7" s="1"/>
  <c r="N50" i="7" s="1"/>
  <c r="I51" i="7"/>
  <c r="J51" i="7" s="1"/>
  <c r="L51" i="7" s="1"/>
  <c r="I52" i="7"/>
  <c r="J52" i="7" s="1"/>
  <c r="L52" i="7" s="1"/>
  <c r="I53" i="7"/>
  <c r="J53" i="7" s="1"/>
  <c r="L53" i="7" s="1"/>
  <c r="N53" i="7" s="1"/>
  <c r="I54" i="7"/>
  <c r="J54" i="7" s="1"/>
  <c r="L54" i="7" s="1"/>
  <c r="I55" i="7"/>
  <c r="J55" i="7" s="1"/>
  <c r="L55" i="7" s="1"/>
  <c r="I56" i="7"/>
  <c r="J56" i="7" s="1"/>
  <c r="L56" i="7" s="1"/>
  <c r="I57" i="7"/>
  <c r="J57" i="7" s="1"/>
  <c r="L57" i="7" s="1"/>
  <c r="I58" i="7"/>
  <c r="J58" i="7" s="1"/>
  <c r="L58" i="7" s="1"/>
  <c r="N58" i="7" s="1"/>
  <c r="I59" i="7"/>
  <c r="J59" i="7" s="1"/>
  <c r="L59" i="7" s="1"/>
  <c r="I60" i="7"/>
  <c r="J60" i="7" s="1"/>
  <c r="L60" i="7" s="1"/>
  <c r="I33" i="7"/>
  <c r="J33" i="7" s="1"/>
  <c r="L33" i="7" s="1"/>
  <c r="M33" i="7" l="1"/>
  <c r="O33" i="7" s="1"/>
  <c r="N33" i="7"/>
  <c r="M53" i="7"/>
  <c r="O53" i="7" s="1"/>
  <c r="P53" i="7" s="1"/>
  <c r="M50" i="7"/>
  <c r="O50" i="7" s="1"/>
  <c r="Q50" i="7" s="1"/>
  <c r="N56" i="7"/>
  <c r="M56" i="7"/>
  <c r="O56" i="7" s="1"/>
  <c r="P56" i="7" s="1"/>
  <c r="N37" i="7"/>
  <c r="M37" i="7"/>
  <c r="O37" i="7" s="1"/>
  <c r="N49" i="7"/>
  <c r="M49" i="7"/>
  <c r="O49" i="7" s="1"/>
  <c r="N48" i="7"/>
  <c r="M48" i="7"/>
  <c r="O48" i="7" s="1"/>
  <c r="M55" i="7"/>
  <c r="O55" i="7" s="1"/>
  <c r="P55" i="7" s="1"/>
  <c r="N55" i="7"/>
  <c r="M36" i="7"/>
  <c r="O36" i="7" s="1"/>
  <c r="P36" i="7" s="1"/>
  <c r="N36" i="7"/>
  <c r="M35" i="7"/>
  <c r="O35" i="7" s="1"/>
  <c r="P35" i="7" s="1"/>
  <c r="N35" i="7"/>
  <c r="N46" i="7"/>
  <c r="M46" i="7"/>
  <c r="O46" i="7" s="1"/>
  <c r="M44" i="7"/>
  <c r="O44" i="7" s="1"/>
  <c r="M40" i="7"/>
  <c r="O40" i="7" s="1"/>
  <c r="P40" i="7" s="1"/>
  <c r="M34" i="7"/>
  <c r="O34" i="7" s="1"/>
  <c r="M42" i="7"/>
  <c r="O42" i="7" s="1"/>
  <c r="M39" i="7"/>
  <c r="O39" i="7" s="1"/>
  <c r="P39" i="7" s="1"/>
  <c r="N39" i="7"/>
  <c r="N38" i="7"/>
  <c r="M38" i="7"/>
  <c r="O38" i="7" s="1"/>
  <c r="P38" i="7" s="1"/>
  <c r="N45" i="7"/>
  <c r="M45" i="7"/>
  <c r="O45" i="7" s="1"/>
  <c r="N43" i="7"/>
  <c r="M43" i="7"/>
  <c r="O43" i="7" s="1"/>
  <c r="M41" i="7"/>
  <c r="O41" i="7" s="1"/>
  <c r="M47" i="7"/>
  <c r="O47" i="7" s="1"/>
  <c r="N54" i="7"/>
  <c r="M54" i="7"/>
  <c r="O54" i="7" s="1"/>
  <c r="P54" i="7" s="1"/>
  <c r="M58" i="7"/>
  <c r="O58" i="7" s="1"/>
  <c r="N57" i="7"/>
  <c r="M57" i="7"/>
  <c r="O57" i="7" s="1"/>
  <c r="P57" i="7" s="1"/>
  <c r="N60" i="7"/>
  <c r="M60" i="7"/>
  <c r="O60" i="7" s="1"/>
  <c r="P60" i="7" s="1"/>
  <c r="N59" i="7"/>
  <c r="M59" i="7"/>
  <c r="O59" i="7" s="1"/>
  <c r="N51" i="7"/>
  <c r="M51" i="7"/>
  <c r="O51" i="7" s="1"/>
  <c r="P51" i="7" s="1"/>
  <c r="M52" i="7"/>
  <c r="O52" i="7" s="1"/>
  <c r="P52" i="7" s="1"/>
  <c r="N52" i="7"/>
  <c r="Q53" i="7" l="1"/>
  <c r="Q33" i="7"/>
  <c r="Q29" i="7" s="1"/>
  <c r="N1" i="9" s="1"/>
  <c r="P33" i="7"/>
  <c r="Q40" i="7"/>
  <c r="Q46" i="7"/>
  <c r="P46" i="7"/>
  <c r="Q34" i="7"/>
  <c r="P34" i="7"/>
  <c r="Q43" i="7"/>
  <c r="P43" i="7"/>
  <c r="Q59" i="7"/>
  <c r="P59" i="7"/>
  <c r="Q58" i="7"/>
  <c r="P58" i="7"/>
  <c r="Q56" i="7"/>
  <c r="P50" i="7"/>
  <c r="Q49" i="7"/>
  <c r="P49" i="7"/>
  <c r="Q48" i="7"/>
  <c r="P48" i="7"/>
  <c r="Q47" i="7"/>
  <c r="P47" i="7"/>
  <c r="Q44" i="7"/>
  <c r="P44" i="7"/>
  <c r="Q45" i="7"/>
  <c r="P45" i="7"/>
  <c r="Q42" i="7"/>
  <c r="P42" i="7"/>
  <c r="Q41" i="7"/>
  <c r="P41" i="7"/>
  <c r="Q37" i="7"/>
  <c r="P37" i="7"/>
  <c r="Q36" i="7"/>
  <c r="Q55" i="7"/>
  <c r="Q35" i="7"/>
  <c r="Q39" i="7"/>
  <c r="Q38" i="7"/>
  <c r="Q54" i="7"/>
  <c r="Q52" i="7"/>
  <c r="Q51" i="7"/>
  <c r="Q57" i="7"/>
  <c r="Q60" i="7"/>
  <c r="O10" i="8"/>
  <c r="K41" i="8"/>
  <c r="K42" i="8" s="1"/>
  <c r="K43" i="8" s="1"/>
  <c r="K44" i="8" s="1"/>
  <c r="K45" i="8" s="1"/>
  <c r="K46" i="8" s="1"/>
  <c r="K47" i="8" s="1"/>
  <c r="P19" i="8"/>
  <c r="P20" i="8"/>
  <c r="P21" i="8"/>
  <c r="P22" i="8"/>
  <c r="P23" i="8"/>
  <c r="P24" i="8"/>
  <c r="P25" i="8"/>
  <c r="L15" i="8"/>
  <c r="L16" i="8"/>
  <c r="L17" i="8"/>
  <c r="L18" i="8"/>
  <c r="L19" i="8"/>
  <c r="L20" i="8"/>
  <c r="L21" i="8"/>
  <c r="L14" i="8"/>
  <c r="O11" i="8"/>
  <c r="O12" i="8"/>
  <c r="P12" i="8" s="1"/>
  <c r="O13" i="8"/>
  <c r="P13" i="8" s="1"/>
  <c r="O14" i="8"/>
  <c r="P14" i="8" s="1"/>
  <c r="O15" i="8"/>
  <c r="P15" i="8" s="1"/>
  <c r="O16" i="8"/>
  <c r="P16" i="8" s="1"/>
  <c r="O17" i="8"/>
  <c r="P17" i="8" s="1"/>
  <c r="O18" i="8"/>
  <c r="O19" i="8"/>
  <c r="O20" i="8"/>
  <c r="O21" i="8"/>
  <c r="O22" i="8"/>
  <c r="O23" i="8"/>
  <c r="O24" i="8"/>
  <c r="O25" i="8"/>
  <c r="N3" i="9" l="1"/>
  <c r="N52" i="9"/>
  <c r="N5" i="9"/>
  <c r="N32" i="9"/>
  <c r="N34" i="9"/>
  <c r="N14" i="9"/>
  <c r="N42" i="9"/>
  <c r="N43" i="9"/>
  <c r="N8" i="9"/>
  <c r="N13" i="9"/>
  <c r="N36" i="9"/>
  <c r="N28" i="9"/>
  <c r="N7" i="9"/>
  <c r="N6" i="9"/>
  <c r="N37" i="9"/>
  <c r="N44" i="9"/>
  <c r="N27" i="9"/>
  <c r="N33" i="9"/>
  <c r="N59" i="9"/>
  <c r="N40" i="9"/>
  <c r="N4" i="9"/>
  <c r="N30" i="9"/>
  <c r="N31" i="9"/>
  <c r="N46" i="9"/>
  <c r="N51" i="9"/>
  <c r="N58" i="9"/>
  <c r="N48" i="9"/>
  <c r="N29" i="9"/>
  <c r="N35" i="9"/>
  <c r="N56" i="9"/>
  <c r="N60" i="9"/>
  <c r="N25" i="9"/>
  <c r="N53" i="9"/>
  <c r="N20" i="9"/>
  <c r="N22" i="9"/>
  <c r="N18" i="9"/>
  <c r="N11" i="9"/>
  <c r="N47" i="9"/>
  <c r="N24" i="9"/>
  <c r="N55" i="9"/>
  <c r="N12" i="9"/>
  <c r="N38" i="9"/>
  <c r="N23" i="9"/>
  <c r="N26" i="9"/>
  <c r="N21" i="9"/>
  <c r="N16" i="9"/>
  <c r="N45" i="9"/>
  <c r="N57" i="9"/>
  <c r="N10" i="9"/>
  <c r="N39" i="9"/>
  <c r="N50" i="9"/>
  <c r="N9" i="9"/>
  <c r="N17" i="9"/>
  <c r="N41" i="9"/>
  <c r="N15" i="9"/>
  <c r="N54" i="9"/>
  <c r="N19" i="9"/>
  <c r="N49" i="9"/>
  <c r="P11" i="8"/>
  <c r="P18" i="8"/>
  <c r="AH316" i="1" l="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15" i="1"/>
  <c r="C142" i="1" l="1"/>
  <c r="S88" i="3" l="1"/>
  <c r="T88" i="3"/>
  <c r="S89" i="3"/>
  <c r="T89" i="3"/>
  <c r="S90" i="3"/>
  <c r="T90" i="3"/>
  <c r="S91" i="3"/>
  <c r="T91" i="3"/>
  <c r="T87" i="3"/>
  <c r="T85" i="3"/>
  <c r="S84" i="3"/>
  <c r="S85" i="3"/>
  <c r="S86" i="3"/>
  <c r="S87" i="3"/>
  <c r="Q84" i="3"/>
  <c r="W84" i="3" s="1"/>
  <c r="Q85" i="3"/>
  <c r="Q86" i="3"/>
  <c r="Q87" i="3"/>
  <c r="Q88" i="3"/>
  <c r="Q89" i="3"/>
  <c r="Q90" i="3"/>
  <c r="Q91" i="3"/>
  <c r="S83" i="3"/>
  <c r="Q83" i="3"/>
  <c r="T44" i="3"/>
  <c r="U30" i="3"/>
  <c r="W89" i="3" l="1"/>
  <c r="W91" i="3"/>
  <c r="W87" i="3"/>
  <c r="W83" i="3"/>
  <c r="W90" i="3"/>
  <c r="W88" i="3"/>
  <c r="W85" i="3"/>
  <c r="W86" i="3"/>
  <c r="Q80" i="3"/>
  <c r="S80" i="3"/>
  <c r="T80" i="3"/>
  <c r="S7" i="3"/>
  <c r="T7" i="3"/>
  <c r="U7" i="3"/>
  <c r="S8" i="3"/>
  <c r="T8" i="3"/>
  <c r="U8" i="3"/>
  <c r="V8" i="3"/>
  <c r="S9" i="3"/>
  <c r="T9" i="3"/>
  <c r="U9" i="3"/>
  <c r="V9" i="3"/>
  <c r="S10" i="3"/>
  <c r="T10" i="3"/>
  <c r="U10" i="3"/>
  <c r="V10" i="3"/>
  <c r="S11" i="3"/>
  <c r="T11" i="3"/>
  <c r="U11" i="3"/>
  <c r="S12" i="3"/>
  <c r="T12" i="3"/>
  <c r="U12" i="3"/>
  <c r="V12" i="3"/>
  <c r="S13" i="3"/>
  <c r="T13" i="3"/>
  <c r="U13" i="3"/>
  <c r="S14" i="3"/>
  <c r="T14" i="3"/>
  <c r="U14" i="3"/>
  <c r="V14" i="3"/>
  <c r="S15" i="3"/>
  <c r="T15" i="3"/>
  <c r="U15" i="3"/>
  <c r="V15" i="3"/>
  <c r="S16" i="3"/>
  <c r="T16" i="3"/>
  <c r="U16" i="3"/>
  <c r="V16" i="3"/>
  <c r="S17" i="3"/>
  <c r="T17" i="3"/>
  <c r="U17" i="3"/>
  <c r="S18" i="3"/>
  <c r="T18" i="3"/>
  <c r="U18" i="3"/>
  <c r="S19" i="3"/>
  <c r="T19" i="3"/>
  <c r="U19" i="3"/>
  <c r="V19" i="3"/>
  <c r="S20" i="3"/>
  <c r="T20" i="3"/>
  <c r="U20" i="3"/>
  <c r="V20" i="3"/>
  <c r="S21" i="3"/>
  <c r="T21" i="3"/>
  <c r="U21" i="3"/>
  <c r="S22" i="3"/>
  <c r="T22" i="3"/>
  <c r="U22" i="3"/>
  <c r="T23" i="3"/>
  <c r="U23" i="3"/>
  <c r="T24" i="3"/>
  <c r="U24" i="3"/>
  <c r="S25" i="3"/>
  <c r="T25" i="3"/>
  <c r="U25" i="3"/>
  <c r="V25" i="3"/>
  <c r="S26" i="3"/>
  <c r="T26" i="3"/>
  <c r="U26" i="3"/>
  <c r="V26" i="3"/>
  <c r="S27" i="3"/>
  <c r="T27" i="3"/>
  <c r="S28" i="3"/>
  <c r="T28" i="3"/>
  <c r="U28" i="3"/>
  <c r="S29" i="3"/>
  <c r="T29" i="3"/>
  <c r="U29" i="3"/>
  <c r="S30" i="3"/>
  <c r="T30" i="3"/>
  <c r="S31" i="3"/>
  <c r="T31" i="3"/>
  <c r="S32" i="3"/>
  <c r="T32" i="3"/>
  <c r="U32" i="3"/>
  <c r="V32" i="3"/>
  <c r="S33" i="3"/>
  <c r="T33" i="3"/>
  <c r="U33" i="3"/>
  <c r="S34" i="3"/>
  <c r="T34" i="3"/>
  <c r="U34" i="3"/>
  <c r="S35" i="3"/>
  <c r="T35" i="3"/>
  <c r="U35" i="3"/>
  <c r="S36" i="3"/>
  <c r="T36" i="3"/>
  <c r="U36" i="3"/>
  <c r="V36" i="3"/>
  <c r="S37" i="3"/>
  <c r="T37" i="3"/>
  <c r="U37" i="3"/>
  <c r="S38" i="3"/>
  <c r="T38" i="3"/>
  <c r="U38" i="3"/>
  <c r="V38" i="3"/>
  <c r="S39" i="3"/>
  <c r="T39" i="3"/>
  <c r="U39" i="3"/>
  <c r="V39" i="3"/>
  <c r="S40" i="3"/>
  <c r="T40" i="3"/>
  <c r="U40" i="3"/>
  <c r="S41" i="3"/>
  <c r="T41" i="3"/>
  <c r="U41" i="3"/>
  <c r="S42" i="3"/>
  <c r="T42" i="3"/>
  <c r="U42" i="3"/>
  <c r="V42" i="3"/>
  <c r="S43" i="3"/>
  <c r="T43" i="3"/>
  <c r="U43" i="3"/>
  <c r="V43" i="3"/>
  <c r="S44" i="3"/>
  <c r="U44" i="3"/>
  <c r="S45" i="3"/>
  <c r="T45" i="3"/>
  <c r="U45" i="3"/>
  <c r="S46" i="3"/>
  <c r="T46" i="3"/>
  <c r="U46" i="3"/>
  <c r="S47" i="3"/>
  <c r="T47" i="3"/>
  <c r="U47" i="3"/>
  <c r="S48" i="3"/>
  <c r="T48" i="3"/>
  <c r="U48" i="3"/>
  <c r="S49" i="3"/>
  <c r="T49" i="3"/>
  <c r="U49" i="3"/>
  <c r="V49" i="3"/>
  <c r="S50" i="3"/>
  <c r="T50" i="3"/>
  <c r="U50" i="3"/>
  <c r="V50" i="3"/>
  <c r="S51" i="3"/>
  <c r="T51" i="3"/>
  <c r="U51" i="3"/>
  <c r="V51" i="3"/>
  <c r="S52" i="3"/>
  <c r="T52" i="3"/>
  <c r="U52" i="3"/>
  <c r="V52" i="3"/>
  <c r="S53" i="3"/>
  <c r="T53" i="3"/>
  <c r="U53" i="3"/>
  <c r="V53" i="3"/>
  <c r="S54" i="3"/>
  <c r="T54" i="3"/>
  <c r="U54" i="3"/>
  <c r="V54" i="3"/>
  <c r="T6" i="3"/>
  <c r="S6" i="3"/>
  <c r="S69" i="3"/>
  <c r="T69" i="3"/>
  <c r="S70" i="3"/>
  <c r="T70" i="3"/>
  <c r="S71" i="3"/>
  <c r="T71" i="3"/>
  <c r="S72" i="3"/>
  <c r="T72" i="3"/>
  <c r="S73" i="3"/>
  <c r="T73" i="3"/>
  <c r="S74" i="3"/>
  <c r="T74" i="3"/>
  <c r="S75" i="3"/>
  <c r="T75" i="3"/>
  <c r="S76" i="3"/>
  <c r="T76" i="3"/>
  <c r="S77" i="3"/>
  <c r="T77" i="3"/>
  <c r="S78" i="3"/>
  <c r="T78" i="3"/>
  <c r="S79" i="3"/>
  <c r="T79" i="3"/>
  <c r="Q70" i="3"/>
  <c r="Q71" i="3"/>
  <c r="Q72" i="3"/>
  <c r="Q73" i="3"/>
  <c r="Q74" i="3"/>
  <c r="Q75" i="3"/>
  <c r="Q76" i="3"/>
  <c r="Q77" i="3"/>
  <c r="Q78" i="3"/>
  <c r="Q79" i="3"/>
  <c r="Q69" i="3"/>
  <c r="V69" i="3" l="1"/>
  <c r="X31" i="3"/>
  <c r="X52" i="3"/>
  <c r="V75" i="3"/>
  <c r="V71" i="3"/>
  <c r="X28" i="3"/>
  <c r="X23" i="3"/>
  <c r="X14" i="3"/>
  <c r="V80" i="3"/>
  <c r="X13" i="3"/>
  <c r="X21" i="3"/>
  <c r="X8" i="3"/>
  <c r="X44" i="3"/>
  <c r="X35" i="3"/>
  <c r="V70" i="3"/>
  <c r="V72" i="3"/>
  <c r="X53" i="3"/>
  <c r="X49" i="3"/>
  <c r="X15" i="3"/>
  <c r="X22" i="3"/>
  <c r="X41" i="3"/>
  <c r="X12" i="3"/>
  <c r="V73" i="3"/>
  <c r="X39" i="3"/>
  <c r="X29" i="3"/>
  <c r="X24" i="3"/>
  <c r="X34" i="3"/>
  <c r="X19" i="3"/>
  <c r="X10" i="3"/>
  <c r="X48" i="3"/>
  <c r="X43" i="3"/>
  <c r="X38" i="3"/>
  <c r="X33" i="3"/>
  <c r="X18" i="3"/>
  <c r="V77" i="3"/>
  <c r="X47" i="3"/>
  <c r="X27" i="3"/>
  <c r="X9" i="3"/>
  <c r="X42" i="3"/>
  <c r="V78" i="3"/>
  <c r="X51" i="3"/>
  <c r="X37" i="3"/>
  <c r="X17" i="3"/>
  <c r="V79" i="3"/>
  <c r="X6" i="3"/>
  <c r="X46" i="3"/>
  <c r="X32" i="3"/>
  <c r="X26" i="3"/>
  <c r="X50" i="3"/>
  <c r="X45" i="3"/>
  <c r="X36" i="3"/>
  <c r="X16" i="3"/>
  <c r="V74" i="3"/>
  <c r="X54" i="3"/>
  <c r="X40" i="3"/>
  <c r="X7" i="3"/>
  <c r="X30" i="3"/>
  <c r="X25" i="3"/>
  <c r="X20" i="3"/>
  <c r="X11" i="3"/>
  <c r="V76" i="3"/>
  <c r="Z6" i="5" l="1"/>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 i="5"/>
  <c r="G5" i="5"/>
  <c r="G43"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B151" i="1" l="1"/>
  <c r="B152" i="1" l="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C148" i="1"/>
  <c r="C149" i="1"/>
  <c r="C150" i="1"/>
  <c r="C124" i="1"/>
  <c r="C125" i="1"/>
  <c r="C126" i="1"/>
  <c r="C127" i="1"/>
  <c r="C128" i="1"/>
  <c r="C129" i="1"/>
  <c r="C130" i="1"/>
  <c r="C131" i="1"/>
  <c r="C132" i="1"/>
  <c r="C133" i="1"/>
  <c r="C134" i="1"/>
  <c r="C135" i="1"/>
  <c r="C136" i="1"/>
  <c r="C137" i="1"/>
  <c r="C138" i="1"/>
  <c r="C139" i="1"/>
  <c r="C140" i="1"/>
  <c r="C141" i="1"/>
  <c r="C143" i="1"/>
  <c r="C144" i="1"/>
  <c r="C145" i="1"/>
  <c r="C146" i="1"/>
  <c r="C147" i="1"/>
  <c r="C123" i="1"/>
  <c r="P16" i="1" l="1"/>
  <c r="P17" i="1"/>
  <c r="P13" i="1"/>
  <c r="P15" i="1"/>
  <c r="P14" i="1"/>
  <c r="P18" i="1"/>
  <c r="P19" i="1"/>
</calcChain>
</file>

<file path=xl/comments1.xml><?xml version="1.0" encoding="utf-8"?>
<comments xmlns="http://schemas.openxmlformats.org/spreadsheetml/2006/main">
  <authors>
    <author>flyer</author>
  </authors>
  <commentList>
    <comment ref="D3" authorId="0" shapeId="0">
      <text>
        <r>
          <rPr>
            <b/>
            <sz val="9"/>
            <color indexed="81"/>
            <rFont val="宋体"/>
            <family val="3"/>
            <charset val="134"/>
          </rPr>
          <t xml:space="preserve">  Default=-1, 种子 = 0, 武器 = 1, 防具 = 2,
 食材 = 3,食物 = 4, 收集物 = 5,  工具=6,
 家具 = 10, 动物=11 农作物=12</t>
        </r>
        <r>
          <rPr>
            <sz val="9"/>
            <color indexed="81"/>
            <rFont val="宋体"/>
            <family val="3"/>
            <charset val="134"/>
          </rPr>
          <t xml:space="preserve">
</t>
        </r>
      </text>
    </comment>
    <comment ref="H3" authorId="0" shapeId="0">
      <text>
        <r>
          <rPr>
            <sz val="9"/>
            <color indexed="81"/>
            <rFont val="宋体"/>
            <family val="3"/>
            <charset val="134"/>
          </rPr>
          <t xml:space="preserve">海鲜 1
食材 2
饮料 3
武器 4
衣服 5
防具 6
鞋子 7
帽子 8
工具 9
自然素材 10
动物产物 11
纺织材料 12
宝石 13
铸造材料 14
加工食材 15
奇怪的味道 16
魔法材料 17
观赏 18
黄金 19
魔法制品 20
暗黑 21
古典 22
神圣 23
蔬菜 24
水果 25
甜蜜的味道 26
旅行 27
金属 28
亮晶晶 29
</t>
        </r>
      </text>
    </comment>
    <comment ref="K3" authorId="0" shapeId="0">
      <text>
        <r>
          <rPr>
            <b/>
            <sz val="9"/>
            <color indexed="81"/>
            <rFont val="宋体"/>
            <family val="3"/>
            <charset val="134"/>
          </rPr>
          <t>无 = 0,水 = 1,火 = 2,冰 = 3,风 = 4,土 = 5</t>
        </r>
      </text>
    </comment>
    <comment ref="T3" authorId="0" shapeId="0">
      <text>
        <r>
          <rPr>
            <b/>
            <sz val="9"/>
            <color indexed="81"/>
            <rFont val="宋体"/>
            <family val="3"/>
            <charset val="134"/>
          </rPr>
          <t>全部,战斗, 城镇</t>
        </r>
        <r>
          <rPr>
            <sz val="9"/>
            <color indexed="81"/>
            <rFont val="宋体"/>
            <family val="3"/>
            <charset val="134"/>
          </rPr>
          <t xml:space="preserve">
</t>
        </r>
      </text>
    </comment>
  </commentList>
</comments>
</file>

<file path=xl/sharedStrings.xml><?xml version="1.0" encoding="utf-8"?>
<sst xmlns="http://schemas.openxmlformats.org/spreadsheetml/2006/main" count="6599" uniqueCount="1853">
  <si>
    <t>int</t>
    <phoneticPr fontId="1" type="noConversion"/>
  </si>
  <si>
    <t>string</t>
    <phoneticPr fontId="1" type="noConversion"/>
  </si>
  <si>
    <t>id</t>
    <phoneticPr fontId="1" type="noConversion"/>
  </si>
  <si>
    <t>int</t>
    <phoneticPr fontId="1" type="noConversion"/>
  </si>
  <si>
    <t>groupCount</t>
    <phoneticPr fontId="1" type="noConversion"/>
  </si>
  <si>
    <t>itemName</t>
    <phoneticPr fontId="1" type="noConversion"/>
  </si>
  <si>
    <t>info</t>
    <phoneticPr fontId="1" type="noConversion"/>
  </si>
  <si>
    <t>dropEventId</t>
  </si>
  <si>
    <t>checkEventId</t>
  </si>
  <si>
    <t>equipEventId</t>
  </si>
  <si>
    <t>useEventId</t>
    <phoneticPr fontId="1" type="noConversion"/>
  </si>
  <si>
    <t>List&lt;int&gt;</t>
    <phoneticPr fontId="1" type="noConversion"/>
  </si>
  <si>
    <t>int</t>
    <phoneticPr fontId="1" type="noConversion"/>
  </si>
  <si>
    <t>type</t>
    <phoneticPr fontId="1" type="noConversion"/>
  </si>
  <si>
    <t>typeValue</t>
    <phoneticPr fontId="1" type="noConversion"/>
  </si>
  <si>
    <t>bool</t>
    <phoneticPr fontId="1" type="noConversion"/>
  </si>
  <si>
    <t>isFresh</t>
    <phoneticPr fontId="1" type="noConversion"/>
  </si>
  <si>
    <t>equipLevel</t>
    <phoneticPr fontId="1" type="noConversion"/>
  </si>
  <si>
    <t>int</t>
    <phoneticPr fontId="1" type="noConversion"/>
  </si>
  <si>
    <t>shopMoneyType</t>
  </si>
  <si>
    <t>shopPrice</t>
  </si>
  <si>
    <t>sellPrice</t>
  </si>
  <si>
    <t>南瓜</t>
  </si>
  <si>
    <t>胡萝卜</t>
  </si>
  <si>
    <t>葡萄</t>
  </si>
  <si>
    <t>大蒜</t>
  </si>
  <si>
    <t>iconName</t>
    <phoneticPr fontId="1" type="noConversion"/>
  </si>
  <si>
    <t>锄头</t>
    <phoneticPr fontId="1" type="noConversion"/>
  </si>
  <si>
    <t>镰刀</t>
    <phoneticPr fontId="1" type="noConversion"/>
  </si>
  <si>
    <t>平整田地使用的工具。</t>
    <phoneticPr fontId="1" type="noConversion"/>
  </si>
  <si>
    <t>砍伐树木的工具。</t>
    <phoneticPr fontId="1" type="noConversion"/>
  </si>
  <si>
    <t>收割农作物种子的工具。</t>
    <phoneticPr fontId="1" type="noConversion"/>
  </si>
  <si>
    <t>itemValue</t>
  </si>
  <si>
    <t>芜菁</t>
  </si>
  <si>
    <t>卷心菜</t>
  </si>
  <si>
    <t>萝卜</t>
  </si>
  <si>
    <t>紫甘蓝</t>
  </si>
  <si>
    <t>黄瓜</t>
  </si>
  <si>
    <t>西兰花</t>
  </si>
  <si>
    <t>番茄</t>
  </si>
  <si>
    <t>西瓜</t>
  </si>
  <si>
    <t>辣椒</t>
  </si>
  <si>
    <t>奇异果</t>
  </si>
  <si>
    <t>玉米</t>
  </si>
  <si>
    <t>土豆</t>
  </si>
  <si>
    <t>芦笋</t>
  </si>
  <si>
    <t>草莓</t>
  </si>
  <si>
    <t>蓝莓</t>
  </si>
  <si>
    <t>红薯</t>
  </si>
  <si>
    <t>甜菜</t>
  </si>
  <si>
    <t>啤酒花</t>
  </si>
  <si>
    <t>菠萝</t>
  </si>
  <si>
    <t>咖啡</t>
  </si>
  <si>
    <t>茄子</t>
  </si>
  <si>
    <t>豌豆</t>
  </si>
  <si>
    <t>芜菁种子</t>
  </si>
  <si>
    <t>卷心菜种子</t>
  </si>
  <si>
    <t>萝卜种子</t>
  </si>
  <si>
    <t>紫甘蓝种子</t>
  </si>
  <si>
    <t>黄瓜种子</t>
  </si>
  <si>
    <t>西兰花种子</t>
  </si>
  <si>
    <t>番茄种子</t>
  </si>
  <si>
    <t>胡萝卜种子</t>
  </si>
  <si>
    <t>西瓜种子</t>
  </si>
  <si>
    <t>辣椒种子</t>
  </si>
  <si>
    <t>奇异果种子</t>
  </si>
  <si>
    <t>茄子种子</t>
  </si>
  <si>
    <t>豌豆种子</t>
  </si>
  <si>
    <t>土豆种子</t>
  </si>
  <si>
    <t>大蒜种子</t>
  </si>
  <si>
    <t>芦笋种子</t>
  </si>
  <si>
    <t>南瓜种子</t>
  </si>
  <si>
    <t>玉米种子</t>
  </si>
  <si>
    <t>大麦种子</t>
  </si>
  <si>
    <t>啤酒花种子</t>
  </si>
  <si>
    <t>葡萄种子</t>
  </si>
  <si>
    <t>菠萝种子</t>
  </si>
  <si>
    <t>咖啡种子</t>
  </si>
  <si>
    <t>草莓种子</t>
  </si>
  <si>
    <t>蓝莓种子</t>
  </si>
  <si>
    <t>红薯种子</t>
  </si>
  <si>
    <t>甜菜种子</t>
  </si>
  <si>
    <t>锻造炉</t>
    <phoneticPr fontId="1" type="noConversion"/>
  </si>
  <si>
    <t>冷餐台</t>
    <phoneticPr fontId="1" type="noConversion"/>
  </si>
  <si>
    <t>酿造桶</t>
    <phoneticPr fontId="1" type="noConversion"/>
  </si>
  <si>
    <t>绘写台</t>
    <phoneticPr fontId="1" type="noConversion"/>
  </si>
  <si>
    <t>冰箱</t>
    <phoneticPr fontId="1" type="noConversion"/>
  </si>
  <si>
    <t>双人床</t>
    <phoneticPr fontId="1" type="noConversion"/>
  </si>
  <si>
    <t>普通柜台</t>
    <phoneticPr fontId="1" type="noConversion"/>
  </si>
  <si>
    <t>储物箱(木)</t>
    <phoneticPr fontId="1" type="noConversion"/>
  </si>
  <si>
    <t>储物箱(银)</t>
    <phoneticPr fontId="1" type="noConversion"/>
  </si>
  <si>
    <t>储物箱(金)</t>
    <phoneticPr fontId="1" type="noConversion"/>
  </si>
  <si>
    <t>木箱</t>
    <phoneticPr fontId="1" type="noConversion"/>
  </si>
  <si>
    <t>银箱</t>
    <phoneticPr fontId="1" type="noConversion"/>
  </si>
  <si>
    <t>金箱</t>
    <phoneticPr fontId="1" type="noConversion"/>
  </si>
  <si>
    <t>柜台</t>
    <phoneticPr fontId="1" type="noConversion"/>
  </si>
  <si>
    <t>服饰架</t>
  </si>
  <si>
    <t>服饰架</t>
    <phoneticPr fontId="1" type="noConversion"/>
  </si>
  <si>
    <t>烤炉</t>
    <phoneticPr fontId="1" type="noConversion"/>
  </si>
  <si>
    <t>烘烤炉</t>
    <phoneticPr fontId="1" type="noConversion"/>
  </si>
  <si>
    <t>用来制作武器的设备</t>
    <phoneticPr fontId="1" type="noConversion"/>
  </si>
  <si>
    <t>用来烘烤食物的设备</t>
    <phoneticPr fontId="1" type="noConversion"/>
  </si>
  <si>
    <t>用来制作冷餐的设备</t>
    <phoneticPr fontId="1" type="noConversion"/>
  </si>
  <si>
    <t>用来酿造酒水饮料的设备</t>
    <phoneticPr fontId="1" type="noConversion"/>
  </si>
  <si>
    <t>用来绘写卷轴的设备</t>
    <phoneticPr fontId="1" type="noConversion"/>
  </si>
  <si>
    <t>用来保存新鲜物品的设备</t>
    <phoneticPr fontId="1" type="noConversion"/>
  </si>
  <si>
    <t>木质的储物箱</t>
    <phoneticPr fontId="1" type="noConversion"/>
  </si>
  <si>
    <t>银质的储物箱</t>
    <phoneticPr fontId="1" type="noConversion"/>
  </si>
  <si>
    <t>金质的储物箱</t>
    <phoneticPr fontId="1" type="noConversion"/>
  </si>
  <si>
    <t>通用的柜台，可放置一般商品</t>
    <phoneticPr fontId="1" type="noConversion"/>
  </si>
  <si>
    <t>放置服饰的架子</t>
    <phoneticPr fontId="1" type="noConversion"/>
  </si>
  <si>
    <t>提供给夫妇两人休息的床</t>
    <phoneticPr fontId="1" type="noConversion"/>
  </si>
  <si>
    <t>未知的物品</t>
    <phoneticPr fontId="1" type="noConversion"/>
  </si>
  <si>
    <t>default</t>
    <phoneticPr fontId="1" type="noConversion"/>
  </si>
  <si>
    <t>????????</t>
    <phoneticPr fontId="1" type="noConversion"/>
  </si>
  <si>
    <t>看起来不像是能吃的样子</t>
    <phoneticPr fontId="1" type="noConversion"/>
  </si>
  <si>
    <t>牧草</t>
    <phoneticPr fontId="1" type="noConversion"/>
  </si>
  <si>
    <t>未成熟的植物制成的鲜嫩可口的饲料</t>
    <phoneticPr fontId="1" type="noConversion"/>
  </si>
  <si>
    <t>卷轴</t>
  </si>
  <si>
    <t>快速在城镇中移动</t>
    <phoneticPr fontId="1" type="noConversion"/>
  </si>
  <si>
    <t>鲫鱼</t>
  </si>
  <si>
    <t>鲤鱼</t>
  </si>
  <si>
    <t>小龙虾</t>
  </si>
  <si>
    <t>鲮鱼</t>
  </si>
  <si>
    <t>鲶鱼</t>
  </si>
  <si>
    <t>丁鱼</t>
  </si>
  <si>
    <t>锦鲤</t>
  </si>
  <si>
    <t>线鱼</t>
  </si>
  <si>
    <t>梭鲈</t>
  </si>
  <si>
    <t>兰寿金鱼</t>
  </si>
  <si>
    <t>樱桃鲑鱼</t>
  </si>
  <si>
    <t>虹鳟鱼</t>
  </si>
  <si>
    <t>鲷鱼</t>
  </si>
  <si>
    <t>金鳟鱼</t>
  </si>
  <si>
    <t>霓虹脂鲤</t>
  </si>
  <si>
    <t>桃花鱼</t>
    <phoneticPr fontId="5" type="noConversion"/>
  </si>
  <si>
    <t>鲑鱼</t>
  </si>
  <si>
    <t>孔雀鱼</t>
  </si>
  <si>
    <t>银龙鱼</t>
  </si>
  <si>
    <t>洞穴天使鱼</t>
  </si>
  <si>
    <t>沙丁鱼</t>
  </si>
  <si>
    <t>竹荚鱼</t>
  </si>
  <si>
    <t>海鳗</t>
  </si>
  <si>
    <t>比目鱼</t>
  </si>
  <si>
    <t>河豚鱼</t>
  </si>
  <si>
    <t>水母</t>
    <phoneticPr fontId="5" type="noConversion"/>
  </si>
  <si>
    <t>条石鲷</t>
  </si>
  <si>
    <t>红鲷鱼</t>
  </si>
  <si>
    <t>蓝蟹</t>
  </si>
  <si>
    <t>鲯鳅鱼</t>
  </si>
  <si>
    <t>龙虾</t>
  </si>
  <si>
    <t>金枪鱼</t>
  </si>
  <si>
    <t>斑马狮子鱼</t>
  </si>
  <si>
    <t>葱种子</t>
    <phoneticPr fontId="1" type="noConversion"/>
  </si>
  <si>
    <t>葱</t>
    <phoneticPr fontId="1" type="noConversion"/>
  </si>
  <si>
    <t>鱼竿</t>
    <phoneticPr fontId="1" type="noConversion"/>
  </si>
  <si>
    <t>鱼饵</t>
    <phoneticPr fontId="1" type="noConversion"/>
  </si>
  <si>
    <t>用来引诱鱼类的饵料</t>
    <phoneticPr fontId="1" type="noConversion"/>
  </si>
  <si>
    <t>垂钓工具</t>
    <phoneticPr fontId="1" type="noConversion"/>
  </si>
  <si>
    <t>鸡蛋</t>
  </si>
  <si>
    <t>羊毛</t>
    <phoneticPr fontId="1" type="noConversion"/>
  </si>
  <si>
    <t>猪肉</t>
  </si>
  <si>
    <t>牛奶</t>
  </si>
  <si>
    <t>蔬菜沙拉</t>
  </si>
  <si>
    <t>烤肉串</t>
  </si>
  <si>
    <t>腌黄瓜</t>
  </si>
  <si>
    <t>腌萝卜</t>
  </si>
  <si>
    <t>烤西兰花</t>
  </si>
  <si>
    <t>奇异果汁</t>
  </si>
  <si>
    <t>豌豆汤</t>
  </si>
  <si>
    <t>土豆泥</t>
  </si>
  <si>
    <t>烤肉饼</t>
  </si>
  <si>
    <t>烤玉米</t>
  </si>
  <si>
    <t>啤酒</t>
  </si>
  <si>
    <t>面粉</t>
  </si>
  <si>
    <t>葡萄汁</t>
  </si>
  <si>
    <t>葡萄酒</t>
  </si>
  <si>
    <t>菠萝汁</t>
  </si>
  <si>
    <t>咖啡粉</t>
  </si>
  <si>
    <t>草莓汁</t>
  </si>
  <si>
    <t>蓝莓汁</t>
  </si>
  <si>
    <t>甜菜汁</t>
  </si>
  <si>
    <t>拉面</t>
  </si>
  <si>
    <t>饺子</t>
  </si>
  <si>
    <t>三明治</t>
  </si>
  <si>
    <t>西瓜果汁</t>
  </si>
  <si>
    <t>伏特加</t>
  </si>
  <si>
    <t>米饭</t>
  </si>
  <si>
    <t>发酵粉</t>
  </si>
  <si>
    <t>盐</t>
  </si>
  <si>
    <t>水母</t>
    <phoneticPr fontId="5" type="noConversion"/>
  </si>
  <si>
    <t>鲫鱼</t>
    <phoneticPr fontId="1" type="noConversion"/>
  </si>
  <si>
    <t>章鱼</t>
  </si>
  <si>
    <t>蜂蜜</t>
  </si>
  <si>
    <t>蜂蜜蛋糕</t>
  </si>
  <si>
    <t>披萨</t>
  </si>
  <si>
    <t>水煮蛋</t>
  </si>
  <si>
    <t>饭团</t>
  </si>
  <si>
    <t>烤海苔</t>
  </si>
  <si>
    <t>汉堡</t>
  </si>
  <si>
    <t>辣蟹堡</t>
  </si>
  <si>
    <t>海鲜饭</t>
  </si>
  <si>
    <t>蔬菜汁</t>
  </si>
  <si>
    <t>玉米汁</t>
  </si>
  <si>
    <t>烤蜜薯</t>
  </si>
  <si>
    <t>黄油</t>
  </si>
  <si>
    <t>奶酪</t>
  </si>
  <si>
    <t>烤茄子</t>
  </si>
  <si>
    <t>炖菜</t>
  </si>
  <si>
    <t>烤芦笋</t>
  </si>
  <si>
    <t>红菜汤</t>
  </si>
  <si>
    <t>草莓牛奶</t>
  </si>
  <si>
    <t>莓莓果汁</t>
  </si>
  <si>
    <t>鲑鱼饭团</t>
  </si>
  <si>
    <t>拿铁</t>
  </si>
  <si>
    <t>黑咖啡</t>
  </si>
  <si>
    <t>朗姆</t>
  </si>
  <si>
    <t>野蜂拉格</t>
  </si>
  <si>
    <t>双莓白兰地</t>
  </si>
  <si>
    <t>绯红之吻</t>
  </si>
  <si>
    <t>盐烤鲮鱼</t>
  </si>
  <si>
    <t>盐烤丁鱼</t>
  </si>
  <si>
    <t>盐烤虹鳟鱼</t>
  </si>
  <si>
    <t>烤鲷鱼</t>
  </si>
  <si>
    <t>盐烤金鳟鱼</t>
  </si>
  <si>
    <t>盐烤鲑鱼</t>
  </si>
  <si>
    <t>烤沙丁鱼串</t>
  </si>
  <si>
    <t>烤竹荚鱼</t>
  </si>
  <si>
    <t>烤海鳗</t>
  </si>
  <si>
    <t>烤比目鱼</t>
  </si>
  <si>
    <t>烤河豚鱼</t>
  </si>
  <si>
    <t>烤条石鲷</t>
  </si>
  <si>
    <t>烤红鲷鱼</t>
  </si>
  <si>
    <t>烤蓝蟹</t>
  </si>
  <si>
    <t>烤龙虾</t>
  </si>
  <si>
    <t>烤金枪鱼</t>
  </si>
  <si>
    <t>煮蟹肉</t>
  </si>
  <si>
    <t>海鲜浓汤</t>
  </si>
  <si>
    <t>鳗鱼饭</t>
  </si>
  <si>
    <t>鲫鱼蔬菜汤</t>
  </si>
  <si>
    <t>鲮鱼丸</t>
  </si>
  <si>
    <t>鲑鱼刺身</t>
  </si>
  <si>
    <t>章鱼小丸子</t>
  </si>
  <si>
    <t>炖煮条石鲷</t>
  </si>
  <si>
    <t>红鲷刺身</t>
  </si>
  <si>
    <t>河豚刺身</t>
  </si>
  <si>
    <t>螃蟹煲</t>
  </si>
  <si>
    <t>金枪鱼刺身</t>
  </si>
  <si>
    <t>龙虾鱼子酱</t>
  </si>
  <si>
    <t>面包</t>
    <phoneticPr fontId="1" type="noConversion"/>
  </si>
  <si>
    <t>海苔</t>
  </si>
  <si>
    <t>河豚</t>
    <phoneticPr fontId="1" type="noConversion"/>
  </si>
  <si>
    <t>用来搅拌食材的设备</t>
    <phoneticPr fontId="1" type="noConversion"/>
  </si>
  <si>
    <t>海苔</t>
    <phoneticPr fontId="1" type="noConversion"/>
  </si>
  <si>
    <t>腌芜菁</t>
    <phoneticPr fontId="1" type="noConversion"/>
  </si>
  <si>
    <t>蔬菜沙拉</t>
    <phoneticPr fontId="1" type="noConversion"/>
  </si>
  <si>
    <t>酸味香料</t>
    <phoneticPr fontId="1" type="noConversion"/>
  </si>
  <si>
    <t>辣蟹堡</t>
    <phoneticPr fontId="1" type="noConversion"/>
  </si>
  <si>
    <t>烤西兰花</t>
    <phoneticPr fontId="1" type="noConversion"/>
  </si>
  <si>
    <t>烤海苔</t>
    <phoneticPr fontId="1" type="noConversion"/>
  </si>
  <si>
    <t>烤肉饼</t>
    <phoneticPr fontId="1" type="noConversion"/>
  </si>
  <si>
    <t>土豆泥</t>
    <phoneticPr fontId="1" type="noConversion"/>
  </si>
  <si>
    <t>海鲜饭</t>
    <phoneticPr fontId="1" type="noConversion"/>
  </si>
  <si>
    <t>玉米汁</t>
    <phoneticPr fontId="1" type="noConversion"/>
  </si>
  <si>
    <t>烤玉米</t>
    <phoneticPr fontId="1" type="noConversion"/>
  </si>
  <si>
    <t>蔬菜汁</t>
    <phoneticPr fontId="1" type="noConversion"/>
  </si>
  <si>
    <t>西瓜汁</t>
    <phoneticPr fontId="1" type="noConversion"/>
  </si>
  <si>
    <t>烤蜜薯</t>
    <phoneticPr fontId="1" type="noConversion"/>
  </si>
  <si>
    <t>烤茄子</t>
    <phoneticPr fontId="1" type="noConversion"/>
  </si>
  <si>
    <t>饺子</t>
    <phoneticPr fontId="1" type="noConversion"/>
  </si>
  <si>
    <t>炖菜</t>
    <phoneticPr fontId="1" type="noConversion"/>
  </si>
  <si>
    <t>烤芦笋</t>
    <phoneticPr fontId="1" type="noConversion"/>
  </si>
  <si>
    <t>莓莓果汁</t>
    <phoneticPr fontId="1" type="noConversion"/>
  </si>
  <si>
    <t>红菜汤</t>
    <phoneticPr fontId="1" type="noConversion"/>
  </si>
  <si>
    <t>豌豆汤</t>
    <phoneticPr fontId="1" type="noConversion"/>
  </si>
  <si>
    <t>草莓牛奶</t>
    <phoneticPr fontId="1" type="noConversion"/>
  </si>
  <si>
    <t>鲑鱼饭团</t>
    <phoneticPr fontId="1" type="noConversion"/>
  </si>
  <si>
    <t>拿铁</t>
    <phoneticPr fontId="1" type="noConversion"/>
  </si>
  <si>
    <t>黑咖啡</t>
    <phoneticPr fontId="1" type="noConversion"/>
  </si>
  <si>
    <t>葡萄酒</t>
    <phoneticPr fontId="1" type="noConversion"/>
  </si>
  <si>
    <t>伏特加</t>
    <phoneticPr fontId="1" type="noConversion"/>
  </si>
  <si>
    <t>啤酒</t>
    <phoneticPr fontId="1" type="noConversion"/>
  </si>
  <si>
    <t>朗姆</t>
    <phoneticPr fontId="1" type="noConversion"/>
  </si>
  <si>
    <t>野蜂拉格</t>
    <phoneticPr fontId="1" type="noConversion"/>
  </si>
  <si>
    <t>绯红之吻</t>
    <phoneticPr fontId="1" type="noConversion"/>
  </si>
  <si>
    <t>双莓白兰地</t>
    <phoneticPr fontId="1" type="noConversion"/>
  </si>
  <si>
    <t>阳光男孩</t>
    <phoneticPr fontId="1" type="noConversion"/>
  </si>
  <si>
    <t>阳光男孩</t>
    <phoneticPr fontId="1" type="noConversion"/>
  </si>
  <si>
    <t>盐烤鲮鱼</t>
    <phoneticPr fontId="1" type="noConversion"/>
  </si>
  <si>
    <t>盐烤丁鱼</t>
    <phoneticPr fontId="1" type="noConversion"/>
  </si>
  <si>
    <t>盐烤虹鳟鱼</t>
    <phoneticPr fontId="1" type="noConversion"/>
  </si>
  <si>
    <t>烤鲷鱼</t>
    <phoneticPr fontId="1" type="noConversion"/>
  </si>
  <si>
    <t>盐烤金鳟鱼</t>
    <phoneticPr fontId="1" type="noConversion"/>
  </si>
  <si>
    <t>盐烤鲑鱼</t>
    <phoneticPr fontId="1" type="noConversion"/>
  </si>
  <si>
    <t>烤沙丁鱼串</t>
    <phoneticPr fontId="1" type="noConversion"/>
  </si>
  <si>
    <t>烤竹荚鱼</t>
    <phoneticPr fontId="1" type="noConversion"/>
  </si>
  <si>
    <t>烤海鳗</t>
    <phoneticPr fontId="1" type="noConversion"/>
  </si>
  <si>
    <t>烤比目鱼</t>
    <phoneticPr fontId="1" type="noConversion"/>
  </si>
  <si>
    <t>烤河豚鱼</t>
    <phoneticPr fontId="1" type="noConversion"/>
  </si>
  <si>
    <t>烤条石鲷</t>
    <phoneticPr fontId="1" type="noConversion"/>
  </si>
  <si>
    <t>烤红鲷鱼</t>
    <phoneticPr fontId="1" type="noConversion"/>
  </si>
  <si>
    <t>烤蓝蟹</t>
    <phoneticPr fontId="1" type="noConversion"/>
  </si>
  <si>
    <t>烤龙虾</t>
    <phoneticPr fontId="1" type="noConversion"/>
  </si>
  <si>
    <t>烤金枪鱼</t>
    <phoneticPr fontId="1" type="noConversion"/>
  </si>
  <si>
    <t>煮蟹肉</t>
    <phoneticPr fontId="1" type="noConversion"/>
  </si>
  <si>
    <t>海鲜浓汤</t>
    <phoneticPr fontId="1" type="noConversion"/>
  </si>
  <si>
    <t>鳗鱼饭</t>
    <phoneticPr fontId="1" type="noConversion"/>
  </si>
  <si>
    <t>鲮鱼丸</t>
    <phoneticPr fontId="1" type="noConversion"/>
  </si>
  <si>
    <t>章鱼小丸子</t>
    <phoneticPr fontId="1" type="noConversion"/>
  </si>
  <si>
    <t>鲑鱼刺身</t>
    <phoneticPr fontId="1" type="noConversion"/>
  </si>
  <si>
    <t>炖煮条石鲷</t>
    <phoneticPr fontId="1" type="noConversion"/>
  </si>
  <si>
    <t>红鲷刺身</t>
    <phoneticPr fontId="1" type="noConversion"/>
  </si>
  <si>
    <t>河豚刺身</t>
    <phoneticPr fontId="1" type="noConversion"/>
  </si>
  <si>
    <t>螃蟹煲</t>
    <phoneticPr fontId="1" type="noConversion"/>
  </si>
  <si>
    <t>金枪鱼刺身</t>
    <phoneticPr fontId="1" type="noConversion"/>
  </si>
  <si>
    <t>龙虾鱼子酱</t>
    <phoneticPr fontId="1" type="noConversion"/>
  </si>
  <si>
    <t>腌芜菁</t>
    <phoneticPr fontId="1" type="noConversion"/>
  </si>
  <si>
    <t>鲫鱼蔬菜汤</t>
    <phoneticPr fontId="1" type="noConversion"/>
  </si>
  <si>
    <t>失败的徒手</t>
    <phoneticPr fontId="1" type="noConversion"/>
  </si>
  <si>
    <t>失败的搅拌</t>
    <phoneticPr fontId="1" type="noConversion"/>
  </si>
  <si>
    <t>失败的烘烤</t>
    <phoneticPr fontId="1" type="noConversion"/>
  </si>
  <si>
    <t>失败的蒸煮</t>
    <phoneticPr fontId="1" type="noConversion"/>
  </si>
  <si>
    <t>失败的酿造</t>
    <phoneticPr fontId="1" type="noConversion"/>
  </si>
  <si>
    <t>木材</t>
    <phoneticPr fontId="1" type="noConversion"/>
  </si>
  <si>
    <t>原木</t>
    <phoneticPr fontId="1" type="noConversion"/>
  </si>
  <si>
    <t>木柴</t>
    <phoneticPr fontId="1" type="noConversion"/>
  </si>
  <si>
    <t>木棒</t>
    <phoneticPr fontId="1" type="noConversion"/>
  </si>
  <si>
    <t>斧头</t>
    <phoneticPr fontId="1" type="noConversion"/>
  </si>
  <si>
    <t>干草</t>
  </si>
  <si>
    <t>干草</t>
    <phoneticPr fontId="1" type="noConversion"/>
  </si>
  <si>
    <t>长剑</t>
  </si>
  <si>
    <t>诅咒之剑</t>
  </si>
  <si>
    <t>大地之剑</t>
  </si>
  <si>
    <t>铁枪</t>
  </si>
  <si>
    <t>骑士长枪</t>
  </si>
  <si>
    <t>三叉戟</t>
  </si>
  <si>
    <t>战斧</t>
  </si>
  <si>
    <t>毒蜥之牙</t>
  </si>
  <si>
    <t>恶魔之斧</t>
  </si>
  <si>
    <t>蛇皮鞭</t>
  </si>
  <si>
    <t>藤鞭</t>
  </si>
  <si>
    <t>蛇牙鞭</t>
  </si>
  <si>
    <t>暴雪斧</t>
  </si>
  <si>
    <t>毛皮斗篷</t>
    <phoneticPr fontId="1" type="noConversion"/>
  </si>
  <si>
    <t>华丽背心</t>
    <phoneticPr fontId="1" type="noConversion"/>
  </si>
  <si>
    <t>鳞铠</t>
    <phoneticPr fontId="1" type="noConversion"/>
  </si>
  <si>
    <t>兽皮</t>
  </si>
  <si>
    <t>木棒</t>
  </si>
  <si>
    <t>魔兽皮毛</t>
  </si>
  <si>
    <t>皮铠</t>
  </si>
  <si>
    <t>蛇皮</t>
  </si>
  <si>
    <t>布衣</t>
  </si>
  <si>
    <t>布片</t>
  </si>
  <si>
    <t>铁铠甲</t>
  </si>
  <si>
    <t>钢</t>
  </si>
  <si>
    <t>华丽背心</t>
  </si>
  <si>
    <t>刀刃</t>
  </si>
  <si>
    <t>蛛丝</t>
  </si>
  <si>
    <t>羊毛</t>
  </si>
  <si>
    <t>马尾</t>
  </si>
  <si>
    <t>眼球</t>
  </si>
  <si>
    <t>彩色羽毛</t>
  </si>
  <si>
    <t>珊瑚</t>
  </si>
  <si>
    <t>兽角</t>
  </si>
  <si>
    <t>雪球</t>
  </si>
  <si>
    <t>水晶球</t>
  </si>
  <si>
    <t>魔族之血</t>
  </si>
  <si>
    <t>蜂刺</t>
  </si>
  <si>
    <t>石化之眼</t>
  </si>
  <si>
    <t>奇美拉之翼</t>
  </si>
  <si>
    <t>狼牙</t>
  </si>
  <si>
    <t>幽魂</t>
  </si>
  <si>
    <t>金块</t>
  </si>
  <si>
    <t>烈焰之刃</t>
    <phoneticPr fontId="1" type="noConversion"/>
  </si>
  <si>
    <t>锁子甲</t>
    <phoneticPr fontId="1" type="noConversion"/>
  </si>
  <si>
    <t>红莲之铠</t>
    <phoneticPr fontId="1" type="noConversion"/>
  </si>
  <si>
    <t>钢刃锁甲</t>
    <phoneticPr fontId="1" type="noConversion"/>
  </si>
  <si>
    <t>魔法铠甲</t>
    <phoneticPr fontId="1" type="noConversion"/>
  </si>
  <si>
    <t>丝织长袍</t>
    <phoneticPr fontId="1" type="noConversion"/>
  </si>
  <si>
    <t>水之羽衣</t>
    <phoneticPr fontId="1" type="noConversion"/>
  </si>
  <si>
    <t>暗之袍</t>
    <phoneticPr fontId="1" type="noConversion"/>
  </si>
  <si>
    <t>疾风背心</t>
    <phoneticPr fontId="1" type="noConversion"/>
  </si>
  <si>
    <t>冰之刃</t>
    <phoneticPr fontId="1" type="noConversion"/>
  </si>
  <si>
    <t>诅咒之剑</t>
    <phoneticPr fontId="1" type="noConversion"/>
  </si>
  <si>
    <t>长剑</t>
    <phoneticPr fontId="1" type="noConversion"/>
  </si>
  <si>
    <t>大地之剑</t>
    <phoneticPr fontId="1" type="noConversion"/>
  </si>
  <si>
    <t>暴雪斧</t>
    <phoneticPr fontId="1" type="noConversion"/>
  </si>
  <si>
    <t>恶魔之斧</t>
    <phoneticPr fontId="1" type="noConversion"/>
  </si>
  <si>
    <t>毒蜥之牙</t>
    <phoneticPr fontId="1" type="noConversion"/>
  </si>
  <si>
    <t>铁枪</t>
    <phoneticPr fontId="1" type="noConversion"/>
  </si>
  <si>
    <t>贵族长裙</t>
  </si>
  <si>
    <t>烈焰之刃</t>
  </si>
  <si>
    <t>冰之刃</t>
  </si>
  <si>
    <t>女王鞭</t>
  </si>
  <si>
    <t>锁子甲</t>
  </si>
  <si>
    <t>毛皮斗篷</t>
  </si>
  <si>
    <t>红莲之铠</t>
  </si>
  <si>
    <t>鳞铠</t>
  </si>
  <si>
    <t>暗之袍</t>
  </si>
  <si>
    <t>疾风背心</t>
  </si>
  <si>
    <t>魔法铠甲</t>
  </si>
  <si>
    <t>钢刃锁甲</t>
  </si>
  <si>
    <t>丝织长袍</t>
  </si>
  <si>
    <t>水之羽衣</t>
  </si>
  <si>
    <t>布片</t>
    <phoneticPr fontId="1" type="noConversion"/>
  </si>
  <si>
    <t>狼牙</t>
    <phoneticPr fontId="1" type="noConversion"/>
  </si>
  <si>
    <t>钢</t>
    <phoneticPr fontId="1" type="noConversion"/>
  </si>
  <si>
    <t>长剑</t>
    <phoneticPr fontId="1" type="noConversion"/>
  </si>
  <si>
    <t>雪球</t>
    <phoneticPr fontId="1" type="noConversion"/>
  </si>
  <si>
    <t>亡者之土</t>
    <phoneticPr fontId="1" type="noConversion"/>
  </si>
  <si>
    <t>血腥之枪</t>
  </si>
  <si>
    <t>布片</t>
    <phoneticPr fontId="1" type="noConversion"/>
  </si>
  <si>
    <t>毛线</t>
    <phoneticPr fontId="1" type="noConversion"/>
  </si>
  <si>
    <t>纺织</t>
    <phoneticPr fontId="1" type="noConversion"/>
  </si>
  <si>
    <t>毛线</t>
    <phoneticPr fontId="1" type="noConversion"/>
  </si>
  <si>
    <t>纺线</t>
    <phoneticPr fontId="1" type="noConversion"/>
  </si>
  <si>
    <t>皮革</t>
    <phoneticPr fontId="1" type="noConversion"/>
  </si>
  <si>
    <t>鞣制</t>
    <phoneticPr fontId="1" type="noConversion"/>
  </si>
  <si>
    <t>兽皮</t>
    <phoneticPr fontId="1" type="noConversion"/>
  </si>
  <si>
    <t>铁块</t>
    <phoneticPr fontId="1" type="noConversion"/>
  </si>
  <si>
    <t>废铁</t>
    <phoneticPr fontId="1" type="noConversion"/>
  </si>
  <si>
    <t>焦炭</t>
    <phoneticPr fontId="1" type="noConversion"/>
  </si>
  <si>
    <t>皮鞋</t>
  </si>
  <si>
    <t>士兵长靴</t>
  </si>
  <si>
    <t>登山者之靴</t>
  </si>
  <si>
    <t>布鞋</t>
  </si>
  <si>
    <t>布鞋</t>
    <phoneticPr fontId="1" type="noConversion"/>
  </si>
  <si>
    <t>运动鞋</t>
  </si>
  <si>
    <t>风神之履</t>
  </si>
  <si>
    <t>骑士护胫</t>
  </si>
  <si>
    <t>武道鞋</t>
  </si>
  <si>
    <t>贵族长靴</t>
  </si>
  <si>
    <t>铸造</t>
    <phoneticPr fontId="1" type="noConversion"/>
  </si>
  <si>
    <t>贤者之履</t>
  </si>
  <si>
    <t>布片</t>
    <phoneticPr fontId="1" type="noConversion"/>
  </si>
  <si>
    <t>士兵长靴</t>
    <phoneticPr fontId="1" type="noConversion"/>
  </si>
  <si>
    <t>武道鞋</t>
    <phoneticPr fontId="1" type="noConversion"/>
  </si>
  <si>
    <t>骑士护胫</t>
    <phoneticPr fontId="1" type="noConversion"/>
  </si>
  <si>
    <t>铸造</t>
    <phoneticPr fontId="1" type="noConversion"/>
  </si>
  <si>
    <t>铁块</t>
    <phoneticPr fontId="1" type="noConversion"/>
  </si>
  <si>
    <t>皮革</t>
  </si>
  <si>
    <t>酸味香料</t>
    <phoneticPr fontId="1" type="noConversion"/>
  </si>
  <si>
    <t>蜂蜜</t>
    <phoneticPr fontId="1" type="noConversion"/>
  </si>
  <si>
    <t>石块</t>
  </si>
  <si>
    <t>龟壳</t>
  </si>
  <si>
    <t>石英砂</t>
  </si>
  <si>
    <t>草药茶</t>
  </si>
  <si>
    <t>风晶石</t>
  </si>
  <si>
    <t>琥珀</t>
  </si>
  <si>
    <t>粘土</t>
  </si>
  <si>
    <t>尖刺</t>
  </si>
  <si>
    <t>铁矿</t>
  </si>
  <si>
    <t>盐矿</t>
  </si>
  <si>
    <t>肥皂</t>
  </si>
  <si>
    <t>土晶石</t>
  </si>
  <si>
    <t>迷幻菇</t>
  </si>
  <si>
    <t>植物的藤</t>
  </si>
  <si>
    <t>鹿角</t>
  </si>
  <si>
    <t>电偶瓶</t>
  </si>
  <si>
    <t>海胆</t>
  </si>
  <si>
    <t>火晶石</t>
  </si>
  <si>
    <t>玻璃瓶</t>
  </si>
  <si>
    <t>水晶石</t>
  </si>
  <si>
    <t>珍珠</t>
  </si>
  <si>
    <t>松果</t>
  </si>
  <si>
    <t>神奇泥浆</t>
  </si>
  <si>
    <t>银块</t>
  </si>
  <si>
    <t>象牙</t>
  </si>
  <si>
    <t>仙人掌</t>
  </si>
  <si>
    <t>脏绷带</t>
  </si>
  <si>
    <t>远古的硬币</t>
  </si>
  <si>
    <t>铁钉</t>
  </si>
  <si>
    <t>遗骨</t>
  </si>
  <si>
    <t>妖精粉</t>
  </si>
  <si>
    <t>毒淤泥</t>
  </si>
  <si>
    <t>亡者之土</t>
  </si>
  <si>
    <t>咒术药水</t>
  </si>
  <si>
    <t>诅咒宝珠</t>
  </si>
  <si>
    <t>人狼之证</t>
  </si>
  <si>
    <t>冰晶石</t>
  </si>
  <si>
    <t>冰的结晶</t>
  </si>
  <si>
    <t>夜之幕</t>
  </si>
  <si>
    <t>星的眼泪</t>
  </si>
  <si>
    <t>冰牛角</t>
  </si>
  <si>
    <t>寒冰气息</t>
  </si>
  <si>
    <t>寒冰火种</t>
  </si>
  <si>
    <t>蝎尾</t>
  </si>
  <si>
    <t>水晶球</t>
    <phoneticPr fontId="1" type="noConversion"/>
  </si>
  <si>
    <t>刀刃</t>
    <phoneticPr fontId="1" type="noConversion"/>
  </si>
  <si>
    <t>武道精华</t>
  </si>
  <si>
    <t>魔力之土</t>
    <phoneticPr fontId="1" type="noConversion"/>
  </si>
  <si>
    <t>萤火树汁</t>
  </si>
  <si>
    <t>布口袋</t>
    <phoneticPr fontId="1" type="noConversion"/>
  </si>
  <si>
    <t>行者背包</t>
    <phoneticPr fontId="1" type="noConversion"/>
  </si>
  <si>
    <t>皮革背囊</t>
    <phoneticPr fontId="1" type="noConversion"/>
  </si>
  <si>
    <t>回春卷轴</t>
    <phoneticPr fontId="1" type="noConversion"/>
  </si>
  <si>
    <t>冰氛卷轴</t>
    <phoneticPr fontId="1" type="noConversion"/>
  </si>
  <si>
    <t>火氛卷轴</t>
    <phoneticPr fontId="1" type="noConversion"/>
  </si>
  <si>
    <t>振奋卷轴</t>
    <phoneticPr fontId="1" type="noConversion"/>
  </si>
  <si>
    <t>空白卷轴</t>
    <phoneticPr fontId="1" type="noConversion"/>
  </si>
  <si>
    <t>骑士之证</t>
  </si>
  <si>
    <t>贵族长靴</t>
    <phoneticPr fontId="1" type="noConversion"/>
  </si>
  <si>
    <t>贵族徽章</t>
  </si>
  <si>
    <t>贵族徽章</t>
    <phoneticPr fontId="1" type="noConversion"/>
  </si>
  <si>
    <t>贤者之履</t>
    <phoneticPr fontId="1" type="noConversion"/>
  </si>
  <si>
    <t>风神之履</t>
    <phoneticPr fontId="1" type="noConversion"/>
  </si>
  <si>
    <t>贤者晶石</t>
  </si>
  <si>
    <t>白磷粉末</t>
  </si>
  <si>
    <t>雷鸣宝珠</t>
  </si>
  <si>
    <t>恶魔花瓣</t>
  </si>
  <si>
    <t>恶魔花瓣</t>
    <phoneticPr fontId="1" type="noConversion"/>
  </si>
  <si>
    <t>幻影水晶</t>
  </si>
  <si>
    <t>魅惑药水</t>
  </si>
  <si>
    <t>力量果实</t>
  </si>
  <si>
    <t>雷鸣宝珠</t>
    <phoneticPr fontId="1" type="noConversion"/>
  </si>
  <si>
    <t>图腾号角</t>
  </si>
  <si>
    <t>鳞片</t>
  </si>
  <si>
    <t>夜之幕</t>
    <phoneticPr fontId="1" type="noConversion"/>
  </si>
  <si>
    <t>战斧</t>
    <phoneticPr fontId="1" type="noConversion"/>
  </si>
  <si>
    <t>战斧</t>
    <phoneticPr fontId="1" type="noConversion"/>
  </si>
  <si>
    <t>钢</t>
    <phoneticPr fontId="1" type="noConversion"/>
  </si>
  <si>
    <t>铁矿</t>
    <phoneticPr fontId="1" type="noConversion"/>
  </si>
  <si>
    <t>铁块</t>
  </si>
  <si>
    <t>铁块</t>
    <phoneticPr fontId="1" type="noConversion"/>
  </si>
  <si>
    <t>奇美拉之翼</t>
    <phoneticPr fontId="1" type="noConversion"/>
  </si>
  <si>
    <t>缝纫</t>
  </si>
  <si>
    <t>粘液</t>
  </si>
  <si>
    <t>水晶石</t>
    <phoneticPr fontId="1" type="noConversion"/>
  </si>
  <si>
    <t>迷幻孢子</t>
    <phoneticPr fontId="1" type="noConversion"/>
  </si>
  <si>
    <t>暮光结晶</t>
    <phoneticPr fontId="1" type="noConversion"/>
  </si>
  <si>
    <t>暗夜之露</t>
    <phoneticPr fontId="1" type="noConversion"/>
  </si>
  <si>
    <t>电偶瓶</t>
    <phoneticPr fontId="1" type="noConversion"/>
  </si>
  <si>
    <t>防水皮革</t>
    <phoneticPr fontId="5" type="noConversion"/>
  </si>
  <si>
    <t>魅惑药水</t>
    <phoneticPr fontId="1" type="noConversion"/>
  </si>
  <si>
    <t>萤火树汁</t>
    <phoneticPr fontId="1" type="noConversion"/>
  </si>
  <si>
    <t>武道精华</t>
    <phoneticPr fontId="1" type="noConversion"/>
  </si>
  <si>
    <t>图腾号角</t>
    <phoneticPr fontId="1" type="noConversion"/>
  </si>
  <si>
    <t>感电卷轴</t>
    <phoneticPr fontId="1" type="noConversion"/>
  </si>
  <si>
    <t>沉默卷轴</t>
    <phoneticPr fontId="1" type="noConversion"/>
  </si>
  <si>
    <t>昏睡卷轴</t>
    <phoneticPr fontId="1" type="noConversion"/>
  </si>
  <si>
    <t>魅惑卷轴</t>
    <phoneticPr fontId="1" type="noConversion"/>
  </si>
  <si>
    <t>减速卷轴</t>
    <phoneticPr fontId="1" type="noConversion"/>
  </si>
  <si>
    <t>闪避卷轴</t>
    <phoneticPr fontId="1" type="noConversion"/>
  </si>
  <si>
    <t>力量卷轴</t>
    <phoneticPr fontId="1" type="noConversion"/>
  </si>
  <si>
    <t>秘银长剑</t>
    <phoneticPr fontId="1" type="noConversion"/>
  </si>
  <si>
    <t>幻影长枪</t>
    <phoneticPr fontId="1" type="noConversion"/>
  </si>
  <si>
    <t>白磷粉末</t>
    <phoneticPr fontId="1" type="noConversion"/>
  </si>
  <si>
    <t>死亡之鞭</t>
    <phoneticPr fontId="1" type="noConversion"/>
  </si>
  <si>
    <t>雷神之鞭</t>
    <phoneticPr fontId="1" type="noConversion"/>
  </si>
  <si>
    <t>骑士之证</t>
    <phoneticPr fontId="1" type="noConversion"/>
  </si>
  <si>
    <t>幸运之衣</t>
    <phoneticPr fontId="1" type="noConversion"/>
  </si>
  <si>
    <t>踏浪长靴</t>
    <phoneticPr fontId="1" type="noConversion"/>
  </si>
  <si>
    <t>焦炭</t>
  </si>
  <si>
    <t>迷幻孢子</t>
  </si>
  <si>
    <t>防水皮革</t>
  </si>
  <si>
    <t>彩色的布</t>
  </si>
  <si>
    <t>月之光华</t>
  </si>
  <si>
    <t>魔力之土</t>
  </si>
  <si>
    <t>暗夜之露</t>
  </si>
  <si>
    <t>暮光结晶</t>
  </si>
  <si>
    <t>铁龟铠</t>
    <phoneticPr fontId="1" type="noConversion"/>
  </si>
  <si>
    <t>尖刺</t>
    <phoneticPr fontId="1" type="noConversion"/>
  </si>
  <si>
    <t>彩色的布</t>
    <phoneticPr fontId="1" type="noConversion"/>
  </si>
  <si>
    <t>铁枪</t>
    <phoneticPr fontId="1" type="noConversion"/>
  </si>
  <si>
    <t>毒淤泥</t>
    <phoneticPr fontId="1" type="noConversion"/>
  </si>
  <si>
    <t>月之光华</t>
    <phoneticPr fontId="1" type="noConversion"/>
  </si>
  <si>
    <t>琥珀</t>
    <phoneticPr fontId="1" type="noConversion"/>
  </si>
  <si>
    <t>琥珀</t>
    <phoneticPr fontId="1" type="noConversion"/>
  </si>
  <si>
    <t>遗骨</t>
    <phoneticPr fontId="1" type="noConversion"/>
  </si>
  <si>
    <t>蜂刺</t>
    <phoneticPr fontId="1" type="noConversion"/>
  </si>
  <si>
    <t>马尾</t>
    <phoneticPr fontId="1" type="noConversion"/>
  </si>
  <si>
    <t>藤鞭</t>
    <phoneticPr fontId="1" type="noConversion"/>
  </si>
  <si>
    <t>暗夜之露</t>
    <phoneticPr fontId="1" type="noConversion"/>
  </si>
  <si>
    <t>钢</t>
    <phoneticPr fontId="1" type="noConversion"/>
  </si>
  <si>
    <t>粘液</t>
    <phoneticPr fontId="1" type="noConversion"/>
  </si>
  <si>
    <t>咒术药水</t>
    <phoneticPr fontId="1" type="noConversion"/>
  </si>
  <si>
    <t>兽角</t>
    <phoneticPr fontId="1" type="noConversion"/>
  </si>
  <si>
    <t>皮鞋</t>
    <phoneticPr fontId="1" type="noConversion"/>
  </si>
  <si>
    <t>粘液</t>
    <phoneticPr fontId="1" type="noConversion"/>
  </si>
  <si>
    <t>蛇皮鞭</t>
    <phoneticPr fontId="1" type="noConversion"/>
  </si>
  <si>
    <t>白磷粉末</t>
    <phoneticPr fontId="1" type="noConversion"/>
  </si>
  <si>
    <t>毛线</t>
  </si>
  <si>
    <t>毛线</t>
    <phoneticPr fontId="1" type="noConversion"/>
  </si>
  <si>
    <t>蛛丝</t>
    <phoneticPr fontId="1" type="noConversion"/>
  </si>
  <si>
    <t>皮革</t>
    <phoneticPr fontId="1" type="noConversion"/>
  </si>
  <si>
    <t>彩色的布</t>
    <phoneticPr fontId="1" type="noConversion"/>
  </si>
  <si>
    <t>冰的结晶</t>
    <phoneticPr fontId="1" type="noConversion"/>
  </si>
  <si>
    <t>遗骨</t>
    <phoneticPr fontId="1" type="noConversion"/>
  </si>
  <si>
    <t>妖精粉</t>
    <phoneticPr fontId="1" type="noConversion"/>
  </si>
  <si>
    <t>贤者晶石</t>
    <phoneticPr fontId="1" type="noConversion"/>
  </si>
  <si>
    <t>妖精粉</t>
    <phoneticPr fontId="1" type="noConversion"/>
  </si>
  <si>
    <t>运动鞋</t>
    <phoneticPr fontId="1" type="noConversion"/>
  </si>
  <si>
    <t>水晶石</t>
    <phoneticPr fontId="1" type="noConversion"/>
  </si>
  <si>
    <t>冰的结晶</t>
    <phoneticPr fontId="1" type="noConversion"/>
  </si>
  <si>
    <t>登山者之靴</t>
    <phoneticPr fontId="1" type="noConversion"/>
  </si>
  <si>
    <t>暮光结晶</t>
    <phoneticPr fontId="1" type="noConversion"/>
  </si>
  <si>
    <t>夜之幕</t>
    <phoneticPr fontId="1" type="noConversion"/>
  </si>
  <si>
    <t>蛇牙鞭</t>
    <phoneticPr fontId="1" type="noConversion"/>
  </si>
  <si>
    <t>女王鞭</t>
    <phoneticPr fontId="1" type="noConversion"/>
  </si>
  <si>
    <t>dd</t>
    <phoneticPr fontId="1" type="noConversion"/>
  </si>
  <si>
    <t>皮铠</t>
    <phoneticPr fontId="1" type="noConversion"/>
  </si>
  <si>
    <t>蛛丝</t>
    <phoneticPr fontId="1" type="noConversion"/>
  </si>
  <si>
    <t>亡者之土</t>
    <phoneticPr fontId="1" type="noConversion"/>
  </si>
  <si>
    <t>铁铠甲</t>
    <phoneticPr fontId="1" type="noConversion"/>
  </si>
  <si>
    <t>皮铠</t>
    <phoneticPr fontId="1" type="noConversion"/>
  </si>
  <si>
    <t>蜂刺</t>
    <phoneticPr fontId="1" type="noConversion"/>
  </si>
  <si>
    <t>亡者之土</t>
    <phoneticPr fontId="1" type="noConversion"/>
  </si>
  <si>
    <t>布衣</t>
    <phoneticPr fontId="1" type="noConversion"/>
  </si>
  <si>
    <t>焦炭</t>
    <phoneticPr fontId="1" type="noConversion"/>
  </si>
  <si>
    <t>恶魔花瓣</t>
    <phoneticPr fontId="1" type="noConversion"/>
  </si>
  <si>
    <t>月之光华</t>
    <phoneticPr fontId="1" type="noConversion"/>
  </si>
  <si>
    <t>骑士长枪</t>
    <phoneticPr fontId="1" type="noConversion"/>
  </si>
  <si>
    <t>失败的缝纫</t>
    <phoneticPr fontId="1" type="noConversion"/>
  </si>
  <si>
    <t>一团杂乱的物体</t>
    <phoneticPr fontId="1" type="noConversion"/>
  </si>
  <si>
    <t>失败的铸造</t>
    <phoneticPr fontId="1" type="noConversion"/>
  </si>
  <si>
    <t>失败的绘写</t>
    <phoneticPr fontId="1" type="noConversion"/>
  </si>
  <si>
    <t>秘银长剑</t>
  </si>
  <si>
    <t>幻影长枪</t>
  </si>
  <si>
    <t>雷神之鞭</t>
  </si>
  <si>
    <t>死亡之鞭</t>
  </si>
  <si>
    <t>幸运之衣</t>
  </si>
  <si>
    <t>踏浪长靴</t>
  </si>
  <si>
    <t>废铁</t>
  </si>
  <si>
    <t>回春卷轴</t>
  </si>
  <si>
    <t>振奋卷轴</t>
  </si>
  <si>
    <t>昏睡卷轴</t>
  </si>
  <si>
    <t>感电卷轴</t>
  </si>
  <si>
    <t>冰氛卷轴</t>
  </si>
  <si>
    <t>火氛卷轴</t>
  </si>
  <si>
    <t>沉默卷轴</t>
  </si>
  <si>
    <t>减速卷轴</t>
  </si>
  <si>
    <t>闪避卷轴</t>
  </si>
  <si>
    <t>力量卷轴</t>
  </si>
  <si>
    <t>魅惑卷轴</t>
  </si>
  <si>
    <t>空白卷轴</t>
  </si>
  <si>
    <t>铸造,废铁,焦炭,</t>
  </si>
  <si>
    <t/>
  </si>
  <si>
    <t>铁块,刀刃,,</t>
  </si>
  <si>
    <t>铸造,铁块,焦炭,</t>
  </si>
  <si>
    <t>木棒,铁块,刀刃,</t>
  </si>
  <si>
    <t>钢,刀刃,兽角,</t>
  </si>
  <si>
    <t>植物的藤,马尾,蛛丝,</t>
  </si>
  <si>
    <t>蛇皮,马尾,蛛丝,</t>
  </si>
  <si>
    <t>纺织,毛线,,</t>
  </si>
  <si>
    <t>纺线,羊毛,,</t>
  </si>
  <si>
    <t>鞣制,兽皮,,</t>
  </si>
  <si>
    <t>皮革,粘液,蛛丝,</t>
  </si>
  <si>
    <t>铁块,石英砂,,</t>
  </si>
  <si>
    <t>布片,毛线,,</t>
  </si>
  <si>
    <t>彩色的布,彩色羽毛,毛线,</t>
  </si>
  <si>
    <t>皮革,鹿角,粘液,</t>
  </si>
  <si>
    <t>布片,鹿角,粘液,</t>
  </si>
  <si>
    <t>铁块,琥珀,龟壳,</t>
  </si>
  <si>
    <t>植物的藤,马尾,蛛丝,尖刺,幽魂,</t>
  </si>
  <si>
    <t>植物的藤,马尾,蛛丝,尖刺,幽魂,</t>
    <phoneticPr fontId="1" type="noConversion"/>
  </si>
  <si>
    <t>蛇皮,马尾,蛛丝,,狼牙,</t>
  </si>
  <si>
    <t>蛇皮,马尾,蛛丝,,狼牙,</t>
    <phoneticPr fontId="1" type="noConversion"/>
  </si>
  <si>
    <t>布片,鹿角,粘液,,风晶石,蛛丝,</t>
  </si>
  <si>
    <t>布片,鹿角,粘液,,风晶石,蛛丝,</t>
    <phoneticPr fontId="1" type="noConversion"/>
  </si>
  <si>
    <t>皮革,鹿角,粘液,,鳞片,蛇皮,</t>
  </si>
  <si>
    <t>皮革,鹿角,粘液,,鳞片,蛇皮,</t>
    <phoneticPr fontId="1" type="noConversion"/>
  </si>
  <si>
    <t>幻影水晶</t>
    <phoneticPr fontId="1" type="noConversion"/>
  </si>
  <si>
    <t>绘写</t>
    <phoneticPr fontId="1" type="noConversion"/>
  </si>
  <si>
    <t>加工</t>
    <phoneticPr fontId="1" type="noConversion"/>
  </si>
  <si>
    <t>铁矿</t>
    <phoneticPr fontId="1" type="noConversion"/>
  </si>
  <si>
    <t>盐矿</t>
    <phoneticPr fontId="1" type="noConversion"/>
  </si>
  <si>
    <t>盐</t>
    <phoneticPr fontId="1" type="noConversion"/>
  </si>
  <si>
    <t>铁龟铠</t>
  </si>
  <si>
    <t>铁龟铠</t>
    <phoneticPr fontId="1" type="noConversion"/>
  </si>
  <si>
    <t>铁龟铠</t>
    <phoneticPr fontId="1" type="noConversion"/>
  </si>
  <si>
    <t>空白卷轴</t>
    <phoneticPr fontId="1" type="noConversion"/>
  </si>
  <si>
    <t>传送卷轴</t>
    <phoneticPr fontId="1" type="noConversion"/>
  </si>
  <si>
    <t>冰的结晶</t>
    <phoneticPr fontId="1" type="noConversion"/>
  </si>
  <si>
    <t>萤火树汁</t>
    <phoneticPr fontId="1" type="noConversion"/>
  </si>
  <si>
    <t>风晶石</t>
    <phoneticPr fontId="1" type="noConversion"/>
  </si>
  <si>
    <t>纯净水</t>
    <phoneticPr fontId="1" type="noConversion"/>
  </si>
  <si>
    <t>失败的铸造</t>
  </si>
  <si>
    <t>失败的绘写</t>
  </si>
  <si>
    <t>失败的缝纫</t>
  </si>
  <si>
    <t>缝纫机</t>
  </si>
  <si>
    <t>用来制作衣物的设备</t>
    <phoneticPr fontId="1" type="noConversion"/>
  </si>
  <si>
    <t>用来制作蒸煮食物的设备</t>
    <phoneticPr fontId="1" type="noConversion"/>
  </si>
  <si>
    <t>搅拌器</t>
  </si>
  <si>
    <t>HP</t>
  </si>
  <si>
    <t>MP</t>
  </si>
  <si>
    <t>Power</t>
  </si>
  <si>
    <t>MaxHP</t>
  </si>
  <si>
    <t>MaxMP</t>
  </si>
  <si>
    <t>MaxPower</t>
  </si>
  <si>
    <t>AT</t>
  </si>
  <si>
    <t>DF</t>
  </si>
  <si>
    <t>Lucky</t>
  </si>
  <si>
    <t>Speed</t>
  </si>
  <si>
    <t>Other</t>
  </si>
  <si>
    <t>int</t>
    <phoneticPr fontId="1" type="noConversion"/>
  </si>
  <si>
    <t>otherType</t>
    <phoneticPr fontId="1" type="noConversion"/>
  </si>
  <si>
    <t>烈焰斩</t>
    <phoneticPr fontId="1" type="noConversion"/>
  </si>
  <si>
    <t>寒冰斩</t>
    <phoneticPr fontId="1" type="noConversion"/>
  </si>
  <si>
    <t>奇迹斩</t>
    <phoneticPr fontId="1" type="noConversion"/>
  </si>
  <si>
    <t>骑士冲击</t>
    <phoneticPr fontId="1" type="noConversion"/>
  </si>
  <si>
    <t>龙卷风</t>
    <phoneticPr fontId="1" type="noConversion"/>
  </si>
  <si>
    <t>幻影突刺</t>
    <phoneticPr fontId="1" type="noConversion"/>
  </si>
  <si>
    <t>恶魔幻影</t>
    <phoneticPr fontId="1" type="noConversion"/>
  </si>
  <si>
    <t>女王之春</t>
    <phoneticPr fontId="1" type="noConversion"/>
  </si>
  <si>
    <t>刺颈鞭挞</t>
    <phoneticPr fontId="1" type="noConversion"/>
  </si>
  <si>
    <t>雷暴</t>
    <phoneticPr fontId="1" type="noConversion"/>
  </si>
  <si>
    <t>幽冥黑洞</t>
    <phoneticPr fontId="1" type="noConversion"/>
  </si>
  <si>
    <t>暴风雪</t>
    <phoneticPr fontId="1" type="noConversion"/>
  </si>
  <si>
    <t>剧毒风暴</t>
    <phoneticPr fontId="1" type="noConversion"/>
  </si>
  <si>
    <t>诅咒猎杀</t>
    <phoneticPr fontId="1" type="noConversion"/>
  </si>
  <si>
    <t>血腥囚笼</t>
    <phoneticPr fontId="1" type="noConversion"/>
  </si>
  <si>
    <t>地刺</t>
    <phoneticPr fontId="1" type="noConversion"/>
  </si>
  <si>
    <t>int</t>
    <phoneticPr fontId="1" type="noConversion"/>
  </si>
  <si>
    <t>猪粪</t>
  </si>
  <si>
    <t>鸭绒</t>
  </si>
  <si>
    <t>鸭绒</t>
    <phoneticPr fontId="1" type="noConversion"/>
  </si>
  <si>
    <t>鸭绒</t>
    <phoneticPr fontId="1" type="noConversion"/>
  </si>
  <si>
    <t>草帽</t>
  </si>
  <si>
    <t>干草</t>
    <phoneticPr fontId="1" type="noConversion"/>
  </si>
  <si>
    <t>布片</t>
    <phoneticPr fontId="1" type="noConversion"/>
  </si>
  <si>
    <t>草帽</t>
    <phoneticPr fontId="1" type="noConversion"/>
  </si>
  <si>
    <t>月之光华</t>
    <phoneticPr fontId="1" type="noConversion"/>
  </si>
  <si>
    <t>暮光结晶</t>
    <phoneticPr fontId="1" type="noConversion"/>
  </si>
  <si>
    <t>松果</t>
    <phoneticPr fontId="1" type="noConversion"/>
  </si>
  <si>
    <t>法师帽</t>
  </si>
  <si>
    <t>士兵头盔</t>
  </si>
  <si>
    <t>士兵头盔</t>
    <phoneticPr fontId="1" type="noConversion"/>
  </si>
  <si>
    <t>绅士礼帽</t>
  </si>
  <si>
    <t>幸运头巾</t>
  </si>
  <si>
    <t>战争头盔</t>
  </si>
  <si>
    <t>草帽</t>
    <phoneticPr fontId="1" type="noConversion"/>
  </si>
  <si>
    <t>法师帽</t>
    <phoneticPr fontId="1" type="noConversion"/>
  </si>
  <si>
    <t>尖角头盔</t>
  </si>
  <si>
    <t>战争头盔</t>
    <phoneticPr fontId="1" type="noConversion"/>
  </si>
  <si>
    <t>幸运头巾</t>
    <phoneticPr fontId="1" type="noConversion"/>
  </si>
  <si>
    <t>绅士礼帽</t>
    <phoneticPr fontId="1" type="noConversion"/>
  </si>
  <si>
    <t>贵族头巾</t>
  </si>
  <si>
    <t>贵族头巾</t>
    <phoneticPr fontId="1" type="noConversion"/>
  </si>
  <si>
    <t>彩色的布</t>
    <phoneticPr fontId="1" type="noConversion"/>
  </si>
  <si>
    <t>铁块</t>
    <phoneticPr fontId="1" type="noConversion"/>
  </si>
  <si>
    <t>皮革</t>
    <phoneticPr fontId="1" type="noConversion"/>
  </si>
  <si>
    <t>兽角</t>
    <phoneticPr fontId="1" type="noConversion"/>
  </si>
  <si>
    <t>兽角</t>
    <phoneticPr fontId="1" type="noConversion"/>
  </si>
  <si>
    <t>士兵头盔</t>
    <phoneticPr fontId="1" type="noConversion"/>
  </si>
  <si>
    <t>尖角头盔</t>
    <phoneticPr fontId="1" type="noConversion"/>
  </si>
  <si>
    <t>金块</t>
    <phoneticPr fontId="1" type="noConversion"/>
  </si>
  <si>
    <t>远古的硬币</t>
    <phoneticPr fontId="1" type="noConversion"/>
  </si>
  <si>
    <t>夜之幕</t>
    <phoneticPr fontId="1" type="noConversion"/>
  </si>
  <si>
    <t>彩色羽毛</t>
    <phoneticPr fontId="1" type="noConversion"/>
  </si>
  <si>
    <t>鸭绒</t>
    <phoneticPr fontId="1" type="noConversion"/>
  </si>
  <si>
    <t>幽魂</t>
    <phoneticPr fontId="1" type="noConversion"/>
  </si>
  <si>
    <t>防水皮革</t>
    <phoneticPr fontId="1" type="noConversion"/>
  </si>
  <si>
    <t>贤者晶石</t>
    <phoneticPr fontId="1" type="noConversion"/>
  </si>
  <si>
    <t>咒术药水</t>
    <phoneticPr fontId="1" type="noConversion"/>
  </si>
  <si>
    <t>力量果实</t>
    <phoneticPr fontId="1" type="noConversion"/>
  </si>
  <si>
    <t>奇美拉之翼</t>
    <phoneticPr fontId="1" type="noConversion"/>
  </si>
  <si>
    <t>珍珠</t>
    <phoneticPr fontId="1" type="noConversion"/>
  </si>
  <si>
    <t>妖精粉</t>
    <phoneticPr fontId="1" type="noConversion"/>
  </si>
  <si>
    <t>缝纫</t>
    <phoneticPr fontId="1" type="noConversion"/>
  </si>
  <si>
    <t>兔子脚</t>
    <phoneticPr fontId="1" type="noConversion"/>
  </si>
  <si>
    <t>大地之剑</t>
    <phoneticPr fontId="1" type="noConversion"/>
  </si>
  <si>
    <t>铸造配方</t>
  </si>
  <si>
    <t>缝纫配方</t>
  </si>
  <si>
    <t>书写配方</t>
  </si>
  <si>
    <t>书写配方</t>
    <phoneticPr fontId="1" type="noConversion"/>
  </si>
  <si>
    <t>酒水配方</t>
  </si>
  <si>
    <t>食物配方</t>
  </si>
  <si>
    <t>食物配方</t>
    <phoneticPr fontId="1" type="noConversion"/>
  </si>
  <si>
    <t>酒水配方</t>
    <phoneticPr fontId="1" type="noConversion"/>
  </si>
  <si>
    <t>铸造配方</t>
    <phoneticPr fontId="1" type="noConversion"/>
  </si>
  <si>
    <t>传送卷轴</t>
    <phoneticPr fontId="1" type="noConversion"/>
  </si>
  <si>
    <t>大麦</t>
    <phoneticPr fontId="1" type="noConversion"/>
  </si>
  <si>
    <t>荆棘鞭</t>
  </si>
  <si>
    <t>荆棘鞭</t>
    <phoneticPr fontId="1" type="noConversion"/>
  </si>
  <si>
    <t>女王之鞭</t>
    <phoneticPr fontId="1" type="noConversion"/>
  </si>
  <si>
    <t>血腥之矛</t>
    <phoneticPr fontId="1" type="noConversion"/>
  </si>
  <si>
    <t>血腥之矛</t>
    <phoneticPr fontId="1" type="noConversion"/>
  </si>
  <si>
    <t>阳光草帽</t>
  </si>
  <si>
    <t>阳光草帽</t>
    <phoneticPr fontId="1" type="noConversion"/>
  </si>
  <si>
    <t>炖煮锅</t>
    <phoneticPr fontId="1" type="noConversion"/>
  </si>
  <si>
    <t>炖煮锅</t>
    <phoneticPr fontId="1" type="noConversion"/>
  </si>
  <si>
    <t>int</t>
    <phoneticPr fontId="1" type="noConversion"/>
  </si>
  <si>
    <t>7000</t>
  </si>
  <si>
    <t>bool</t>
    <phoneticPr fontId="1" type="noConversion"/>
  </si>
  <si>
    <t>showProperty</t>
    <phoneticPr fontId="1" type="noConversion"/>
  </si>
  <si>
    <t>false</t>
    <phoneticPr fontId="1" type="noConversion"/>
  </si>
  <si>
    <t>true</t>
    <phoneticPr fontId="1" type="noConversion"/>
  </si>
  <si>
    <t>hp</t>
  </si>
  <si>
    <t>mp</t>
  </si>
  <si>
    <t>体力</t>
  </si>
  <si>
    <t>攻击buff</t>
  </si>
  <si>
    <t>防御buff</t>
  </si>
  <si>
    <t>速度buff</t>
  </si>
  <si>
    <t>幸运buff</t>
  </si>
  <si>
    <t>腌芜菁</t>
  </si>
  <si>
    <t>面包</t>
  </si>
  <si>
    <t>阳光男孩</t>
  </si>
  <si>
    <t>凉茶</t>
  </si>
  <si>
    <t>7001</t>
    <phoneticPr fontId="1" type="noConversion"/>
  </si>
  <si>
    <t>sceneType</t>
  </si>
  <si>
    <t>2</t>
    <phoneticPr fontId="1" type="noConversion"/>
  </si>
  <si>
    <t>0</t>
    <phoneticPr fontId="1" type="noConversion"/>
  </si>
  <si>
    <t>0</t>
    <phoneticPr fontId="1" type="noConversion"/>
  </si>
  <si>
    <t>0</t>
    <phoneticPr fontId="1" type="noConversion"/>
  </si>
  <si>
    <t>fightUseSkill</t>
    <phoneticPr fontId="1" type="noConversion"/>
  </si>
  <si>
    <t>产量</t>
    <phoneticPr fontId="1" type="noConversion"/>
  </si>
  <si>
    <t>价格</t>
    <phoneticPr fontId="1" type="noConversion"/>
  </si>
  <si>
    <t>天</t>
    <phoneticPr fontId="1" type="noConversion"/>
  </si>
  <si>
    <t>采摘周期</t>
    <phoneticPr fontId="1" type="noConversion"/>
  </si>
  <si>
    <t>采摘次数</t>
    <phoneticPr fontId="1" type="noConversion"/>
  </si>
  <si>
    <t>南瓜种子</t>
    <phoneticPr fontId="1" type="noConversion"/>
  </si>
  <si>
    <t>存活总天数</t>
    <phoneticPr fontId="1" type="noConversion"/>
  </si>
  <si>
    <t>一年存活循环</t>
    <phoneticPr fontId="1" type="noConversion"/>
  </si>
  <si>
    <t>一年总收获</t>
    <phoneticPr fontId="1" type="noConversion"/>
  </si>
  <si>
    <t>一年总花费</t>
    <phoneticPr fontId="1" type="noConversion"/>
  </si>
  <si>
    <t>收益倍率</t>
    <phoneticPr fontId="1" type="noConversion"/>
  </si>
  <si>
    <t>一年总收益</t>
    <phoneticPr fontId="1" type="noConversion"/>
  </si>
  <si>
    <t>产物单价</t>
    <phoneticPr fontId="1" type="noConversion"/>
  </si>
  <si>
    <t>净收入</t>
    <phoneticPr fontId="1" type="noConversion"/>
  </si>
  <si>
    <t>价格</t>
    <phoneticPr fontId="1" type="noConversion"/>
  </si>
  <si>
    <t>价值</t>
    <phoneticPr fontId="1" type="noConversion"/>
  </si>
  <si>
    <t>溢价倍率</t>
    <phoneticPr fontId="1" type="noConversion"/>
  </si>
  <si>
    <t>最终价值</t>
    <phoneticPr fontId="1" type="noConversion"/>
  </si>
  <si>
    <t>价值</t>
    <phoneticPr fontId="1" type="noConversion"/>
  </si>
  <si>
    <t>阳光草帽</t>
    <phoneticPr fontId="1" type="noConversion"/>
  </si>
  <si>
    <t>血腥之矛</t>
  </si>
  <si>
    <t>血腥之矛</t>
    <phoneticPr fontId="1" type="noConversion"/>
  </si>
  <si>
    <t>纯净水</t>
  </si>
  <si>
    <t>铁块</t>
    <phoneticPr fontId="1" type="noConversion"/>
  </si>
  <si>
    <t>布片</t>
    <phoneticPr fontId="1" type="noConversion"/>
  </si>
  <si>
    <t>粘液</t>
    <phoneticPr fontId="1" type="noConversion"/>
  </si>
  <si>
    <t>眼球</t>
    <phoneticPr fontId="1" type="noConversion"/>
  </si>
  <si>
    <t>诅咒宝珠</t>
    <phoneticPr fontId="1" type="noConversion"/>
  </si>
  <si>
    <t>土晶石</t>
    <phoneticPr fontId="1" type="noConversion"/>
  </si>
  <si>
    <t>粘土</t>
    <phoneticPr fontId="1" type="noConversion"/>
  </si>
  <si>
    <t>史莱姆掉落</t>
  </si>
  <si>
    <t>纯净之水</t>
  </si>
  <si>
    <t>抱石溪蛙掉落</t>
  </si>
  <si>
    <t>翼耳兽掉落</t>
  </si>
  <si>
    <t>绿毛龟掉落</t>
  </si>
  <si>
    <t>长颈兽掉落</t>
  </si>
  <si>
    <t>哥布林掉落</t>
  </si>
  <si>
    <t>豺狼哥布林掉落</t>
  </si>
  <si>
    <t>忍者龟掉落</t>
  </si>
  <si>
    <t>史莱克掉落</t>
  </si>
  <si>
    <t>功夫青蛙掉落</t>
  </si>
  <si>
    <t>风之精灵掉落</t>
  </si>
  <si>
    <t>粘液史莱姆掉落</t>
  </si>
  <si>
    <t>岩蚁掉落</t>
  </si>
  <si>
    <t>狼蝠掉落</t>
  </si>
  <si>
    <t>刺猬掉落</t>
  </si>
  <si>
    <t>蜘蛛掉落</t>
  </si>
  <si>
    <t>岩石怪掉落</t>
  </si>
  <si>
    <t>穴居怪掉落</t>
  </si>
  <si>
    <t>地下鱼人掉落</t>
  </si>
  <si>
    <t>蚁王掉落</t>
  </si>
  <si>
    <t>酸味香料</t>
  </si>
  <si>
    <t>石巨人掉落</t>
  </si>
  <si>
    <t>小毒菇掉落</t>
  </si>
  <si>
    <t>枯树精掉落</t>
  </si>
  <si>
    <t>原木</t>
  </si>
  <si>
    <t>邪眼掉落</t>
  </si>
  <si>
    <t>彩虹鸟掉落</t>
  </si>
  <si>
    <t>藤蔓怪掉落</t>
  </si>
  <si>
    <t>鹿掉落</t>
  </si>
  <si>
    <t>蜜蜂掉落</t>
  </si>
  <si>
    <t>幼虎掉落</t>
  </si>
  <si>
    <t>狮蛇兽掉落</t>
  </si>
  <si>
    <t>绿皮怪掉落</t>
  </si>
  <si>
    <t>水母掉落</t>
  </si>
  <si>
    <t>海胆掉落</t>
  </si>
  <si>
    <t>水族掉落</t>
  </si>
  <si>
    <t>海盗鸟掉落</t>
  </si>
  <si>
    <t>火烈鸟掉落</t>
  </si>
  <si>
    <t>寄居蟹掉落</t>
  </si>
  <si>
    <t>蓝鳄掉落</t>
  </si>
  <si>
    <t>水之精灵掉落</t>
  </si>
  <si>
    <t>巨齿鲨掉落</t>
  </si>
  <si>
    <t>螺巨人掉落</t>
  </si>
  <si>
    <t>松鼠掉落</t>
  </si>
  <si>
    <t>貘掉落</t>
  </si>
  <si>
    <t>部落巫医掉落</t>
  </si>
  <si>
    <t>土龙掉落</t>
  </si>
  <si>
    <t>毒蛇掉落</t>
  </si>
  <si>
    <t>大黄蜂掉落</t>
  </si>
  <si>
    <t>食人花掉落</t>
  </si>
  <si>
    <t>大象掉落</t>
  </si>
  <si>
    <t>牛头酋长掉落</t>
  </si>
  <si>
    <t>猪人首领掉落</t>
  </si>
  <si>
    <t>沙漠巨蝎掉落</t>
  </si>
  <si>
    <t>尖叫仙人掌掉落</t>
  </si>
  <si>
    <t>木乃伊掉落</t>
  </si>
  <si>
    <t>牛头恶灵掉落</t>
  </si>
  <si>
    <t>黄金蚂蚁掉落</t>
  </si>
  <si>
    <t>邪法师掉落</t>
  </si>
  <si>
    <t>沙兀鹫掉落</t>
  </si>
  <si>
    <t>小偷掉落</t>
  </si>
  <si>
    <t>宝箱恶魔掉落</t>
  </si>
  <si>
    <t>骷髅战士掉落</t>
  </si>
  <si>
    <t>雪兔掉落</t>
  </si>
  <si>
    <t>幻影猫掉落</t>
  </si>
  <si>
    <t>灰狼掉落</t>
  </si>
  <si>
    <t>雪人掉落</t>
  </si>
  <si>
    <t>雪原熊掉落</t>
  </si>
  <si>
    <t>扭曲僵尸掉落</t>
  </si>
  <si>
    <t>骷髅咒师掉落</t>
  </si>
  <si>
    <t>幽灵掉落</t>
  </si>
  <si>
    <t>巨狼掉落</t>
  </si>
  <si>
    <t>吸血鬼掉落</t>
  </si>
  <si>
    <t>企鹅掉落</t>
  </si>
  <si>
    <t>冰恶魔掉落</t>
  </si>
  <si>
    <t>冰霜史莱姆掉落</t>
  </si>
  <si>
    <t>梦魇掉落</t>
  </si>
  <si>
    <t>寒冬渡鸦掉落</t>
  </si>
  <si>
    <t>魅魔掉落</t>
  </si>
  <si>
    <t>恶魔之眼掉落</t>
  </si>
  <si>
    <t>冰牛怪掉落</t>
  </si>
  <si>
    <t>异鬼掉落</t>
  </si>
  <si>
    <t>死神掉落</t>
  </si>
  <si>
    <t>葱</t>
  </si>
  <si>
    <t>河豚</t>
  </si>
  <si>
    <t>手套蟹</t>
  </si>
  <si>
    <t>蜂蜜</t>
    <phoneticPr fontId="1" type="noConversion"/>
  </si>
  <si>
    <t>鸡蛋</t>
    <phoneticPr fontId="1" type="noConversion"/>
  </si>
  <si>
    <t>兔耳</t>
  </si>
  <si>
    <t>鸭绒</t>
    <phoneticPr fontId="5" type="noConversion"/>
  </si>
  <si>
    <t>母鸡</t>
  </si>
  <si>
    <t>鸭子</t>
  </si>
  <si>
    <t>家兔</t>
  </si>
  <si>
    <t>绵羊</t>
  </si>
  <si>
    <t>猪</t>
  </si>
  <si>
    <t>奶牛</t>
  </si>
  <si>
    <t>马</t>
  </si>
  <si>
    <t>松鼠</t>
  </si>
  <si>
    <t>野兔</t>
  </si>
  <si>
    <t>火烈鸟</t>
  </si>
  <si>
    <t>鹿</t>
  </si>
  <si>
    <t>刺猬</t>
  </si>
  <si>
    <t>大象</t>
  </si>
  <si>
    <t>企鹅</t>
  </si>
  <si>
    <t>袋鼠</t>
  </si>
  <si>
    <t>鸭绒</t>
    <phoneticPr fontId="5" type="noConversion"/>
  </si>
  <si>
    <t>鸡蛋</t>
    <phoneticPr fontId="5" type="noConversion"/>
  </si>
  <si>
    <t>猪肉</t>
    <phoneticPr fontId="5" type="noConversion"/>
  </si>
  <si>
    <t>牛奶</t>
    <phoneticPr fontId="5" type="noConversion"/>
  </si>
  <si>
    <t>马尾</t>
    <phoneticPr fontId="5" type="noConversion"/>
  </si>
  <si>
    <t>兽皮</t>
    <phoneticPr fontId="5" type="noConversion"/>
  </si>
  <si>
    <t>松果</t>
    <phoneticPr fontId="5" type="noConversion"/>
  </si>
  <si>
    <t>魔兽皮毛</t>
    <phoneticPr fontId="1" type="noConversion"/>
  </si>
  <si>
    <t>鹿角</t>
    <phoneticPr fontId="5" type="noConversion"/>
  </si>
  <si>
    <t>羊毛</t>
    <phoneticPr fontId="5" type="noConversion"/>
  </si>
  <si>
    <t>象牙</t>
    <phoneticPr fontId="5" type="noConversion"/>
  </si>
  <si>
    <t>尖刺</t>
    <phoneticPr fontId="5" type="noConversion"/>
  </si>
  <si>
    <t>凉茶</t>
    <phoneticPr fontId="1" type="noConversion"/>
  </si>
  <si>
    <t>大麦</t>
    <phoneticPr fontId="1" type="noConversion"/>
  </si>
  <si>
    <t>桃花鱼</t>
  </si>
  <si>
    <t>水母</t>
  </si>
  <si>
    <t>章鱼</t>
    <phoneticPr fontId="5" type="noConversion"/>
  </si>
  <si>
    <t>龙虾鱼子酱</t>
    <phoneticPr fontId="1" type="noConversion"/>
  </si>
  <si>
    <t>价格</t>
    <phoneticPr fontId="1" type="noConversion"/>
  </si>
  <si>
    <t>调整差额</t>
    <phoneticPr fontId="1" type="noConversion"/>
  </si>
  <si>
    <t>调整系数</t>
    <phoneticPr fontId="1" type="noConversion"/>
  </si>
  <si>
    <t>最终价格</t>
    <phoneticPr fontId="1" type="noConversion"/>
  </si>
  <si>
    <t>凉茶</t>
    <phoneticPr fontId="1" type="noConversion"/>
  </si>
  <si>
    <t>黄油</t>
    <phoneticPr fontId="1" type="noConversion"/>
  </si>
  <si>
    <t>木棒</t>
    <phoneticPr fontId="1" type="noConversion"/>
  </si>
  <si>
    <t>纯净水</t>
    <phoneticPr fontId="1" type="noConversion"/>
  </si>
  <si>
    <t>迷幻孢子</t>
    <phoneticPr fontId="1" type="noConversion"/>
  </si>
  <si>
    <t>未知的食物配方</t>
    <phoneticPr fontId="1" type="noConversion"/>
  </si>
  <si>
    <t>未知的酒水配方</t>
  </si>
  <si>
    <t>未知的铸造配方</t>
  </si>
  <si>
    <t>未知的缝纫配方</t>
  </si>
  <si>
    <t>未知的书写配方</t>
  </si>
  <si>
    <t>常见的建造材料</t>
    <phoneticPr fontId="1" type="noConversion"/>
  </si>
  <si>
    <t>未加工过的原始木料</t>
    <phoneticPr fontId="1" type="noConversion"/>
  </si>
  <si>
    <t>细小的碎木条,除了做燃料似乎没有什么用处</t>
    <phoneticPr fontId="1" type="noConversion"/>
  </si>
  <si>
    <t>细长结实的木制棍棒,很适合握持</t>
    <phoneticPr fontId="1" type="noConversion"/>
  </si>
  <si>
    <t>廉价的建筑材料</t>
    <phoneticPr fontId="1" type="noConversion"/>
  </si>
  <si>
    <t>牧草</t>
  </si>
  <si>
    <t>各地普遍培植的常见叶菜。</t>
  </si>
  <si>
    <t>能结出巨大果实的蔬菜</t>
  </si>
  <si>
    <t>生吃和料理都是非常美味哦。</t>
  </si>
  <si>
    <t>能够结出可爱的红色果实。</t>
  </si>
  <si>
    <t>可以制作成各种料理的万能蔬菜。</t>
  </si>
  <si>
    <t>富含能量的根茎作物。</t>
  </si>
  <si>
    <t>营养丰富的根。</t>
  </si>
  <si>
    <t>适合制作腌菜的作物。</t>
  </si>
  <si>
    <t>辛辣与甘甜完美结合的蔬菜。</t>
  </si>
  <si>
    <t>好看又好吃的蔬菜。</t>
  </si>
  <si>
    <t>夏季代表性水果。</t>
  </si>
  <si>
    <t>美味的灌木小浆果</t>
  </si>
  <si>
    <t>重要的料理佐料。</t>
  </si>
  <si>
    <t>常见的调味佐料。</t>
  </si>
  <si>
    <t>高营养价值的浆果</t>
  </si>
  <si>
    <t>使用蛇皮制成的普通鞭子。</t>
  </si>
  <si>
    <t>使用荆棘编织的坚韧鞭子。</t>
  </si>
  <si>
    <t>最普通的布制衣物。</t>
  </si>
  <si>
    <t>使用皮革制成的初级铠甲。</t>
  </si>
  <si>
    <t>使用金属编织而成的具有良好防御力的铠甲。</t>
  </si>
  <si>
    <t>拥有很好的保暖效果。</t>
  </si>
  <si>
    <t>使用整块铁板锻造而成。</t>
  </si>
  <si>
    <t>使用龙鳞制成的顶级铠甲。</t>
  </si>
  <si>
    <t>魅力十足的衣物。</t>
  </si>
  <si>
    <t>使用坚硬的甲壳制成的铠甲。</t>
  </si>
  <si>
    <t>拥有暗之力的法袍。</t>
  </si>
  <si>
    <t>穿上的人拥有极强的速度。</t>
  </si>
  <si>
    <t>篆刻有魔法符文的铠甲。</t>
  </si>
  <si>
    <t>轻柔的魔法长袍。</t>
  </si>
  <si>
    <t>使用水之力进行防御的衣物。</t>
  </si>
  <si>
    <t>不含杂质的水,用来煮汤最合适了</t>
    <phoneticPr fontId="1" type="noConversion"/>
  </si>
  <si>
    <t>一个平平无奇的石块.可以用来垒墙</t>
    <phoneticPr fontId="1" type="noConversion"/>
  </si>
  <si>
    <t>坚固的龟类甲壳,很好的防御材料</t>
    <phoneticPr fontId="1" type="noConversion"/>
  </si>
  <si>
    <t>纯净的碎砂,有很多用处</t>
    <phoneticPr fontId="1" type="noConversion"/>
  </si>
  <si>
    <t>常见的野生植物,对身体有很多好处</t>
    <phoneticPr fontId="1" type="noConversion"/>
  </si>
  <si>
    <t>风元素聚焦的晶石</t>
    <phoneticPr fontId="1" type="noConversion"/>
  </si>
  <si>
    <t>蕴含着奇怪能量的宝石</t>
    <phoneticPr fontId="1" type="noConversion"/>
  </si>
  <si>
    <t>常见的材料,一些武器的制作却离不开它</t>
    <phoneticPr fontId="1" type="noConversion"/>
  </si>
  <si>
    <t>刺猬身上的尖利的刺,小心扎破你的手</t>
    <phoneticPr fontId="1" type="noConversion"/>
  </si>
  <si>
    <t>富含铁元素的矿石</t>
    <phoneticPr fontId="1" type="noConversion"/>
  </si>
  <si>
    <t>富含食盐的结晶体</t>
    <phoneticPr fontId="1" type="noConversion"/>
  </si>
  <si>
    <t>放在水里会生出很多泡沫</t>
    <phoneticPr fontId="1" type="noConversion"/>
  </si>
  <si>
    <t>富含土元素的矿石</t>
    <phoneticPr fontId="1" type="noConversion"/>
  </si>
  <si>
    <t>会让人产生幻觉的蘑菇</t>
    <phoneticPr fontId="1" type="noConversion"/>
  </si>
  <si>
    <t>藤蔓植物坚韧的茎。</t>
    <phoneticPr fontId="1" type="noConversion"/>
  </si>
  <si>
    <t>鹿类动物脱落的角</t>
    <phoneticPr fontId="1" type="noConversion"/>
  </si>
  <si>
    <t>内壁吸附大量电荷的玻璃瓶</t>
    <phoneticPr fontId="1" type="noConversion"/>
  </si>
  <si>
    <t>外壳有很多坚硬的刺</t>
    <phoneticPr fontId="1" type="noConversion"/>
  </si>
  <si>
    <t>富含火元素的矿石</t>
    <phoneticPr fontId="1" type="noConversion"/>
  </si>
  <si>
    <t>普通的空玻璃瓶</t>
    <phoneticPr fontId="1" type="noConversion"/>
  </si>
  <si>
    <t>纯净的晶石,可以被灌输其他元素</t>
    <phoneticPr fontId="1" type="noConversion"/>
  </si>
  <si>
    <t>水生贝类生产的珍贵物品</t>
    <phoneticPr fontId="1" type="noConversion"/>
  </si>
  <si>
    <t>具有奇特香味的松树果实</t>
    <phoneticPr fontId="1" type="noConversion"/>
  </si>
  <si>
    <t>拥有奇特力量的泥浆</t>
    <phoneticPr fontId="1" type="noConversion"/>
  </si>
  <si>
    <t>大象脱落的长牙</t>
    <phoneticPr fontId="1" type="noConversion"/>
  </si>
  <si>
    <t>沙漠地带常见的植物,表面有刺,不要用手触摸哟</t>
    <phoneticPr fontId="1" type="noConversion"/>
  </si>
  <si>
    <t>亡者使用过的肮脏的绷带</t>
    <phoneticPr fontId="1" type="noConversion"/>
  </si>
  <si>
    <t>不知名年代铸造的硬币</t>
    <phoneticPr fontId="1" type="noConversion"/>
  </si>
  <si>
    <t>布满锈迹,似乎是从某块木板上拆下来的</t>
    <phoneticPr fontId="1" type="noConversion"/>
  </si>
  <si>
    <t>亡者遗落的骨头</t>
    <phoneticPr fontId="1" type="noConversion"/>
  </si>
  <si>
    <t>森林妖精身上掉落的粉末,闪烁着奇怪的光</t>
    <phoneticPr fontId="1" type="noConversion"/>
  </si>
  <si>
    <t>有毒沼泽中挖出的淤泥</t>
    <phoneticPr fontId="1" type="noConversion"/>
  </si>
  <si>
    <t>咒术法师制作的未知药水</t>
    <phoneticPr fontId="1" type="noConversion"/>
  </si>
  <si>
    <t>据说拥有诅咒之力的宝珠</t>
    <phoneticPr fontId="1" type="noConversion"/>
  </si>
  <si>
    <t>狼人身上的氏族徽章</t>
    <phoneticPr fontId="1" type="noConversion"/>
  </si>
  <si>
    <t>富含冰元素的晶石</t>
    <phoneticPr fontId="1" type="noConversion"/>
  </si>
  <si>
    <t>纯净的水凝结成的冰</t>
    <phoneticPr fontId="1" type="noConversion"/>
  </si>
  <si>
    <t>漆黑的帷幕碎片</t>
    <phoneticPr fontId="1" type="noConversion"/>
  </si>
  <si>
    <t>未知材质的宝石,闪烁着星光</t>
    <phoneticPr fontId="1" type="noConversion"/>
  </si>
  <si>
    <t>冰牛怪的角,寒气逼人</t>
    <phoneticPr fontId="1" type="noConversion"/>
  </si>
  <si>
    <t>一团纯净的寒气凝聚不散</t>
    <phoneticPr fontId="1" type="noConversion"/>
  </si>
  <si>
    <t>一团燃烧着的火焰,却没有温暖散发</t>
    <phoneticPr fontId="1" type="noConversion"/>
  </si>
  <si>
    <t>可以折射元素的水晶</t>
    <phoneticPr fontId="1" type="noConversion"/>
  </si>
  <si>
    <t>将两颗宝珠放在一起,会有雷声传出</t>
    <phoneticPr fontId="1" type="noConversion"/>
  </si>
  <si>
    <t>使用各种野兽的皮加工而成的制衣材料</t>
    <phoneticPr fontId="1" type="noConversion"/>
  </si>
  <si>
    <t>自然拥有各种色彩的布料</t>
    <phoneticPr fontId="1" type="noConversion"/>
  </si>
  <si>
    <t>爬行动物身上掉落的坚硬鳞片</t>
    <phoneticPr fontId="1" type="noConversion"/>
  </si>
  <si>
    <t>一个来自古老骑士家族的徽章</t>
    <phoneticPr fontId="1" type="noConversion"/>
  </si>
  <si>
    <t>制作衣物的基础材料</t>
    <phoneticPr fontId="1" type="noConversion"/>
  </si>
  <si>
    <t>有极强的胶合作用的液体</t>
    <phoneticPr fontId="1" type="noConversion"/>
  </si>
  <si>
    <t>没落贵族的家庭徽章</t>
    <phoneticPr fontId="1" type="noConversion"/>
  </si>
  <si>
    <t>没人知道武道的极致是什么</t>
    <phoneticPr fontId="1" type="noConversion"/>
  </si>
  <si>
    <t>是贤者成就了晶石,还是晶石成就了贤者？</t>
    <phoneticPr fontId="1" type="noConversion"/>
  </si>
  <si>
    <t>可以防水的皮质材料</t>
    <phoneticPr fontId="1" type="noConversion"/>
  </si>
  <si>
    <t>易燃的矿物</t>
    <phoneticPr fontId="1" type="noConversion"/>
  </si>
  <si>
    <t>封存着阳光的结晶矿物</t>
    <phoneticPr fontId="1" type="noConversion"/>
  </si>
  <si>
    <t>富含魔力的土壤</t>
    <phoneticPr fontId="1" type="noConversion"/>
  </si>
  <si>
    <t>迷幻蘑菇的孢子</t>
    <phoneticPr fontId="1" type="noConversion"/>
  </si>
  <si>
    <t>可以增强食用者力量的果实</t>
    <phoneticPr fontId="1" type="noConversion"/>
  </si>
  <si>
    <t>食人花的花瓣</t>
    <phoneticPr fontId="1" type="noConversion"/>
  </si>
  <si>
    <t>月光的结晶</t>
    <phoneticPr fontId="1" type="noConversion"/>
  </si>
  <si>
    <t>一种易燃的树木分泌的汁液</t>
    <phoneticPr fontId="1" type="noConversion"/>
  </si>
  <si>
    <t>在暗夜凝结的露水</t>
    <phoneticPr fontId="1" type="noConversion"/>
  </si>
  <si>
    <t>可以魅惑其他生物的药水</t>
    <phoneticPr fontId="1" type="noConversion"/>
  </si>
  <si>
    <t>兽人部落用来发令集结的号角</t>
    <phoneticPr fontId="1" type="noConversion"/>
  </si>
  <si>
    <t>一个没有描绘的空卷轴</t>
    <phoneticPr fontId="1" type="noConversion"/>
  </si>
  <si>
    <t>燃烧时没有烟的炭,常用来冶炼</t>
    <phoneticPr fontId="1" type="noConversion"/>
  </si>
  <si>
    <t>普通的铸铁块</t>
    <phoneticPr fontId="1" type="noConversion"/>
  </si>
  <si>
    <t>虽然很臭,但也有很多用处</t>
    <phoneticPr fontId="1" type="noConversion"/>
  </si>
  <si>
    <t>柔软而保暖的绒毛</t>
    <phoneticPr fontId="1" type="noConversion"/>
  </si>
  <si>
    <t>兔子脱落的脚</t>
    <phoneticPr fontId="1" type="noConversion"/>
  </si>
  <si>
    <t>常见的调味蔬菜</t>
  </si>
  <si>
    <t>常见的调味蔬菜</t>
    <phoneticPr fontId="1" type="noConversion"/>
  </si>
  <si>
    <t>西兰花</t>
    <phoneticPr fontId="1" type="noConversion"/>
  </si>
  <si>
    <t>适合搭配肉食的蔬菜</t>
  </si>
  <si>
    <t>适合搭配肉食的蔬菜</t>
    <phoneticPr fontId="1" type="noConversion"/>
  </si>
  <si>
    <t>水分和糖分都很足的水果</t>
  </si>
  <si>
    <t>水分和糖分都很足的水果</t>
    <phoneticPr fontId="1" type="noConversion"/>
  </si>
  <si>
    <t>外表不起眼，却出人意料美味的水果</t>
  </si>
  <si>
    <t>外表不起眼，却出人意料美味的水果</t>
    <phoneticPr fontId="1" type="noConversion"/>
  </si>
  <si>
    <t>适合煮汤的豆子</t>
  </si>
  <si>
    <t>适合煮汤的豆子</t>
    <phoneticPr fontId="1" type="noConversion"/>
  </si>
  <si>
    <t>芦笋</t>
    <phoneticPr fontId="1" type="noConversion"/>
  </si>
  <si>
    <t>味道很好的嫩芽</t>
  </si>
  <si>
    <t>味道很好的嫩芽</t>
    <phoneticPr fontId="1" type="noConversion"/>
  </si>
  <si>
    <t>用途很广的作物</t>
  </si>
  <si>
    <t>用途很广的作物</t>
    <phoneticPr fontId="1" type="noConversion"/>
  </si>
  <si>
    <t>酿造啤酒时必不可少的材料</t>
  </si>
  <si>
    <t>酿造啤酒时必不可少的材料</t>
    <phoneticPr fontId="1" type="noConversion"/>
  </si>
  <si>
    <t>酸甜可口的水果</t>
  </si>
  <si>
    <t>酸甜可口的水果</t>
    <phoneticPr fontId="1" type="noConversion"/>
  </si>
  <si>
    <t>一种神奇的种子,可以制成饮料</t>
  </si>
  <si>
    <t>一种神奇的种子,可以制成饮料</t>
    <phoneticPr fontId="1" type="noConversion"/>
  </si>
  <si>
    <t>产量很高的甘甜的根</t>
  </si>
  <si>
    <t>产量很高的甘甜的根</t>
    <phoneticPr fontId="1" type="noConversion"/>
  </si>
  <si>
    <t>富含糖分的神奇作物</t>
  </si>
  <si>
    <t>富含糖分的神奇作物</t>
    <phoneticPr fontId="1" type="noConversion"/>
  </si>
  <si>
    <t>一种高产的粮食作物</t>
  </si>
  <si>
    <t>一种高产的粮食作物</t>
    <phoneticPr fontId="1" type="noConversion"/>
  </si>
  <si>
    <t>拥有诅咒之力的剑,可以发动[诅咒猎杀]技能</t>
    <phoneticPr fontId="1" type="noConversion"/>
  </si>
  <si>
    <t>拥有火之力的剑,可以发动[烈焰斩]技能</t>
    <phoneticPr fontId="1" type="noConversion"/>
  </si>
  <si>
    <t>拥有大地之力的剑,可以发动[地刺]技能</t>
    <phoneticPr fontId="1" type="noConversion"/>
  </si>
  <si>
    <t>拥有冰之力的剑,可以发动[寒冰斩]技能</t>
    <phoneticPr fontId="1" type="noConversion"/>
  </si>
  <si>
    <t>具有强大杀伤力的长枪,可以发动[血腥囚笼]技能</t>
    <phoneticPr fontId="1" type="noConversion"/>
  </si>
  <si>
    <t>骑士常用的长枪,可以发动[骑士冲击]技能</t>
    <phoneticPr fontId="1" type="noConversion"/>
  </si>
  <si>
    <t>有三个枪头的武器,可以发动[龙卷风]技能</t>
    <phoneticPr fontId="1" type="noConversion"/>
  </si>
  <si>
    <t>技巧简单但威力强大的武器。</t>
    <phoneticPr fontId="1" type="noConversion"/>
  </si>
  <si>
    <t>可以轻松撕裂坚固的铠甲,可以发动[剧毒风暴]技能</t>
    <phoneticPr fontId="1" type="noConversion"/>
  </si>
  <si>
    <t>连恶魔都畏惧的武器,可以发动[恶魔幻影]技能</t>
    <phoneticPr fontId="1" type="noConversion"/>
  </si>
  <si>
    <t>女王常用的鞭子,可以发动[女王之春]技能</t>
    <phoneticPr fontId="1" type="noConversion"/>
  </si>
  <si>
    <t>挥舞起来威力强大,可以发动[暴风雪]技能</t>
    <phoneticPr fontId="1" type="noConversion"/>
  </si>
  <si>
    <t>使用秘银制作的宝剑,可以发动[奇迹斩]技能</t>
    <phoneticPr fontId="1" type="noConversion"/>
  </si>
  <si>
    <t>可以快速攻击的长枪,可以发动[幻影突刺]技能</t>
    <phoneticPr fontId="1" type="noConversion"/>
  </si>
  <si>
    <t>拥有雷霆之力的鞭子,可以发动[雷暴]技能</t>
    <phoneticPr fontId="1" type="noConversion"/>
  </si>
  <si>
    <t>拥有死亡之力的鞭子,可以发动[幽冥黑洞]技能</t>
    <phoneticPr fontId="1" type="noConversion"/>
  </si>
  <si>
    <t>使用龟甲制作的高防御的笨重铠甲</t>
    <phoneticPr fontId="1" type="noConversion"/>
  </si>
  <si>
    <t>不仅能防御敌人的攻击,还能提高自身的战斗力</t>
    <phoneticPr fontId="1" type="noConversion"/>
  </si>
  <si>
    <t>被灌输了魔力的贵族衣物</t>
    <phoneticPr fontId="1" type="noConversion"/>
  </si>
  <si>
    <t>据说穿上的人都会交到好运</t>
    <phoneticPr fontId="1" type="noConversion"/>
  </si>
  <si>
    <t>普通的布制鞋子</t>
    <phoneticPr fontId="1" type="noConversion"/>
  </si>
  <si>
    <t>坚固的鞋子,有一定的防御能力</t>
    <phoneticPr fontId="1" type="noConversion"/>
  </si>
  <si>
    <t>适合战斗的军队制式靴子</t>
    <phoneticPr fontId="1" type="noConversion"/>
  </si>
  <si>
    <t>在崎岖地形上也能健步如飞</t>
    <phoneticPr fontId="1" type="noConversion"/>
  </si>
  <si>
    <t>适合运动的鞋子</t>
    <phoneticPr fontId="1" type="noConversion"/>
  </si>
  <si>
    <t>贵族穿的华丽长靴</t>
    <phoneticPr fontId="1" type="noConversion"/>
  </si>
  <si>
    <t>可以增加战斗力的武者之鞋</t>
    <phoneticPr fontId="1" type="noConversion"/>
  </si>
  <si>
    <t>骑士用来保护腿部的靴子</t>
    <phoneticPr fontId="1" type="noConversion"/>
  </si>
  <si>
    <t>传送中的贤者遗留下的鞋子</t>
    <phoneticPr fontId="1" type="noConversion"/>
  </si>
  <si>
    <t>获得风神赐福的鞋子</t>
    <phoneticPr fontId="1" type="noConversion"/>
  </si>
  <si>
    <t>特制的保护脚部的靴子</t>
    <phoneticPr fontId="1" type="noConversion"/>
  </si>
  <si>
    <t>普通的稻草编制的帽子</t>
    <phoneticPr fontId="1" type="noConversion"/>
  </si>
  <si>
    <t>可以保护阳光直射的草帽</t>
    <phoneticPr fontId="1" type="noConversion"/>
  </si>
  <si>
    <t>法师常戴的帽子</t>
    <phoneticPr fontId="1" type="noConversion"/>
  </si>
  <si>
    <t>军队的制式头盔</t>
    <phoneticPr fontId="1" type="noConversion"/>
  </si>
  <si>
    <t>尖尖的角也可以用来攻击的头盔</t>
    <phoneticPr fontId="1" type="noConversion"/>
  </si>
  <si>
    <t>可以代理好运的头巾</t>
    <phoneticPr fontId="1" type="noConversion"/>
  </si>
  <si>
    <t>舞会上常见的礼帽</t>
    <phoneticPr fontId="1" type="noConversion"/>
  </si>
  <si>
    <t>被灌输了魔力的头巾</t>
    <phoneticPr fontId="1" type="noConversion"/>
  </si>
  <si>
    <t>只有战斗精英才能使用的头盔</t>
    <phoneticPr fontId="1" type="noConversion"/>
  </si>
  <si>
    <t>一种常见的淡水鱼类，很适合用来煮汤</t>
    <phoneticPr fontId="1" type="noConversion"/>
  </si>
  <si>
    <t>鲮鱼</t>
    <phoneticPr fontId="1" type="noConversion"/>
  </si>
  <si>
    <t>小龙虾</t>
    <phoneticPr fontId="1" type="noConversion"/>
  </si>
  <si>
    <t>生活于河沟泥沼间，虾肉鲜弹，微微甜意伴清香。</t>
  </si>
  <si>
    <t>活跃于湖泊池塘，其肉口感筋道，有淡淡水草香。</t>
  </si>
  <si>
    <t>栖息在水底暗处，体表黏滑，味道浓郁厚重。</t>
  </si>
  <si>
    <t>在池水中嬉戏，色彩缤纷，游时如彩锦流动。</t>
  </si>
  <si>
    <t>于清澈溪流疾行，身形纤细，游姿灵动如箭。</t>
  </si>
  <si>
    <t>体态圆润，行动迟缓呆萌，如水中滚动的可爱肉球。</t>
  </si>
  <si>
    <t>在近海岩礁附近巡游，鱼肉甜美仿佛大海温柔的抚摸。</t>
  </si>
  <si>
    <t>色彩绚丽，群游如星芒闪烁，是水中梦幻的霓虹派对。</t>
  </si>
  <si>
    <t>在海洋中奋力洄游，身姿强壮，其味鲜美浓郁。</t>
  </si>
  <si>
    <t>尾巴似扇，游姿婀娜多姿，如穿着华服走秀的模特。</t>
  </si>
  <si>
    <t>身形修长，游时气势磅礴，仿若银色蛟龙驰骋沧海。</t>
  </si>
  <si>
    <t>银光闪闪，游速飞快如箭，是大海表面灵动的银色风暴。</t>
  </si>
  <si>
    <t>身体扁平，活力满满，其味鲜美像海风携来的海味馈赠。</t>
  </si>
  <si>
    <t>常潜藏于海洞礁石，身形蜿蜒，游动鬼魅。</t>
  </si>
  <si>
    <t>章鱼在海底沙地或岩礁，八爪舞动，变化多端。</t>
  </si>
  <si>
    <t>贴于海底缓缓挪，肉质鲜嫩是海底生活的美味沉淀。</t>
  </si>
  <si>
    <t>味道鲜美独特，是危险与美味并存的精灵。</t>
  </si>
  <si>
    <t>在近岸礁石区域游，外形硬朗，游姿沉稳，味道鲜美。</t>
  </si>
  <si>
    <t>色泽艳丽，游态热情，鱼肉鲜美似珊瑚海的热情拥抱。</t>
  </si>
  <si>
    <t>外壳湛蓝，蟹肉鲜甜，是海滩边蓝色的美味宝藏。</t>
  </si>
  <si>
    <t>色彩多变，游姿潇洒，肉质紧实像热带阳光般热烈。</t>
  </si>
  <si>
    <t>身披红甲，虾肉弹牙，是深海王者般的美味珍馐。</t>
  </si>
  <si>
    <t>体型巨大，肉质鲜嫩，是海洋深处的速度与美味传奇。</t>
  </si>
  <si>
    <t>条纹醒目，鳍刺张扬，水中骄傲的时尚先锋</t>
  </si>
  <si>
    <t>散发淡淡稻香，软糯口感，是饱腹的基础主食。</t>
    <phoneticPr fontId="1" type="noConversion"/>
  </si>
  <si>
    <t>神奇的粉末，能赋予酿造的独特魅力。</t>
    <phoneticPr fontId="1" type="noConversion"/>
  </si>
  <si>
    <t>烹饪中不可或缺的调味关键。</t>
    <phoneticPr fontId="1" type="noConversion"/>
  </si>
  <si>
    <t>清新酸爽，为菜肴注入活力。</t>
    <phoneticPr fontId="1" type="noConversion"/>
  </si>
  <si>
    <t>流淌着自然甜香，甜蜜滋味令人心醉。</t>
    <phoneticPr fontId="1" type="noConversion"/>
  </si>
  <si>
    <t>富含营养，口感醇厚丝滑，适合多种烹饪。</t>
    <phoneticPr fontId="1" type="noConversion"/>
  </si>
  <si>
    <t>圆润晶莹，是厨房中万能的美味担当。</t>
    <phoneticPr fontId="1" type="noConversion"/>
  </si>
  <si>
    <t>能变幻出多样风味，满足众多食客的需求。</t>
    <phoneticPr fontId="1" type="noConversion"/>
  </si>
  <si>
    <t>麦类的粉末，经巧手加工，成为各种形状，承载丰富口感。</t>
    <phoneticPr fontId="1" type="noConversion"/>
  </si>
  <si>
    <t>咖啡粉散发浓郁醇香，冲泡后苦涩与香醇交织。</t>
    <phoneticPr fontId="1" type="noConversion"/>
  </si>
  <si>
    <t>酥脆可口，常作零食或包裹食材，增添别样风味。</t>
    <phoneticPr fontId="1" type="noConversion"/>
  </si>
  <si>
    <t>黄油色泽金黄，质地柔软，赋予食物奢华口感。</t>
    <phoneticPr fontId="1" type="noConversion"/>
  </si>
  <si>
    <t>咸酸适度，爽脆开胃，为餐桌增添一份独特的风味刺激。</t>
    <phoneticPr fontId="1" type="noConversion"/>
  </si>
  <si>
    <t>新鲜脆爽，多种蔬菜汇聚，轻食之选，健康与美味并存。</t>
    <phoneticPr fontId="1" type="noConversion"/>
  </si>
  <si>
    <t>层次丰富，夹裹各种食材，是快捷美味的饱腹佳肴。</t>
    <phoneticPr fontId="1" type="noConversion"/>
  </si>
  <si>
    <t>口感清脆，酸辣开胃，一口下去嘎嘣响，是佐餐小菜中的经典之选。</t>
    <phoneticPr fontId="1" type="noConversion"/>
  </si>
  <si>
    <t>劲道有嚼劲，搭配浓郁汤头，一碗下肚满足又温暖。</t>
    <phoneticPr fontId="1" type="noConversion"/>
  </si>
  <si>
    <t>松软香甜，散发诱人香气，口感细腻似云朵。</t>
    <phoneticPr fontId="1" type="noConversion"/>
  </si>
  <si>
    <t>铺陈丰富馅料，是分享欢乐的美食。</t>
    <phoneticPr fontId="1" type="noConversion"/>
  </si>
  <si>
    <t>酸咸滋味，清爽可口，是解腻增味的爽口小菜。</t>
    <phoneticPr fontId="1" type="noConversion"/>
  </si>
  <si>
    <t>表面微焦，内部鲜嫩，独特的烤制风味别具一格。</t>
    <phoneticPr fontId="1" type="noConversion"/>
  </si>
  <si>
    <t>蛋白嫩滑，蛋黄绵密，简单纯粹，是优质的餐食。</t>
    <phoneticPr fontId="1" type="noConversion"/>
  </si>
  <si>
    <t>肉香四溢，香料加持，一串在手，感受热辣鲜香的诱惑。</t>
    <phoneticPr fontId="1" type="noConversion"/>
  </si>
  <si>
    <t>便携饱腹，带着家的温暖与手作的心意。</t>
    <phoneticPr fontId="1" type="noConversion"/>
  </si>
  <si>
    <t>口感松软，麦香四溢的日常美食。</t>
    <phoneticPr fontId="1" type="noConversion"/>
  </si>
  <si>
    <t>质地酥脆，咬一口满是大海的鲜香韵味。</t>
    <phoneticPr fontId="1" type="noConversion"/>
  </si>
  <si>
    <t>煎烤后外皮微焦，内部多汁，散发浓郁肉香诱惑。</t>
    <phoneticPr fontId="1" type="noConversion"/>
  </si>
  <si>
    <t>层层叠叠，肉饼、蔬菜、酱料搭配，大口咬下，多种口感在舌尖碰撞。</t>
    <phoneticPr fontId="1" type="noConversion"/>
  </si>
  <si>
    <t>辣味刺激，蟹肉鲜美，带来独特热辣的海鲜风味体验。</t>
    <phoneticPr fontId="1" type="noConversion"/>
  </si>
  <si>
    <t>细腻绵滑，口感软糯，老少皆宜的美味佳肴。</t>
    <phoneticPr fontId="1" type="noConversion"/>
  </si>
  <si>
    <t>汇聚各类海鲜，吸收海鲜精华，鲜香浓郁，尽显海洋风味。</t>
    <phoneticPr fontId="1" type="noConversion"/>
  </si>
  <si>
    <t>外表金黄，颗粒饱满，散发着焦香与甜香</t>
    <phoneticPr fontId="1" type="noConversion"/>
  </si>
  <si>
    <t>融合多种蔬菜营养，色泽鲜艳，清爽可口。</t>
    <phoneticPr fontId="1" type="noConversion"/>
  </si>
  <si>
    <t>鲜红清甜，夏日消暑的绝佳饮品。</t>
    <phoneticPr fontId="1" type="noConversion"/>
  </si>
  <si>
    <t>酸涩中带甜，是健康又独特的果汁选择。</t>
    <phoneticPr fontId="1" type="noConversion"/>
  </si>
  <si>
    <t>浓郁果香，口感醇厚，仿佛将整串葡萄的精华浓缩。</t>
    <phoneticPr fontId="1" type="noConversion"/>
  </si>
  <si>
    <t>酸甜爽口，带有菠萝的独特果香，刺激味蕾。</t>
    <phoneticPr fontId="1" type="noConversion"/>
  </si>
  <si>
    <t>甜香浓郁，口感清新，充满少女心的甜蜜滋味。</t>
    <phoneticPr fontId="1" type="noConversion"/>
  </si>
  <si>
    <t>深邃紫蓝，酸甜适度，是健康美味的饮品。</t>
    <phoneticPr fontId="1" type="noConversion"/>
  </si>
  <si>
    <t>金黄浓稠，温润顺滑，满满都是谷物的自然芬芳。</t>
    <phoneticPr fontId="1" type="noConversion"/>
  </si>
  <si>
    <t>薯表皮微焦，内部软糯香甜，热气腾腾。</t>
    <phoneticPr fontId="1" type="noConversion"/>
  </si>
  <si>
    <t>甜中带土腥味，独特口感，别具一格的营养饮品。</t>
    <phoneticPr fontId="1" type="noConversion"/>
  </si>
  <si>
    <t>奶香浓郁，可搭配多种食物，增添醇厚风味。</t>
    <phoneticPr fontId="1" type="noConversion"/>
  </si>
  <si>
    <t>外皮焦香，内部绵软，风味独特，令人回味。</t>
    <phoneticPr fontId="1" type="noConversion"/>
  </si>
  <si>
    <t>形状精巧，馅料丰富，饱含家的味道。</t>
    <phoneticPr fontId="1" type="noConversion"/>
  </si>
  <si>
    <t>汤汁浓郁，相互交融，温暖又满足的家常佳肴。</t>
    <phoneticPr fontId="1" type="noConversion"/>
  </si>
  <si>
    <t>表面微焦香脆，清新口感，健康美味的配菜之选。</t>
    <phoneticPr fontId="1" type="noConversion"/>
  </si>
  <si>
    <t>甜菜根赋予独特颜色与风味，酸甜开胃。</t>
    <phoneticPr fontId="1" type="noConversion"/>
  </si>
  <si>
    <t>豌豆的清香与绵密口感，营养丰富，暖身又饱腹。</t>
    <phoneticPr fontId="1" type="noConversion"/>
  </si>
  <si>
    <t>草莓的甜与牛奶的香融合，口感香甜，少女最爱。</t>
    <phoneticPr fontId="1" type="noConversion"/>
  </si>
  <si>
    <t>混合多种莓果，酸甜丰富，果香四溢的美味饮品。</t>
    <phoneticPr fontId="1" type="noConversion"/>
  </si>
  <si>
    <t>鲑鱼的鲜美融入其中，方便美味的便携餐。</t>
    <phoneticPr fontId="1" type="noConversion"/>
  </si>
  <si>
    <t>咖啡香与奶香平衡，口感丝滑。</t>
    <phoneticPr fontId="1" type="noConversion"/>
  </si>
  <si>
    <t>纯粹苦涩，香气浓郁，提神醒脑。</t>
    <phoneticPr fontId="1" type="noConversion"/>
  </si>
  <si>
    <t>果香与酒香交织，品味时光沉淀的香醇。</t>
    <phoneticPr fontId="1" type="noConversion"/>
  </si>
  <si>
    <t>纯净透明，口感浓烈。</t>
    <phoneticPr fontId="1" type="noConversion"/>
  </si>
  <si>
    <t>泡沫丰富，麦芽香与啤酒花味，清爽解渴。</t>
    <phoneticPr fontId="1" type="noConversion"/>
  </si>
  <si>
    <t>带有甘蔗甜香，散发热带风情的烈酒。</t>
    <phoneticPr fontId="1" type="noConversion"/>
  </si>
  <si>
    <t>有独特风味，似有野蜂的灵动与自然的清新。</t>
    <phoneticPr fontId="1" type="noConversion"/>
  </si>
  <si>
    <t>融合两种莓果风味，果香浓郁。</t>
    <phoneticPr fontId="1" type="noConversion"/>
  </si>
  <si>
    <t>色泽绯红，口感独特，似有神秘而诱人的滋味。</t>
    <phoneticPr fontId="1" type="noConversion"/>
  </si>
  <si>
    <t>充满活力，口味清新，仿佛带来阳光般的快乐与温暖。</t>
    <phoneticPr fontId="1" type="noConversion"/>
  </si>
  <si>
    <t>表皮盐香，鱼肉鲜嫩，简单烤制，锁住鲮鱼的原始鲜美。</t>
    <phoneticPr fontId="1" type="noConversion"/>
  </si>
  <si>
    <t>小鱼也有大滋味，盐烤后焦香与鱼鲜结合，越嚼越香。</t>
    <phoneticPr fontId="1" type="noConversion"/>
  </si>
  <si>
    <t>鱼身闪彩，盐烤之下，肉质紧实，散发独特的咸鲜风味。</t>
    <phoneticPr fontId="1" type="noConversion"/>
  </si>
  <si>
    <t>肉质细腻，烤制后外皮香脆，内部软嫩，保留鲷鱼的优雅风味。</t>
    <phoneticPr fontId="1" type="noConversion"/>
  </si>
  <si>
    <t>金色外表微盐点缀，鱼肉鲜美，尽显金鳟的高贵品质。</t>
    <phoneticPr fontId="1" type="noConversion"/>
  </si>
  <si>
    <t>鲑鱼的肥嫩经盐烤激发，咸香与鲜嫩完美融合，回味无穷。</t>
    <phoneticPr fontId="1" type="noConversion"/>
  </si>
  <si>
    <t>鱼串紧凑，烤至金黄，鱼香四溢。</t>
    <phoneticPr fontId="1" type="noConversion"/>
  </si>
  <si>
    <t>烤后香脆可口，鱼油渗出，增添丰富口感与香味。</t>
    <phoneticPr fontId="1" type="noConversion"/>
  </si>
  <si>
    <t>外皮焦脆，内部滑嫩，独特的鳗香令人难忘。</t>
    <phoneticPr fontId="1" type="noConversion"/>
  </si>
  <si>
    <t>一面贴底烤出金黄，鱼肉鲜嫩，独特形状与口感独具魅力。</t>
    <phoneticPr fontId="1" type="noConversion"/>
  </si>
  <si>
    <t>烤制后外皮酥脆，肉香独特，挑战味蕾与胆量。</t>
    <phoneticPr fontId="1" type="noConversion"/>
  </si>
  <si>
    <t>保留鱼的硬朗外形，烤制使肉质紧实，散发别样的海味鲜香。</t>
    <phoneticPr fontId="1" type="noConversion"/>
  </si>
  <si>
    <t>烤后肉色白嫩，鲜美滋味，是海鲜烧烤中的珍品。</t>
    <phoneticPr fontId="1" type="noConversion"/>
  </si>
  <si>
    <t>蟹肉经烤后鲜甜，蟹香扑鼻，享受拆蟹的乐趣与美味。</t>
    <phoneticPr fontId="1" type="noConversion"/>
  </si>
  <si>
    <t>身披红甲，虾肉紧实 Q 弹，烤香四溢，奢华的海鲜烧烤美味。</t>
    <phoneticPr fontId="1" type="noConversion"/>
  </si>
  <si>
    <t>烤制时鱼油渗出，外焦里嫩，感受大海的力量与美味。</t>
    <phoneticPr fontId="1" type="noConversion"/>
  </si>
  <si>
    <t>原汁原味，蟹肉鲜嫩，轻轻一剥，鲜嫩洁白的蟹肉展露无遗。</t>
    <phoneticPr fontId="1" type="noConversion"/>
  </si>
  <si>
    <t>汇聚多种海鲜精华，汤汁浓稠，鲜香扑鼻，暖身又滋补。</t>
    <phoneticPr fontId="1" type="noConversion"/>
  </si>
  <si>
    <t>鳗鱼肥美，酱汁浓郁，每一口都是鱼香与米香的交融。</t>
    <phoneticPr fontId="1" type="noConversion"/>
  </si>
  <si>
    <t>鲫鱼鲜嫩，蔬菜清爽，汤鲜味美，营养均衡的家常靓汤。</t>
    <phoneticPr fontId="1" type="noConversion"/>
  </si>
  <si>
    <t>肉质弹牙，在汤中翻滚出独特风味。</t>
    <phoneticPr fontId="1" type="noConversion"/>
  </si>
  <si>
    <t>纹理清晰，橙红鲜嫩，入口即化，是刺身中的经典美味。</t>
    <phoneticPr fontId="1" type="noConversion"/>
  </si>
  <si>
    <t>外酥里嫩，充满海洋气息。</t>
    <phoneticPr fontId="1" type="noConversion"/>
  </si>
  <si>
    <t>在炖煮中吸收汤汁精华，肉质变得松软，滋味浓郁。</t>
    <phoneticPr fontId="1" type="noConversion"/>
  </si>
  <si>
    <t>鱼身新鲜，切片薄厚均匀，口感爽脆。</t>
    <phoneticPr fontId="1" type="noConversion"/>
  </si>
  <si>
    <t>肉质晶莹剔透，口感鲜美且具挑战性。</t>
    <phoneticPr fontId="1" type="noConversion"/>
  </si>
  <si>
    <t>搭配多种食材炖煮，蟹香浓郁，汤汁醇厚。</t>
    <phoneticPr fontId="1" type="noConversion"/>
  </si>
  <si>
    <t>肉质紧实，脂肪纹理清晰，顶级的刺身享受。</t>
    <phoneticPr fontId="1" type="noConversion"/>
  </si>
  <si>
    <t>奢华组合，口感丰富，极致美味。</t>
    <phoneticPr fontId="1" type="noConversion"/>
  </si>
  <si>
    <t>味道微苦回甘，清热去火，是传统的健康饮品。</t>
    <phoneticPr fontId="1" type="noConversion"/>
  </si>
  <si>
    <t>电芒在卷上跃动，释放可使敌人周身麻痹，似遭雷电突袭，行动瞬间受阻。</t>
  </si>
  <si>
    <t>散发凛冽寒气，开启后冰雾弥漫，冻结周遭空气，让对手陷入寒冷困境。</t>
  </si>
  <si>
    <t>熊熊火焰图案，点燃后火海肆虐，炽热高温席卷，燃尽一切阻碍，威力惊人。</t>
  </si>
  <si>
    <t>古朴的卷轴，展开令目标无法施法，如被禁言枷锁束缚，魔法力量戛然而止。</t>
  </si>
  <si>
    <t>携带着迟缓力量，触发时让对方行动变缓，好似陷入泥沼，举步维艰。</t>
  </si>
  <si>
    <t>轻启此卷，使用者似有灵动幻影附身，能巧妙避开攻击，身姿飘逸难捉摸。</t>
  </si>
  <si>
    <t>闪耀力量光辉，使用后肌肉贲张，力量如泉涌，可瞬间提升战斗爆发力。</t>
  </si>
  <si>
    <t>带有迷人魔力，展开让目标心智迷失，如被甜蜜幻境迷惑，敌我不分。</t>
  </si>
  <si>
    <t>展开此卷，绿意盎然，生命之力涓涓流淌，能让伤者重焕生机，逆转危局。</t>
    <phoneticPr fontId="1" type="noConversion"/>
  </si>
  <si>
    <t>闪耀光芒的卷轴，激发潜能，使使用者力量奔涌，勇猛向前。</t>
    <phoneticPr fontId="1" type="noConversion"/>
  </si>
  <si>
    <t>神秘符文遍布，一经施展，让目标陷入沉睡，任人摆布。</t>
    <phoneticPr fontId="1" type="noConversion"/>
  </si>
  <si>
    <t>生命之息涌，伤痛速愈，重燃战斗希望之光。</t>
  </si>
  <si>
    <t>生命之息涌，伤痛速愈，重燃战斗希望之光。</t>
    <phoneticPr fontId="1" type="noConversion"/>
  </si>
  <si>
    <t>力量泉眼开，活力满溢，战场斗志陡然澎湃。</t>
  </si>
  <si>
    <t>力量泉眼开，活力满溢，战场斗志陡然澎湃。</t>
    <phoneticPr fontId="1" type="noConversion"/>
  </si>
  <si>
    <t>目标陷沉睡，意识迷离，片刻安宁暗藏危机。</t>
  </si>
  <si>
    <t>目标陷沉睡，意识迷离，片刻安宁暗藏危机。</t>
    <phoneticPr fontId="1" type="noConversion"/>
  </si>
  <si>
    <t>电流周身窜，麻痹一瞬，敌人行动即刻受限。</t>
  </si>
  <si>
    <t>电流周身窜，麻痹一瞬，敌人行动即刻受限。</t>
    <phoneticPr fontId="1" type="noConversion"/>
  </si>
  <si>
    <t>寒气肆意漫，冻结空间，对手困于霜寒之境。</t>
  </si>
  <si>
    <t>寒气肆意漫，冻结空间，对手困于霜寒之境。</t>
    <phoneticPr fontId="1" type="noConversion"/>
  </si>
  <si>
    <t>烈焰熊熊燃，高温炙烤，障碍皆化灰烬飘散。</t>
  </si>
  <si>
    <t>烈焰熊熊燃，高温炙烤，障碍皆化灰烬飘散。</t>
    <phoneticPr fontId="1" type="noConversion"/>
  </si>
  <si>
    <t>魔法难施展，咒术禁言，敌方策略瞬间瘫痪。</t>
  </si>
  <si>
    <t>魔法难施展，咒术禁言，敌方策略瞬间瘫痪。</t>
    <phoneticPr fontId="1" type="noConversion"/>
  </si>
  <si>
    <t>步伐变迟缓，行动受阻，仿若深陷泥泞之中。</t>
  </si>
  <si>
    <t>步伐变迟缓，行动受阻，仿若深陷泥泞之中。</t>
    <phoneticPr fontId="1" type="noConversion"/>
  </si>
  <si>
    <t>身形幻如影，攻击巧避，周旋敌阵自在随心。</t>
  </si>
  <si>
    <t>身形幻如影，攻击巧避，周旋敌阵自在随心。</t>
    <phoneticPr fontId="1" type="noConversion"/>
  </si>
  <si>
    <t>力量猛激增，肌肉贲张，挥击皆有千钧之力。</t>
  </si>
  <si>
    <t>力量猛激增，肌肉贲张，挥击皆有千钧之力。</t>
    <phoneticPr fontId="1" type="noConversion"/>
  </si>
  <si>
    <t>心智被迷离，敌我不辨，受控走向未知命运。</t>
  </si>
  <si>
    <t>心智被迷离，敌我不辨，受控走向未知命运。</t>
    <phoneticPr fontId="1" type="noConversion"/>
  </si>
  <si>
    <t>寿命</t>
    <phoneticPr fontId="1" type="noConversion"/>
  </si>
  <si>
    <t>兔子脚</t>
    <phoneticPr fontId="5" type="noConversion"/>
  </si>
  <si>
    <t>冰晶石</t>
    <phoneticPr fontId="5" type="noConversion"/>
  </si>
  <si>
    <t>河蟹</t>
  </si>
  <si>
    <t>金线鱼</t>
  </si>
  <si>
    <t>缝纫配方</t>
    <phoneticPr fontId="1" type="noConversion"/>
  </si>
  <si>
    <t>皮革</t>
    <phoneticPr fontId="1" type="noConversion"/>
  </si>
  <si>
    <t>沙发(红)</t>
    <phoneticPr fontId="1" type="noConversion"/>
  </si>
  <si>
    <t>沙发(蓝)</t>
  </si>
  <si>
    <t>沙发(红)</t>
    <phoneticPr fontId="1" type="noConversion"/>
  </si>
  <si>
    <t>盆栽1</t>
    <phoneticPr fontId="5" type="noConversion"/>
  </si>
  <si>
    <t>盆栽2</t>
  </si>
  <si>
    <t>盆栽3</t>
  </si>
  <si>
    <t>盆栽4</t>
  </si>
  <si>
    <t>盆栽5</t>
  </si>
  <si>
    <t>盆栽6</t>
  </si>
  <si>
    <t>壁炉</t>
    <phoneticPr fontId="5" type="noConversion"/>
  </si>
  <si>
    <t>柔软的双人沙发</t>
    <phoneticPr fontId="1" type="noConversion"/>
  </si>
  <si>
    <t>柔软的双人沙发</t>
    <phoneticPr fontId="1" type="noConversion"/>
  </si>
  <si>
    <t>绿意盎然的装饰品</t>
    <phoneticPr fontId="5" type="noConversion"/>
  </si>
  <si>
    <t>绿意盎然的装饰品</t>
    <phoneticPr fontId="5" type="noConversion"/>
  </si>
  <si>
    <t>绿意盎然的装饰品</t>
    <phoneticPr fontId="5" type="noConversion"/>
  </si>
  <si>
    <t>在寒冷的季节里感受温暖</t>
    <phoneticPr fontId="5" type="noConversion"/>
  </si>
  <si>
    <t>线鱼</t>
    <phoneticPr fontId="1" type="noConversion"/>
  </si>
  <si>
    <t>普通的禽类，可以产出[鸡蛋]</t>
    <phoneticPr fontId="1" type="noConversion"/>
  </si>
  <si>
    <t>普通的禽类，可以产出[鸭绒]</t>
    <phoneticPr fontId="1" type="noConversion"/>
  </si>
  <si>
    <t>普通的兽类，可以产出[兔子脚]</t>
    <phoneticPr fontId="1" type="noConversion"/>
  </si>
  <si>
    <t>普通的兽类，可以产出[羊毛]</t>
    <phoneticPr fontId="1" type="noConversion"/>
  </si>
  <si>
    <t>普通的兽类，可以产出[牛奶]</t>
    <phoneticPr fontId="1" type="noConversion"/>
  </si>
  <si>
    <t>普通的兽类，可以产出[猪肉]</t>
    <phoneticPr fontId="1" type="noConversion"/>
  </si>
  <si>
    <t>铁皮壶</t>
    <phoneticPr fontId="1" type="noConversion"/>
  </si>
  <si>
    <t>银皮壶</t>
    <phoneticPr fontId="1" type="noConversion"/>
  </si>
  <si>
    <t>金皮壶</t>
    <phoneticPr fontId="1" type="noConversion"/>
  </si>
  <si>
    <t>铁制做的浇灌农作物的工具,可以浇10次。</t>
    <phoneticPr fontId="1" type="noConversion"/>
  </si>
  <si>
    <t>铁制做的浇灌农作物的工具,可以浇30次。</t>
    <phoneticPr fontId="1" type="noConversion"/>
  </si>
  <si>
    <t>铁制做的浇灌农作物的工具,可以浇60次。</t>
    <phoneticPr fontId="1" type="noConversion"/>
  </si>
  <si>
    <t>Waterpot1</t>
    <phoneticPr fontId="1" type="noConversion"/>
  </si>
  <si>
    <t>Waterpot2</t>
    <phoneticPr fontId="1" type="noConversion"/>
  </si>
  <si>
    <t>HP恢复15</t>
  </si>
  <si>
    <t>HP恢复50</t>
  </si>
  <si>
    <t>HP恢复20</t>
  </si>
  <si>
    <t>HP恢复25</t>
  </si>
  <si>
    <t>HP恢复35</t>
  </si>
  <si>
    <t>HP恢复80</t>
  </si>
  <si>
    <t>HP恢复100</t>
  </si>
  <si>
    <t>HP恢复140</t>
  </si>
  <si>
    <t>HP恢复90</t>
  </si>
  <si>
    <t>HP恢复80,MP恢复30,体力恢复80</t>
  </si>
  <si>
    <t>HP恢复140,MP恢复80</t>
  </si>
  <si>
    <t>HP恢复40</t>
  </si>
  <si>
    <t>HP恢复70</t>
  </si>
  <si>
    <t>HP恢复60</t>
  </si>
  <si>
    <t>HP恢复120</t>
  </si>
  <si>
    <t>HP恢复180</t>
  </si>
  <si>
    <t>HP恢复120,MP恢复40</t>
  </si>
  <si>
    <t>HP恢复160,MP恢复100</t>
  </si>
  <si>
    <t>MP恢复200</t>
    <phoneticPr fontId="1" type="noConversion"/>
  </si>
  <si>
    <t>MP恢复60</t>
    <phoneticPr fontId="1" type="noConversion"/>
  </si>
  <si>
    <t>体力恢复50</t>
    <phoneticPr fontId="1" type="noConversion"/>
  </si>
  <si>
    <t>MP恢复160</t>
    <phoneticPr fontId="1" type="noConversion"/>
  </si>
  <si>
    <t>MP恢复20</t>
    <phoneticPr fontId="1" type="noConversion"/>
  </si>
  <si>
    <t>MP恢复40</t>
    <phoneticPr fontId="1" type="noConversion"/>
  </si>
  <si>
    <t>体力恢复40</t>
    <phoneticPr fontId="1" type="noConversion"/>
  </si>
  <si>
    <t>体力恢复30</t>
    <phoneticPr fontId="1" type="noConversion"/>
  </si>
  <si>
    <t>MP恢复70</t>
    <phoneticPr fontId="1" type="noConversion"/>
  </si>
  <si>
    <t>MP恢复80</t>
    <phoneticPr fontId="1" type="noConversion"/>
  </si>
  <si>
    <t>MP恢复100</t>
    <phoneticPr fontId="1" type="noConversion"/>
  </si>
  <si>
    <t>体力恢复170</t>
    <phoneticPr fontId="1" type="noConversion"/>
  </si>
  <si>
    <t>体力恢复180</t>
    <phoneticPr fontId="1" type="noConversion"/>
  </si>
  <si>
    <t>MP恢复50</t>
    <phoneticPr fontId="1" type="noConversion"/>
  </si>
  <si>
    <t>体力恢复160</t>
    <phoneticPr fontId="1" type="noConversion"/>
  </si>
  <si>
    <t>体力恢复60</t>
    <phoneticPr fontId="1" type="noConversion"/>
  </si>
  <si>
    <t>体力恢复20</t>
    <phoneticPr fontId="1" type="noConversion"/>
  </si>
  <si>
    <t>MP恢复10</t>
    <phoneticPr fontId="1" type="noConversion"/>
  </si>
  <si>
    <t>体力恢复140</t>
    <phoneticPr fontId="1" type="noConversion"/>
  </si>
  <si>
    <t>体力恢复120</t>
    <phoneticPr fontId="1" type="noConversion"/>
  </si>
  <si>
    <t>体力恢复80</t>
    <phoneticPr fontId="1" type="noConversion"/>
  </si>
  <si>
    <t>体力恢复100</t>
    <phoneticPr fontId="1" type="noConversion"/>
  </si>
  <si>
    <t>useInfo</t>
    <phoneticPr fontId="1" type="noConversion"/>
  </si>
  <si>
    <t>Hoe</t>
    <phoneticPr fontId="1" type="noConversion"/>
  </si>
  <si>
    <t>Waterpot</t>
    <phoneticPr fontId="1" type="noConversion"/>
  </si>
  <si>
    <t>斧头</t>
    <phoneticPr fontId="1" type="noConversion"/>
  </si>
  <si>
    <t>Sickle</t>
    <phoneticPr fontId="1" type="noConversion"/>
  </si>
  <si>
    <t>鲫鱼</t>
    <phoneticPr fontId="1" type="noConversion"/>
  </si>
  <si>
    <t>小龙虾</t>
    <phoneticPr fontId="1" type="noConversion"/>
  </si>
  <si>
    <t>鲤鱼</t>
    <phoneticPr fontId="1" type="noConversion"/>
  </si>
  <si>
    <t>鲮鱼</t>
    <phoneticPr fontId="1" type="noConversion"/>
  </si>
  <si>
    <t>鲶鱼</t>
    <phoneticPr fontId="1" type="noConversion"/>
  </si>
  <si>
    <t>锦鲤</t>
    <phoneticPr fontId="1" type="noConversion"/>
  </si>
  <si>
    <t>梭鲈</t>
    <phoneticPr fontId="1" type="noConversion"/>
  </si>
  <si>
    <t>兰寿金鱼</t>
    <phoneticPr fontId="1" type="noConversion"/>
  </si>
  <si>
    <t>樱桃鲑鱼</t>
    <phoneticPr fontId="1" type="noConversion"/>
  </si>
  <si>
    <t>虹鳟鱼</t>
    <phoneticPr fontId="1" type="noConversion"/>
  </si>
  <si>
    <t>金鳟鱼</t>
    <phoneticPr fontId="1" type="noConversion"/>
  </si>
  <si>
    <t>霓虹脂鲤</t>
    <phoneticPr fontId="1" type="noConversion"/>
  </si>
  <si>
    <t>鲑鱼</t>
    <phoneticPr fontId="1" type="noConversion"/>
  </si>
  <si>
    <t>沙丁鱼</t>
    <phoneticPr fontId="1" type="noConversion"/>
  </si>
  <si>
    <t>海鳗</t>
    <phoneticPr fontId="1" type="noConversion"/>
  </si>
  <si>
    <t>章鱼</t>
    <phoneticPr fontId="1" type="noConversion"/>
  </si>
  <si>
    <t>比目鱼</t>
    <phoneticPr fontId="1" type="noConversion"/>
  </si>
  <si>
    <t>河豚鱼</t>
    <phoneticPr fontId="1" type="noConversion"/>
  </si>
  <si>
    <t>水母</t>
    <phoneticPr fontId="5" type="noConversion"/>
  </si>
  <si>
    <t>条石鲷</t>
    <phoneticPr fontId="1" type="noConversion"/>
  </si>
  <si>
    <t>红鲷鱼</t>
    <phoneticPr fontId="1" type="noConversion"/>
  </si>
  <si>
    <t>蓝蟹</t>
    <phoneticPr fontId="1" type="noConversion"/>
  </si>
  <si>
    <t>龙虾</t>
    <phoneticPr fontId="1" type="noConversion"/>
  </si>
  <si>
    <t>金枪鱼</t>
    <phoneticPr fontId="1" type="noConversion"/>
  </si>
  <si>
    <t>MP恢复70</t>
    <phoneticPr fontId="1" type="noConversion"/>
  </si>
  <si>
    <t>在海洋表层漂浮，姿态轻盈，是海洋里的透明仙子。</t>
    <phoneticPr fontId="1" type="noConversion"/>
  </si>
  <si>
    <t>贵族徽章</t>
    <phoneticPr fontId="1" type="noConversion"/>
  </si>
  <si>
    <t>女王之鞭</t>
  </si>
  <si>
    <t>锄头</t>
  </si>
  <si>
    <t>铁皮壶</t>
  </si>
  <si>
    <t>斧头</t>
  </si>
  <si>
    <t>镰刀</t>
  </si>
  <si>
    <t>鱼竿</t>
  </si>
  <si>
    <t>木材</t>
  </si>
  <si>
    <t>木柴</t>
  </si>
  <si>
    <t>兔子脚</t>
  </si>
  <si>
    <t>大麦</t>
  </si>
  <si>
    <t>1,18</t>
  </si>
  <si>
    <t>1,2</t>
  </si>
  <si>
    <t>2,15</t>
  </si>
  <si>
    <t>2,26,15</t>
  </si>
  <si>
    <t>2,11,15</t>
  </si>
  <si>
    <t>2,15,24</t>
  </si>
  <si>
    <t>2,15,</t>
  </si>
  <si>
    <t>2,24</t>
  </si>
  <si>
    <t>2,</t>
  </si>
  <si>
    <t>2,15,1</t>
  </si>
  <si>
    <t>3,2,24</t>
  </si>
  <si>
    <t>3,2,25</t>
  </si>
  <si>
    <t>3,26,11</t>
  </si>
  <si>
    <t>3,26,25</t>
  </si>
  <si>
    <t>3,26</t>
  </si>
  <si>
    <t>2,1</t>
  </si>
  <si>
    <t>2,1,15</t>
  </si>
  <si>
    <t>2,1,1</t>
  </si>
  <si>
    <t>2,1,26</t>
  </si>
  <si>
    <t>3,26,</t>
  </si>
  <si>
    <t>4,22,28</t>
  </si>
  <si>
    <t>4,21,28</t>
  </si>
  <si>
    <t>4,17,</t>
  </si>
  <si>
    <t>4,28,22</t>
  </si>
  <si>
    <t>4,22,23</t>
  </si>
  <si>
    <t>4,21,11</t>
  </si>
  <si>
    <t>4,21,17</t>
  </si>
  <si>
    <t>4,11,12</t>
  </si>
  <si>
    <t>4,10,6</t>
  </si>
  <si>
    <t>4,11,17</t>
  </si>
  <si>
    <t>4,21,16</t>
  </si>
  <si>
    <t>5,12,</t>
  </si>
  <si>
    <t>6,12,11</t>
  </si>
  <si>
    <t>6,28,22</t>
  </si>
  <si>
    <t>6,11,12</t>
  </si>
  <si>
    <t>6,17,</t>
  </si>
  <si>
    <t>5,12,18</t>
  </si>
  <si>
    <t>6,21,12</t>
  </si>
  <si>
    <t>6,17,29</t>
  </si>
  <si>
    <t>5,17,</t>
  </si>
  <si>
    <t>5,17,23</t>
  </si>
  <si>
    <t>7,12,</t>
  </si>
  <si>
    <t>7,12,11</t>
  </si>
  <si>
    <t>7,6,22</t>
  </si>
  <si>
    <t>7,9,27</t>
  </si>
  <si>
    <t>7,12,27</t>
  </si>
  <si>
    <t>7,12,18</t>
  </si>
  <si>
    <t>7,12,22</t>
  </si>
  <si>
    <t>6,7,22</t>
  </si>
  <si>
    <t>7,17,18</t>
  </si>
  <si>
    <t>7,17,</t>
  </si>
  <si>
    <t>8,12,27</t>
  </si>
  <si>
    <t>8,17,22</t>
  </si>
  <si>
    <t>6,8,22</t>
  </si>
  <si>
    <t>6,8,18</t>
  </si>
  <si>
    <t>8,12,23</t>
  </si>
  <si>
    <t>8,12,18</t>
  </si>
  <si>
    <t>9,27,</t>
  </si>
  <si>
    <t>9,4,</t>
  </si>
  <si>
    <t>10,11,2</t>
  </si>
  <si>
    <t>10,14,9</t>
  </si>
  <si>
    <t>10,15</t>
  </si>
  <si>
    <t>10,9,4</t>
  </si>
  <si>
    <t>2,9</t>
  </si>
  <si>
    <t>11,9,18</t>
  </si>
  <si>
    <t>11,12,6</t>
  </si>
  <si>
    <t>12,9,18</t>
  </si>
  <si>
    <t>10,13,15</t>
  </si>
  <si>
    <t>10,15,26</t>
  </si>
  <si>
    <t>13,17,29</t>
  </si>
  <si>
    <t>13,18,10</t>
  </si>
  <si>
    <t>11,4,18</t>
  </si>
  <si>
    <t>10,14,15</t>
  </si>
  <si>
    <t>10,11,12</t>
  </si>
  <si>
    <t>14,10,9</t>
  </si>
  <si>
    <t>10,15,</t>
  </si>
  <si>
    <t>15,26,17</t>
  </si>
  <si>
    <t>16,10,15</t>
  </si>
  <si>
    <t>11,16,18</t>
  </si>
  <si>
    <t>10,12,9</t>
  </si>
  <si>
    <t>11,18,4</t>
  </si>
  <si>
    <t>11,12,18</t>
  </si>
  <si>
    <t>11,4,17</t>
  </si>
  <si>
    <t>17,9,16</t>
  </si>
  <si>
    <t>1,10,18</t>
  </si>
  <si>
    <t>18,10,</t>
  </si>
  <si>
    <t>11,18,10</t>
  </si>
  <si>
    <t>9,18,27</t>
  </si>
  <si>
    <t>13,10,18</t>
  </si>
  <si>
    <t>10,18,2</t>
  </si>
  <si>
    <t>16,10,17</t>
  </si>
  <si>
    <t>19,14,18</t>
  </si>
  <si>
    <t>11,4,16</t>
  </si>
  <si>
    <t>11,18,9</t>
  </si>
  <si>
    <t>20,18,13</t>
  </si>
  <si>
    <t>10,18,16</t>
  </si>
  <si>
    <t>9,6,18</t>
  </si>
  <si>
    <t>21,17,18</t>
  </si>
  <si>
    <t>22,18,23</t>
  </si>
  <si>
    <t>14,9,6</t>
  </si>
  <si>
    <t>21,18,23</t>
  </si>
  <si>
    <t>17,16,18</t>
  </si>
  <si>
    <t>21,16,17</t>
  </si>
  <si>
    <t>20,16,21</t>
  </si>
  <si>
    <t>20,21,16</t>
  </si>
  <si>
    <t>21,23,18</t>
  </si>
  <si>
    <t>10,17,29</t>
  </si>
  <si>
    <t>21,17,29</t>
  </si>
  <si>
    <t>13,29,23</t>
  </si>
  <si>
    <t>11,18,17</t>
  </si>
  <si>
    <t>17,16,21</t>
  </si>
  <si>
    <t>17,21,29</t>
  </si>
  <si>
    <t>12,11,</t>
  </si>
  <si>
    <t>12,5,18</t>
  </si>
  <si>
    <t>4,14,9</t>
  </si>
  <si>
    <t>23,18,22</t>
  </si>
  <si>
    <t>11,18,12</t>
  </si>
  <si>
    <t>12,18,9</t>
  </si>
  <si>
    <t>11,10,16</t>
  </si>
  <si>
    <t>17,18,16</t>
  </si>
  <si>
    <t>17,29,16</t>
  </si>
  <si>
    <t>12,11,9</t>
  </si>
  <si>
    <t>12,11,18</t>
  </si>
  <si>
    <t>15,16,17</t>
  </si>
  <si>
    <t>17,10,29</t>
  </si>
  <si>
    <t>24,2,26</t>
  </si>
  <si>
    <t>10,16,17</t>
  </si>
  <si>
    <t>17,16,23</t>
  </si>
  <si>
    <t>16,17,10</t>
  </si>
  <si>
    <t>17,22,9</t>
  </si>
  <si>
    <t>15,16</t>
  </si>
  <si>
    <t>10,18,15</t>
  </si>
  <si>
    <t>11,18,2</t>
  </si>
  <si>
    <t>24,2,15</t>
  </si>
  <si>
    <t>25,2,26</t>
  </si>
  <si>
    <t>tag</t>
    <phoneticPr fontId="1" type="noConversion"/>
  </si>
  <si>
    <t>3,11</t>
    <phoneticPr fontId="1" type="noConversion"/>
  </si>
  <si>
    <t>3,11</t>
    <phoneticPr fontId="1" type="noConversion"/>
  </si>
  <si>
    <t>3,11</t>
    <phoneticPr fontId="1" type="noConversion"/>
  </si>
  <si>
    <t>15,24</t>
  </si>
  <si>
    <t>15,</t>
  </si>
  <si>
    <t>26,15</t>
  </si>
  <si>
    <t>11,15</t>
  </si>
  <si>
    <t>15,1</t>
  </si>
  <si>
    <t>3,24</t>
  </si>
  <si>
    <t>3,25</t>
  </si>
  <si>
    <t>1,15</t>
  </si>
  <si>
    <t>1,1</t>
  </si>
  <si>
    <t>层层叠叠，大口咬下，多种口感在舌尖碰撞。</t>
    <phoneticPr fontId="1" type="noConversion"/>
  </si>
  <si>
    <t>口感清脆，酸辣开胃，是佐餐小菜中的经典之选。</t>
    <phoneticPr fontId="1" type="noConversion"/>
  </si>
  <si>
    <t>肉质细腻，外皮香脆，内部软嫩，保留鲷鱼的优雅风味。</t>
    <phoneticPr fontId="1" type="noConversion"/>
  </si>
  <si>
    <t>身披红甲，虾肉紧实，烤香四溢，奢华的海鲜烧烤美味。</t>
    <phoneticPr fontId="1" type="noConversion"/>
  </si>
  <si>
    <t>鲑鱼的肥嫩经盐烤激发，咸香与鲜嫩融合，回味无穷。</t>
    <phoneticPr fontId="1" type="noConversion"/>
  </si>
  <si>
    <t>原汁原味，轻轻一剥，鲜嫩洁白的蟹肉展露无遗。</t>
    <phoneticPr fontId="1" type="noConversion"/>
  </si>
  <si>
    <t>烤制使肉质紧实，散发别样的海味鲜香。</t>
    <phoneticPr fontId="1" type="noConversion"/>
  </si>
  <si>
    <t>一面贴底烤出金黄，鱼肉鲜嫩，口感独具魅力。</t>
    <phoneticPr fontId="1" type="noConversion"/>
  </si>
  <si>
    <t>汇聚各类海鲜，鲜香浓郁，尽显海洋风味。</t>
    <phoneticPr fontId="1" type="noConversion"/>
  </si>
  <si>
    <t>麦类的粉末，可成为各种形状，承载丰富口感。</t>
    <phoneticPr fontId="1" type="noConversion"/>
  </si>
  <si>
    <t>咸酸适度，爽脆开胃，为餐桌增添一份独特的风味。</t>
    <phoneticPr fontId="1" type="noConversion"/>
  </si>
  <si>
    <t>新鲜脆爽，多种蔬菜汇聚，健康与美味并存。</t>
    <phoneticPr fontId="1" type="noConversion"/>
  </si>
  <si>
    <t>肉香四溢，香料加持，感受热辣鲜香的诱惑。</t>
    <phoneticPr fontId="1" type="noConversion"/>
  </si>
  <si>
    <t>辣味刺激，蟹肉鲜美，带来独特热辣的风味体验。</t>
    <phoneticPr fontId="1" type="noConversion"/>
  </si>
  <si>
    <t>浓郁果香，口感醇厚，将整串葡萄的精华浓缩。</t>
    <phoneticPr fontId="1" type="noConversion"/>
  </si>
  <si>
    <t>称霸于较深淡水，游时虎虎生威，鱼肉非常鲜嫩。</t>
    <phoneticPr fontId="1" type="noConversion"/>
  </si>
  <si>
    <t>梭于溪流河湾，像溪流中的灵动音符。</t>
    <phoneticPr fontId="1" type="noConversion"/>
  </si>
  <si>
    <t>生活于溪流，味道像春日樱落溪流的一抹甜香。</t>
    <phoneticPr fontId="1" type="noConversion"/>
  </si>
  <si>
    <t>在清澈山涧活跃，似山涧清泉流淌的鲜活滋味。</t>
    <phoneticPr fontId="1" type="noConversion"/>
  </si>
  <si>
    <t>在冷水水域闪亮，似金色阳光融入水中的精华。</t>
    <phoneticPr fontId="1" type="noConversion"/>
  </si>
  <si>
    <t>在清澈溪流中欢畅，游态宛如溪边桃花飘落的精灵。</t>
    <phoneticPr fontId="1" type="noConversion"/>
  </si>
  <si>
    <t>岩穴暗影栖息，动作轻柔，似幽暗中的神秘舞者。</t>
    <phoneticPr fontId="1" type="noConversion"/>
  </si>
  <si>
    <t>表皮盐香，鱼肉鲜嫩，简单烤制，锁住鲮鱼的原始鲜美。</t>
    <phoneticPr fontId="1" type="noConversion"/>
  </si>
  <si>
    <t>隐匿于淡水中，蟹肉鲜甜，如风轻拂味蕾。</t>
    <phoneticPr fontId="1" type="noConversion"/>
  </si>
  <si>
    <t>在南方水域自在游，肉嫩且味醇，纯净而悠长。</t>
    <phoneticPr fontId="1" type="noConversion"/>
  </si>
  <si>
    <t>鱼身闪彩，盐烤之下，肉质紧实，散发独特的咸鲜风味。</t>
    <phoneticPr fontId="1" type="noConversion"/>
  </si>
  <si>
    <t>手套蟹</t>
    <phoneticPr fontId="1" type="noConversion"/>
  </si>
  <si>
    <t>range</t>
    <phoneticPr fontId="1" type="noConversion"/>
  </si>
  <si>
    <t>3,10</t>
    <phoneticPr fontId="1" type="noConversion"/>
  </si>
  <si>
    <t>int2</t>
    <phoneticPr fontId="1" type="noConversion"/>
  </si>
  <si>
    <t>芜菁根圆润饱满，是腌菜好原料，简单加工后，带着质朴清甜，能为日常餐桌添独特风味。</t>
  </si>
  <si>
    <t>卷心菜叶片层层紧裹，形成紧实叶球，颜色翠绿，口感脆嫩，是餐桌上常见的蔬菜。</t>
  </si>
  <si>
    <t>葱身姿纤细修长，有着独特且浓郁的香气，轻轻一嗅，便能提神醒脑，是调味的好帮手。</t>
  </si>
  <si>
    <t>萝卜形态多样，有长有圆，口感更是一绝，咬下瞬间，清甜汁水率先散开，随后一丝辛辣巧妙涌上舌尖，丰富口感令人难忘。</t>
  </si>
  <si>
    <t>紫甘蓝有着深紫色外衣，神秘又迷人，它富含花青素，营养满满，好看又好吃。</t>
  </si>
  <si>
    <t>黄瓜浑身带刺，表皮翠绿，内里果肉水润脆嫩，直接咬上一口，清甜汁水在口中迸发，满是清爽。</t>
  </si>
  <si>
    <t>西兰花的花球紧密排列，像精心雕琢的艺术品，色泽翠绿，营养丰富，口感鲜嫩。</t>
  </si>
  <si>
    <t>番茄果实圆润可爱，颜色鲜艳，无论是红番茄的酸甜，还是黄番茄的清甜，都十分诱人。</t>
  </si>
  <si>
    <t>胡萝卜拥有细长橙红的根，富含胡萝卜素等营养成分，是健康饮食的好选择。</t>
  </si>
  <si>
    <t>西瓜个头较大，表皮有条纹，切开后，红瓤黑籽，汁水四溢，清甜可口，是夏日消暑的明星水果。</t>
  </si>
  <si>
    <t>辣椒形态各异，辣度从温和到火爆，颜色丰富，为食物增添别样风味，是重要的调味食材。</t>
  </si>
  <si>
    <t>奇异果外表毛茸茸，剥开后，翠绿果肉搭配密密麻麻的黑籽，酸甜汁水丰富，让人欲罢不能。</t>
  </si>
  <si>
    <t>茄子颜色多样，有深紫、浅紫等，形状或修长或圆润，口感软糯，深受人们喜爱。</t>
  </si>
  <si>
    <t>豌豆荚饱满，里面的豆粒圆润可爱，或青或黄，口感清甜，十分美味。</t>
  </si>
  <si>
    <t>土豆块茎呈椭圆形，表皮颜色多样，有黄、白等，富含淀粉，是提供能量的好食材。</t>
  </si>
  <si>
    <t>大蒜由多瓣组成，气味浓烈，具有杀菌作用，是常见的调味佐料。</t>
  </si>
  <si>
    <t>芦笋嫩芽细长，顶端微微弯曲，口感鲜嫩爽滑，带有自然的清香。</t>
  </si>
  <si>
    <t>南瓜果实形态各异，有圆有扁，果肉金黄，香甜软糯，是秋季丰收的象征。</t>
  </si>
  <si>
    <t>玉米棒饱满，玉米粒排列整齐，颜色金黄，颗粒饱满，香甜可口，是常见的粮食作物。</t>
  </si>
  <si>
    <t>大麦麦粒饱满，用途广泛，可用于酿造，也可作为饲料。</t>
  </si>
  <si>
    <t>啤酒花有独特的香气和苦味，是酿造啤酒时赋予啤酒独特风味的关键。</t>
  </si>
  <si>
    <t>草莓小巧玲珑，心形果实十分可爱，色泽鲜艳，酸甜多汁，果香浓郁。</t>
  </si>
  <si>
    <t>蓝莓果实小巧，呈深蓝色，表面有一层白霜，富含花青素，营养丰富。</t>
  </si>
  <si>
    <t>红薯块根形状多样，表皮或红或紫，果肉香甜，产量高，是常见的食物。</t>
  </si>
  <si>
    <t>甜菜根粗壮厚实，富含糖分，既可以直接食用，也是制糖的重要原料。</t>
  </si>
  <si>
    <t>被攻击者就像被蛇牙的咬过一样,可以发动[刺颈鞭挞]技能</t>
    <phoneticPr fontId="1" type="noConversion"/>
  </si>
  <si>
    <t>attributeType</t>
    <phoneticPr fontId="1" type="noConversion"/>
  </si>
  <si>
    <t>兔子</t>
  </si>
  <si>
    <t>山羊</t>
  </si>
  <si>
    <t>火鸡</t>
  </si>
  <si>
    <t>羊驼</t>
  </si>
  <si>
    <t>马尾</t>
    <phoneticPr fontId="1" type="noConversion"/>
  </si>
  <si>
    <t>普通的兽类，可以产出[马尾]</t>
    <phoneticPr fontId="1" type="noConversion"/>
  </si>
  <si>
    <t>普通的兽类，可以产出[兽角]</t>
    <phoneticPr fontId="1" type="noConversion"/>
  </si>
  <si>
    <t>普通的兽类，可以产出[兽皮]</t>
    <phoneticPr fontId="1" type="noConversion"/>
  </si>
  <si>
    <t>普通的兽类，可以产出[火晶石]</t>
    <phoneticPr fontId="1" type="noConversion"/>
  </si>
  <si>
    <t>山羊</t>
    <phoneticPr fontId="1" type="noConversion"/>
  </si>
  <si>
    <t>火鸡</t>
    <phoneticPr fontId="1" type="noConversion"/>
  </si>
  <si>
    <t>羊驼</t>
    <phoneticPr fontId="1" type="noConversion"/>
  </si>
  <si>
    <t>manufacture</t>
    <phoneticPr fontId="1" type="noConversion"/>
  </si>
  <si>
    <t>List&lt;int&gt;</t>
    <phoneticPr fontId="1" type="noConversion"/>
  </si>
  <si>
    <t>冷餐台</t>
    <phoneticPr fontId="5" type="noConversion"/>
  </si>
  <si>
    <t>搅拌器</t>
    <phoneticPr fontId="5" type="noConversion"/>
  </si>
  <si>
    <t>烘烤炉</t>
    <phoneticPr fontId="5" type="noConversion"/>
  </si>
  <si>
    <t>蒸煮锅</t>
    <phoneticPr fontId="5" type="noConversion"/>
  </si>
  <si>
    <t>缝纫机</t>
    <phoneticPr fontId="1" type="noConversion"/>
  </si>
  <si>
    <t>磨坊</t>
    <phoneticPr fontId="5" type="noConversion"/>
  </si>
  <si>
    <t>柴墩</t>
    <phoneticPr fontId="5" type="noConversion"/>
  </si>
  <si>
    <t>织布机</t>
    <phoneticPr fontId="5" type="noConversion"/>
  </si>
  <si>
    <t>纺线机</t>
    <phoneticPr fontId="5" type="noConversion"/>
  </si>
  <si>
    <t>制革机</t>
    <phoneticPr fontId="5" type="noConversion"/>
  </si>
  <si>
    <t>纺织机</t>
    <phoneticPr fontId="5" type="noConversion"/>
  </si>
  <si>
    <t>高温炉</t>
    <phoneticPr fontId="5" type="noConversion"/>
  </si>
  <si>
    <t>id</t>
  </si>
  <si>
    <t>Stuffs</t>
  </si>
  <si>
    <t>1020</t>
  </si>
  <si>
    <t>1024</t>
  </si>
  <si>
    <t>216</t>
    <phoneticPr fontId="5" type="noConversion"/>
  </si>
  <si>
    <t>1028</t>
  </si>
  <si>
    <t>1001,3002</t>
  </si>
  <si>
    <t>1002,1005,1009,1006</t>
  </si>
  <si>
    <t>3112,1002,1006,1008</t>
  </si>
  <si>
    <t>1004,3002</t>
  </si>
  <si>
    <t>3009,3008,1003,3109</t>
  </si>
  <si>
    <t>3009,3007,3005</t>
  </si>
  <si>
    <t>3009,3130,1013,3008</t>
  </si>
  <si>
    <t>1006,3002</t>
  </si>
  <si>
    <t>1007</t>
  </si>
  <si>
    <t>3007</t>
  </si>
  <si>
    <t>1003,3008,1011</t>
  </si>
  <si>
    <t>3113,3000</t>
  </si>
  <si>
    <t>3009,3004</t>
  </si>
  <si>
    <t>3011</t>
  </si>
  <si>
    <t>1016,3008,3002</t>
  </si>
  <si>
    <t>3112,1008,3114,3130</t>
  </si>
  <si>
    <t>3112,3166,1011,3130</t>
  </si>
  <si>
    <t>1015,3011</t>
  </si>
  <si>
    <t>3000,4105,4115,3006</t>
  </si>
  <si>
    <t>1019,3011</t>
  </si>
  <si>
    <t>1001,1006,1004,1005</t>
  </si>
  <si>
    <t>1010</t>
  </si>
  <si>
    <t>1012</t>
  </si>
  <si>
    <t>1022</t>
  </si>
  <si>
    <t>1023</t>
  </si>
  <si>
    <t>1025</t>
  </si>
  <si>
    <t>1026</t>
  </si>
  <si>
    <t>1019</t>
  </si>
  <si>
    <t>1027,3005</t>
  </si>
  <si>
    <t>3006</t>
  </si>
  <si>
    <t>3006,3001</t>
  </si>
  <si>
    <t>1013,1016,1003,3002</t>
  </si>
  <si>
    <t>3009,3008,1002,1003</t>
  </si>
  <si>
    <t>1005,1018,1028,3011</t>
  </si>
  <si>
    <t>1017</t>
  </si>
  <si>
    <t>1028,1005,1008,3004</t>
  </si>
  <si>
    <t>1014,3008,1009,3004</t>
  </si>
  <si>
    <t>3006,3125</t>
  </si>
  <si>
    <t>1026,1025,3005</t>
  </si>
  <si>
    <t>3000,4021,3113</t>
  </si>
  <si>
    <t>3010,3006,3004</t>
  </si>
  <si>
    <t>3010,3004</t>
  </si>
  <si>
    <t>3123,3001</t>
  </si>
  <si>
    <t>1015,3001</t>
  </si>
  <si>
    <t>1020,1021,3001</t>
  </si>
  <si>
    <t>3129,3001</t>
  </si>
  <si>
    <t>3005,1021,3001</t>
  </si>
  <si>
    <t>3126,3125,3001</t>
  </si>
  <si>
    <t>3125,3123,3121,3001</t>
  </si>
  <si>
    <t>3122,3124,3127,3001</t>
  </si>
  <si>
    <t>4006,3002</t>
  </si>
  <si>
    <t>4009,3002</t>
  </si>
  <si>
    <t>4015,3002</t>
  </si>
  <si>
    <t>4016,3003</t>
  </si>
  <si>
    <t>4017,3002</t>
  </si>
  <si>
    <t>4021,3002</t>
  </si>
  <si>
    <t>4100,3003</t>
  </si>
  <si>
    <t>4101,3003</t>
  </si>
  <si>
    <t>4103,3003</t>
  </si>
  <si>
    <t>4106,3003</t>
  </si>
  <si>
    <t>4109,3003</t>
  </si>
  <si>
    <t>4111,3003</t>
  </si>
  <si>
    <t>4112,3003</t>
  </si>
  <si>
    <t>4113,3003</t>
  </si>
  <si>
    <t>4115,3003</t>
  </si>
  <si>
    <t>4116,3003</t>
  </si>
  <si>
    <t>4007,3004</t>
  </si>
  <si>
    <t>1018,3004,4100,4113</t>
  </si>
  <si>
    <t>3153,3000</t>
  </si>
  <si>
    <t>4000,1014,3004,1017</t>
  </si>
  <si>
    <t>4006,1027</t>
  </si>
  <si>
    <t>4021</t>
  </si>
  <si>
    <t>4105,3007,3011</t>
  </si>
  <si>
    <t>4111,1004</t>
  </si>
  <si>
    <t>4112</t>
  </si>
  <si>
    <t>4109</t>
  </si>
  <si>
    <t>4113,1011,1009,1007</t>
  </si>
  <si>
    <t>4116</t>
  </si>
  <si>
    <t>3164,3134,1006,4015</t>
    <phoneticPr fontId="5" type="noConversion"/>
  </si>
  <si>
    <t>200,207</t>
  </si>
  <si>
    <t>104</t>
    <phoneticPr fontId="5" type="noConversion"/>
  </si>
  <si>
    <t>101</t>
    <phoneticPr fontId="5" type="noConversion"/>
  </si>
  <si>
    <t>290,292,244</t>
  </si>
  <si>
    <t>294,265,207</t>
  </si>
  <si>
    <t>251,287,257</t>
  </si>
  <si>
    <t>290,225,286</t>
  </si>
  <si>
    <t>267,261,286</t>
  </si>
  <si>
    <t>284,291,286</t>
  </si>
  <si>
    <t>263,255,210</t>
  </si>
  <si>
    <t>236,259,250</t>
  </si>
  <si>
    <t>285,278,281</t>
  </si>
  <si>
    <t>288,256,240</t>
  </si>
  <si>
    <t>293,289,254</t>
  </si>
  <si>
    <t>224,269,291</t>
  </si>
  <si>
    <t>298,274</t>
  </si>
  <si>
    <t>1600,220,257</t>
  </si>
  <si>
    <t>1600,229,205,284</t>
  </si>
  <si>
    <t>1600,218,299,212</t>
  </si>
  <si>
    <t>1600,260,261,253</t>
  </si>
  <si>
    <t>104,222,274</t>
  </si>
  <si>
    <t>1605,259,237,239</t>
  </si>
  <si>
    <t>1605,275,299</t>
  </si>
  <si>
    <t>1605,227,240,232</t>
  </si>
  <si>
    <t>237,274,256,285</t>
  </si>
  <si>
    <t>269,1605,264,208</t>
  </si>
  <si>
    <t>299,274,241</t>
  </si>
  <si>
    <t>1609,254,211</t>
  </si>
  <si>
    <t>1609,259,258,263</t>
  </si>
  <si>
    <t>1609,253,260,267</t>
  </si>
  <si>
    <t>238,276,214</t>
  </si>
  <si>
    <t>221,276,214</t>
  </si>
  <si>
    <t>1613,213,246</t>
  </si>
  <si>
    <t>1612,211,1612</t>
  </si>
  <si>
    <t>270,225,239,1614</t>
  </si>
  <si>
    <t>245,255,268,1615</t>
  </si>
  <si>
    <t>204,204</t>
    <phoneticPr fontId="5" type="noConversion"/>
  </si>
  <si>
    <t>271,278,214</t>
  </si>
  <si>
    <t>1651,227,299</t>
  </si>
  <si>
    <t>1651,223,301</t>
  </si>
  <si>
    <t>298,205</t>
  </si>
  <si>
    <t>1654,250,229,286</t>
  </si>
  <si>
    <t>202,1654,210</t>
  </si>
  <si>
    <t>272,228,204</t>
    <phoneticPr fontId="5" type="noConversion"/>
  </si>
  <si>
    <t>273,278,271</t>
  </si>
  <si>
    <t>264,204,255,246</t>
    <phoneticPr fontId="5" type="noConversion"/>
  </si>
  <si>
    <t>1650,208,224</t>
  </si>
  <si>
    <t>1651,242,247,241</t>
  </si>
  <si>
    <t>1654,274,299,218</t>
  </si>
  <si>
    <t>204,214,228</t>
  </si>
  <si>
    <t>1650,232,282</t>
  </si>
  <si>
    <t>1656,279,234,247</t>
  </si>
  <si>
    <t>248,1650,245,285</t>
  </si>
  <si>
    <t>204,302,278</t>
  </si>
  <si>
    <t>271,222,278</t>
  </si>
  <si>
    <t>298,210,202</t>
  </si>
  <si>
    <t>1701,273,238</t>
  </si>
  <si>
    <t>1700,301,214</t>
  </si>
  <si>
    <t>1701,234,223,279</t>
  </si>
  <si>
    <t>1700,280,232,272</t>
  </si>
  <si>
    <t>1702,275,240,299</t>
  </si>
  <si>
    <t>1700,281,251,282</t>
  </si>
  <si>
    <t>224,1704,264,258</t>
  </si>
  <si>
    <t>1703,282,232,267</t>
  </si>
  <si>
    <t>105,204</t>
  </si>
  <si>
    <t>1800,285</t>
  </si>
  <si>
    <t>204,286,256</t>
  </si>
  <si>
    <t>298,271</t>
  </si>
  <si>
    <t>1803,241,213</t>
  </si>
  <si>
    <t>272,248,224</t>
  </si>
  <si>
    <t>272,228,251</t>
  </si>
  <si>
    <t>272,279,234</t>
  </si>
  <si>
    <t>1804,288,247</t>
  </si>
  <si>
    <t>296,296,297</t>
  </si>
  <si>
    <t>296,296,297</t>
    <phoneticPr fontId="1" type="noConversion"/>
  </si>
  <si>
    <t>298,298,297</t>
  </si>
  <si>
    <t>298,298,297</t>
    <phoneticPr fontId="1" type="noConversion"/>
  </si>
  <si>
    <t>3164,3134,1006,4015</t>
  </si>
  <si>
    <t>204,204</t>
  </si>
  <si>
    <t>272,228,204</t>
  </si>
  <si>
    <t>264,204,255,246</t>
  </si>
  <si>
    <t>216</t>
  </si>
  <si>
    <t>104</t>
  </si>
  <si>
    <t>101</t>
  </si>
  <si>
    <t>oo</t>
    <phoneticPr fontId="1" type="noConversion"/>
  </si>
  <si>
    <t>oo</t>
    <phoneticPr fontId="1" type="noConversion"/>
  </si>
  <si>
    <t>5008,5010</t>
  </si>
  <si>
    <t>5013,5014</t>
  </si>
  <si>
    <t>5002,5006</t>
  </si>
  <si>
    <t>5007,5008</t>
  </si>
  <si>
    <t>5008,5006</t>
  </si>
  <si>
    <t>5006,5007</t>
  </si>
  <si>
    <t>5006,5008</t>
  </si>
  <si>
    <t>5008,5007</t>
  </si>
  <si>
    <t>5006,5008,5007</t>
  </si>
  <si>
    <t>5006,5007,5008</t>
  </si>
  <si>
    <t>5007,5006</t>
  </si>
  <si>
    <t>5011,5014</t>
  </si>
  <si>
    <t>5007,5006,5008</t>
  </si>
  <si>
    <t>5008,5015</t>
  </si>
  <si>
    <t>5001,5002</t>
  </si>
  <si>
    <t>5001,5004</t>
  </si>
  <si>
    <t>5003,5004</t>
  </si>
  <si>
    <t>5001,5004,5002</t>
  </si>
  <si>
    <t>5004,5001,5002</t>
  </si>
  <si>
    <t>5004,5001,5003</t>
  </si>
  <si>
    <t>5004,5005</t>
  </si>
  <si>
    <t>5002,5003</t>
  </si>
  <si>
    <t>5005,5009</t>
  </si>
  <si>
    <t>5002,5004</t>
  </si>
  <si>
    <t>5001,5003</t>
  </si>
  <si>
    <t>5002,5003,5004</t>
  </si>
  <si>
    <t>5005,5003,5002</t>
  </si>
  <si>
    <t>5002,5005,5004</t>
  </si>
  <si>
    <t>5004,5003</t>
  </si>
  <si>
    <t>5005,5002</t>
  </si>
  <si>
    <t>5003,5001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</si>
</sst>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_ "/>
    <numFmt numFmtId="177" formatCode="0_);[Red]\(0\)"/>
    <numFmt numFmtId="178" formatCode="0.00_);[Red]\(0.00\)"/>
    <numFmt numFmtId="179" formatCode="0.00_ "/>
  </numFmts>
  <fonts count="10" x14ac:knownFonts="1">
    <font>
      <sz val="11"/>
      <color theme="1"/>
      <name val="宋体"/>
      <family val="2"/>
      <charset val="134"/>
      <scheme val="minor"/>
    </font>
    <font>
      <sz val="9"/>
      <name val="宋体"/>
      <family val="2"/>
      <charset val="134"/>
      <scheme val="minor"/>
    </font>
    <font>
      <sz val="9"/>
      <color indexed="81"/>
      <name val="宋体"/>
      <family val="3"/>
      <charset val="134"/>
    </font>
    <font>
      <b/>
      <sz val="9"/>
      <color indexed="81"/>
      <name val="宋体"/>
      <family val="3"/>
      <charset val="134"/>
    </font>
    <font>
      <sz val="12"/>
      <color rgb="FF222222"/>
      <name val="Arial"/>
      <family val="2"/>
    </font>
    <font>
      <sz val="9"/>
      <name val="宋体"/>
      <family val="3"/>
      <charset val="134"/>
      <scheme val="minor"/>
    </font>
    <font>
      <sz val="12"/>
      <color rgb="FF222222"/>
      <name val="宋体"/>
      <family val="3"/>
      <charset val="134"/>
    </font>
    <font>
      <b/>
      <sz val="11"/>
      <color theme="1"/>
      <name val="宋体"/>
      <family val="3"/>
      <charset val="134"/>
      <scheme val="minor"/>
    </font>
    <font>
      <b/>
      <sz val="11"/>
      <color rgb="FFFF0000"/>
      <name val="宋体"/>
      <family val="3"/>
      <charset val="134"/>
      <scheme val="minor"/>
    </font>
    <font>
      <sz val="12"/>
      <color theme="1"/>
      <name val="Segoe UI"/>
      <family val="2"/>
    </font>
  </fonts>
  <fills count="13">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55">
    <xf numFmtId="0" fontId="0" fillId="0" borderId="0" xfId="0">
      <alignment vertical="center"/>
    </xf>
    <xf numFmtId="0" fontId="0" fillId="0" borderId="0" xfId="0" applyFill="1" applyAlignment="1">
      <alignment vertical="center" wrapText="1"/>
    </xf>
    <xf numFmtId="49" fontId="0" fillId="0" borderId="0" xfId="0" applyNumberFormat="1" applyFill="1" applyAlignment="1">
      <alignment vertical="center" wrapText="1"/>
    </xf>
    <xf numFmtId="0" fontId="0" fillId="0" borderId="0" xfId="0" applyFill="1" applyAlignment="1">
      <alignment vertical="center"/>
    </xf>
    <xf numFmtId="49" fontId="0" fillId="0" borderId="0" xfId="0" applyNumberFormat="1" applyFill="1" applyAlignment="1">
      <alignment vertical="center"/>
    </xf>
    <xf numFmtId="0" fontId="0" fillId="0" borderId="0" xfId="0" applyAlignment="1">
      <alignment vertical="center" wrapText="1"/>
    </xf>
    <xf numFmtId="0" fontId="4" fillId="0" borderId="0" xfId="0" applyFont="1" applyAlignment="1">
      <alignment wrapText="1"/>
    </xf>
    <xf numFmtId="0" fontId="0" fillId="0" borderId="0" xfId="0" applyAlignment="1"/>
    <xf numFmtId="0" fontId="0" fillId="0" borderId="0" xfId="0" applyAlignment="1">
      <alignment wrapText="1"/>
    </xf>
    <xf numFmtId="0" fontId="0" fillId="2" borderId="0" xfId="0" applyFill="1" applyAlignment="1">
      <alignment vertical="center" wrapText="1"/>
    </xf>
    <xf numFmtId="0" fontId="6" fillId="0" borderId="0" xfId="0" applyFont="1" applyAlignment="1">
      <alignment wrapText="1"/>
    </xf>
    <xf numFmtId="0" fontId="0" fillId="0" borderId="0" xfId="0">
      <alignment vertical="center"/>
    </xf>
    <xf numFmtId="0" fontId="0" fillId="0" borderId="0" xfId="0">
      <alignment vertical="center"/>
    </xf>
    <xf numFmtId="0" fontId="0" fillId="3" borderId="1" xfId="0" applyFill="1" applyBorder="1">
      <alignment vertical="center"/>
    </xf>
    <xf numFmtId="0" fontId="0" fillId="4" borderId="0" xfId="0" applyFill="1" applyAlignment="1">
      <alignment vertical="center" wrapText="1"/>
    </xf>
    <xf numFmtId="0" fontId="0" fillId="4" borderId="1" xfId="0" applyFill="1" applyBorder="1">
      <alignment vertical="center"/>
    </xf>
    <xf numFmtId="0" fontId="0" fillId="0" borderId="0" xfId="0" applyFill="1">
      <alignment vertical="center"/>
    </xf>
    <xf numFmtId="0" fontId="0" fillId="4" borderId="0" xfId="0" applyFill="1">
      <alignment vertical="center"/>
    </xf>
    <xf numFmtId="0" fontId="0" fillId="2" borderId="0" xfId="0" applyFill="1">
      <alignment vertical="center"/>
    </xf>
    <xf numFmtId="0" fontId="0" fillId="5" borderId="0" xfId="0" applyFill="1">
      <alignment vertical="center"/>
    </xf>
    <xf numFmtId="0" fontId="7" fillId="0" borderId="0" xfId="0" applyFont="1" applyFill="1">
      <alignment vertical="center"/>
    </xf>
    <xf numFmtId="0" fontId="8" fillId="6" borderId="0" xfId="0" applyFont="1" applyFill="1">
      <alignment vertical="center"/>
    </xf>
    <xf numFmtId="0" fontId="8" fillId="0" borderId="0" xfId="0" applyFont="1" applyFill="1">
      <alignment vertical="center"/>
    </xf>
    <xf numFmtId="0" fontId="0" fillId="6" borderId="0" xfId="0" applyFill="1">
      <alignment vertical="center"/>
    </xf>
    <xf numFmtId="0" fontId="0" fillId="2" borderId="0" xfId="0" applyFill="1" applyAlignment="1">
      <alignment vertical="center"/>
    </xf>
    <xf numFmtId="0" fontId="0" fillId="7" borderId="0" xfId="0" applyFill="1">
      <alignment vertical="center"/>
    </xf>
    <xf numFmtId="0" fontId="0" fillId="9" borderId="0" xfId="0" applyFill="1">
      <alignment vertical="center"/>
    </xf>
    <xf numFmtId="0" fontId="0" fillId="8" borderId="0" xfId="0" applyFill="1" applyAlignment="1">
      <alignment vertical="center" wrapText="1"/>
    </xf>
    <xf numFmtId="0" fontId="0" fillId="10" borderId="0" xfId="0" applyFill="1" applyAlignment="1">
      <alignment vertical="center" wrapText="1"/>
    </xf>
    <xf numFmtId="0" fontId="0" fillId="9" borderId="0" xfId="0" applyFill="1" applyAlignment="1">
      <alignment vertical="center" wrapText="1"/>
    </xf>
    <xf numFmtId="0" fontId="0" fillId="7" borderId="0" xfId="0" applyFill="1" applyAlignment="1">
      <alignment vertical="center" wrapText="1"/>
    </xf>
    <xf numFmtId="0" fontId="0" fillId="11" borderId="0" xfId="0" applyFill="1" applyAlignment="1">
      <alignment vertical="center" wrapText="1"/>
    </xf>
    <xf numFmtId="0" fontId="0" fillId="12" borderId="0" xfId="0" applyFill="1" applyAlignment="1">
      <alignment vertical="center" wrapText="1"/>
    </xf>
    <xf numFmtId="49" fontId="0" fillId="2" borderId="0" xfId="0" applyNumberFormat="1" applyFill="1" applyAlignment="1">
      <alignment vertical="center" wrapText="1"/>
    </xf>
    <xf numFmtId="0" fontId="0" fillId="0" borderId="0" xfId="0">
      <alignment vertical="center"/>
    </xf>
    <xf numFmtId="0" fontId="0" fillId="2" borderId="0" xfId="0" applyFill="1">
      <alignment vertical="center"/>
    </xf>
    <xf numFmtId="0" fontId="0" fillId="0" borderId="0" xfId="0" applyNumberFormat="1" applyFill="1" applyAlignment="1">
      <alignment vertical="center" wrapText="1"/>
    </xf>
    <xf numFmtId="176" fontId="0" fillId="0" borderId="0" xfId="0" applyNumberFormat="1">
      <alignment vertical="center"/>
    </xf>
    <xf numFmtId="177" fontId="0" fillId="0" borderId="0" xfId="0" applyNumberFormat="1">
      <alignment vertical="center"/>
    </xf>
    <xf numFmtId="177" fontId="0" fillId="0" borderId="0" xfId="0" applyNumberFormat="1" applyFill="1" applyAlignment="1">
      <alignment vertical="center" wrapText="1"/>
    </xf>
    <xf numFmtId="177" fontId="0" fillId="0" borderId="0" xfId="0" applyNumberFormat="1" applyAlignment="1">
      <alignment vertical="center" wrapText="1"/>
    </xf>
    <xf numFmtId="177" fontId="0" fillId="2" borderId="0" xfId="0" applyNumberFormat="1" applyFill="1" applyAlignment="1">
      <alignment vertical="center" wrapText="1"/>
    </xf>
    <xf numFmtId="177" fontId="0" fillId="2" borderId="0" xfId="0" applyNumberFormat="1" applyFill="1">
      <alignment vertical="center"/>
    </xf>
    <xf numFmtId="0" fontId="0" fillId="0" borderId="0" xfId="0" applyFill="1" applyAlignment="1"/>
    <xf numFmtId="178" fontId="0" fillId="0" borderId="0" xfId="0" applyNumberFormat="1">
      <alignment vertical="center"/>
    </xf>
    <xf numFmtId="0" fontId="0" fillId="3" borderId="2" xfId="0" applyFill="1" applyBorder="1">
      <alignment vertical="center"/>
    </xf>
    <xf numFmtId="176" fontId="0" fillId="0" borderId="0" xfId="0" applyNumberFormat="1" applyFill="1" applyAlignment="1">
      <alignment vertical="center" wrapText="1"/>
    </xf>
    <xf numFmtId="179" fontId="0" fillId="0" borderId="0" xfId="0" applyNumberFormat="1" applyFill="1" applyAlignment="1">
      <alignment vertical="center" wrapText="1"/>
    </xf>
    <xf numFmtId="0" fontId="0" fillId="3" borderId="0" xfId="0" applyFill="1" applyBorder="1">
      <alignment vertical="center"/>
    </xf>
    <xf numFmtId="0" fontId="9" fillId="0" borderId="0" xfId="0" applyFont="1">
      <alignment vertical="center"/>
    </xf>
    <xf numFmtId="0" fontId="0" fillId="2" borderId="0" xfId="0" applyFill="1" applyAlignment="1"/>
    <xf numFmtId="0" fontId="0" fillId="2" borderId="0" xfId="0" applyFill="1" applyAlignment="1">
      <alignment wrapText="1"/>
    </xf>
    <xf numFmtId="49" fontId="0" fillId="0" borderId="0" xfId="0" applyNumberFormat="1" applyAlignment="1"/>
    <xf numFmtId="49" fontId="0" fillId="0" borderId="0" xfId="0" applyNumberFormat="1">
      <alignment vertical="center"/>
    </xf>
    <xf numFmtId="0" fontId="0" fillId="0" borderId="0" xfId="0" applyNumberFormat="1">
      <alignment vertical="center"/>
    </xf>
  </cellXfs>
  <cellStyles count="1">
    <cellStyle name="常规"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backward val="5"/>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yVal>
            <c:numRef>
              <c:f>Sheet5!$K$13:$K$21</c:f>
              <c:numCache>
                <c:formatCode>General</c:formatCode>
                <c:ptCount val="9"/>
                <c:pt idx="0">
                  <c:v>82</c:v>
                </c:pt>
                <c:pt idx="1">
                  <c:v>115</c:v>
                </c:pt>
                <c:pt idx="2">
                  <c:v>144</c:v>
                </c:pt>
                <c:pt idx="3">
                  <c:v>166</c:v>
                </c:pt>
                <c:pt idx="4">
                  <c:v>189</c:v>
                </c:pt>
                <c:pt idx="5">
                  <c:v>206</c:v>
                </c:pt>
                <c:pt idx="6">
                  <c:v>224</c:v>
                </c:pt>
                <c:pt idx="7">
                  <c:v>238</c:v>
                </c:pt>
                <c:pt idx="8">
                  <c:v>253</c:v>
                </c:pt>
              </c:numCache>
            </c:numRef>
          </c:yVal>
          <c:smooth val="0"/>
          <c:extLst>
            <c:ext xmlns:c16="http://schemas.microsoft.com/office/drawing/2014/chart" uri="{C3380CC4-5D6E-409C-BE32-E72D297353CC}">
              <c16:uniqueId val="{00000000-FE08-4767-8F8E-AC7689BD78C9}"/>
            </c:ext>
          </c:extLst>
        </c:ser>
        <c:dLbls>
          <c:showLegendKey val="0"/>
          <c:showVal val="0"/>
          <c:showCatName val="0"/>
          <c:showSerName val="0"/>
          <c:showPercent val="0"/>
          <c:showBubbleSize val="0"/>
        </c:dLbls>
        <c:axId val="1084853119"/>
        <c:axId val="1084853535"/>
      </c:scatterChart>
      <c:valAx>
        <c:axId val="108485311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84853535"/>
        <c:crosses val="autoZero"/>
        <c:crossBetween val="midCat"/>
      </c:valAx>
      <c:valAx>
        <c:axId val="108485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848531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yVal>
            <c:numRef>
              <c:f>Sheet5!$K$40:$K$47</c:f>
              <c:numCache>
                <c:formatCode>General</c:formatCode>
                <c:ptCount val="8"/>
                <c:pt idx="0">
                  <c:v>82</c:v>
                </c:pt>
                <c:pt idx="1">
                  <c:v>115</c:v>
                </c:pt>
                <c:pt idx="2">
                  <c:v>173</c:v>
                </c:pt>
                <c:pt idx="3">
                  <c:v>271</c:v>
                </c:pt>
                <c:pt idx="4">
                  <c:v>424</c:v>
                </c:pt>
                <c:pt idx="5">
                  <c:v>647</c:v>
                </c:pt>
                <c:pt idx="6">
                  <c:v>955</c:v>
                </c:pt>
                <c:pt idx="7">
                  <c:v>1363</c:v>
                </c:pt>
              </c:numCache>
            </c:numRef>
          </c:yVal>
          <c:smooth val="0"/>
          <c:extLst>
            <c:ext xmlns:c16="http://schemas.microsoft.com/office/drawing/2014/chart" uri="{C3380CC4-5D6E-409C-BE32-E72D297353CC}">
              <c16:uniqueId val="{00000000-6A72-46FE-A382-1C4FE1363EA4}"/>
            </c:ext>
          </c:extLst>
        </c:ser>
        <c:dLbls>
          <c:showLegendKey val="0"/>
          <c:showVal val="0"/>
          <c:showCatName val="0"/>
          <c:showSerName val="0"/>
          <c:showPercent val="0"/>
          <c:showBubbleSize val="0"/>
        </c:dLbls>
        <c:axId val="1091996063"/>
        <c:axId val="1092002719"/>
      </c:scatterChart>
      <c:valAx>
        <c:axId val="10919960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2002719"/>
        <c:crosses val="autoZero"/>
        <c:crossBetween val="midCat"/>
      </c:valAx>
      <c:valAx>
        <c:axId val="109200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19960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133350</xdr:colOff>
      <xdr:row>3</xdr:row>
      <xdr:rowOff>114300</xdr:rowOff>
    </xdr:from>
    <xdr:to>
      <xdr:col>9</xdr:col>
      <xdr:colOff>495300</xdr:colOff>
      <xdr:row>35</xdr:row>
      <xdr:rowOff>19050</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638175</xdr:colOff>
      <xdr:row>37</xdr:row>
      <xdr:rowOff>85725</xdr:rowOff>
    </xdr:from>
    <xdr:to>
      <xdr:col>8</xdr:col>
      <xdr:colOff>409575</xdr:colOff>
      <xdr:row>53</xdr:row>
      <xdr:rowOff>85725</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AK415"/>
  <sheetViews>
    <sheetView tabSelected="1" zoomScaleNormal="100" workbookViewId="0">
      <pane xSplit="1" ySplit="3" topLeftCell="B4" activePane="bottomRight" state="frozen"/>
      <selection pane="topRight" activeCell="B1" sqref="B1"/>
      <selection pane="bottomLeft" activeCell="A4" sqref="A4"/>
      <selection pane="bottomRight" activeCell="G3" sqref="G3"/>
    </sheetView>
  </sheetViews>
  <sheetFormatPr defaultColWidth="7.75" defaultRowHeight="13.5" x14ac:dyDescent="0.15"/>
  <cols>
    <col min="1" max="1" width="11.125" style="1" customWidth="1"/>
    <col min="2" max="2" width="7.75" style="1" customWidth="1"/>
    <col min="3" max="3" width="11.75" style="1" customWidth="1"/>
    <col min="4" max="6" width="8.875" style="1" customWidth="1"/>
    <col min="7" max="7" width="27" style="1" customWidth="1"/>
    <col min="8" max="12" width="8.875" style="1" customWidth="1"/>
    <col min="13" max="14" width="11.875" style="1" customWidth="1"/>
    <col min="15" max="17" width="11.875" style="39" customWidth="1"/>
    <col min="18" max="19" width="11" style="2" customWidth="1"/>
    <col min="20" max="22" width="11" style="36" customWidth="1"/>
    <col min="23" max="24" width="11" style="2" customWidth="1"/>
    <col min="25" max="25" width="8.375" style="1" customWidth="1"/>
    <col min="26" max="35" width="7.75" style="1" customWidth="1"/>
    <col min="36" max="36" width="92.125" style="1" customWidth="1"/>
    <col min="37" max="37" width="17.75" style="1" customWidth="1"/>
    <col min="38" max="16384" width="7.75" style="1"/>
  </cols>
  <sheetData>
    <row r="2" spans="1:37" ht="27" x14ac:dyDescent="0.15">
      <c r="A2" s="1" t="s">
        <v>1</v>
      </c>
      <c r="B2" s="1" t="s">
        <v>0</v>
      </c>
      <c r="C2" s="1" t="s">
        <v>1</v>
      </c>
      <c r="D2" s="1" t="s">
        <v>12</v>
      </c>
      <c r="E2" s="1" t="s">
        <v>12</v>
      </c>
      <c r="F2" s="1" t="s">
        <v>0</v>
      </c>
      <c r="G2" s="1" t="s">
        <v>1638</v>
      </c>
      <c r="H2" s="2" t="s">
        <v>11</v>
      </c>
      <c r="I2" s="1" t="s">
        <v>15</v>
      </c>
      <c r="J2" s="1" t="s">
        <v>15</v>
      </c>
      <c r="K2" s="1" t="s">
        <v>712</v>
      </c>
      <c r="L2" s="1" t="s">
        <v>18</v>
      </c>
      <c r="M2" s="1" t="s">
        <v>3</v>
      </c>
      <c r="N2" s="1" t="s">
        <v>0</v>
      </c>
      <c r="O2" s="39" t="s">
        <v>0</v>
      </c>
      <c r="P2" s="39" t="s">
        <v>0</v>
      </c>
      <c r="Q2" s="39" t="s">
        <v>1597</v>
      </c>
      <c r="R2" s="2" t="s">
        <v>11</v>
      </c>
      <c r="S2" s="2" t="s">
        <v>11</v>
      </c>
      <c r="T2" s="36" t="s">
        <v>781</v>
      </c>
      <c r="U2" s="36" t="s">
        <v>781</v>
      </c>
      <c r="V2" s="36" t="s">
        <v>0</v>
      </c>
      <c r="W2" s="2" t="s">
        <v>11</v>
      </c>
      <c r="X2" s="2" t="s">
        <v>783</v>
      </c>
      <c r="Y2" s="1" t="s">
        <v>694</v>
      </c>
      <c r="Z2" s="1" t="s">
        <v>694</v>
      </c>
      <c r="AA2" s="1" t="s">
        <v>694</v>
      </c>
      <c r="AB2" s="1" t="s">
        <v>694</v>
      </c>
      <c r="AC2" s="1" t="s">
        <v>694</v>
      </c>
      <c r="AD2" s="1" t="s">
        <v>694</v>
      </c>
      <c r="AE2" s="1" t="s">
        <v>694</v>
      </c>
      <c r="AF2" s="1" t="s">
        <v>694</v>
      </c>
      <c r="AG2" s="1" t="s">
        <v>694</v>
      </c>
      <c r="AH2" s="1" t="s">
        <v>694</v>
      </c>
      <c r="AI2" s="1" t="s">
        <v>694</v>
      </c>
      <c r="AJ2" s="1" t="s">
        <v>1</v>
      </c>
      <c r="AK2" s="1" t="s">
        <v>1</v>
      </c>
    </row>
    <row r="3" spans="1:37" ht="27" x14ac:dyDescent="0.15">
      <c r="A3" s="1" t="s">
        <v>5</v>
      </c>
      <c r="B3" s="1" t="s">
        <v>2</v>
      </c>
      <c r="C3" s="1" t="s">
        <v>26</v>
      </c>
      <c r="D3" s="1" t="s">
        <v>13</v>
      </c>
      <c r="E3" s="1" t="s">
        <v>14</v>
      </c>
      <c r="F3" s="1" t="s">
        <v>695</v>
      </c>
      <c r="G3" s="1" t="s">
        <v>1637</v>
      </c>
      <c r="H3" s="1" t="s">
        <v>1555</v>
      </c>
      <c r="I3" s="1" t="s">
        <v>16</v>
      </c>
      <c r="J3" s="1" t="s">
        <v>32</v>
      </c>
      <c r="K3" s="1" t="s">
        <v>1624</v>
      </c>
      <c r="L3" s="1" t="s">
        <v>17</v>
      </c>
      <c r="M3" s="1" t="s">
        <v>4</v>
      </c>
      <c r="N3" s="1" t="s">
        <v>19</v>
      </c>
      <c r="O3" s="39" t="s">
        <v>20</v>
      </c>
      <c r="P3" s="39" t="s">
        <v>21</v>
      </c>
      <c r="Q3" s="39" t="s">
        <v>1595</v>
      </c>
      <c r="R3" s="2" t="s">
        <v>7</v>
      </c>
      <c r="S3" s="2" t="s">
        <v>8</v>
      </c>
      <c r="T3" s="36" t="s">
        <v>799</v>
      </c>
      <c r="U3" s="36" t="s">
        <v>10</v>
      </c>
      <c r="V3" s="36" t="s">
        <v>804</v>
      </c>
      <c r="W3" s="2" t="s">
        <v>9</v>
      </c>
      <c r="X3" s="2" t="s">
        <v>784</v>
      </c>
      <c r="Y3" s="1" t="s">
        <v>683</v>
      </c>
      <c r="Z3" s="1" t="s">
        <v>684</v>
      </c>
      <c r="AA3" s="1" t="s">
        <v>685</v>
      </c>
      <c r="AB3" s="1" t="s">
        <v>686</v>
      </c>
      <c r="AC3" s="1" t="s">
        <v>687</v>
      </c>
      <c r="AD3" s="1" t="s">
        <v>688</v>
      </c>
      <c r="AE3" s="1" t="s">
        <v>689</v>
      </c>
      <c r="AF3" s="1" t="s">
        <v>690</v>
      </c>
      <c r="AG3" s="1" t="s">
        <v>691</v>
      </c>
      <c r="AH3" s="1" t="s">
        <v>692</v>
      </c>
      <c r="AI3" s="1" t="s">
        <v>693</v>
      </c>
      <c r="AJ3" s="1" t="s">
        <v>6</v>
      </c>
      <c r="AK3" s="1" t="s">
        <v>1378</v>
      </c>
    </row>
    <row r="4" spans="1:37" x14ac:dyDescent="0.15">
      <c r="A4" s="1" t="s">
        <v>112</v>
      </c>
      <c r="B4" s="1">
        <v>1</v>
      </c>
      <c r="C4" s="1" t="s">
        <v>113</v>
      </c>
      <c r="D4" s="1">
        <v>-1</v>
      </c>
      <c r="E4" s="1">
        <v>0</v>
      </c>
      <c r="F4" s="1">
        <v>0</v>
      </c>
      <c r="H4" s="1">
        <v>0</v>
      </c>
      <c r="I4" s="1">
        <v>0</v>
      </c>
      <c r="J4" s="1">
        <v>0</v>
      </c>
      <c r="K4" s="1">
        <v>0</v>
      </c>
      <c r="L4" s="1">
        <v>0</v>
      </c>
      <c r="M4" s="1">
        <v>0</v>
      </c>
      <c r="N4" s="3">
        <v>1</v>
      </c>
      <c r="O4" s="39">
        <v>0</v>
      </c>
      <c r="P4" s="39">
        <v>10</v>
      </c>
      <c r="T4" s="36" t="s">
        <v>801</v>
      </c>
      <c r="U4" s="36" t="s">
        <v>802</v>
      </c>
      <c r="V4" s="36">
        <v>0</v>
      </c>
      <c r="X4" s="2" t="s">
        <v>785</v>
      </c>
      <c r="Y4" s="1">
        <v>0</v>
      </c>
      <c r="Z4" s="1">
        <v>0</v>
      </c>
      <c r="AA4" s="1">
        <v>0</v>
      </c>
      <c r="AB4" s="1">
        <v>0</v>
      </c>
      <c r="AC4" s="1">
        <v>0</v>
      </c>
      <c r="AD4" s="1">
        <v>0</v>
      </c>
      <c r="AE4" s="1">
        <v>0</v>
      </c>
      <c r="AF4" s="1">
        <v>0</v>
      </c>
      <c r="AG4" s="1">
        <v>0</v>
      </c>
      <c r="AH4" s="1">
        <v>0</v>
      </c>
      <c r="AI4" s="1">
        <v>0</v>
      </c>
      <c r="AJ4" s="1" t="s">
        <v>114</v>
      </c>
    </row>
    <row r="5" spans="1:37" x14ac:dyDescent="0.15">
      <c r="A5" s="1" t="s">
        <v>318</v>
      </c>
      <c r="B5" s="1">
        <v>20</v>
      </c>
      <c r="C5" s="1" t="s">
        <v>318</v>
      </c>
      <c r="D5" s="1">
        <v>4</v>
      </c>
      <c r="E5" s="1">
        <v>0</v>
      </c>
      <c r="F5" s="1">
        <v>0</v>
      </c>
      <c r="H5" s="1">
        <v>0</v>
      </c>
      <c r="I5" s="1">
        <v>0</v>
      </c>
      <c r="J5" s="1">
        <v>0</v>
      </c>
      <c r="K5" s="1">
        <v>0</v>
      </c>
      <c r="L5" s="1">
        <v>0</v>
      </c>
      <c r="M5" s="1">
        <v>0</v>
      </c>
      <c r="N5" s="3">
        <v>1</v>
      </c>
      <c r="O5" s="39">
        <v>0</v>
      </c>
      <c r="P5" s="39">
        <v>10</v>
      </c>
      <c r="T5" s="36" t="s">
        <v>801</v>
      </c>
      <c r="U5" s="36" t="s">
        <v>802</v>
      </c>
      <c r="V5" s="36">
        <v>0</v>
      </c>
      <c r="X5" s="2" t="s">
        <v>785</v>
      </c>
      <c r="Y5" s="1">
        <v>0</v>
      </c>
      <c r="Z5" s="1">
        <v>0</v>
      </c>
      <c r="AA5" s="1">
        <v>0</v>
      </c>
      <c r="AB5" s="1">
        <v>0</v>
      </c>
      <c r="AC5" s="1">
        <v>0</v>
      </c>
      <c r="AD5" s="1">
        <v>0</v>
      </c>
      <c r="AE5" s="1">
        <v>0</v>
      </c>
      <c r="AF5" s="1">
        <v>0</v>
      </c>
      <c r="AG5" s="1">
        <v>0</v>
      </c>
      <c r="AH5" s="1">
        <v>0</v>
      </c>
      <c r="AI5" s="1">
        <v>0</v>
      </c>
      <c r="AJ5" s="1" t="s">
        <v>115</v>
      </c>
    </row>
    <row r="6" spans="1:37" x14ac:dyDescent="0.15">
      <c r="A6" s="1" t="s">
        <v>319</v>
      </c>
      <c r="B6" s="1">
        <v>21</v>
      </c>
      <c r="C6" s="1" t="s">
        <v>319</v>
      </c>
      <c r="D6" s="1">
        <v>4</v>
      </c>
      <c r="E6" s="1">
        <v>0</v>
      </c>
      <c r="F6" s="1">
        <v>0</v>
      </c>
      <c r="H6" s="1">
        <v>0</v>
      </c>
      <c r="I6" s="1">
        <v>0</v>
      </c>
      <c r="J6" s="1">
        <v>0</v>
      </c>
      <c r="K6" s="1">
        <v>0</v>
      </c>
      <c r="L6" s="1">
        <v>0</v>
      </c>
      <c r="M6" s="1">
        <v>0</v>
      </c>
      <c r="N6" s="3">
        <v>1</v>
      </c>
      <c r="O6" s="39">
        <v>0</v>
      </c>
      <c r="P6" s="39">
        <v>10</v>
      </c>
      <c r="T6" s="36" t="s">
        <v>801</v>
      </c>
      <c r="U6" s="36" t="s">
        <v>802</v>
      </c>
      <c r="V6" s="36">
        <v>0</v>
      </c>
      <c r="X6" s="2" t="s">
        <v>785</v>
      </c>
      <c r="Y6" s="1">
        <v>0</v>
      </c>
      <c r="Z6" s="1">
        <v>0</v>
      </c>
      <c r="AA6" s="1">
        <v>0</v>
      </c>
      <c r="AB6" s="1">
        <v>0</v>
      </c>
      <c r="AC6" s="1">
        <v>0</v>
      </c>
      <c r="AD6" s="1">
        <v>0</v>
      </c>
      <c r="AE6" s="1">
        <v>0</v>
      </c>
      <c r="AF6" s="1">
        <v>0</v>
      </c>
      <c r="AG6" s="1">
        <v>0</v>
      </c>
      <c r="AH6" s="1">
        <v>0</v>
      </c>
      <c r="AI6" s="1">
        <v>0</v>
      </c>
      <c r="AJ6" s="1" t="s">
        <v>115</v>
      </c>
    </row>
    <row r="7" spans="1:37" x14ac:dyDescent="0.15">
      <c r="A7" s="1" t="s">
        <v>320</v>
      </c>
      <c r="B7" s="1">
        <v>22</v>
      </c>
      <c r="C7" s="1" t="s">
        <v>320</v>
      </c>
      <c r="D7" s="1">
        <v>4</v>
      </c>
      <c r="E7" s="1">
        <v>0</v>
      </c>
      <c r="F7" s="1">
        <v>0</v>
      </c>
      <c r="H7" s="1">
        <v>0</v>
      </c>
      <c r="I7" s="1">
        <v>0</v>
      </c>
      <c r="J7" s="1">
        <v>0</v>
      </c>
      <c r="K7" s="1">
        <v>0</v>
      </c>
      <c r="L7" s="1">
        <v>0</v>
      </c>
      <c r="M7" s="1">
        <v>0</v>
      </c>
      <c r="N7" s="3">
        <v>1</v>
      </c>
      <c r="O7" s="39">
        <v>0</v>
      </c>
      <c r="P7" s="39">
        <v>10</v>
      </c>
      <c r="T7" s="36" t="s">
        <v>801</v>
      </c>
      <c r="U7" s="36" t="s">
        <v>802</v>
      </c>
      <c r="V7" s="36">
        <v>0</v>
      </c>
      <c r="X7" s="2" t="s">
        <v>785</v>
      </c>
      <c r="Y7" s="1">
        <v>0</v>
      </c>
      <c r="Z7" s="1">
        <v>0</v>
      </c>
      <c r="AA7" s="1">
        <v>0</v>
      </c>
      <c r="AB7" s="1">
        <v>0</v>
      </c>
      <c r="AC7" s="1">
        <v>0</v>
      </c>
      <c r="AD7" s="1">
        <v>0</v>
      </c>
      <c r="AE7" s="1">
        <v>0</v>
      </c>
      <c r="AF7" s="1">
        <v>0</v>
      </c>
      <c r="AG7" s="1">
        <v>0</v>
      </c>
      <c r="AH7" s="1">
        <v>0</v>
      </c>
      <c r="AI7" s="1">
        <v>0</v>
      </c>
      <c r="AJ7" s="1" t="s">
        <v>115</v>
      </c>
    </row>
    <row r="8" spans="1:37" x14ac:dyDescent="0.15">
      <c r="A8" s="1" t="s">
        <v>321</v>
      </c>
      <c r="B8" s="1">
        <v>23</v>
      </c>
      <c r="C8" s="1" t="s">
        <v>321</v>
      </c>
      <c r="D8" s="1">
        <v>4</v>
      </c>
      <c r="E8" s="1">
        <v>0</v>
      </c>
      <c r="F8" s="1">
        <v>0</v>
      </c>
      <c r="H8" s="1">
        <v>0</v>
      </c>
      <c r="I8" s="1">
        <v>0</v>
      </c>
      <c r="J8" s="1">
        <v>0</v>
      </c>
      <c r="K8" s="1">
        <v>0</v>
      </c>
      <c r="L8" s="1">
        <v>0</v>
      </c>
      <c r="M8" s="1">
        <v>0</v>
      </c>
      <c r="N8" s="3">
        <v>1</v>
      </c>
      <c r="O8" s="39">
        <v>0</v>
      </c>
      <c r="P8" s="39">
        <v>10</v>
      </c>
      <c r="T8" s="36" t="s">
        <v>801</v>
      </c>
      <c r="U8" s="36" t="s">
        <v>802</v>
      </c>
      <c r="V8" s="36">
        <v>0</v>
      </c>
      <c r="X8" s="2" t="s">
        <v>785</v>
      </c>
      <c r="Y8" s="1">
        <v>0</v>
      </c>
      <c r="Z8" s="1">
        <v>0</v>
      </c>
      <c r="AA8" s="1">
        <v>0</v>
      </c>
      <c r="AB8" s="1">
        <v>0</v>
      </c>
      <c r="AC8" s="1">
        <v>0</v>
      </c>
      <c r="AD8" s="1">
        <v>0</v>
      </c>
      <c r="AE8" s="1">
        <v>0</v>
      </c>
      <c r="AF8" s="1">
        <v>0</v>
      </c>
      <c r="AG8" s="1">
        <v>0</v>
      </c>
      <c r="AH8" s="1">
        <v>0</v>
      </c>
      <c r="AI8" s="1">
        <v>0</v>
      </c>
      <c r="AJ8" s="1" t="s">
        <v>115</v>
      </c>
    </row>
    <row r="9" spans="1:37" x14ac:dyDescent="0.15">
      <c r="A9" s="1" t="s">
        <v>322</v>
      </c>
      <c r="B9" s="1">
        <v>24</v>
      </c>
      <c r="C9" s="1" t="s">
        <v>322</v>
      </c>
      <c r="D9" s="1">
        <v>4</v>
      </c>
      <c r="E9" s="1">
        <v>0</v>
      </c>
      <c r="F9" s="1">
        <v>0</v>
      </c>
      <c r="H9" s="1">
        <v>0</v>
      </c>
      <c r="I9" s="1">
        <v>0</v>
      </c>
      <c r="J9" s="1">
        <v>0</v>
      </c>
      <c r="K9" s="1">
        <v>0</v>
      </c>
      <c r="L9" s="1">
        <v>0</v>
      </c>
      <c r="M9" s="1">
        <v>0</v>
      </c>
      <c r="N9" s="3">
        <v>1</v>
      </c>
      <c r="O9" s="39">
        <v>0</v>
      </c>
      <c r="P9" s="39">
        <v>10</v>
      </c>
      <c r="T9" s="36" t="s">
        <v>801</v>
      </c>
      <c r="U9" s="36" t="s">
        <v>802</v>
      </c>
      <c r="V9" s="36">
        <v>0</v>
      </c>
      <c r="X9" s="2" t="s">
        <v>785</v>
      </c>
      <c r="Y9" s="1">
        <v>0</v>
      </c>
      <c r="Z9" s="1">
        <v>0</v>
      </c>
      <c r="AA9" s="1">
        <v>0</v>
      </c>
      <c r="AB9" s="1">
        <v>0</v>
      </c>
      <c r="AC9" s="1">
        <v>0</v>
      </c>
      <c r="AD9" s="1">
        <v>0</v>
      </c>
      <c r="AE9" s="1">
        <v>0</v>
      </c>
      <c r="AF9" s="1">
        <v>0</v>
      </c>
      <c r="AG9" s="1">
        <v>0</v>
      </c>
      <c r="AH9" s="1">
        <v>0</v>
      </c>
      <c r="AI9" s="1">
        <v>0</v>
      </c>
      <c r="AJ9" s="1" t="s">
        <v>115</v>
      </c>
    </row>
    <row r="10" spans="1:37" x14ac:dyDescent="0.15">
      <c r="A10" s="1" t="s">
        <v>614</v>
      </c>
      <c r="B10" s="1">
        <v>25</v>
      </c>
      <c r="C10" s="1" t="s">
        <v>676</v>
      </c>
      <c r="D10" s="1">
        <v>4</v>
      </c>
      <c r="E10" s="1">
        <v>0</v>
      </c>
      <c r="F10" s="1">
        <v>0</v>
      </c>
      <c r="H10" s="1">
        <v>0</v>
      </c>
      <c r="I10" s="1">
        <v>0</v>
      </c>
      <c r="J10" s="1">
        <v>0</v>
      </c>
      <c r="K10" s="1">
        <v>0</v>
      </c>
      <c r="L10" s="1">
        <v>0</v>
      </c>
      <c r="M10" s="1">
        <v>0</v>
      </c>
      <c r="N10" s="3">
        <v>1</v>
      </c>
      <c r="O10" s="39">
        <v>0</v>
      </c>
      <c r="P10" s="39">
        <v>10</v>
      </c>
      <c r="T10" s="36" t="s">
        <v>801</v>
      </c>
      <c r="U10" s="36" t="s">
        <v>802</v>
      </c>
      <c r="V10" s="36">
        <v>0</v>
      </c>
      <c r="X10" s="2" t="s">
        <v>785</v>
      </c>
      <c r="Y10" s="1">
        <v>0</v>
      </c>
      <c r="Z10" s="1">
        <v>0</v>
      </c>
      <c r="AA10" s="1">
        <v>0</v>
      </c>
      <c r="AB10" s="1">
        <v>0</v>
      </c>
      <c r="AC10" s="1">
        <v>0</v>
      </c>
      <c r="AD10" s="1">
        <v>0</v>
      </c>
      <c r="AE10" s="1">
        <v>0</v>
      </c>
      <c r="AF10" s="1">
        <v>0</v>
      </c>
      <c r="AG10" s="1">
        <v>0</v>
      </c>
      <c r="AH10" s="1">
        <v>0</v>
      </c>
      <c r="AI10" s="1">
        <v>0</v>
      </c>
      <c r="AJ10" s="1" t="s">
        <v>613</v>
      </c>
    </row>
    <row r="11" spans="1:37" x14ac:dyDescent="0.15">
      <c r="A11" s="1" t="s">
        <v>612</v>
      </c>
      <c r="B11" s="1">
        <v>26</v>
      </c>
      <c r="C11" s="1" t="s">
        <v>678</v>
      </c>
      <c r="D11" s="1">
        <v>4</v>
      </c>
      <c r="E11" s="1">
        <v>0</v>
      </c>
      <c r="F11" s="1">
        <v>0</v>
      </c>
      <c r="H11" s="1">
        <v>0</v>
      </c>
      <c r="I11" s="1">
        <v>0</v>
      </c>
      <c r="J11" s="1">
        <v>0</v>
      </c>
      <c r="K11" s="1">
        <v>0</v>
      </c>
      <c r="L11" s="1">
        <v>0</v>
      </c>
      <c r="M11" s="1">
        <v>0</v>
      </c>
      <c r="N11" s="3">
        <v>1</v>
      </c>
      <c r="O11" s="39">
        <v>0</v>
      </c>
      <c r="P11" s="39">
        <v>10</v>
      </c>
      <c r="T11" s="36" t="s">
        <v>801</v>
      </c>
      <c r="U11" s="36" t="s">
        <v>802</v>
      </c>
      <c r="V11" s="36">
        <v>0</v>
      </c>
      <c r="X11" s="2" t="s">
        <v>785</v>
      </c>
      <c r="Y11" s="1">
        <v>0</v>
      </c>
      <c r="Z11" s="1">
        <v>0</v>
      </c>
      <c r="AA11" s="1">
        <v>0</v>
      </c>
      <c r="AB11" s="1">
        <v>0</v>
      </c>
      <c r="AC11" s="1">
        <v>0</v>
      </c>
      <c r="AD11" s="1">
        <v>0</v>
      </c>
      <c r="AE11" s="1">
        <v>0</v>
      </c>
      <c r="AF11" s="1">
        <v>0</v>
      </c>
      <c r="AG11" s="1">
        <v>0</v>
      </c>
      <c r="AH11" s="1">
        <v>0</v>
      </c>
      <c r="AI11" s="1">
        <v>0</v>
      </c>
      <c r="AJ11" s="1" t="s">
        <v>613</v>
      </c>
    </row>
    <row r="12" spans="1:37" x14ac:dyDescent="0.15">
      <c r="A12" s="1" t="s">
        <v>615</v>
      </c>
      <c r="B12" s="1">
        <v>27</v>
      </c>
      <c r="C12" s="1" t="s">
        <v>677</v>
      </c>
      <c r="D12" s="1">
        <v>4</v>
      </c>
      <c r="E12" s="1">
        <v>0</v>
      </c>
      <c r="F12" s="1">
        <v>0</v>
      </c>
      <c r="H12" s="1">
        <v>0</v>
      </c>
      <c r="I12" s="1">
        <v>0</v>
      </c>
      <c r="J12" s="1">
        <v>0</v>
      </c>
      <c r="K12" s="1">
        <v>0</v>
      </c>
      <c r="L12" s="1">
        <v>0</v>
      </c>
      <c r="M12" s="1">
        <v>0</v>
      </c>
      <c r="N12" s="3">
        <v>1</v>
      </c>
      <c r="O12" s="39">
        <v>0</v>
      </c>
      <c r="P12" s="39">
        <v>10</v>
      </c>
      <c r="T12" s="36" t="s">
        <v>801</v>
      </c>
      <c r="U12" s="36" t="s">
        <v>802</v>
      </c>
      <c r="V12" s="36">
        <v>0</v>
      </c>
      <c r="X12" s="2" t="s">
        <v>785</v>
      </c>
      <c r="Y12" s="1">
        <v>0</v>
      </c>
      <c r="Z12" s="1">
        <v>0</v>
      </c>
      <c r="AA12" s="1">
        <v>0</v>
      </c>
      <c r="AB12" s="1">
        <v>0</v>
      </c>
      <c r="AC12" s="1">
        <v>0</v>
      </c>
      <c r="AD12" s="1">
        <v>0</v>
      </c>
      <c r="AE12" s="1">
        <v>0</v>
      </c>
      <c r="AF12" s="1">
        <v>0</v>
      </c>
      <c r="AG12" s="1">
        <v>0</v>
      </c>
      <c r="AH12" s="1">
        <v>0</v>
      </c>
      <c r="AI12" s="1">
        <v>0</v>
      </c>
      <c r="AJ12" s="1" t="s">
        <v>613</v>
      </c>
    </row>
    <row r="13" spans="1:37" x14ac:dyDescent="0.15">
      <c r="A13" s="1" t="s">
        <v>770</v>
      </c>
      <c r="B13" s="1">
        <v>11</v>
      </c>
      <c r="C13" s="1" t="s">
        <v>118</v>
      </c>
      <c r="D13" s="1">
        <v>5</v>
      </c>
      <c r="E13" s="1">
        <v>0</v>
      </c>
      <c r="F13" s="1">
        <v>0</v>
      </c>
      <c r="H13" s="1">
        <v>0</v>
      </c>
      <c r="I13" s="1">
        <v>0</v>
      </c>
      <c r="J13" s="1">
        <v>0</v>
      </c>
      <c r="K13" s="1">
        <v>0</v>
      </c>
      <c r="L13" s="1">
        <v>0</v>
      </c>
      <c r="M13" s="1">
        <v>9</v>
      </c>
      <c r="N13" s="3">
        <v>1</v>
      </c>
      <c r="O13" s="39">
        <v>1000</v>
      </c>
      <c r="P13" s="39">
        <f>O13/2</f>
        <v>500</v>
      </c>
      <c r="T13" s="36" t="s">
        <v>800</v>
      </c>
      <c r="U13" s="36" t="s">
        <v>782</v>
      </c>
      <c r="V13" s="36">
        <v>0</v>
      </c>
      <c r="X13" s="2" t="s">
        <v>785</v>
      </c>
      <c r="Y13" s="1">
        <v>0</v>
      </c>
      <c r="Z13" s="1">
        <v>0</v>
      </c>
      <c r="AA13" s="1">
        <v>0</v>
      </c>
      <c r="AB13" s="1">
        <v>0</v>
      </c>
      <c r="AC13" s="1">
        <v>0</v>
      </c>
      <c r="AD13" s="1">
        <v>0</v>
      </c>
      <c r="AE13" s="1">
        <v>0</v>
      </c>
      <c r="AF13" s="1">
        <v>0</v>
      </c>
      <c r="AG13" s="1">
        <v>0</v>
      </c>
      <c r="AH13" s="1">
        <v>0</v>
      </c>
      <c r="AI13" s="1">
        <v>0</v>
      </c>
      <c r="AJ13" s="1" t="s">
        <v>119</v>
      </c>
    </row>
    <row r="14" spans="1:37" x14ac:dyDescent="0.15">
      <c r="A14" s="1" t="s">
        <v>156</v>
      </c>
      <c r="B14" s="1">
        <v>12</v>
      </c>
      <c r="C14" s="1" t="s">
        <v>156</v>
      </c>
      <c r="D14" s="1">
        <v>5</v>
      </c>
      <c r="E14" s="1">
        <v>0</v>
      </c>
      <c r="F14" s="1">
        <v>0</v>
      </c>
      <c r="H14" s="1">
        <v>0</v>
      </c>
      <c r="I14" s="1">
        <v>0</v>
      </c>
      <c r="J14" s="1">
        <v>0</v>
      </c>
      <c r="K14" s="1">
        <v>0</v>
      </c>
      <c r="L14" s="1">
        <v>0</v>
      </c>
      <c r="M14" s="1">
        <v>19</v>
      </c>
      <c r="N14" s="3">
        <v>1</v>
      </c>
      <c r="O14" s="39">
        <v>52</v>
      </c>
      <c r="P14" s="39">
        <f t="shared" ref="P14:P19" si="0">O14/2</f>
        <v>26</v>
      </c>
      <c r="T14" s="36" t="s">
        <v>800</v>
      </c>
      <c r="U14" s="36" t="s">
        <v>802</v>
      </c>
      <c r="V14" s="36">
        <v>0</v>
      </c>
      <c r="X14" s="2" t="s">
        <v>785</v>
      </c>
      <c r="Y14" s="1">
        <v>0</v>
      </c>
      <c r="Z14" s="1">
        <v>0</v>
      </c>
      <c r="AA14" s="1">
        <v>0</v>
      </c>
      <c r="AB14" s="1">
        <v>0</v>
      </c>
      <c r="AC14" s="1">
        <v>0</v>
      </c>
      <c r="AD14" s="1">
        <v>0</v>
      </c>
      <c r="AE14" s="1">
        <v>0</v>
      </c>
      <c r="AF14" s="1">
        <v>0</v>
      </c>
      <c r="AG14" s="1">
        <v>0</v>
      </c>
      <c r="AH14" s="1">
        <v>0</v>
      </c>
      <c r="AI14" s="1">
        <v>0</v>
      </c>
      <c r="AJ14" s="1" t="s">
        <v>157</v>
      </c>
    </row>
    <row r="15" spans="1:37" x14ac:dyDescent="0.15">
      <c r="A15" s="1" t="s">
        <v>767</v>
      </c>
      <c r="B15" s="1">
        <v>20</v>
      </c>
      <c r="C15" s="27" t="s">
        <v>766</v>
      </c>
      <c r="D15" s="1">
        <v>5</v>
      </c>
      <c r="E15" s="1">
        <v>1000</v>
      </c>
      <c r="F15" s="1">
        <v>0</v>
      </c>
      <c r="H15" s="1">
        <v>0</v>
      </c>
      <c r="I15" s="1">
        <v>0</v>
      </c>
      <c r="J15" s="1">
        <v>0</v>
      </c>
      <c r="K15" s="1">
        <v>0</v>
      </c>
      <c r="L15" s="1">
        <v>0</v>
      </c>
      <c r="M15" s="1">
        <v>9</v>
      </c>
      <c r="N15" s="3">
        <v>1</v>
      </c>
      <c r="O15" s="39">
        <v>500</v>
      </c>
      <c r="P15" s="39">
        <f t="shared" si="0"/>
        <v>250</v>
      </c>
      <c r="T15" s="36" t="s">
        <v>800</v>
      </c>
      <c r="U15" s="36">
        <v>50</v>
      </c>
      <c r="V15" s="36">
        <v>0</v>
      </c>
      <c r="X15" s="2" t="s">
        <v>785</v>
      </c>
      <c r="Y15" s="1">
        <v>0</v>
      </c>
      <c r="Z15" s="1">
        <v>0</v>
      </c>
      <c r="AA15" s="1">
        <v>0</v>
      </c>
      <c r="AB15" s="1">
        <v>0</v>
      </c>
      <c r="AC15" s="1">
        <v>0</v>
      </c>
      <c r="AD15" s="1">
        <v>0</v>
      </c>
      <c r="AE15" s="1">
        <v>0</v>
      </c>
      <c r="AF15" s="1">
        <v>0</v>
      </c>
      <c r="AG15" s="1">
        <v>0</v>
      </c>
      <c r="AH15" s="1">
        <v>0</v>
      </c>
      <c r="AI15" s="1">
        <v>0</v>
      </c>
      <c r="AJ15" s="1" t="s">
        <v>968</v>
      </c>
    </row>
    <row r="16" spans="1:37" x14ac:dyDescent="0.15">
      <c r="A16" s="1" t="s">
        <v>768</v>
      </c>
      <c r="B16" s="1">
        <v>21</v>
      </c>
      <c r="C16" s="27" t="s">
        <v>765</v>
      </c>
      <c r="D16" s="1">
        <v>5</v>
      </c>
      <c r="E16" s="1">
        <v>1001</v>
      </c>
      <c r="F16" s="1">
        <v>0</v>
      </c>
      <c r="H16" s="1">
        <v>0</v>
      </c>
      <c r="I16" s="1">
        <v>0</v>
      </c>
      <c r="J16" s="1">
        <v>0</v>
      </c>
      <c r="K16" s="1">
        <v>0</v>
      </c>
      <c r="L16" s="1">
        <v>0</v>
      </c>
      <c r="M16" s="1">
        <v>9</v>
      </c>
      <c r="N16" s="3">
        <v>1</v>
      </c>
      <c r="O16" s="39">
        <v>500</v>
      </c>
      <c r="P16" s="39">
        <f t="shared" si="0"/>
        <v>250</v>
      </c>
      <c r="T16" s="36" t="s">
        <v>800</v>
      </c>
      <c r="U16" s="36">
        <v>50</v>
      </c>
      <c r="V16" s="36">
        <v>0</v>
      </c>
      <c r="X16" s="2" t="s">
        <v>785</v>
      </c>
      <c r="Y16" s="1">
        <v>0</v>
      </c>
      <c r="Z16" s="1">
        <v>0</v>
      </c>
      <c r="AA16" s="1">
        <v>0</v>
      </c>
      <c r="AB16" s="1">
        <v>0</v>
      </c>
      <c r="AC16" s="1">
        <v>0</v>
      </c>
      <c r="AD16" s="1">
        <v>0</v>
      </c>
      <c r="AE16" s="1">
        <v>0</v>
      </c>
      <c r="AF16" s="1">
        <v>0</v>
      </c>
      <c r="AG16" s="1">
        <v>0</v>
      </c>
      <c r="AH16" s="1">
        <v>0</v>
      </c>
      <c r="AI16" s="1">
        <v>0</v>
      </c>
      <c r="AJ16" s="1" t="s">
        <v>969</v>
      </c>
    </row>
    <row r="17" spans="1:36" x14ac:dyDescent="0.15">
      <c r="A17" s="1" t="s">
        <v>769</v>
      </c>
      <c r="B17" s="1">
        <v>22</v>
      </c>
      <c r="C17" s="27" t="s">
        <v>761</v>
      </c>
      <c r="D17" s="1">
        <v>5</v>
      </c>
      <c r="E17" s="1">
        <v>1002</v>
      </c>
      <c r="F17" s="1">
        <v>0</v>
      </c>
      <c r="H17" s="1">
        <v>0</v>
      </c>
      <c r="I17" s="1">
        <v>0</v>
      </c>
      <c r="J17" s="1">
        <v>0</v>
      </c>
      <c r="K17" s="1">
        <v>0</v>
      </c>
      <c r="L17" s="1">
        <v>0</v>
      </c>
      <c r="M17" s="1">
        <v>9</v>
      </c>
      <c r="N17" s="3">
        <v>1</v>
      </c>
      <c r="O17" s="39">
        <v>500</v>
      </c>
      <c r="P17" s="39">
        <f t="shared" si="0"/>
        <v>250</v>
      </c>
      <c r="T17" s="36" t="s">
        <v>800</v>
      </c>
      <c r="U17" s="36">
        <v>50</v>
      </c>
      <c r="V17" s="36">
        <v>0</v>
      </c>
      <c r="X17" s="2" t="s">
        <v>785</v>
      </c>
      <c r="Y17" s="1">
        <v>0</v>
      </c>
      <c r="Z17" s="1">
        <v>0</v>
      </c>
      <c r="AA17" s="1">
        <v>0</v>
      </c>
      <c r="AB17" s="1">
        <v>0</v>
      </c>
      <c r="AC17" s="1">
        <v>0</v>
      </c>
      <c r="AD17" s="1">
        <v>0</v>
      </c>
      <c r="AE17" s="1">
        <v>0</v>
      </c>
      <c r="AF17" s="1">
        <v>0</v>
      </c>
      <c r="AG17" s="1">
        <v>0</v>
      </c>
      <c r="AH17" s="1">
        <v>0</v>
      </c>
      <c r="AI17" s="1">
        <v>0</v>
      </c>
      <c r="AJ17" s="1" t="s">
        <v>970</v>
      </c>
    </row>
    <row r="18" spans="1:36" x14ac:dyDescent="0.15">
      <c r="A18" s="1" t="s">
        <v>1305</v>
      </c>
      <c r="B18" s="1">
        <v>23</v>
      </c>
      <c r="C18" s="27" t="s">
        <v>762</v>
      </c>
      <c r="D18" s="1">
        <v>5</v>
      </c>
      <c r="E18" s="1">
        <v>1003</v>
      </c>
      <c r="F18" s="1">
        <v>0</v>
      </c>
      <c r="H18" s="1">
        <v>0</v>
      </c>
      <c r="I18" s="1">
        <v>0</v>
      </c>
      <c r="J18" s="1">
        <v>0</v>
      </c>
      <c r="K18" s="1">
        <v>0</v>
      </c>
      <c r="L18" s="1">
        <v>0</v>
      </c>
      <c r="M18" s="1">
        <v>9</v>
      </c>
      <c r="N18" s="3">
        <v>1</v>
      </c>
      <c r="O18" s="39">
        <v>500</v>
      </c>
      <c r="P18" s="39">
        <f t="shared" si="0"/>
        <v>250</v>
      </c>
      <c r="T18" s="36" t="s">
        <v>800</v>
      </c>
      <c r="U18" s="36">
        <v>50</v>
      </c>
      <c r="V18" s="36">
        <v>0</v>
      </c>
      <c r="X18" s="2" t="s">
        <v>785</v>
      </c>
      <c r="Y18" s="1">
        <v>0</v>
      </c>
      <c r="Z18" s="1">
        <v>0</v>
      </c>
      <c r="AA18" s="1">
        <v>0</v>
      </c>
      <c r="AB18" s="1">
        <v>0</v>
      </c>
      <c r="AC18" s="1">
        <v>0</v>
      </c>
      <c r="AD18" s="1">
        <v>0</v>
      </c>
      <c r="AE18" s="1">
        <v>0</v>
      </c>
      <c r="AF18" s="1">
        <v>0</v>
      </c>
      <c r="AG18" s="1">
        <v>0</v>
      </c>
      <c r="AH18" s="1">
        <v>0</v>
      </c>
      <c r="AI18" s="1">
        <v>0</v>
      </c>
      <c r="AJ18" s="1" t="s">
        <v>971</v>
      </c>
    </row>
    <row r="19" spans="1:36" x14ac:dyDescent="0.15">
      <c r="A19" s="1" t="s">
        <v>764</v>
      </c>
      <c r="B19" s="1">
        <v>24</v>
      </c>
      <c r="C19" s="27" t="s">
        <v>763</v>
      </c>
      <c r="D19" s="1">
        <v>5</v>
      </c>
      <c r="E19" s="1">
        <v>1004</v>
      </c>
      <c r="F19" s="1">
        <v>0</v>
      </c>
      <c r="H19" s="1">
        <v>0</v>
      </c>
      <c r="I19" s="1">
        <v>0</v>
      </c>
      <c r="J19" s="1">
        <v>0</v>
      </c>
      <c r="K19" s="1">
        <v>0</v>
      </c>
      <c r="L19" s="1">
        <v>0</v>
      </c>
      <c r="M19" s="1">
        <v>9</v>
      </c>
      <c r="N19" s="3">
        <v>1</v>
      </c>
      <c r="O19" s="39">
        <v>500</v>
      </c>
      <c r="P19" s="39">
        <f t="shared" si="0"/>
        <v>250</v>
      </c>
      <c r="T19" s="36" t="s">
        <v>800</v>
      </c>
      <c r="U19" s="36">
        <v>50</v>
      </c>
      <c r="V19" s="36">
        <v>0</v>
      </c>
      <c r="X19" s="2" t="s">
        <v>785</v>
      </c>
      <c r="Y19" s="1">
        <v>0</v>
      </c>
      <c r="Z19" s="1">
        <v>0</v>
      </c>
      <c r="AA19" s="1">
        <v>0</v>
      </c>
      <c r="AB19" s="1">
        <v>0</v>
      </c>
      <c r="AC19" s="1">
        <v>0</v>
      </c>
      <c r="AD19" s="1">
        <v>0</v>
      </c>
      <c r="AE19" s="1">
        <v>0</v>
      </c>
      <c r="AF19" s="1">
        <v>0</v>
      </c>
      <c r="AG19" s="1">
        <v>0</v>
      </c>
      <c r="AH19" s="1">
        <v>0</v>
      </c>
      <c r="AI19" s="1">
        <v>0</v>
      </c>
      <c r="AJ19" s="1" t="s">
        <v>972</v>
      </c>
    </row>
    <row r="20" spans="1:36" x14ac:dyDescent="0.15">
      <c r="A20" s="1" t="s">
        <v>116</v>
      </c>
      <c r="B20" s="1">
        <v>100</v>
      </c>
      <c r="C20" s="1" t="s">
        <v>116</v>
      </c>
      <c r="D20" s="1">
        <v>-1</v>
      </c>
      <c r="E20" s="1">
        <v>0</v>
      </c>
      <c r="F20" s="1">
        <v>0</v>
      </c>
      <c r="H20" s="1" t="s">
        <v>1479</v>
      </c>
      <c r="I20" s="1">
        <v>0</v>
      </c>
      <c r="J20" s="1">
        <v>0</v>
      </c>
      <c r="K20" s="1">
        <v>0</v>
      </c>
      <c r="L20" s="1">
        <v>0</v>
      </c>
      <c r="M20" s="1">
        <v>29</v>
      </c>
      <c r="N20" s="3">
        <v>1</v>
      </c>
      <c r="O20" s="39">
        <f t="shared" ref="O20:O22" si="1">P20*3</f>
        <v>180</v>
      </c>
      <c r="P20" s="39">
        <v>60</v>
      </c>
      <c r="T20" s="36" t="s">
        <v>803</v>
      </c>
      <c r="U20" s="36" t="s">
        <v>802</v>
      </c>
      <c r="V20" s="36">
        <v>0</v>
      </c>
      <c r="X20" s="2" t="s">
        <v>785</v>
      </c>
      <c r="Y20" s="1">
        <v>0</v>
      </c>
      <c r="Z20" s="1">
        <v>0</v>
      </c>
      <c r="AA20" s="1">
        <v>0</v>
      </c>
      <c r="AB20" s="1">
        <v>0</v>
      </c>
      <c r="AC20" s="1">
        <v>0</v>
      </c>
      <c r="AD20" s="1">
        <v>0</v>
      </c>
      <c r="AE20" s="1">
        <v>0</v>
      </c>
      <c r="AF20" s="1">
        <v>0</v>
      </c>
      <c r="AG20" s="1">
        <v>0</v>
      </c>
      <c r="AH20" s="1">
        <v>0</v>
      </c>
      <c r="AI20" s="1">
        <v>0</v>
      </c>
      <c r="AJ20" s="1" t="s">
        <v>117</v>
      </c>
    </row>
    <row r="21" spans="1:36" x14ac:dyDescent="0.15">
      <c r="A21" s="12" t="s">
        <v>323</v>
      </c>
      <c r="B21" s="1">
        <v>101</v>
      </c>
      <c r="C21" s="12" t="s">
        <v>323</v>
      </c>
      <c r="D21" s="1">
        <v>5</v>
      </c>
      <c r="E21" s="1">
        <v>0</v>
      </c>
      <c r="F21" s="1">
        <v>0</v>
      </c>
      <c r="G21" s="1">
        <v>5010</v>
      </c>
      <c r="H21" s="1" t="s">
        <v>1480</v>
      </c>
      <c r="I21" s="1">
        <v>0</v>
      </c>
      <c r="J21" s="1">
        <v>0</v>
      </c>
      <c r="K21" s="1">
        <v>0</v>
      </c>
      <c r="L21" s="1">
        <v>0</v>
      </c>
      <c r="M21" s="1">
        <v>29</v>
      </c>
      <c r="N21" s="3">
        <v>1</v>
      </c>
      <c r="O21" s="39">
        <f t="shared" si="1"/>
        <v>201</v>
      </c>
      <c r="P21" s="39">
        <v>67</v>
      </c>
      <c r="T21" s="36" t="s">
        <v>803</v>
      </c>
      <c r="U21" s="36" t="s">
        <v>802</v>
      </c>
      <c r="V21" s="36">
        <v>0</v>
      </c>
      <c r="X21" s="2" t="s">
        <v>785</v>
      </c>
      <c r="Y21" s="1">
        <v>0</v>
      </c>
      <c r="Z21" s="1">
        <v>0</v>
      </c>
      <c r="AA21" s="1">
        <v>0</v>
      </c>
      <c r="AB21" s="1">
        <v>0</v>
      </c>
      <c r="AC21" s="1">
        <v>0</v>
      </c>
      <c r="AD21" s="1">
        <v>0</v>
      </c>
      <c r="AE21" s="1">
        <v>0</v>
      </c>
      <c r="AF21" s="1">
        <v>0</v>
      </c>
      <c r="AG21" s="1">
        <v>0</v>
      </c>
      <c r="AH21" s="1">
        <v>0</v>
      </c>
      <c r="AI21" s="1">
        <v>0</v>
      </c>
      <c r="AJ21" s="12" t="s">
        <v>973</v>
      </c>
    </row>
    <row r="22" spans="1:36" x14ac:dyDescent="0.15">
      <c r="A22" s="12" t="s">
        <v>324</v>
      </c>
      <c r="B22" s="1">
        <v>102</v>
      </c>
      <c r="C22" s="12" t="s">
        <v>324</v>
      </c>
      <c r="D22" s="1">
        <v>5</v>
      </c>
      <c r="E22" s="1">
        <v>0</v>
      </c>
      <c r="F22" s="1">
        <v>0</v>
      </c>
      <c r="G22" s="1">
        <v>5010</v>
      </c>
      <c r="H22" s="1" t="s">
        <v>1480</v>
      </c>
      <c r="I22" s="1">
        <v>0</v>
      </c>
      <c r="J22" s="1">
        <v>0</v>
      </c>
      <c r="K22" s="1">
        <v>0</v>
      </c>
      <c r="L22" s="1">
        <v>0</v>
      </c>
      <c r="M22" s="1">
        <v>9</v>
      </c>
      <c r="N22" s="3">
        <v>1</v>
      </c>
      <c r="O22" s="39">
        <f t="shared" si="1"/>
        <v>267</v>
      </c>
      <c r="P22" s="39">
        <f>VLOOKUP(A22,材料!$P$4:$R$85,3,FALSE)</f>
        <v>89</v>
      </c>
      <c r="T22" s="36" t="s">
        <v>803</v>
      </c>
      <c r="U22" s="36" t="s">
        <v>802</v>
      </c>
      <c r="V22" s="36">
        <v>0</v>
      </c>
      <c r="X22" s="2" t="s">
        <v>785</v>
      </c>
      <c r="Y22" s="1">
        <v>0</v>
      </c>
      <c r="Z22" s="1">
        <v>0</v>
      </c>
      <c r="AA22" s="1">
        <v>0</v>
      </c>
      <c r="AB22" s="1">
        <v>0</v>
      </c>
      <c r="AC22" s="1">
        <v>0</v>
      </c>
      <c r="AD22" s="1">
        <v>0</v>
      </c>
      <c r="AE22" s="1">
        <v>0</v>
      </c>
      <c r="AF22" s="1">
        <v>0</v>
      </c>
      <c r="AG22" s="1">
        <v>0</v>
      </c>
      <c r="AH22" s="1">
        <v>0</v>
      </c>
      <c r="AI22" s="1">
        <v>0</v>
      </c>
      <c r="AJ22" s="12" t="s">
        <v>974</v>
      </c>
    </row>
    <row r="23" spans="1:36" x14ac:dyDescent="0.15">
      <c r="A23" s="12" t="s">
        <v>325</v>
      </c>
      <c r="B23" s="1">
        <v>103</v>
      </c>
      <c r="C23" s="12" t="s">
        <v>325</v>
      </c>
      <c r="D23" s="1">
        <v>5</v>
      </c>
      <c r="E23" s="1">
        <v>0</v>
      </c>
      <c r="F23" s="1">
        <v>0</v>
      </c>
      <c r="H23" s="1" t="s">
        <v>1481</v>
      </c>
      <c r="I23" s="1">
        <v>0</v>
      </c>
      <c r="J23" s="1">
        <v>0</v>
      </c>
      <c r="K23" s="1">
        <v>0</v>
      </c>
      <c r="L23" s="1">
        <v>0</v>
      </c>
      <c r="M23" s="1">
        <v>49</v>
      </c>
      <c r="N23" s="3">
        <v>1</v>
      </c>
      <c r="O23" s="39">
        <f t="shared" ref="O23:O30" si="2">P23*3</f>
        <v>147</v>
      </c>
      <c r="P23" s="39">
        <v>49</v>
      </c>
      <c r="T23" s="36" t="s">
        <v>803</v>
      </c>
      <c r="U23" s="36" t="s">
        <v>802</v>
      </c>
      <c r="V23" s="36">
        <v>0</v>
      </c>
      <c r="X23" s="2" t="s">
        <v>785</v>
      </c>
      <c r="Y23" s="1">
        <v>0</v>
      </c>
      <c r="Z23" s="1">
        <v>0</v>
      </c>
      <c r="AA23" s="1">
        <v>0</v>
      </c>
      <c r="AB23" s="1">
        <v>0</v>
      </c>
      <c r="AC23" s="1">
        <v>0</v>
      </c>
      <c r="AD23" s="1">
        <v>0</v>
      </c>
      <c r="AE23" s="1">
        <v>0</v>
      </c>
      <c r="AF23" s="1">
        <v>0</v>
      </c>
      <c r="AG23" s="1">
        <v>0</v>
      </c>
      <c r="AH23" s="1">
        <v>0</v>
      </c>
      <c r="AI23" s="1">
        <v>0</v>
      </c>
      <c r="AJ23" s="12" t="s">
        <v>975</v>
      </c>
    </row>
    <row r="24" spans="1:36" x14ac:dyDescent="0.15">
      <c r="A24" s="12" t="s">
        <v>326</v>
      </c>
      <c r="B24" s="1">
        <v>104</v>
      </c>
      <c r="C24" s="12" t="s">
        <v>326</v>
      </c>
      <c r="D24" s="1">
        <v>5</v>
      </c>
      <c r="E24" s="1">
        <v>0</v>
      </c>
      <c r="F24" s="1">
        <v>0</v>
      </c>
      <c r="G24" s="1" t="s">
        <v>1822</v>
      </c>
      <c r="H24" s="1" t="s">
        <v>1482</v>
      </c>
      <c r="I24" s="1">
        <v>0</v>
      </c>
      <c r="J24" s="1">
        <v>0</v>
      </c>
      <c r="K24" s="1">
        <v>0</v>
      </c>
      <c r="L24" s="1">
        <v>0</v>
      </c>
      <c r="M24" s="1">
        <v>39</v>
      </c>
      <c r="N24" s="3">
        <v>1</v>
      </c>
      <c r="O24" s="39">
        <f t="shared" si="2"/>
        <v>147</v>
      </c>
      <c r="P24" s="39">
        <f>VLOOKUP(A24,材料!$P$4:$R$85,3,FALSE)</f>
        <v>49</v>
      </c>
      <c r="T24" s="36" t="s">
        <v>803</v>
      </c>
      <c r="U24" s="36" t="s">
        <v>802</v>
      </c>
      <c r="V24" s="36">
        <v>0</v>
      </c>
      <c r="X24" s="2" t="s">
        <v>785</v>
      </c>
      <c r="Y24" s="1">
        <v>0</v>
      </c>
      <c r="Z24" s="1">
        <v>0</v>
      </c>
      <c r="AA24" s="1">
        <v>0</v>
      </c>
      <c r="AB24" s="1">
        <v>0</v>
      </c>
      <c r="AC24" s="1">
        <v>0</v>
      </c>
      <c r="AD24" s="1">
        <v>0</v>
      </c>
      <c r="AE24" s="1">
        <v>0</v>
      </c>
      <c r="AF24" s="1">
        <v>0</v>
      </c>
      <c r="AG24" s="1">
        <v>0</v>
      </c>
      <c r="AH24" s="1">
        <v>0</v>
      </c>
      <c r="AI24" s="1">
        <v>0</v>
      </c>
      <c r="AJ24" s="12" t="s">
        <v>976</v>
      </c>
    </row>
    <row r="25" spans="1:36" x14ac:dyDescent="0.15">
      <c r="A25" s="12" t="s">
        <v>329</v>
      </c>
      <c r="B25" s="1">
        <v>105</v>
      </c>
      <c r="C25" s="12" t="s">
        <v>329</v>
      </c>
      <c r="D25" s="1">
        <v>5</v>
      </c>
      <c r="E25" s="1">
        <v>0</v>
      </c>
      <c r="F25" s="1">
        <v>0</v>
      </c>
      <c r="G25" s="1">
        <v>5007</v>
      </c>
      <c r="H25" s="1" t="s">
        <v>1479</v>
      </c>
      <c r="I25" s="1">
        <v>0</v>
      </c>
      <c r="J25" s="1">
        <v>0</v>
      </c>
      <c r="K25" s="1">
        <v>0</v>
      </c>
      <c r="L25" s="1">
        <v>0</v>
      </c>
      <c r="M25" s="1">
        <v>39</v>
      </c>
      <c r="N25" s="3">
        <v>1</v>
      </c>
      <c r="O25" s="39">
        <f t="shared" si="2"/>
        <v>105</v>
      </c>
      <c r="P25" s="39">
        <f>VLOOKUP(A25,材料!$P$4:$R$85,3,FALSE)</f>
        <v>35</v>
      </c>
      <c r="T25" s="36" t="s">
        <v>803</v>
      </c>
      <c r="U25" s="36" t="s">
        <v>802</v>
      </c>
      <c r="V25" s="36">
        <v>0</v>
      </c>
      <c r="X25" s="2" t="s">
        <v>785</v>
      </c>
      <c r="Y25" s="1">
        <v>0</v>
      </c>
      <c r="Z25" s="1">
        <v>0</v>
      </c>
      <c r="AA25" s="1">
        <v>0</v>
      </c>
      <c r="AB25" s="1">
        <v>0</v>
      </c>
      <c r="AC25" s="1">
        <v>0</v>
      </c>
      <c r="AD25" s="1">
        <v>0</v>
      </c>
      <c r="AE25" s="1">
        <v>0</v>
      </c>
      <c r="AF25" s="1">
        <v>0</v>
      </c>
      <c r="AG25" s="1">
        <v>0</v>
      </c>
      <c r="AH25" s="1">
        <v>0</v>
      </c>
      <c r="AI25" s="1">
        <v>0</v>
      </c>
      <c r="AJ25" s="12" t="s">
        <v>977</v>
      </c>
    </row>
    <row r="26" spans="1:36" ht="14.25" customHeight="1" x14ac:dyDescent="0.15">
      <c r="A26" s="12" t="s">
        <v>675</v>
      </c>
      <c r="B26" s="1">
        <v>200</v>
      </c>
      <c r="C26" s="12" t="s">
        <v>675</v>
      </c>
      <c r="D26" s="1">
        <v>5</v>
      </c>
      <c r="E26" s="1">
        <v>0</v>
      </c>
      <c r="F26" s="1">
        <v>0</v>
      </c>
      <c r="G26" s="1">
        <v>5002</v>
      </c>
      <c r="H26" s="1" t="s">
        <v>1483</v>
      </c>
      <c r="I26" s="1">
        <v>0</v>
      </c>
      <c r="J26" s="1">
        <v>0</v>
      </c>
      <c r="K26" s="1">
        <v>0</v>
      </c>
      <c r="L26" s="1">
        <v>0</v>
      </c>
      <c r="M26" s="1">
        <v>49</v>
      </c>
      <c r="N26" s="3">
        <v>1</v>
      </c>
      <c r="O26" s="39">
        <f t="shared" si="2"/>
        <v>75</v>
      </c>
      <c r="P26" s="39">
        <v>25</v>
      </c>
      <c r="T26" s="36" t="s">
        <v>803</v>
      </c>
      <c r="U26" s="36" t="s">
        <v>802</v>
      </c>
      <c r="V26" s="36">
        <v>0</v>
      </c>
      <c r="X26" s="2" t="s">
        <v>785</v>
      </c>
      <c r="Y26" s="1">
        <v>0</v>
      </c>
      <c r="Z26" s="1">
        <v>0</v>
      </c>
      <c r="AA26" s="1">
        <v>0</v>
      </c>
      <c r="AB26" s="1">
        <v>0</v>
      </c>
      <c r="AC26" s="1">
        <v>0</v>
      </c>
      <c r="AD26" s="1">
        <v>0</v>
      </c>
      <c r="AE26" s="1">
        <v>0</v>
      </c>
      <c r="AF26" s="1">
        <v>0</v>
      </c>
      <c r="AG26" s="1">
        <v>0</v>
      </c>
      <c r="AH26" s="1">
        <v>0</v>
      </c>
      <c r="AI26" s="1">
        <v>0</v>
      </c>
      <c r="AJ26" s="1" t="s">
        <v>1009</v>
      </c>
    </row>
    <row r="27" spans="1:36" x14ac:dyDescent="0.15">
      <c r="A27" s="12" t="s">
        <v>443</v>
      </c>
      <c r="B27" s="1">
        <v>201</v>
      </c>
      <c r="C27" s="12" t="s">
        <v>443</v>
      </c>
      <c r="D27" s="1">
        <v>5</v>
      </c>
      <c r="E27" s="1">
        <v>0</v>
      </c>
      <c r="F27" s="1">
        <v>0</v>
      </c>
      <c r="H27" s="1" t="s">
        <v>1480</v>
      </c>
      <c r="I27" s="1">
        <v>0</v>
      </c>
      <c r="J27" s="1">
        <v>0</v>
      </c>
      <c r="K27" s="1">
        <v>0</v>
      </c>
      <c r="L27" s="1">
        <v>0</v>
      </c>
      <c r="M27" s="1">
        <v>49</v>
      </c>
      <c r="N27" s="3">
        <v>1</v>
      </c>
      <c r="O27" s="39">
        <f t="shared" si="2"/>
        <v>75</v>
      </c>
      <c r="P27" s="39">
        <f>VLOOKUP(A27,材料!$P$4:$R$85,3,FALSE)</f>
        <v>25</v>
      </c>
      <c r="T27" s="36" t="s">
        <v>803</v>
      </c>
      <c r="U27" s="36" t="s">
        <v>802</v>
      </c>
      <c r="V27" s="36">
        <v>0</v>
      </c>
      <c r="X27" s="2" t="s">
        <v>785</v>
      </c>
      <c r="Y27" s="1">
        <v>0</v>
      </c>
      <c r="Z27" s="1">
        <v>0</v>
      </c>
      <c r="AA27" s="1">
        <v>0</v>
      </c>
      <c r="AB27" s="1">
        <v>0</v>
      </c>
      <c r="AC27" s="1">
        <v>0</v>
      </c>
      <c r="AD27" s="1">
        <v>0</v>
      </c>
      <c r="AE27" s="1">
        <v>0</v>
      </c>
      <c r="AF27" s="1">
        <v>0</v>
      </c>
      <c r="AG27" s="1">
        <v>0</v>
      </c>
      <c r="AH27" s="1">
        <v>0</v>
      </c>
      <c r="AI27" s="1">
        <v>0</v>
      </c>
      <c r="AJ27" s="1" t="s">
        <v>1010</v>
      </c>
    </row>
    <row r="28" spans="1:36" x14ac:dyDescent="0.15">
      <c r="A28" s="12" t="s">
        <v>444</v>
      </c>
      <c r="B28" s="1">
        <v>202</v>
      </c>
      <c r="C28" s="12" t="s">
        <v>444</v>
      </c>
      <c r="D28" s="1">
        <v>5</v>
      </c>
      <c r="E28" s="1">
        <v>0</v>
      </c>
      <c r="F28" s="1">
        <v>0</v>
      </c>
      <c r="G28" s="1">
        <v>5008</v>
      </c>
      <c r="H28" s="1" t="s">
        <v>1484</v>
      </c>
      <c r="I28" s="1">
        <v>0</v>
      </c>
      <c r="J28" s="1">
        <v>0</v>
      </c>
      <c r="K28" s="1">
        <v>0</v>
      </c>
      <c r="L28" s="1">
        <v>0</v>
      </c>
      <c r="M28" s="1">
        <v>49</v>
      </c>
      <c r="N28" s="3">
        <v>1</v>
      </c>
      <c r="O28" s="39">
        <f t="shared" si="2"/>
        <v>105</v>
      </c>
      <c r="P28" s="39">
        <f>VLOOKUP(A28,材料!$P$4:$R$85,3,FALSE)</f>
        <v>35</v>
      </c>
      <c r="T28" s="36" t="s">
        <v>803</v>
      </c>
      <c r="U28" s="36" t="s">
        <v>802</v>
      </c>
      <c r="V28" s="36">
        <v>0</v>
      </c>
      <c r="X28" s="2" t="s">
        <v>785</v>
      </c>
      <c r="Y28" s="1">
        <v>0</v>
      </c>
      <c r="Z28" s="1">
        <v>0</v>
      </c>
      <c r="AA28" s="1">
        <v>0</v>
      </c>
      <c r="AB28" s="1">
        <v>0</v>
      </c>
      <c r="AC28" s="1">
        <v>0</v>
      </c>
      <c r="AD28" s="1">
        <v>0</v>
      </c>
      <c r="AE28" s="1">
        <v>0</v>
      </c>
      <c r="AF28" s="1">
        <v>0</v>
      </c>
      <c r="AG28" s="1">
        <v>0</v>
      </c>
      <c r="AH28" s="1">
        <v>0</v>
      </c>
      <c r="AI28" s="1">
        <v>0</v>
      </c>
      <c r="AJ28" s="1" t="s">
        <v>1011</v>
      </c>
    </row>
    <row r="29" spans="1:36" x14ac:dyDescent="0.15">
      <c r="A29" s="12" t="s">
        <v>346</v>
      </c>
      <c r="B29" s="1">
        <v>203</v>
      </c>
      <c r="C29" s="12" t="s">
        <v>346</v>
      </c>
      <c r="D29" s="1">
        <v>5</v>
      </c>
      <c r="E29" s="1">
        <v>0</v>
      </c>
      <c r="F29" s="1">
        <v>0</v>
      </c>
      <c r="G29" s="1" t="s">
        <v>1823</v>
      </c>
      <c r="H29" s="1" t="s">
        <v>1485</v>
      </c>
      <c r="I29" s="1">
        <v>0</v>
      </c>
      <c r="J29" s="1">
        <v>0</v>
      </c>
      <c r="K29" s="1">
        <v>0</v>
      </c>
      <c r="L29" s="1">
        <v>0</v>
      </c>
      <c r="M29" s="1">
        <v>49</v>
      </c>
      <c r="N29" s="3">
        <v>1</v>
      </c>
      <c r="O29" s="39">
        <f t="shared" si="2"/>
        <v>147</v>
      </c>
      <c r="P29" s="39">
        <f>VLOOKUP(A29,材料!$P$4:$R$85,3,FALSE)</f>
        <v>49</v>
      </c>
      <c r="T29" s="36" t="s">
        <v>803</v>
      </c>
      <c r="U29" s="36" t="s">
        <v>802</v>
      </c>
      <c r="V29" s="36">
        <v>0</v>
      </c>
      <c r="X29" s="2" t="s">
        <v>785</v>
      </c>
      <c r="Y29" s="1">
        <v>0</v>
      </c>
      <c r="Z29" s="1">
        <v>0</v>
      </c>
      <c r="AA29" s="1">
        <v>0</v>
      </c>
      <c r="AB29" s="1">
        <v>0</v>
      </c>
      <c r="AC29" s="1">
        <v>0</v>
      </c>
      <c r="AD29" s="1">
        <v>0</v>
      </c>
      <c r="AE29" s="1">
        <v>0</v>
      </c>
      <c r="AF29" s="1">
        <v>0</v>
      </c>
      <c r="AG29" s="1">
        <v>0</v>
      </c>
      <c r="AH29" s="1">
        <v>0</v>
      </c>
      <c r="AI29" s="1">
        <v>0</v>
      </c>
      <c r="AJ29" s="1" t="e">
        <f>VLOOKUP(ItemData!A29,Sheet8!N:O,2,FALSE)</f>
        <v>#N/A</v>
      </c>
    </row>
    <row r="30" spans="1:36" x14ac:dyDescent="0.15">
      <c r="A30" s="12" t="s">
        <v>352</v>
      </c>
      <c r="B30" s="1">
        <v>204</v>
      </c>
      <c r="C30" s="12" t="s">
        <v>352</v>
      </c>
      <c r="D30" s="1">
        <v>5</v>
      </c>
      <c r="E30" s="1">
        <v>0</v>
      </c>
      <c r="F30" s="1">
        <v>0</v>
      </c>
      <c r="G30" s="1">
        <v>5007</v>
      </c>
      <c r="H30" s="1" t="s">
        <v>1486</v>
      </c>
      <c r="I30" s="1">
        <v>0</v>
      </c>
      <c r="J30" s="1">
        <v>0</v>
      </c>
      <c r="K30" s="1">
        <v>0</v>
      </c>
      <c r="L30" s="1">
        <v>0</v>
      </c>
      <c r="M30" s="1">
        <v>49</v>
      </c>
      <c r="N30" s="3">
        <v>1</v>
      </c>
      <c r="O30" s="39">
        <f t="shared" si="2"/>
        <v>147</v>
      </c>
      <c r="P30" s="39">
        <f>VLOOKUP(A30,材料!$P$4:$R$85,3,FALSE)</f>
        <v>49</v>
      </c>
      <c r="T30" s="36" t="s">
        <v>803</v>
      </c>
      <c r="U30" s="36" t="s">
        <v>802</v>
      </c>
      <c r="V30" s="36">
        <v>0</v>
      </c>
      <c r="X30" s="2" t="s">
        <v>785</v>
      </c>
      <c r="Y30" s="1">
        <v>0</v>
      </c>
      <c r="Z30" s="1">
        <v>0</v>
      </c>
      <c r="AA30" s="1">
        <v>0</v>
      </c>
      <c r="AB30" s="1">
        <v>0</v>
      </c>
      <c r="AC30" s="1">
        <v>0</v>
      </c>
      <c r="AD30" s="1">
        <v>0</v>
      </c>
      <c r="AE30" s="1">
        <v>0</v>
      </c>
      <c r="AF30" s="1">
        <v>0</v>
      </c>
      <c r="AG30" s="1">
        <v>0</v>
      </c>
      <c r="AH30" s="1">
        <v>0</v>
      </c>
      <c r="AI30" s="1">
        <v>0</v>
      </c>
      <c r="AJ30" s="1" t="e">
        <f>VLOOKUP(ItemData!A30,Sheet8!N:O,2,FALSE)</f>
        <v>#N/A</v>
      </c>
    </row>
    <row r="31" spans="1:36" x14ac:dyDescent="0.15">
      <c r="A31" s="12" t="s">
        <v>445</v>
      </c>
      <c r="B31" s="1">
        <v>205</v>
      </c>
      <c r="C31" s="12" t="s">
        <v>445</v>
      </c>
      <c r="D31" s="1">
        <v>5</v>
      </c>
      <c r="E31" s="1">
        <v>0</v>
      </c>
      <c r="F31" s="1">
        <v>0</v>
      </c>
      <c r="G31" s="1">
        <v>5008</v>
      </c>
      <c r="H31" s="1" t="s">
        <v>1487</v>
      </c>
      <c r="I31" s="1">
        <v>0</v>
      </c>
      <c r="J31" s="1">
        <v>0</v>
      </c>
      <c r="K31" s="1">
        <v>0</v>
      </c>
      <c r="L31" s="1">
        <v>0</v>
      </c>
      <c r="M31" s="1">
        <v>49</v>
      </c>
      <c r="N31" s="3">
        <v>1</v>
      </c>
      <c r="O31" s="39">
        <f t="shared" ref="O31:O94" si="3">P31*3</f>
        <v>1065</v>
      </c>
      <c r="P31" s="39">
        <f>VLOOKUP(A31,材料!$P$4:$R$85,3,FALSE)</f>
        <v>355</v>
      </c>
      <c r="T31" s="36" t="s">
        <v>803</v>
      </c>
      <c r="U31" s="36" t="s">
        <v>802</v>
      </c>
      <c r="V31" s="36">
        <v>0</v>
      </c>
      <c r="X31" s="2" t="s">
        <v>785</v>
      </c>
      <c r="Y31" s="1">
        <v>0</v>
      </c>
      <c r="Z31" s="1">
        <v>0</v>
      </c>
      <c r="AA31" s="1">
        <v>0</v>
      </c>
      <c r="AB31" s="1">
        <v>0</v>
      </c>
      <c r="AC31" s="1">
        <v>0</v>
      </c>
      <c r="AD31" s="1">
        <v>0</v>
      </c>
      <c r="AE31" s="1">
        <v>0</v>
      </c>
      <c r="AF31" s="1">
        <v>0</v>
      </c>
      <c r="AG31" s="1">
        <v>0</v>
      </c>
      <c r="AH31" s="1">
        <v>0</v>
      </c>
      <c r="AI31" s="1">
        <v>0</v>
      </c>
      <c r="AJ31" s="1" t="s">
        <v>1012</v>
      </c>
    </row>
    <row r="32" spans="1:36" x14ac:dyDescent="0.15">
      <c r="A32" s="12" t="s">
        <v>446</v>
      </c>
      <c r="B32" s="1">
        <v>207</v>
      </c>
      <c r="C32" s="12" t="s">
        <v>446</v>
      </c>
      <c r="D32" s="1">
        <v>5</v>
      </c>
      <c r="E32" s="1">
        <v>0</v>
      </c>
      <c r="F32" s="1">
        <v>0</v>
      </c>
      <c r="G32" s="1" t="s">
        <v>1824</v>
      </c>
      <c r="H32" s="1" t="s">
        <v>1488</v>
      </c>
      <c r="I32" s="1">
        <v>0</v>
      </c>
      <c r="J32" s="1">
        <v>0</v>
      </c>
      <c r="K32" s="1">
        <v>0</v>
      </c>
      <c r="L32" s="1">
        <v>0</v>
      </c>
      <c r="M32" s="1">
        <v>49</v>
      </c>
      <c r="N32" s="3">
        <v>1</v>
      </c>
      <c r="O32" s="39">
        <f t="shared" si="3"/>
        <v>537</v>
      </c>
      <c r="P32" s="39">
        <f>VLOOKUP(A32,材料!$P$4:$R$85,3,FALSE)</f>
        <v>179</v>
      </c>
      <c r="T32" s="36" t="s">
        <v>803</v>
      </c>
      <c r="U32" s="36" t="s">
        <v>802</v>
      </c>
      <c r="V32" s="36">
        <v>0</v>
      </c>
      <c r="X32" s="2" t="s">
        <v>785</v>
      </c>
      <c r="Y32" s="1">
        <v>0</v>
      </c>
      <c r="Z32" s="1">
        <v>0</v>
      </c>
      <c r="AA32" s="1">
        <v>0</v>
      </c>
      <c r="AB32" s="1">
        <v>0</v>
      </c>
      <c r="AC32" s="1">
        <v>0</v>
      </c>
      <c r="AD32" s="1">
        <v>0</v>
      </c>
      <c r="AE32" s="1">
        <v>0</v>
      </c>
      <c r="AF32" s="1">
        <v>0</v>
      </c>
      <c r="AG32" s="1">
        <v>0</v>
      </c>
      <c r="AH32" s="1">
        <v>0</v>
      </c>
      <c r="AI32" s="1">
        <v>0</v>
      </c>
      <c r="AJ32" s="1" t="s">
        <v>1013</v>
      </c>
    </row>
    <row r="33" spans="1:36" x14ac:dyDescent="0.15">
      <c r="A33" s="12" t="s">
        <v>447</v>
      </c>
      <c r="B33" s="1">
        <v>208</v>
      </c>
      <c r="C33" s="12" t="s">
        <v>447</v>
      </c>
      <c r="D33" s="1">
        <v>5</v>
      </c>
      <c r="E33" s="1">
        <v>0</v>
      </c>
      <c r="F33" s="1">
        <v>0</v>
      </c>
      <c r="G33" s="1" t="s">
        <v>1825</v>
      </c>
      <c r="H33" s="1" t="s">
        <v>1489</v>
      </c>
      <c r="I33" s="1">
        <v>0</v>
      </c>
      <c r="J33" s="1">
        <v>0</v>
      </c>
      <c r="K33" s="1">
        <v>0</v>
      </c>
      <c r="L33" s="1">
        <v>0</v>
      </c>
      <c r="M33" s="1">
        <v>49</v>
      </c>
      <c r="N33" s="3">
        <v>1</v>
      </c>
      <c r="O33" s="39">
        <f t="shared" si="3"/>
        <v>537</v>
      </c>
      <c r="P33" s="39">
        <f>VLOOKUP(A33,材料!$P$4:$R$85,3,FALSE)</f>
        <v>179</v>
      </c>
      <c r="T33" s="36" t="s">
        <v>803</v>
      </c>
      <c r="U33" s="36" t="s">
        <v>802</v>
      </c>
      <c r="V33" s="36">
        <v>0</v>
      </c>
      <c r="X33" s="2" t="s">
        <v>785</v>
      </c>
      <c r="Y33" s="1">
        <v>0</v>
      </c>
      <c r="Z33" s="1">
        <v>0</v>
      </c>
      <c r="AA33" s="1">
        <v>0</v>
      </c>
      <c r="AB33" s="1">
        <v>0</v>
      </c>
      <c r="AC33" s="1">
        <v>0</v>
      </c>
      <c r="AD33" s="1">
        <v>0</v>
      </c>
      <c r="AE33" s="1">
        <v>0</v>
      </c>
      <c r="AF33" s="1">
        <v>0</v>
      </c>
      <c r="AG33" s="1">
        <v>0</v>
      </c>
      <c r="AH33" s="1">
        <v>0</v>
      </c>
      <c r="AI33" s="1">
        <v>0</v>
      </c>
      <c r="AJ33" s="1" t="s">
        <v>1014</v>
      </c>
    </row>
    <row r="34" spans="1:36" x14ac:dyDescent="0.15">
      <c r="A34" s="12" t="s">
        <v>448</v>
      </c>
      <c r="B34" s="1">
        <v>210</v>
      </c>
      <c r="C34" s="12" t="s">
        <v>448</v>
      </c>
      <c r="D34" s="1">
        <v>5</v>
      </c>
      <c r="E34" s="1">
        <v>0</v>
      </c>
      <c r="F34" s="1">
        <v>0</v>
      </c>
      <c r="G34" s="1" t="s">
        <v>1826</v>
      </c>
      <c r="H34" s="1" t="s">
        <v>1490</v>
      </c>
      <c r="I34" s="1">
        <v>0</v>
      </c>
      <c r="J34" s="1">
        <v>0</v>
      </c>
      <c r="K34" s="1">
        <v>0</v>
      </c>
      <c r="L34" s="1">
        <v>0</v>
      </c>
      <c r="M34" s="1">
        <v>49</v>
      </c>
      <c r="N34" s="3">
        <v>1</v>
      </c>
      <c r="O34" s="39">
        <f t="shared" si="3"/>
        <v>651</v>
      </c>
      <c r="P34" s="39">
        <f>VLOOKUP(A34,材料!$P$4:$R$85,3,FALSE)</f>
        <v>217</v>
      </c>
      <c r="T34" s="36" t="s">
        <v>803</v>
      </c>
      <c r="U34" s="36" t="s">
        <v>802</v>
      </c>
      <c r="V34" s="36">
        <v>0</v>
      </c>
      <c r="X34" s="2" t="s">
        <v>785</v>
      </c>
      <c r="Y34" s="1">
        <v>0</v>
      </c>
      <c r="Z34" s="1">
        <v>0</v>
      </c>
      <c r="AA34" s="1">
        <v>0</v>
      </c>
      <c r="AB34" s="1">
        <v>0</v>
      </c>
      <c r="AC34" s="1">
        <v>0</v>
      </c>
      <c r="AD34" s="1">
        <v>0</v>
      </c>
      <c r="AE34" s="1">
        <v>0</v>
      </c>
      <c r="AF34" s="1">
        <v>0</v>
      </c>
      <c r="AG34" s="1">
        <v>0</v>
      </c>
      <c r="AH34" s="1">
        <v>0</v>
      </c>
      <c r="AI34" s="1">
        <v>0</v>
      </c>
      <c r="AJ34" s="1" t="s">
        <v>1015</v>
      </c>
    </row>
    <row r="35" spans="1:36" x14ac:dyDescent="0.15">
      <c r="A35" s="12" t="s">
        <v>370</v>
      </c>
      <c r="B35" s="1">
        <v>211</v>
      </c>
      <c r="C35" s="12" t="s">
        <v>370</v>
      </c>
      <c r="D35" s="1">
        <v>5</v>
      </c>
      <c r="E35" s="1">
        <v>0</v>
      </c>
      <c r="F35" s="1">
        <v>0</v>
      </c>
      <c r="G35" s="1" t="s">
        <v>1825</v>
      </c>
      <c r="H35" s="1" t="s">
        <v>1491</v>
      </c>
      <c r="I35" s="1">
        <v>0</v>
      </c>
      <c r="J35" s="1">
        <v>0</v>
      </c>
      <c r="K35" s="1">
        <v>0</v>
      </c>
      <c r="L35" s="1">
        <v>0</v>
      </c>
      <c r="M35" s="1">
        <v>49</v>
      </c>
      <c r="N35" s="3">
        <v>1</v>
      </c>
      <c r="O35" s="39">
        <f t="shared" si="3"/>
        <v>777</v>
      </c>
      <c r="P35" s="39">
        <f>VLOOKUP(A35,材料!$P$4:$R$85,3,FALSE)</f>
        <v>259</v>
      </c>
      <c r="T35" s="36" t="s">
        <v>803</v>
      </c>
      <c r="U35" s="36" t="s">
        <v>802</v>
      </c>
      <c r="V35" s="36">
        <v>0</v>
      </c>
      <c r="X35" s="2" t="s">
        <v>785</v>
      </c>
      <c r="Y35" s="1">
        <v>0</v>
      </c>
      <c r="Z35" s="1">
        <v>0</v>
      </c>
      <c r="AA35" s="1">
        <v>0</v>
      </c>
      <c r="AB35" s="1">
        <v>0</v>
      </c>
      <c r="AC35" s="1">
        <v>0</v>
      </c>
      <c r="AD35" s="1">
        <v>0</v>
      </c>
      <c r="AE35" s="1">
        <v>0</v>
      </c>
      <c r="AF35" s="1">
        <v>0</v>
      </c>
      <c r="AG35" s="1">
        <v>0</v>
      </c>
      <c r="AH35" s="1">
        <v>0</v>
      </c>
      <c r="AI35" s="1">
        <v>0</v>
      </c>
      <c r="AJ35" s="1" t="e">
        <f>VLOOKUP(ItemData!A35,Sheet8!N:O,2,FALSE)</f>
        <v>#N/A</v>
      </c>
    </row>
    <row r="36" spans="1:36" x14ac:dyDescent="0.15">
      <c r="A36" s="12" t="s">
        <v>449</v>
      </c>
      <c r="B36" s="1">
        <v>212</v>
      </c>
      <c r="C36" s="12" t="s">
        <v>449</v>
      </c>
      <c r="D36" s="1">
        <v>5</v>
      </c>
      <c r="E36" s="1">
        <v>0</v>
      </c>
      <c r="F36" s="1">
        <v>0</v>
      </c>
      <c r="G36" s="1">
        <v>5008</v>
      </c>
      <c r="H36" s="1" t="s">
        <v>1492</v>
      </c>
      <c r="I36" s="1">
        <v>0</v>
      </c>
      <c r="J36" s="1">
        <v>0</v>
      </c>
      <c r="K36" s="1">
        <v>0</v>
      </c>
      <c r="L36" s="1">
        <v>0</v>
      </c>
      <c r="M36" s="1">
        <v>49</v>
      </c>
      <c r="N36" s="3">
        <v>1</v>
      </c>
      <c r="O36" s="39">
        <f t="shared" si="3"/>
        <v>1995</v>
      </c>
      <c r="P36" s="39">
        <f>VLOOKUP(A36,材料!$P$4:$R$85,3,FALSE)</f>
        <v>665</v>
      </c>
      <c r="T36" s="36" t="s">
        <v>803</v>
      </c>
      <c r="U36" s="36" t="s">
        <v>802</v>
      </c>
      <c r="V36" s="36">
        <v>0</v>
      </c>
      <c r="X36" s="2" t="s">
        <v>785</v>
      </c>
      <c r="Y36" s="1">
        <v>0</v>
      </c>
      <c r="Z36" s="1">
        <v>0</v>
      </c>
      <c r="AA36" s="1">
        <v>0</v>
      </c>
      <c r="AB36" s="1">
        <v>0</v>
      </c>
      <c r="AC36" s="1">
        <v>0</v>
      </c>
      <c r="AD36" s="1">
        <v>0</v>
      </c>
      <c r="AE36" s="1">
        <v>0</v>
      </c>
      <c r="AF36" s="1">
        <v>0</v>
      </c>
      <c r="AG36" s="1">
        <v>0</v>
      </c>
      <c r="AH36" s="1">
        <v>0</v>
      </c>
      <c r="AI36" s="1">
        <v>0</v>
      </c>
      <c r="AJ36" s="1" t="s">
        <v>1016</v>
      </c>
    </row>
    <row r="37" spans="1:36" x14ac:dyDescent="0.15">
      <c r="A37" s="12" t="s">
        <v>450</v>
      </c>
      <c r="B37" s="1">
        <v>213</v>
      </c>
      <c r="C37" s="12" t="s">
        <v>450</v>
      </c>
      <c r="D37" s="1">
        <v>5</v>
      </c>
      <c r="E37" s="1">
        <v>0</v>
      </c>
      <c r="F37" s="1">
        <v>0</v>
      </c>
      <c r="G37" s="1" t="s">
        <v>1825</v>
      </c>
      <c r="H37" s="1" t="s">
        <v>1448</v>
      </c>
      <c r="I37" s="1">
        <v>0</v>
      </c>
      <c r="J37" s="1">
        <v>0</v>
      </c>
      <c r="K37" s="1">
        <v>0</v>
      </c>
      <c r="L37" s="1">
        <v>0</v>
      </c>
      <c r="M37" s="1">
        <v>49</v>
      </c>
      <c r="N37" s="3">
        <v>1</v>
      </c>
      <c r="O37" s="39">
        <f t="shared" si="3"/>
        <v>777</v>
      </c>
      <c r="P37" s="39">
        <f>VLOOKUP(A37,材料!$P$4:$R$85,3,FALSE)</f>
        <v>259</v>
      </c>
      <c r="T37" s="36" t="s">
        <v>803</v>
      </c>
      <c r="U37" s="36" t="s">
        <v>802</v>
      </c>
      <c r="V37" s="36">
        <v>0</v>
      </c>
      <c r="X37" s="2" t="s">
        <v>785</v>
      </c>
      <c r="Y37" s="1">
        <v>0</v>
      </c>
      <c r="Z37" s="1">
        <v>0</v>
      </c>
      <c r="AA37" s="1">
        <v>0</v>
      </c>
      <c r="AB37" s="1">
        <v>0</v>
      </c>
      <c r="AC37" s="1">
        <v>0</v>
      </c>
      <c r="AD37" s="1">
        <v>0</v>
      </c>
      <c r="AE37" s="1">
        <v>0</v>
      </c>
      <c r="AF37" s="1">
        <v>0</v>
      </c>
      <c r="AG37" s="1">
        <v>0</v>
      </c>
      <c r="AH37" s="1">
        <v>0</v>
      </c>
      <c r="AI37" s="1">
        <v>0</v>
      </c>
      <c r="AJ37" s="1" t="s">
        <v>1017</v>
      </c>
    </row>
    <row r="38" spans="1:36" x14ac:dyDescent="0.15">
      <c r="A38" s="12" t="s">
        <v>357</v>
      </c>
      <c r="B38" s="1">
        <v>214</v>
      </c>
      <c r="C38" s="12" t="s">
        <v>357</v>
      </c>
      <c r="D38" s="1">
        <v>5</v>
      </c>
      <c r="E38" s="1">
        <v>0</v>
      </c>
      <c r="F38" s="1">
        <v>0</v>
      </c>
      <c r="G38" s="1">
        <v>5007</v>
      </c>
      <c r="H38" s="1" t="s">
        <v>1493</v>
      </c>
      <c r="I38" s="1">
        <v>0</v>
      </c>
      <c r="J38" s="1">
        <v>0</v>
      </c>
      <c r="K38" s="1">
        <v>0</v>
      </c>
      <c r="L38" s="1">
        <v>0</v>
      </c>
      <c r="M38" s="1">
        <v>49</v>
      </c>
      <c r="N38" s="3">
        <v>1</v>
      </c>
      <c r="O38" s="39">
        <f t="shared" si="3"/>
        <v>915</v>
      </c>
      <c r="P38" s="39">
        <f>VLOOKUP(A38,材料!$P$4:$R$85,3,FALSE)</f>
        <v>305</v>
      </c>
      <c r="T38" s="36" t="s">
        <v>803</v>
      </c>
      <c r="U38" s="36" t="s">
        <v>802</v>
      </c>
      <c r="V38" s="36">
        <v>0</v>
      </c>
      <c r="X38" s="2" t="s">
        <v>785</v>
      </c>
      <c r="Y38" s="1">
        <v>0</v>
      </c>
      <c r="Z38" s="1">
        <v>0</v>
      </c>
      <c r="AA38" s="1">
        <v>0</v>
      </c>
      <c r="AB38" s="1">
        <v>0</v>
      </c>
      <c r="AC38" s="1">
        <v>0</v>
      </c>
      <c r="AD38" s="1">
        <v>0</v>
      </c>
      <c r="AE38" s="1">
        <v>0</v>
      </c>
      <c r="AF38" s="1">
        <v>0</v>
      </c>
      <c r="AG38" s="1">
        <v>0</v>
      </c>
      <c r="AH38" s="1">
        <v>0</v>
      </c>
      <c r="AI38" s="1">
        <v>0</v>
      </c>
      <c r="AJ38" s="1" t="e">
        <f>VLOOKUP(ItemData!A38,Sheet8!N:O,2,FALSE)</f>
        <v>#N/A</v>
      </c>
    </row>
    <row r="39" spans="1:36" x14ac:dyDescent="0.15">
      <c r="A39" s="12" t="s">
        <v>664</v>
      </c>
      <c r="B39" s="1">
        <v>215</v>
      </c>
      <c r="C39" s="12" t="s">
        <v>451</v>
      </c>
      <c r="D39" s="1">
        <v>5</v>
      </c>
      <c r="E39" s="1">
        <v>0</v>
      </c>
      <c r="F39" s="1">
        <v>0</v>
      </c>
      <c r="H39" s="1" t="s">
        <v>1494</v>
      </c>
      <c r="I39" s="1">
        <v>0</v>
      </c>
      <c r="J39" s="1">
        <v>0</v>
      </c>
      <c r="K39" s="1">
        <v>0</v>
      </c>
      <c r="L39" s="1">
        <v>0</v>
      </c>
      <c r="M39" s="1">
        <v>49</v>
      </c>
      <c r="N39" s="3">
        <v>1</v>
      </c>
      <c r="O39" s="39">
        <f t="shared" si="3"/>
        <v>105</v>
      </c>
      <c r="P39" s="39">
        <v>35</v>
      </c>
      <c r="T39" s="36" t="s">
        <v>803</v>
      </c>
      <c r="U39" s="36" t="s">
        <v>802</v>
      </c>
      <c r="V39" s="36">
        <v>0</v>
      </c>
      <c r="X39" s="2" t="s">
        <v>785</v>
      </c>
      <c r="Y39" s="1">
        <v>0</v>
      </c>
      <c r="Z39" s="1">
        <v>0</v>
      </c>
      <c r="AA39" s="1">
        <v>0</v>
      </c>
      <c r="AB39" s="1">
        <v>0</v>
      </c>
      <c r="AC39" s="1">
        <v>0</v>
      </c>
      <c r="AD39" s="1">
        <v>0</v>
      </c>
      <c r="AE39" s="1">
        <v>0</v>
      </c>
      <c r="AF39" s="1">
        <v>0</v>
      </c>
      <c r="AG39" s="1">
        <v>0</v>
      </c>
      <c r="AH39" s="1">
        <v>0</v>
      </c>
      <c r="AI39" s="1">
        <v>0</v>
      </c>
      <c r="AJ39" s="1" t="s">
        <v>1018</v>
      </c>
    </row>
    <row r="40" spans="1:36" x14ac:dyDescent="0.15">
      <c r="A40" s="12" t="s">
        <v>665</v>
      </c>
      <c r="B40" s="1">
        <v>216</v>
      </c>
      <c r="C40" s="12" t="s">
        <v>452</v>
      </c>
      <c r="D40" s="1">
        <v>5</v>
      </c>
      <c r="E40" s="1">
        <v>0</v>
      </c>
      <c r="F40" s="1">
        <v>0</v>
      </c>
      <c r="G40" s="1">
        <v>5009</v>
      </c>
      <c r="H40" s="1" t="s">
        <v>1495</v>
      </c>
      <c r="I40" s="1">
        <v>0</v>
      </c>
      <c r="J40" s="1">
        <v>0</v>
      </c>
      <c r="K40" s="1">
        <v>0</v>
      </c>
      <c r="L40" s="1">
        <v>0</v>
      </c>
      <c r="M40" s="1">
        <v>49</v>
      </c>
      <c r="N40" s="3">
        <v>1</v>
      </c>
      <c r="O40" s="39">
        <f t="shared" si="3"/>
        <v>1065</v>
      </c>
      <c r="P40" s="39">
        <f>VLOOKUP(A40,材料!$P$4:$R$85,3,FALSE)</f>
        <v>355</v>
      </c>
      <c r="T40" s="36" t="s">
        <v>803</v>
      </c>
      <c r="U40" s="36" t="s">
        <v>802</v>
      </c>
      <c r="V40" s="36">
        <v>0</v>
      </c>
      <c r="X40" s="2" t="s">
        <v>785</v>
      </c>
      <c r="Y40" s="1">
        <v>0</v>
      </c>
      <c r="Z40" s="1">
        <v>0</v>
      </c>
      <c r="AA40" s="1">
        <v>0</v>
      </c>
      <c r="AB40" s="1">
        <v>0</v>
      </c>
      <c r="AC40" s="1">
        <v>0</v>
      </c>
      <c r="AD40" s="1">
        <v>0</v>
      </c>
      <c r="AE40" s="1">
        <v>0</v>
      </c>
      <c r="AF40" s="1">
        <v>0</v>
      </c>
      <c r="AG40" s="1">
        <v>0</v>
      </c>
      <c r="AH40" s="1">
        <v>0</v>
      </c>
      <c r="AI40" s="1">
        <v>0</v>
      </c>
      <c r="AJ40" s="1" t="s">
        <v>1019</v>
      </c>
    </row>
    <row r="41" spans="1:36" x14ac:dyDescent="0.15">
      <c r="A41" s="12" t="s">
        <v>453</v>
      </c>
      <c r="B41" s="1">
        <v>217</v>
      </c>
      <c r="C41" s="12" t="s">
        <v>453</v>
      </c>
      <c r="D41" s="1">
        <v>5</v>
      </c>
      <c r="E41" s="1">
        <v>0</v>
      </c>
      <c r="F41" s="1">
        <v>0</v>
      </c>
      <c r="H41" s="1" t="s">
        <v>1496</v>
      </c>
      <c r="I41" s="1">
        <v>0</v>
      </c>
      <c r="J41" s="1">
        <v>0</v>
      </c>
      <c r="K41" s="1">
        <v>0</v>
      </c>
      <c r="L41" s="1">
        <v>0</v>
      </c>
      <c r="M41" s="1">
        <v>49</v>
      </c>
      <c r="N41" s="3">
        <v>1</v>
      </c>
      <c r="O41" s="39">
        <f t="shared" si="3"/>
        <v>1065</v>
      </c>
      <c r="P41" s="39">
        <v>355</v>
      </c>
      <c r="T41" s="36" t="s">
        <v>803</v>
      </c>
      <c r="U41" s="36" t="s">
        <v>802</v>
      </c>
      <c r="V41" s="36">
        <v>0</v>
      </c>
      <c r="X41" s="2" t="s">
        <v>785</v>
      </c>
      <c r="Y41" s="1">
        <v>0</v>
      </c>
      <c r="Z41" s="1">
        <v>0</v>
      </c>
      <c r="AA41" s="1">
        <v>0</v>
      </c>
      <c r="AB41" s="1">
        <v>0</v>
      </c>
      <c r="AC41" s="1">
        <v>0</v>
      </c>
      <c r="AD41" s="1">
        <v>0</v>
      </c>
      <c r="AE41" s="1">
        <v>0</v>
      </c>
      <c r="AF41" s="1">
        <v>0</v>
      </c>
      <c r="AG41" s="1">
        <v>0</v>
      </c>
      <c r="AH41" s="1">
        <v>0</v>
      </c>
      <c r="AI41" s="1">
        <v>0</v>
      </c>
      <c r="AJ41" s="1" t="s">
        <v>1020</v>
      </c>
    </row>
    <row r="42" spans="1:36" x14ac:dyDescent="0.15">
      <c r="A42" s="12" t="s">
        <v>454</v>
      </c>
      <c r="B42" s="1">
        <v>218</v>
      </c>
      <c r="C42" s="12" t="s">
        <v>454</v>
      </c>
      <c r="D42" s="1">
        <v>5</v>
      </c>
      <c r="E42" s="1">
        <v>0</v>
      </c>
      <c r="F42" s="1">
        <v>0</v>
      </c>
      <c r="G42" s="1">
        <v>5008</v>
      </c>
      <c r="H42" s="1" t="s">
        <v>1489</v>
      </c>
      <c r="I42" s="1">
        <v>0</v>
      </c>
      <c r="J42" s="1">
        <v>0</v>
      </c>
      <c r="K42" s="1">
        <v>0</v>
      </c>
      <c r="L42" s="1">
        <v>0</v>
      </c>
      <c r="M42" s="1">
        <v>49</v>
      </c>
      <c r="N42" s="3">
        <v>1</v>
      </c>
      <c r="O42" s="39">
        <f t="shared" si="3"/>
        <v>1785</v>
      </c>
      <c r="P42" s="39">
        <f>VLOOKUP(A42,材料!$P$4:$R$85,3,FALSE)</f>
        <v>595</v>
      </c>
      <c r="T42" s="36" t="s">
        <v>803</v>
      </c>
      <c r="U42" s="36" t="s">
        <v>802</v>
      </c>
      <c r="V42" s="36">
        <v>0</v>
      </c>
      <c r="X42" s="2" t="s">
        <v>785</v>
      </c>
      <c r="Y42" s="1">
        <v>0</v>
      </c>
      <c r="Z42" s="1">
        <v>0</v>
      </c>
      <c r="AA42" s="1">
        <v>0</v>
      </c>
      <c r="AB42" s="1">
        <v>0</v>
      </c>
      <c r="AC42" s="1">
        <v>0</v>
      </c>
      <c r="AD42" s="1">
        <v>0</v>
      </c>
      <c r="AE42" s="1">
        <v>0</v>
      </c>
      <c r="AF42" s="1">
        <v>0</v>
      </c>
      <c r="AG42" s="1">
        <v>0</v>
      </c>
      <c r="AH42" s="1">
        <v>0</v>
      </c>
      <c r="AI42" s="1">
        <v>0</v>
      </c>
      <c r="AJ42" s="1" t="s">
        <v>1021</v>
      </c>
    </row>
    <row r="43" spans="1:36" x14ac:dyDescent="0.15">
      <c r="A43" s="12" t="s">
        <v>455</v>
      </c>
      <c r="B43" s="1">
        <v>219</v>
      </c>
      <c r="C43" s="12" t="s">
        <v>455</v>
      </c>
      <c r="D43" s="1">
        <v>5</v>
      </c>
      <c r="E43" s="1">
        <v>0</v>
      </c>
      <c r="F43" s="1">
        <v>0</v>
      </c>
      <c r="H43" s="1" t="s">
        <v>1497</v>
      </c>
      <c r="I43" s="1">
        <v>0</v>
      </c>
      <c r="J43" s="1">
        <v>0</v>
      </c>
      <c r="K43" s="1">
        <v>0</v>
      </c>
      <c r="L43" s="1">
        <v>0</v>
      </c>
      <c r="M43" s="1">
        <v>49</v>
      </c>
      <c r="N43" s="3">
        <v>1</v>
      </c>
      <c r="O43" s="39">
        <f t="shared" si="3"/>
        <v>267</v>
      </c>
      <c r="P43" s="39">
        <v>89</v>
      </c>
      <c r="T43" s="36" t="s">
        <v>803</v>
      </c>
      <c r="U43" s="36" t="s">
        <v>802</v>
      </c>
      <c r="V43" s="36">
        <v>0</v>
      </c>
      <c r="X43" s="2" t="s">
        <v>785</v>
      </c>
      <c r="Y43" s="1">
        <v>0</v>
      </c>
      <c r="Z43" s="1">
        <v>0</v>
      </c>
      <c r="AA43" s="1">
        <v>0</v>
      </c>
      <c r="AB43" s="1">
        <v>0</v>
      </c>
      <c r="AC43" s="1">
        <v>0</v>
      </c>
      <c r="AD43" s="1">
        <v>0</v>
      </c>
      <c r="AE43" s="1">
        <v>0</v>
      </c>
      <c r="AF43" s="1">
        <v>0</v>
      </c>
      <c r="AG43" s="1">
        <v>0</v>
      </c>
      <c r="AH43" s="1">
        <v>0</v>
      </c>
      <c r="AI43" s="1">
        <v>0</v>
      </c>
      <c r="AJ43" s="1" t="s">
        <v>1022</v>
      </c>
    </row>
    <row r="44" spans="1:36" x14ac:dyDescent="0.15">
      <c r="A44" s="12" t="s">
        <v>360</v>
      </c>
      <c r="B44" s="1">
        <v>220</v>
      </c>
      <c r="C44" s="12" t="s">
        <v>360</v>
      </c>
      <c r="D44" s="1">
        <v>5</v>
      </c>
      <c r="E44" s="1">
        <v>0</v>
      </c>
      <c r="F44" s="1">
        <v>0</v>
      </c>
      <c r="G44" s="1">
        <v>5008</v>
      </c>
      <c r="H44" s="1" t="s">
        <v>1498</v>
      </c>
      <c r="I44" s="1">
        <v>0</v>
      </c>
      <c r="J44" s="1">
        <v>0</v>
      </c>
      <c r="K44" s="1">
        <v>0</v>
      </c>
      <c r="L44" s="1">
        <v>0</v>
      </c>
      <c r="M44" s="1">
        <v>49</v>
      </c>
      <c r="N44" s="3">
        <v>1</v>
      </c>
      <c r="O44" s="39">
        <f t="shared" si="3"/>
        <v>345</v>
      </c>
      <c r="P44" s="39">
        <f>VLOOKUP(A44,材料!$P$4:$R$85,3,FALSE)</f>
        <v>115</v>
      </c>
      <c r="T44" s="36" t="s">
        <v>803</v>
      </c>
      <c r="U44" s="36" t="s">
        <v>802</v>
      </c>
      <c r="V44" s="36">
        <v>0</v>
      </c>
      <c r="X44" s="2" t="s">
        <v>785</v>
      </c>
      <c r="Y44" s="1">
        <v>0</v>
      </c>
      <c r="Z44" s="1">
        <v>0</v>
      </c>
      <c r="AA44" s="1">
        <v>0</v>
      </c>
      <c r="AB44" s="1">
        <v>0</v>
      </c>
      <c r="AC44" s="1">
        <v>0</v>
      </c>
      <c r="AD44" s="1">
        <v>0</v>
      </c>
      <c r="AE44" s="1">
        <v>0</v>
      </c>
      <c r="AF44" s="1">
        <v>0</v>
      </c>
      <c r="AG44" s="1">
        <v>0</v>
      </c>
      <c r="AH44" s="1">
        <v>0</v>
      </c>
      <c r="AI44" s="1">
        <v>0</v>
      </c>
      <c r="AJ44" s="1" t="e">
        <f>VLOOKUP(ItemData!A44,Sheet8!N:O,2,FALSE)</f>
        <v>#N/A</v>
      </c>
    </row>
    <row r="45" spans="1:36" x14ac:dyDescent="0.15">
      <c r="A45" s="12" t="s">
        <v>456</v>
      </c>
      <c r="B45" s="1">
        <v>221</v>
      </c>
      <c r="C45" s="12" t="s">
        <v>456</v>
      </c>
      <c r="D45" s="1">
        <v>5</v>
      </c>
      <c r="E45" s="1">
        <v>0</v>
      </c>
      <c r="F45" s="1">
        <v>0</v>
      </c>
      <c r="G45" s="1">
        <v>5007</v>
      </c>
      <c r="H45" s="1" t="s">
        <v>1499</v>
      </c>
      <c r="I45" s="1">
        <v>0</v>
      </c>
      <c r="J45" s="1">
        <v>0</v>
      </c>
      <c r="K45" s="1">
        <v>0</v>
      </c>
      <c r="L45" s="1">
        <v>0</v>
      </c>
      <c r="M45" s="1">
        <v>49</v>
      </c>
      <c r="N45" s="3">
        <v>1</v>
      </c>
      <c r="O45" s="39">
        <f t="shared" si="3"/>
        <v>435</v>
      </c>
      <c r="P45" s="39">
        <f>VLOOKUP(A45,材料!$P$4:$R$85,3,FALSE)</f>
        <v>145</v>
      </c>
      <c r="T45" s="36" t="s">
        <v>803</v>
      </c>
      <c r="U45" s="36" t="s">
        <v>802</v>
      </c>
      <c r="V45" s="36">
        <v>0</v>
      </c>
      <c r="X45" s="2" t="s">
        <v>785</v>
      </c>
      <c r="Y45" s="1">
        <v>0</v>
      </c>
      <c r="Z45" s="1">
        <v>0</v>
      </c>
      <c r="AA45" s="1">
        <v>0</v>
      </c>
      <c r="AB45" s="1">
        <v>0</v>
      </c>
      <c r="AC45" s="1">
        <v>0</v>
      </c>
      <c r="AD45" s="1">
        <v>0</v>
      </c>
      <c r="AE45" s="1">
        <v>0</v>
      </c>
      <c r="AF45" s="1">
        <v>0</v>
      </c>
      <c r="AG45" s="1">
        <v>0</v>
      </c>
      <c r="AH45" s="1">
        <v>0</v>
      </c>
      <c r="AI45" s="1">
        <v>0</v>
      </c>
      <c r="AJ45" s="5" t="s">
        <v>1023</v>
      </c>
    </row>
    <row r="46" spans="1:36" x14ac:dyDescent="0.15">
      <c r="A46" s="12" t="s">
        <v>457</v>
      </c>
      <c r="B46" s="1">
        <v>222</v>
      </c>
      <c r="C46" s="12" t="s">
        <v>457</v>
      </c>
      <c r="D46" s="1">
        <v>5</v>
      </c>
      <c r="E46" s="1">
        <v>0</v>
      </c>
      <c r="F46" s="1">
        <v>0</v>
      </c>
      <c r="G46" s="1" t="s">
        <v>1825</v>
      </c>
      <c r="H46" s="1" t="s">
        <v>1500</v>
      </c>
      <c r="I46" s="1">
        <v>0</v>
      </c>
      <c r="J46" s="1">
        <v>0</v>
      </c>
      <c r="K46" s="1">
        <v>0</v>
      </c>
      <c r="L46" s="1">
        <v>0</v>
      </c>
      <c r="M46" s="1">
        <v>49</v>
      </c>
      <c r="N46" s="3">
        <v>1</v>
      </c>
      <c r="O46" s="39">
        <f t="shared" si="3"/>
        <v>435</v>
      </c>
      <c r="P46" s="39">
        <f>VLOOKUP(A46,材料!$P$4:$R$85,3,FALSE)</f>
        <v>145</v>
      </c>
      <c r="T46" s="36" t="s">
        <v>803</v>
      </c>
      <c r="U46" s="36" t="s">
        <v>802</v>
      </c>
      <c r="V46" s="36">
        <v>0</v>
      </c>
      <c r="X46" s="2" t="s">
        <v>785</v>
      </c>
      <c r="Y46" s="1">
        <v>0</v>
      </c>
      <c r="Z46" s="1">
        <v>0</v>
      </c>
      <c r="AA46" s="1">
        <v>0</v>
      </c>
      <c r="AB46" s="1">
        <v>0</v>
      </c>
      <c r="AC46" s="1">
        <v>0</v>
      </c>
      <c r="AD46" s="1">
        <v>0</v>
      </c>
      <c r="AE46" s="1">
        <v>0</v>
      </c>
      <c r="AF46" s="1">
        <v>0</v>
      </c>
      <c r="AG46" s="1">
        <v>0</v>
      </c>
      <c r="AH46" s="1">
        <v>0</v>
      </c>
      <c r="AI46" s="1">
        <v>0</v>
      </c>
      <c r="AJ46" s="1" t="s">
        <v>1024</v>
      </c>
    </row>
    <row r="47" spans="1:36" x14ac:dyDescent="0.15">
      <c r="A47" s="12" t="s">
        <v>348</v>
      </c>
      <c r="B47" s="1">
        <v>223</v>
      </c>
      <c r="C47" s="12" t="s">
        <v>348</v>
      </c>
      <c r="D47" s="1">
        <v>5</v>
      </c>
      <c r="E47" s="1">
        <v>0</v>
      </c>
      <c r="F47" s="1">
        <v>0</v>
      </c>
      <c r="G47" s="1">
        <v>5007</v>
      </c>
      <c r="H47" s="1" t="s">
        <v>1501</v>
      </c>
      <c r="I47" s="1">
        <v>0</v>
      </c>
      <c r="J47" s="1">
        <v>0</v>
      </c>
      <c r="K47" s="1">
        <v>0</v>
      </c>
      <c r="L47" s="1">
        <v>0</v>
      </c>
      <c r="M47" s="1">
        <v>49</v>
      </c>
      <c r="N47" s="3">
        <v>1</v>
      </c>
      <c r="O47" s="39">
        <f t="shared" si="3"/>
        <v>537</v>
      </c>
      <c r="P47" s="39">
        <f>VLOOKUP(A47,材料!$P$4:$R$85,3,FALSE)</f>
        <v>179</v>
      </c>
      <c r="T47" s="36" t="s">
        <v>803</v>
      </c>
      <c r="U47" s="36" t="s">
        <v>802</v>
      </c>
      <c r="V47" s="36">
        <v>0</v>
      </c>
      <c r="X47" s="2" t="s">
        <v>785</v>
      </c>
      <c r="Y47" s="1">
        <v>0</v>
      </c>
      <c r="Z47" s="1">
        <v>0</v>
      </c>
      <c r="AA47" s="1">
        <v>0</v>
      </c>
      <c r="AB47" s="1">
        <v>0</v>
      </c>
      <c r="AC47" s="1">
        <v>0</v>
      </c>
      <c r="AD47" s="1">
        <v>0</v>
      </c>
      <c r="AE47" s="1">
        <v>0</v>
      </c>
      <c r="AF47" s="1">
        <v>0</v>
      </c>
      <c r="AG47" s="1">
        <v>0</v>
      </c>
      <c r="AH47" s="1">
        <v>0</v>
      </c>
      <c r="AI47" s="1">
        <v>0</v>
      </c>
      <c r="AJ47" s="1" t="e">
        <f>VLOOKUP(ItemData!A47,Sheet8!N:O,2,FALSE)</f>
        <v>#N/A</v>
      </c>
    </row>
    <row r="48" spans="1:36" x14ac:dyDescent="0.15">
      <c r="A48" s="12" t="s">
        <v>369</v>
      </c>
      <c r="B48" s="1">
        <v>224</v>
      </c>
      <c r="C48" s="12" t="s">
        <v>369</v>
      </c>
      <c r="D48" s="1">
        <v>5</v>
      </c>
      <c r="E48" s="1">
        <v>0</v>
      </c>
      <c r="F48" s="1">
        <v>0</v>
      </c>
      <c r="G48" s="1" t="s">
        <v>1827</v>
      </c>
      <c r="H48" s="1" t="s">
        <v>1502</v>
      </c>
      <c r="I48" s="1">
        <v>0</v>
      </c>
      <c r="J48" s="1">
        <v>0</v>
      </c>
      <c r="K48" s="1">
        <v>0</v>
      </c>
      <c r="L48" s="1">
        <v>0</v>
      </c>
      <c r="M48" s="1">
        <v>49</v>
      </c>
      <c r="N48" s="3">
        <v>1</v>
      </c>
      <c r="O48" s="39">
        <f t="shared" si="3"/>
        <v>1065</v>
      </c>
      <c r="P48" s="39">
        <f>VLOOKUP(A48,材料!$P$4:$R$85,3,FALSE)</f>
        <v>355</v>
      </c>
      <c r="T48" s="36" t="s">
        <v>803</v>
      </c>
      <c r="U48" s="36" t="s">
        <v>802</v>
      </c>
      <c r="V48" s="36">
        <v>0</v>
      </c>
      <c r="X48" s="2" t="s">
        <v>785</v>
      </c>
      <c r="Y48" s="1">
        <v>0</v>
      </c>
      <c r="Z48" s="1">
        <v>0</v>
      </c>
      <c r="AA48" s="1">
        <v>0</v>
      </c>
      <c r="AB48" s="1">
        <v>0</v>
      </c>
      <c r="AC48" s="1">
        <v>0</v>
      </c>
      <c r="AD48" s="1">
        <v>0</v>
      </c>
      <c r="AE48" s="1">
        <v>0</v>
      </c>
      <c r="AF48" s="1">
        <v>0</v>
      </c>
      <c r="AG48" s="1">
        <v>0</v>
      </c>
      <c r="AH48" s="1">
        <v>0</v>
      </c>
      <c r="AI48" s="1">
        <v>0</v>
      </c>
      <c r="AJ48" s="1" t="e">
        <f>VLOOKUP(ItemData!A48,Sheet8!N:O,2,FALSE)</f>
        <v>#N/A</v>
      </c>
    </row>
    <row r="49" spans="1:36" x14ac:dyDescent="0.15">
      <c r="A49" s="12" t="s">
        <v>458</v>
      </c>
      <c r="B49" s="1">
        <v>225</v>
      </c>
      <c r="C49" s="12" t="s">
        <v>458</v>
      </c>
      <c r="D49" s="1">
        <v>5</v>
      </c>
      <c r="E49" s="1">
        <v>0</v>
      </c>
      <c r="F49" s="1">
        <v>0</v>
      </c>
      <c r="G49" s="1" t="s">
        <v>1828</v>
      </c>
      <c r="H49" s="1" t="s">
        <v>1503</v>
      </c>
      <c r="I49" s="1">
        <v>0</v>
      </c>
      <c r="J49" s="1">
        <v>0</v>
      </c>
      <c r="K49" s="1">
        <v>0</v>
      </c>
      <c r="L49" s="1">
        <v>0</v>
      </c>
      <c r="M49" s="1">
        <v>49</v>
      </c>
      <c r="N49" s="3">
        <v>1</v>
      </c>
      <c r="O49" s="39">
        <f t="shared" si="3"/>
        <v>1227</v>
      </c>
      <c r="P49" s="39">
        <f>VLOOKUP(A49,材料!$P$4:$R$85,3,FALSE)</f>
        <v>409</v>
      </c>
      <c r="T49" s="36" t="s">
        <v>803</v>
      </c>
      <c r="U49" s="36" t="s">
        <v>802</v>
      </c>
      <c r="V49" s="36">
        <v>0</v>
      </c>
      <c r="X49" s="2" t="s">
        <v>785</v>
      </c>
      <c r="Y49" s="1">
        <v>0</v>
      </c>
      <c r="Z49" s="1">
        <v>0</v>
      </c>
      <c r="AA49" s="1">
        <v>0</v>
      </c>
      <c r="AB49" s="1">
        <v>0</v>
      </c>
      <c r="AC49" s="1">
        <v>0</v>
      </c>
      <c r="AD49" s="1">
        <v>0</v>
      </c>
      <c r="AE49" s="1">
        <v>0</v>
      </c>
      <c r="AF49" s="1">
        <v>0</v>
      </c>
      <c r="AG49" s="1">
        <v>0</v>
      </c>
      <c r="AH49" s="1">
        <v>0</v>
      </c>
      <c r="AI49" s="1">
        <v>0</v>
      </c>
      <c r="AJ49" s="1" t="s">
        <v>1025</v>
      </c>
    </row>
    <row r="50" spans="1:36" x14ac:dyDescent="0.15">
      <c r="A50" s="12" t="s">
        <v>459</v>
      </c>
      <c r="B50" s="1">
        <v>226</v>
      </c>
      <c r="C50" s="12" t="s">
        <v>459</v>
      </c>
      <c r="D50" s="1">
        <v>5</v>
      </c>
      <c r="E50" s="1">
        <v>0</v>
      </c>
      <c r="F50" s="1">
        <v>0</v>
      </c>
      <c r="H50" s="1" t="s">
        <v>1504</v>
      </c>
      <c r="I50" s="1">
        <v>0</v>
      </c>
      <c r="J50" s="1">
        <v>0</v>
      </c>
      <c r="K50" s="1">
        <v>0</v>
      </c>
      <c r="L50" s="1">
        <v>0</v>
      </c>
      <c r="M50" s="1">
        <v>49</v>
      </c>
      <c r="N50" s="3">
        <v>1</v>
      </c>
      <c r="O50" s="39">
        <f t="shared" si="3"/>
        <v>1227</v>
      </c>
      <c r="P50" s="39">
        <v>409</v>
      </c>
      <c r="T50" s="36" t="s">
        <v>803</v>
      </c>
      <c r="U50" s="36" t="s">
        <v>802</v>
      </c>
      <c r="V50" s="36">
        <v>0</v>
      </c>
      <c r="X50" s="2" t="s">
        <v>785</v>
      </c>
      <c r="Y50" s="1">
        <v>0</v>
      </c>
      <c r="Z50" s="1">
        <v>0</v>
      </c>
      <c r="AA50" s="1">
        <v>0</v>
      </c>
      <c r="AB50" s="1">
        <v>0</v>
      </c>
      <c r="AC50" s="1">
        <v>0</v>
      </c>
      <c r="AD50" s="1">
        <v>0</v>
      </c>
      <c r="AE50" s="1">
        <v>0</v>
      </c>
      <c r="AF50" s="1">
        <v>0</v>
      </c>
      <c r="AG50" s="1">
        <v>0</v>
      </c>
      <c r="AH50" s="1">
        <v>0</v>
      </c>
      <c r="AI50" s="1">
        <v>0</v>
      </c>
      <c r="AJ50" s="1" t="s">
        <v>1026</v>
      </c>
    </row>
    <row r="51" spans="1:36" x14ac:dyDescent="0.15">
      <c r="A51" s="12" t="s">
        <v>362</v>
      </c>
      <c r="B51" s="1">
        <v>227</v>
      </c>
      <c r="C51" s="12" t="s">
        <v>362</v>
      </c>
      <c r="D51" s="1">
        <v>5</v>
      </c>
      <c r="E51" s="1">
        <v>0</v>
      </c>
      <c r="F51" s="1">
        <v>0</v>
      </c>
      <c r="G51" s="1" t="s">
        <v>1825</v>
      </c>
      <c r="H51" s="1" t="s">
        <v>1505</v>
      </c>
      <c r="I51" s="1">
        <v>0</v>
      </c>
      <c r="J51" s="1">
        <v>0</v>
      </c>
      <c r="K51" s="1">
        <v>0</v>
      </c>
      <c r="L51" s="1">
        <v>0</v>
      </c>
      <c r="M51" s="1">
        <v>49</v>
      </c>
      <c r="N51" s="3">
        <v>1</v>
      </c>
      <c r="O51" s="39">
        <f t="shared" si="3"/>
        <v>1401</v>
      </c>
      <c r="P51" s="39">
        <f>VLOOKUP(A51,材料!$P$4:$R$85,3,FALSE)</f>
        <v>467</v>
      </c>
      <c r="T51" s="36" t="s">
        <v>803</v>
      </c>
      <c r="U51" s="36" t="s">
        <v>802</v>
      </c>
      <c r="V51" s="36">
        <v>0</v>
      </c>
      <c r="X51" s="2" t="s">
        <v>785</v>
      </c>
      <c r="Y51" s="1">
        <v>0</v>
      </c>
      <c r="Z51" s="1">
        <v>0</v>
      </c>
      <c r="AA51" s="1">
        <v>0</v>
      </c>
      <c r="AB51" s="1">
        <v>0</v>
      </c>
      <c r="AC51" s="1">
        <v>0</v>
      </c>
      <c r="AD51" s="1">
        <v>0</v>
      </c>
      <c r="AE51" s="1">
        <v>0</v>
      </c>
      <c r="AF51" s="1">
        <v>0</v>
      </c>
      <c r="AG51" s="1">
        <v>0</v>
      </c>
      <c r="AH51" s="1">
        <v>0</v>
      </c>
      <c r="AI51" s="1">
        <v>0</v>
      </c>
      <c r="AJ51" s="1" t="e">
        <f>VLOOKUP(ItemData!A51,Sheet8!N:O,2,FALSE)</f>
        <v>#N/A</v>
      </c>
    </row>
    <row r="52" spans="1:36" x14ac:dyDescent="0.15">
      <c r="A52" s="12" t="s">
        <v>361</v>
      </c>
      <c r="B52" s="1">
        <v>228</v>
      </c>
      <c r="C52" s="12" t="s">
        <v>361</v>
      </c>
      <c r="D52" s="1">
        <v>5</v>
      </c>
      <c r="E52" s="1">
        <v>0</v>
      </c>
      <c r="F52" s="1">
        <v>0</v>
      </c>
      <c r="G52" s="1">
        <v>5007</v>
      </c>
      <c r="H52" s="1" t="s">
        <v>1506</v>
      </c>
      <c r="I52" s="1">
        <v>0</v>
      </c>
      <c r="J52" s="1">
        <v>0</v>
      </c>
      <c r="K52" s="1">
        <v>0</v>
      </c>
      <c r="L52" s="1">
        <v>0</v>
      </c>
      <c r="M52" s="1">
        <v>49</v>
      </c>
      <c r="N52" s="3">
        <v>1</v>
      </c>
      <c r="O52" s="39">
        <f t="shared" si="3"/>
        <v>345</v>
      </c>
      <c r="P52" s="39">
        <f>VLOOKUP(A52,材料!$P$4:$R$85,3,FALSE)</f>
        <v>115</v>
      </c>
      <c r="T52" s="36" t="s">
        <v>803</v>
      </c>
      <c r="U52" s="36" t="s">
        <v>802</v>
      </c>
      <c r="V52" s="36">
        <v>0</v>
      </c>
      <c r="X52" s="2" t="s">
        <v>785</v>
      </c>
      <c r="Y52" s="1">
        <v>0</v>
      </c>
      <c r="Z52" s="1">
        <v>0</v>
      </c>
      <c r="AA52" s="1">
        <v>0</v>
      </c>
      <c r="AB52" s="1">
        <v>0</v>
      </c>
      <c r="AC52" s="1">
        <v>0</v>
      </c>
      <c r="AD52" s="1">
        <v>0</v>
      </c>
      <c r="AE52" s="1">
        <v>0</v>
      </c>
      <c r="AF52" s="1">
        <v>0</v>
      </c>
      <c r="AG52" s="1">
        <v>0</v>
      </c>
      <c r="AH52" s="1">
        <v>0</v>
      </c>
      <c r="AI52" s="1">
        <v>0</v>
      </c>
      <c r="AJ52" s="1" t="e">
        <f>VLOOKUP(ItemData!A52,Sheet8!N:O,2,FALSE)</f>
        <v>#N/A</v>
      </c>
    </row>
    <row r="53" spans="1:36" x14ac:dyDescent="0.15">
      <c r="A53" s="12" t="s">
        <v>460</v>
      </c>
      <c r="B53" s="1">
        <v>229</v>
      </c>
      <c r="C53" s="12" t="s">
        <v>460</v>
      </c>
      <c r="D53" s="1">
        <v>5</v>
      </c>
      <c r="E53" s="1">
        <v>0</v>
      </c>
      <c r="F53" s="1">
        <v>0</v>
      </c>
      <c r="G53" s="1">
        <v>5008</v>
      </c>
      <c r="H53" s="1" t="s">
        <v>1489</v>
      </c>
      <c r="I53" s="1">
        <v>0</v>
      </c>
      <c r="J53" s="1">
        <v>0</v>
      </c>
      <c r="K53" s="1">
        <v>0</v>
      </c>
      <c r="L53" s="1">
        <v>0</v>
      </c>
      <c r="M53" s="1">
        <v>49</v>
      </c>
      <c r="N53" s="3">
        <v>1</v>
      </c>
      <c r="O53" s="39">
        <f t="shared" si="3"/>
        <v>1587</v>
      </c>
      <c r="P53" s="39">
        <f>VLOOKUP(A53,材料!$P$4:$R$85,3,FALSE)</f>
        <v>529</v>
      </c>
      <c r="T53" s="36" t="s">
        <v>803</v>
      </c>
      <c r="U53" s="36" t="s">
        <v>802</v>
      </c>
      <c r="V53" s="36">
        <v>0</v>
      </c>
      <c r="X53" s="2" t="s">
        <v>785</v>
      </c>
      <c r="Y53" s="1">
        <v>0</v>
      </c>
      <c r="Z53" s="1">
        <v>0</v>
      </c>
      <c r="AA53" s="1">
        <v>0</v>
      </c>
      <c r="AB53" s="1">
        <v>0</v>
      </c>
      <c r="AC53" s="1">
        <v>0</v>
      </c>
      <c r="AD53" s="1">
        <v>0</v>
      </c>
      <c r="AE53" s="1">
        <v>0</v>
      </c>
      <c r="AF53" s="1">
        <v>0</v>
      </c>
      <c r="AG53" s="1">
        <v>0</v>
      </c>
      <c r="AH53" s="1">
        <v>0</v>
      </c>
      <c r="AI53" s="1">
        <v>0</v>
      </c>
      <c r="AJ53" s="1" t="s">
        <v>1027</v>
      </c>
    </row>
    <row r="54" spans="1:36" x14ac:dyDescent="0.15">
      <c r="A54" s="12" t="s">
        <v>461</v>
      </c>
      <c r="B54" s="1">
        <v>230</v>
      </c>
      <c r="C54" s="12" t="s">
        <v>461</v>
      </c>
      <c r="D54" s="1">
        <v>5</v>
      </c>
      <c r="E54" s="1">
        <v>0</v>
      </c>
      <c r="F54" s="1">
        <v>0</v>
      </c>
      <c r="H54" s="1" t="s">
        <v>1507</v>
      </c>
      <c r="I54" s="1">
        <v>0</v>
      </c>
      <c r="J54" s="1">
        <v>0</v>
      </c>
      <c r="K54" s="1">
        <v>0</v>
      </c>
      <c r="L54" s="1">
        <v>0</v>
      </c>
      <c r="M54" s="1">
        <v>49</v>
      </c>
      <c r="N54" s="3">
        <v>1</v>
      </c>
      <c r="O54" s="39">
        <f t="shared" si="3"/>
        <v>1587</v>
      </c>
      <c r="P54" s="39">
        <f>VLOOKUP(A54,材料!$P$4:$R$85,3,FALSE)</f>
        <v>529</v>
      </c>
      <c r="T54" s="36" t="s">
        <v>803</v>
      </c>
      <c r="U54" s="36" t="s">
        <v>802</v>
      </c>
      <c r="V54" s="36">
        <v>0</v>
      </c>
      <c r="X54" s="2" t="s">
        <v>785</v>
      </c>
      <c r="Y54" s="1">
        <v>0</v>
      </c>
      <c r="Z54" s="1">
        <v>0</v>
      </c>
      <c r="AA54" s="1">
        <v>0</v>
      </c>
      <c r="AB54" s="1">
        <v>0</v>
      </c>
      <c r="AC54" s="1">
        <v>0</v>
      </c>
      <c r="AD54" s="1">
        <v>0</v>
      </c>
      <c r="AE54" s="1">
        <v>0</v>
      </c>
      <c r="AF54" s="1">
        <v>0</v>
      </c>
      <c r="AG54" s="1">
        <v>0</v>
      </c>
      <c r="AH54" s="1">
        <v>0</v>
      </c>
      <c r="AI54" s="1">
        <v>0</v>
      </c>
      <c r="AJ54" s="1" t="s">
        <v>1028</v>
      </c>
    </row>
    <row r="55" spans="1:36" x14ac:dyDescent="0.15">
      <c r="A55" s="12" t="s">
        <v>462</v>
      </c>
      <c r="B55" s="1">
        <v>232</v>
      </c>
      <c r="C55" s="12" t="s">
        <v>462</v>
      </c>
      <c r="D55" s="1">
        <v>5</v>
      </c>
      <c r="E55" s="1">
        <v>0</v>
      </c>
      <c r="F55" s="1">
        <v>0</v>
      </c>
      <c r="G55" s="1" t="s">
        <v>1825</v>
      </c>
      <c r="H55" s="1" t="s">
        <v>1489</v>
      </c>
      <c r="I55" s="1">
        <v>0</v>
      </c>
      <c r="J55" s="1">
        <v>0</v>
      </c>
      <c r="K55" s="1">
        <v>0</v>
      </c>
      <c r="L55" s="1">
        <v>0</v>
      </c>
      <c r="M55" s="1">
        <v>49</v>
      </c>
      <c r="N55" s="3">
        <v>1</v>
      </c>
      <c r="O55" s="39">
        <f t="shared" si="3"/>
        <v>1785</v>
      </c>
      <c r="P55" s="39">
        <f>VLOOKUP(A55,材料!$P$4:$R$85,3,FALSE)</f>
        <v>595</v>
      </c>
      <c r="T55" s="36" t="s">
        <v>803</v>
      </c>
      <c r="U55" s="36" t="s">
        <v>802</v>
      </c>
      <c r="V55" s="36">
        <v>0</v>
      </c>
      <c r="X55" s="2" t="s">
        <v>785</v>
      </c>
      <c r="Y55" s="1">
        <v>0</v>
      </c>
      <c r="Z55" s="1">
        <v>0</v>
      </c>
      <c r="AA55" s="1">
        <v>0</v>
      </c>
      <c r="AB55" s="1">
        <v>0</v>
      </c>
      <c r="AC55" s="1">
        <v>0</v>
      </c>
      <c r="AD55" s="1">
        <v>0</v>
      </c>
      <c r="AE55" s="1">
        <v>0</v>
      </c>
      <c r="AF55" s="1">
        <v>0</v>
      </c>
      <c r="AG55" s="1">
        <v>0</v>
      </c>
      <c r="AH55" s="1">
        <v>0</v>
      </c>
      <c r="AI55" s="1">
        <v>0</v>
      </c>
      <c r="AJ55" s="1" t="s">
        <v>1029</v>
      </c>
    </row>
    <row r="56" spans="1:36" x14ac:dyDescent="0.15">
      <c r="A56" s="12" t="s">
        <v>463</v>
      </c>
      <c r="B56" s="1">
        <v>234</v>
      </c>
      <c r="C56" s="12" t="s">
        <v>463</v>
      </c>
      <c r="D56" s="1">
        <v>5</v>
      </c>
      <c r="E56" s="1">
        <v>0</v>
      </c>
      <c r="F56" s="1">
        <v>0</v>
      </c>
      <c r="G56" s="1">
        <v>5007</v>
      </c>
      <c r="H56" s="1" t="s">
        <v>1508</v>
      </c>
      <c r="I56" s="1">
        <v>0</v>
      </c>
      <c r="J56" s="1">
        <v>0</v>
      </c>
      <c r="K56" s="1">
        <v>0</v>
      </c>
      <c r="L56" s="1">
        <v>0</v>
      </c>
      <c r="M56" s="1">
        <v>49</v>
      </c>
      <c r="N56" s="3">
        <v>1</v>
      </c>
      <c r="O56" s="39">
        <f t="shared" si="3"/>
        <v>1065</v>
      </c>
      <c r="P56" s="39">
        <f>VLOOKUP(A56,材料!$P$4:$R$85,3,FALSE)</f>
        <v>355</v>
      </c>
      <c r="T56" s="36" t="s">
        <v>803</v>
      </c>
      <c r="U56" s="36" t="s">
        <v>802</v>
      </c>
      <c r="V56" s="36">
        <v>0</v>
      </c>
      <c r="X56" s="2" t="s">
        <v>785</v>
      </c>
      <c r="Y56" s="1">
        <v>0</v>
      </c>
      <c r="Z56" s="1">
        <v>0</v>
      </c>
      <c r="AA56" s="1">
        <v>0</v>
      </c>
      <c r="AB56" s="1">
        <v>0</v>
      </c>
      <c r="AC56" s="1">
        <v>0</v>
      </c>
      <c r="AD56" s="1">
        <v>0</v>
      </c>
      <c r="AE56" s="1">
        <v>0</v>
      </c>
      <c r="AF56" s="1">
        <v>0</v>
      </c>
      <c r="AG56" s="1">
        <v>0</v>
      </c>
      <c r="AH56" s="1">
        <v>0</v>
      </c>
      <c r="AI56" s="1">
        <v>0</v>
      </c>
      <c r="AJ56" s="1" t="s">
        <v>1030</v>
      </c>
    </row>
    <row r="57" spans="1:36" x14ac:dyDescent="0.15">
      <c r="A57" s="12" t="s">
        <v>723</v>
      </c>
      <c r="B57" s="1">
        <v>235</v>
      </c>
      <c r="C57" s="12" t="s">
        <v>464</v>
      </c>
      <c r="D57" s="1">
        <v>5</v>
      </c>
      <c r="E57" s="1">
        <v>0</v>
      </c>
      <c r="F57" s="1">
        <v>0</v>
      </c>
      <c r="H57" s="1" t="s">
        <v>1509</v>
      </c>
      <c r="I57" s="1">
        <v>0</v>
      </c>
      <c r="J57" s="1">
        <v>0</v>
      </c>
      <c r="K57" s="1">
        <v>0</v>
      </c>
      <c r="L57" s="1">
        <v>0</v>
      </c>
      <c r="M57" s="1">
        <v>49</v>
      </c>
      <c r="N57" s="3">
        <v>1</v>
      </c>
      <c r="O57" s="39">
        <f t="shared" si="3"/>
        <v>1080</v>
      </c>
      <c r="P57" s="39">
        <v>360</v>
      </c>
      <c r="T57" s="36" t="s">
        <v>803</v>
      </c>
      <c r="U57" s="36" t="s">
        <v>802</v>
      </c>
      <c r="V57" s="36">
        <v>0</v>
      </c>
      <c r="X57" s="2" t="s">
        <v>785</v>
      </c>
      <c r="Y57" s="1">
        <v>0</v>
      </c>
      <c r="Z57" s="1">
        <v>0</v>
      </c>
      <c r="AA57" s="1">
        <v>0</v>
      </c>
      <c r="AB57" s="1">
        <v>0</v>
      </c>
      <c r="AC57" s="1">
        <v>0</v>
      </c>
      <c r="AD57" s="1">
        <v>0</v>
      </c>
      <c r="AE57" s="1">
        <v>0</v>
      </c>
      <c r="AF57" s="1">
        <v>0</v>
      </c>
      <c r="AG57" s="1">
        <v>0</v>
      </c>
      <c r="AH57" s="1">
        <v>0</v>
      </c>
      <c r="AI57" s="1">
        <v>0</v>
      </c>
      <c r="AJ57" s="1" t="s">
        <v>1031</v>
      </c>
    </row>
    <row r="58" spans="1:36" x14ac:dyDescent="0.15">
      <c r="A58" s="12" t="s">
        <v>465</v>
      </c>
      <c r="B58" s="1">
        <v>236</v>
      </c>
      <c r="C58" s="12" t="s">
        <v>465</v>
      </c>
      <c r="D58" s="1">
        <v>5</v>
      </c>
      <c r="E58" s="1">
        <v>0</v>
      </c>
      <c r="F58" s="1">
        <v>0</v>
      </c>
      <c r="G58" s="1">
        <v>5006</v>
      </c>
      <c r="H58" s="1" t="s">
        <v>1510</v>
      </c>
      <c r="I58" s="1">
        <v>0</v>
      </c>
      <c r="J58" s="1">
        <v>0</v>
      </c>
      <c r="K58" s="1">
        <v>0</v>
      </c>
      <c r="L58" s="1">
        <v>0</v>
      </c>
      <c r="M58" s="1">
        <v>49</v>
      </c>
      <c r="N58" s="3">
        <v>1</v>
      </c>
      <c r="O58" s="39">
        <f t="shared" si="3"/>
        <v>1995</v>
      </c>
      <c r="P58" s="39">
        <f>VLOOKUP(A58,材料!$P$4:$R$85,3,FALSE)</f>
        <v>665</v>
      </c>
      <c r="T58" s="36" t="s">
        <v>803</v>
      </c>
      <c r="U58" s="36" t="s">
        <v>802</v>
      </c>
      <c r="V58" s="36">
        <v>0</v>
      </c>
      <c r="X58" s="2" t="s">
        <v>785</v>
      </c>
      <c r="Y58" s="1">
        <v>0</v>
      </c>
      <c r="Z58" s="1">
        <v>0</v>
      </c>
      <c r="AA58" s="1">
        <v>0</v>
      </c>
      <c r="AB58" s="1">
        <v>0</v>
      </c>
      <c r="AC58" s="1">
        <v>0</v>
      </c>
      <c r="AD58" s="1">
        <v>0</v>
      </c>
      <c r="AE58" s="1">
        <v>0</v>
      </c>
      <c r="AF58" s="1">
        <v>0</v>
      </c>
      <c r="AG58" s="1">
        <v>0</v>
      </c>
      <c r="AH58" s="1">
        <v>0</v>
      </c>
      <c r="AI58" s="1">
        <v>0</v>
      </c>
      <c r="AJ58" s="1" t="s">
        <v>1032</v>
      </c>
    </row>
    <row r="59" spans="1:36" x14ac:dyDescent="0.15">
      <c r="A59" s="12" t="s">
        <v>466</v>
      </c>
      <c r="B59" s="1">
        <v>237</v>
      </c>
      <c r="C59" s="12" t="s">
        <v>466</v>
      </c>
      <c r="D59" s="1">
        <v>5</v>
      </c>
      <c r="E59" s="1">
        <v>0</v>
      </c>
      <c r="F59" s="1">
        <v>0</v>
      </c>
      <c r="G59" s="1">
        <v>5008</v>
      </c>
      <c r="H59" s="1" t="s">
        <v>1511</v>
      </c>
      <c r="I59" s="1">
        <v>0</v>
      </c>
      <c r="J59" s="1">
        <v>0</v>
      </c>
      <c r="K59" s="1">
        <v>0</v>
      </c>
      <c r="L59" s="1">
        <v>0</v>
      </c>
      <c r="M59" s="1">
        <v>49</v>
      </c>
      <c r="N59" s="3">
        <v>1</v>
      </c>
      <c r="O59" s="39">
        <f t="shared" si="3"/>
        <v>2217</v>
      </c>
      <c r="P59" s="39">
        <f>VLOOKUP(A59,材料!$P$4:$R$85,3,FALSE)</f>
        <v>739</v>
      </c>
      <c r="T59" s="36" t="s">
        <v>803</v>
      </c>
      <c r="U59" s="36" t="s">
        <v>802</v>
      </c>
      <c r="V59" s="36">
        <v>0</v>
      </c>
      <c r="X59" s="2" t="s">
        <v>785</v>
      </c>
      <c r="Y59" s="1">
        <v>0</v>
      </c>
      <c r="Z59" s="1">
        <v>0</v>
      </c>
      <c r="AA59" s="1">
        <v>0</v>
      </c>
      <c r="AB59" s="1">
        <v>0</v>
      </c>
      <c r="AC59" s="1">
        <v>0</v>
      </c>
      <c r="AD59" s="1">
        <v>0</v>
      </c>
      <c r="AE59" s="1">
        <v>0</v>
      </c>
      <c r="AF59" s="1">
        <v>0</v>
      </c>
      <c r="AG59" s="1">
        <v>0</v>
      </c>
      <c r="AH59" s="1">
        <v>0</v>
      </c>
      <c r="AI59" s="1">
        <v>0</v>
      </c>
      <c r="AJ59" s="1" t="e">
        <f>VLOOKUP(ItemData!A59,Sheet8!N:O,2,FALSE)</f>
        <v>#N/A</v>
      </c>
    </row>
    <row r="60" spans="1:36" x14ac:dyDescent="0.15">
      <c r="A60" s="12" t="s">
        <v>350</v>
      </c>
      <c r="B60" s="1">
        <v>238</v>
      </c>
      <c r="C60" s="12" t="s">
        <v>350</v>
      </c>
      <c r="D60" s="1">
        <v>5</v>
      </c>
      <c r="E60" s="1">
        <v>0</v>
      </c>
      <c r="F60" s="1">
        <v>0</v>
      </c>
      <c r="G60" s="1">
        <v>5007</v>
      </c>
      <c r="H60" s="1" t="s">
        <v>1501</v>
      </c>
      <c r="I60" s="1">
        <v>0</v>
      </c>
      <c r="J60" s="1">
        <v>0</v>
      </c>
      <c r="K60" s="1">
        <v>0</v>
      </c>
      <c r="L60" s="1">
        <v>0</v>
      </c>
      <c r="M60" s="1">
        <v>49</v>
      </c>
      <c r="N60" s="3">
        <v>1</v>
      </c>
      <c r="O60" s="39">
        <f t="shared" si="3"/>
        <v>1065</v>
      </c>
      <c r="P60" s="39">
        <f>VLOOKUP(A60,材料!$P$4:$R$85,3,FALSE)</f>
        <v>355</v>
      </c>
      <c r="T60" s="36" t="s">
        <v>803</v>
      </c>
      <c r="U60" s="36" t="s">
        <v>802</v>
      </c>
      <c r="V60" s="36">
        <v>0</v>
      </c>
      <c r="X60" s="2" t="s">
        <v>785</v>
      </c>
      <c r="Y60" s="1">
        <v>0</v>
      </c>
      <c r="Z60" s="1">
        <v>0</v>
      </c>
      <c r="AA60" s="1">
        <v>0</v>
      </c>
      <c r="AB60" s="1">
        <v>0</v>
      </c>
      <c r="AC60" s="1">
        <v>0</v>
      </c>
      <c r="AD60" s="1">
        <v>0</v>
      </c>
      <c r="AE60" s="1">
        <v>0</v>
      </c>
      <c r="AF60" s="1">
        <v>0</v>
      </c>
      <c r="AG60" s="1">
        <v>0</v>
      </c>
      <c r="AH60" s="1">
        <v>0</v>
      </c>
      <c r="AI60" s="1">
        <v>0</v>
      </c>
      <c r="AJ60" s="1" t="e">
        <f>VLOOKUP(ItemData!A60,Sheet8!N:O,2,FALSE)</f>
        <v>#N/A</v>
      </c>
    </row>
    <row r="61" spans="1:36" x14ac:dyDescent="0.15">
      <c r="A61" s="12" t="s">
        <v>367</v>
      </c>
      <c r="B61" s="1">
        <v>239</v>
      </c>
      <c r="C61" s="12" t="s">
        <v>367</v>
      </c>
      <c r="D61" s="1">
        <v>5</v>
      </c>
      <c r="E61" s="1">
        <v>0</v>
      </c>
      <c r="F61" s="1">
        <v>0</v>
      </c>
      <c r="G61" s="1">
        <v>5008</v>
      </c>
      <c r="H61" s="1" t="s">
        <v>1512</v>
      </c>
      <c r="I61" s="1">
        <v>0</v>
      </c>
      <c r="J61" s="1">
        <v>0</v>
      </c>
      <c r="K61" s="1">
        <v>0</v>
      </c>
      <c r="L61" s="1">
        <v>0</v>
      </c>
      <c r="M61" s="1">
        <v>49</v>
      </c>
      <c r="N61" s="3">
        <v>1</v>
      </c>
      <c r="O61" s="39">
        <f t="shared" si="3"/>
        <v>537</v>
      </c>
      <c r="P61" s="39">
        <f>VLOOKUP(A61,材料!$P$4:$R$85,3,FALSE)</f>
        <v>179</v>
      </c>
      <c r="T61" s="36" t="s">
        <v>803</v>
      </c>
      <c r="U61" s="36" t="s">
        <v>802</v>
      </c>
      <c r="V61" s="36">
        <v>0</v>
      </c>
      <c r="X61" s="2" t="s">
        <v>785</v>
      </c>
      <c r="Y61" s="1">
        <v>0</v>
      </c>
      <c r="Z61" s="1">
        <v>0</v>
      </c>
      <c r="AA61" s="1">
        <v>0</v>
      </c>
      <c r="AB61" s="1">
        <v>0</v>
      </c>
      <c r="AC61" s="1">
        <v>0</v>
      </c>
      <c r="AD61" s="1">
        <v>0</v>
      </c>
      <c r="AE61" s="1">
        <v>0</v>
      </c>
      <c r="AF61" s="1">
        <v>0</v>
      </c>
      <c r="AG61" s="1">
        <v>0</v>
      </c>
      <c r="AH61" s="1">
        <v>0</v>
      </c>
      <c r="AI61" s="1">
        <v>0</v>
      </c>
      <c r="AJ61" s="1" t="e">
        <f>VLOOKUP(ItemData!A61,Sheet8!N:O,2,FALSE)</f>
        <v>#N/A</v>
      </c>
    </row>
    <row r="62" spans="1:36" x14ac:dyDescent="0.15">
      <c r="A62" s="12" t="s">
        <v>467</v>
      </c>
      <c r="B62" s="1">
        <v>240</v>
      </c>
      <c r="C62" s="12" t="s">
        <v>467</v>
      </c>
      <c r="D62" s="1">
        <v>5</v>
      </c>
      <c r="E62" s="1">
        <v>0</v>
      </c>
      <c r="F62" s="1">
        <v>0</v>
      </c>
      <c r="G62" s="1" t="s">
        <v>1828</v>
      </c>
      <c r="H62" s="1" t="s">
        <v>1513</v>
      </c>
      <c r="I62" s="1">
        <v>0</v>
      </c>
      <c r="J62" s="1">
        <v>0</v>
      </c>
      <c r="K62" s="1">
        <v>0</v>
      </c>
      <c r="L62" s="1">
        <v>0</v>
      </c>
      <c r="M62" s="1">
        <v>49</v>
      </c>
      <c r="N62" s="3">
        <v>1</v>
      </c>
      <c r="O62" s="39">
        <f t="shared" si="3"/>
        <v>2697</v>
      </c>
      <c r="P62" s="39">
        <f>VLOOKUP(A62,材料!$P$4:$R$85,3,FALSE)</f>
        <v>899</v>
      </c>
      <c r="T62" s="36" t="s">
        <v>803</v>
      </c>
      <c r="U62" s="36" t="s">
        <v>802</v>
      </c>
      <c r="V62" s="36">
        <v>0</v>
      </c>
      <c r="X62" s="2" t="s">
        <v>785</v>
      </c>
      <c r="Y62" s="1">
        <v>0</v>
      </c>
      <c r="Z62" s="1">
        <v>0</v>
      </c>
      <c r="AA62" s="1">
        <v>0</v>
      </c>
      <c r="AB62" s="1">
        <v>0</v>
      </c>
      <c r="AC62" s="1">
        <v>0</v>
      </c>
      <c r="AD62" s="1">
        <v>0</v>
      </c>
      <c r="AE62" s="1">
        <v>0</v>
      </c>
      <c r="AF62" s="1">
        <v>0</v>
      </c>
      <c r="AG62" s="1">
        <v>0</v>
      </c>
      <c r="AH62" s="1">
        <v>0</v>
      </c>
      <c r="AI62" s="1">
        <v>0</v>
      </c>
      <c r="AJ62" s="1" t="s">
        <v>1033</v>
      </c>
    </row>
    <row r="63" spans="1:36" x14ac:dyDescent="0.15">
      <c r="A63" s="12" t="s">
        <v>363</v>
      </c>
      <c r="B63" s="1">
        <v>241</v>
      </c>
      <c r="C63" s="12" t="s">
        <v>363</v>
      </c>
      <c r="D63" s="1">
        <v>5</v>
      </c>
      <c r="E63" s="1">
        <v>0</v>
      </c>
      <c r="F63" s="1">
        <v>0</v>
      </c>
      <c r="G63" s="1" t="s">
        <v>1829</v>
      </c>
      <c r="H63" s="1" t="s">
        <v>1500</v>
      </c>
      <c r="I63" s="1">
        <v>0</v>
      </c>
      <c r="J63" s="1">
        <v>0</v>
      </c>
      <c r="K63" s="1">
        <v>0</v>
      </c>
      <c r="L63" s="1">
        <v>0</v>
      </c>
      <c r="M63" s="1">
        <v>49</v>
      </c>
      <c r="N63" s="3">
        <v>1</v>
      </c>
      <c r="O63" s="39">
        <f t="shared" si="3"/>
        <v>105</v>
      </c>
      <c r="P63" s="39">
        <f>VLOOKUP(A63,材料!$P$4:$R$85,3,FALSE)</f>
        <v>35</v>
      </c>
      <c r="T63" s="36" t="s">
        <v>803</v>
      </c>
      <c r="U63" s="36" t="s">
        <v>802</v>
      </c>
      <c r="V63" s="36">
        <v>0</v>
      </c>
      <c r="X63" s="2" t="s">
        <v>785</v>
      </c>
      <c r="Y63" s="1">
        <v>0</v>
      </c>
      <c r="Z63" s="1">
        <v>0</v>
      </c>
      <c r="AA63" s="1">
        <v>0</v>
      </c>
      <c r="AB63" s="1">
        <v>0</v>
      </c>
      <c r="AC63" s="1">
        <v>0</v>
      </c>
      <c r="AD63" s="1">
        <v>0</v>
      </c>
      <c r="AE63" s="1">
        <v>0</v>
      </c>
      <c r="AF63" s="1">
        <v>0</v>
      </c>
      <c r="AG63" s="1">
        <v>0</v>
      </c>
      <c r="AH63" s="1">
        <v>0</v>
      </c>
      <c r="AI63" s="1">
        <v>0</v>
      </c>
      <c r="AJ63" s="1" t="e">
        <f>VLOOKUP(ItemData!A63,Sheet8!N:O,2,FALSE)</f>
        <v>#N/A</v>
      </c>
    </row>
    <row r="64" spans="1:36" x14ac:dyDescent="0.15">
      <c r="A64" s="12" t="s">
        <v>487</v>
      </c>
      <c r="B64" s="1">
        <v>242</v>
      </c>
      <c r="C64" s="12" t="s">
        <v>365</v>
      </c>
      <c r="D64" s="1">
        <v>5</v>
      </c>
      <c r="E64" s="1">
        <v>0</v>
      </c>
      <c r="F64" s="1">
        <v>0</v>
      </c>
      <c r="G64" s="1">
        <v>5007</v>
      </c>
      <c r="H64" s="1" t="s">
        <v>1514</v>
      </c>
      <c r="I64" s="1">
        <v>0</v>
      </c>
      <c r="J64" s="1">
        <v>0</v>
      </c>
      <c r="K64" s="1">
        <v>0</v>
      </c>
      <c r="L64" s="1">
        <v>0</v>
      </c>
      <c r="M64" s="1">
        <v>49</v>
      </c>
      <c r="N64" s="3">
        <v>1</v>
      </c>
      <c r="O64" s="39">
        <f t="shared" si="3"/>
        <v>1785</v>
      </c>
      <c r="P64" s="39">
        <v>595</v>
      </c>
      <c r="T64" s="36" t="s">
        <v>803</v>
      </c>
      <c r="U64" s="36" t="s">
        <v>802</v>
      </c>
      <c r="V64" s="36">
        <v>0</v>
      </c>
      <c r="X64" s="2" t="s">
        <v>785</v>
      </c>
      <c r="Y64" s="1">
        <v>0</v>
      </c>
      <c r="Z64" s="1">
        <v>0</v>
      </c>
      <c r="AA64" s="1">
        <v>0</v>
      </c>
      <c r="AB64" s="1">
        <v>0</v>
      </c>
      <c r="AC64" s="1">
        <v>0</v>
      </c>
      <c r="AD64" s="1">
        <v>0</v>
      </c>
      <c r="AE64" s="1">
        <v>0</v>
      </c>
      <c r="AF64" s="1">
        <v>0</v>
      </c>
      <c r="AG64" s="1">
        <v>0</v>
      </c>
      <c r="AH64" s="1">
        <v>0</v>
      </c>
      <c r="AI64" s="1">
        <v>0</v>
      </c>
      <c r="AJ64" s="1" t="e">
        <f>VLOOKUP(ItemData!A64,Sheet8!N:O,2,FALSE)</f>
        <v>#N/A</v>
      </c>
    </row>
    <row r="65" spans="1:36" x14ac:dyDescent="0.15">
      <c r="A65" s="12" t="s">
        <v>486</v>
      </c>
      <c r="B65" s="1">
        <v>243</v>
      </c>
      <c r="C65" s="12" t="s">
        <v>486</v>
      </c>
      <c r="D65" s="1">
        <v>5</v>
      </c>
      <c r="E65" s="1">
        <v>0</v>
      </c>
      <c r="F65" s="1">
        <v>0</v>
      </c>
      <c r="H65" s="1" t="s">
        <v>1491</v>
      </c>
      <c r="I65" s="1">
        <v>0</v>
      </c>
      <c r="J65" s="1">
        <v>0</v>
      </c>
      <c r="K65" s="1">
        <v>0</v>
      </c>
      <c r="L65" s="1">
        <v>0</v>
      </c>
      <c r="M65" s="1">
        <v>49</v>
      </c>
      <c r="N65" s="3">
        <v>1</v>
      </c>
      <c r="O65" s="39">
        <f t="shared" si="3"/>
        <v>1785</v>
      </c>
      <c r="P65" s="39">
        <v>595</v>
      </c>
      <c r="T65" s="36" t="s">
        <v>803</v>
      </c>
      <c r="U65" s="36" t="s">
        <v>802</v>
      </c>
      <c r="V65" s="36">
        <v>0</v>
      </c>
      <c r="X65" s="2" t="s">
        <v>785</v>
      </c>
      <c r="Y65" s="1">
        <v>0</v>
      </c>
      <c r="Z65" s="1">
        <v>0</v>
      </c>
      <c r="AA65" s="1">
        <v>0</v>
      </c>
      <c r="AB65" s="1">
        <v>0</v>
      </c>
      <c r="AC65" s="1">
        <v>0</v>
      </c>
      <c r="AD65" s="1">
        <v>0</v>
      </c>
      <c r="AE65" s="1">
        <v>0</v>
      </c>
      <c r="AF65" s="1">
        <v>0</v>
      </c>
      <c r="AG65" s="1">
        <v>0</v>
      </c>
      <c r="AH65" s="1">
        <v>0</v>
      </c>
      <c r="AI65" s="1">
        <v>0</v>
      </c>
      <c r="AJ65" s="1" t="e">
        <f>VLOOKUP(ItemData!A65,Sheet8!N:O,2,FALSE)</f>
        <v>#N/A</v>
      </c>
    </row>
    <row r="66" spans="1:36" x14ac:dyDescent="0.15">
      <c r="A66" s="12" t="s">
        <v>468</v>
      </c>
      <c r="B66" s="1">
        <v>244</v>
      </c>
      <c r="C66" s="12" t="s">
        <v>468</v>
      </c>
      <c r="D66" s="1">
        <v>5</v>
      </c>
      <c r="E66" s="1">
        <v>0</v>
      </c>
      <c r="F66" s="1">
        <v>0</v>
      </c>
      <c r="G66" s="1">
        <v>5006</v>
      </c>
      <c r="H66" s="1" t="s">
        <v>1515</v>
      </c>
      <c r="I66" s="1">
        <v>0</v>
      </c>
      <c r="J66" s="1">
        <v>0</v>
      </c>
      <c r="K66" s="1">
        <v>0</v>
      </c>
      <c r="L66" s="1">
        <v>0</v>
      </c>
      <c r="M66" s="1">
        <v>49</v>
      </c>
      <c r="N66" s="3">
        <v>1</v>
      </c>
      <c r="O66" s="39">
        <f t="shared" si="3"/>
        <v>4107</v>
      </c>
      <c r="P66" s="39">
        <f>VLOOKUP(A66,材料!$P$4:$R$85,3,FALSE)</f>
        <v>1369</v>
      </c>
      <c r="T66" s="36" t="s">
        <v>803</v>
      </c>
      <c r="U66" s="36" t="s">
        <v>802</v>
      </c>
      <c r="V66" s="36">
        <v>0</v>
      </c>
      <c r="X66" s="2" t="s">
        <v>785</v>
      </c>
      <c r="Y66" s="1">
        <v>0</v>
      </c>
      <c r="Z66" s="1">
        <v>0</v>
      </c>
      <c r="AA66" s="1">
        <v>0</v>
      </c>
      <c r="AB66" s="1">
        <v>0</v>
      </c>
      <c r="AC66" s="1">
        <v>0</v>
      </c>
      <c r="AD66" s="1">
        <v>0</v>
      </c>
      <c r="AE66" s="1">
        <v>0</v>
      </c>
      <c r="AF66" s="1">
        <v>0</v>
      </c>
      <c r="AG66" s="1">
        <v>0</v>
      </c>
      <c r="AH66" s="1">
        <v>0</v>
      </c>
      <c r="AI66" s="1">
        <v>0</v>
      </c>
      <c r="AJ66" s="1" t="s">
        <v>1034</v>
      </c>
    </row>
    <row r="67" spans="1:36" x14ac:dyDescent="0.15">
      <c r="A67" s="12" t="s">
        <v>469</v>
      </c>
      <c r="B67" s="1">
        <v>245</v>
      </c>
      <c r="C67" s="12" t="s">
        <v>469</v>
      </c>
      <c r="D67" s="1">
        <v>5</v>
      </c>
      <c r="E67" s="1">
        <v>0</v>
      </c>
      <c r="F67" s="1">
        <v>0</v>
      </c>
      <c r="G67" s="1" t="s">
        <v>1829</v>
      </c>
      <c r="H67" s="1" t="s">
        <v>1516</v>
      </c>
      <c r="I67" s="1">
        <v>0</v>
      </c>
      <c r="J67" s="1">
        <v>0</v>
      </c>
      <c r="K67" s="1">
        <v>0</v>
      </c>
      <c r="L67" s="1">
        <v>0</v>
      </c>
      <c r="M67" s="1">
        <v>49</v>
      </c>
      <c r="N67" s="3">
        <v>1</v>
      </c>
      <c r="O67" s="39">
        <f t="shared" si="3"/>
        <v>4425</v>
      </c>
      <c r="P67" s="39">
        <f>VLOOKUP(A67,材料!$P$4:$R$85,3,FALSE)</f>
        <v>1475</v>
      </c>
      <c r="T67" s="36" t="s">
        <v>803</v>
      </c>
      <c r="U67" s="36" t="s">
        <v>802</v>
      </c>
      <c r="V67" s="36">
        <v>0</v>
      </c>
      <c r="X67" s="2" t="s">
        <v>785</v>
      </c>
      <c r="Y67" s="1">
        <v>0</v>
      </c>
      <c r="Z67" s="1">
        <v>0</v>
      </c>
      <c r="AA67" s="1">
        <v>0</v>
      </c>
      <c r="AB67" s="1">
        <v>0</v>
      </c>
      <c r="AC67" s="1">
        <v>0</v>
      </c>
      <c r="AD67" s="1">
        <v>0</v>
      </c>
      <c r="AE67" s="1">
        <v>0</v>
      </c>
      <c r="AF67" s="1">
        <v>0</v>
      </c>
      <c r="AG67" s="1">
        <v>0</v>
      </c>
      <c r="AH67" s="1">
        <v>0</v>
      </c>
      <c r="AI67" s="1">
        <v>0</v>
      </c>
      <c r="AJ67" s="1" t="s">
        <v>1035</v>
      </c>
    </row>
    <row r="68" spans="1:36" ht="12.75" customHeight="1" x14ac:dyDescent="0.15">
      <c r="A68" s="12" t="s">
        <v>371</v>
      </c>
      <c r="B68" s="1">
        <v>246</v>
      </c>
      <c r="C68" s="12" t="s">
        <v>371</v>
      </c>
      <c r="D68" s="1">
        <v>5</v>
      </c>
      <c r="E68" s="1">
        <v>0</v>
      </c>
      <c r="F68" s="1">
        <v>0</v>
      </c>
      <c r="G68" s="1">
        <v>5007</v>
      </c>
      <c r="H68" s="1" t="s">
        <v>1517</v>
      </c>
      <c r="I68" s="1">
        <v>0</v>
      </c>
      <c r="J68" s="1">
        <v>0</v>
      </c>
      <c r="K68" s="1">
        <v>0</v>
      </c>
      <c r="L68" s="1">
        <v>0</v>
      </c>
      <c r="M68" s="1">
        <v>49</v>
      </c>
      <c r="N68" s="3">
        <v>1</v>
      </c>
      <c r="O68" s="39">
        <f t="shared" si="3"/>
        <v>4425</v>
      </c>
      <c r="P68" s="39">
        <f>VLOOKUP(A68,材料!$P$4:$R$85,3,FALSE)</f>
        <v>1475</v>
      </c>
      <c r="T68" s="36" t="s">
        <v>803</v>
      </c>
      <c r="U68" s="36" t="s">
        <v>802</v>
      </c>
      <c r="V68" s="36">
        <v>0</v>
      </c>
      <c r="X68" s="2" t="s">
        <v>785</v>
      </c>
      <c r="Y68" s="1">
        <v>0</v>
      </c>
      <c r="Z68" s="1">
        <v>0</v>
      </c>
      <c r="AA68" s="1">
        <v>0</v>
      </c>
      <c r="AB68" s="1">
        <v>0</v>
      </c>
      <c r="AC68" s="1">
        <v>0</v>
      </c>
      <c r="AD68" s="1">
        <v>0</v>
      </c>
      <c r="AE68" s="1">
        <v>0</v>
      </c>
      <c r="AF68" s="1">
        <v>0</v>
      </c>
      <c r="AG68" s="1">
        <v>0</v>
      </c>
      <c r="AH68" s="1">
        <v>0</v>
      </c>
      <c r="AI68" s="1">
        <v>0</v>
      </c>
      <c r="AJ68" s="1" t="e">
        <f>VLOOKUP(ItemData!A68,Sheet8!N:O,2,FALSE)</f>
        <v>#N/A</v>
      </c>
    </row>
    <row r="69" spans="1:36" x14ac:dyDescent="0.15">
      <c r="A69" s="12" t="s">
        <v>372</v>
      </c>
      <c r="B69" s="1">
        <v>247</v>
      </c>
      <c r="C69" s="12" t="s">
        <v>372</v>
      </c>
      <c r="D69" s="1">
        <v>5</v>
      </c>
      <c r="E69" s="1">
        <v>0</v>
      </c>
      <c r="F69" s="1">
        <v>0</v>
      </c>
      <c r="G69" s="1" t="s">
        <v>1825</v>
      </c>
      <c r="H69" s="1" t="s">
        <v>1511</v>
      </c>
      <c r="I69" s="1">
        <v>0</v>
      </c>
      <c r="J69" s="1">
        <v>0</v>
      </c>
      <c r="K69" s="1">
        <v>0</v>
      </c>
      <c r="L69" s="1">
        <v>0</v>
      </c>
      <c r="M69" s="1">
        <v>49</v>
      </c>
      <c r="N69" s="3">
        <v>1</v>
      </c>
      <c r="O69" s="39">
        <f t="shared" si="3"/>
        <v>4755</v>
      </c>
      <c r="P69" s="39">
        <f>VLOOKUP(A69,材料!$P$4:$R$85,3,FALSE)</f>
        <v>1585</v>
      </c>
      <c r="T69" s="36" t="s">
        <v>803</v>
      </c>
      <c r="U69" s="36" t="s">
        <v>802</v>
      </c>
      <c r="V69" s="36">
        <v>0</v>
      </c>
      <c r="X69" s="2" t="s">
        <v>785</v>
      </c>
      <c r="Y69" s="1">
        <v>0</v>
      </c>
      <c r="Z69" s="1">
        <v>0</v>
      </c>
      <c r="AA69" s="1">
        <v>0</v>
      </c>
      <c r="AB69" s="1">
        <v>0</v>
      </c>
      <c r="AC69" s="1">
        <v>0</v>
      </c>
      <c r="AD69" s="1">
        <v>0</v>
      </c>
      <c r="AE69" s="1">
        <v>0</v>
      </c>
      <c r="AF69" s="1">
        <v>0</v>
      </c>
      <c r="AG69" s="1">
        <v>0</v>
      </c>
      <c r="AH69" s="1">
        <v>0</v>
      </c>
      <c r="AI69" s="1">
        <v>0</v>
      </c>
      <c r="AJ69" s="1" t="e">
        <f>VLOOKUP(ItemData!A69,Sheet8!N:O,2,FALSE)</f>
        <v>#N/A</v>
      </c>
    </row>
    <row r="70" spans="1:36" x14ac:dyDescent="0.15">
      <c r="A70" s="12" t="s">
        <v>470</v>
      </c>
      <c r="B70" s="1">
        <v>248</v>
      </c>
      <c r="C70" s="12" t="s">
        <v>470</v>
      </c>
      <c r="D70" s="1">
        <v>5</v>
      </c>
      <c r="E70" s="1">
        <v>0</v>
      </c>
      <c r="F70" s="1">
        <v>0</v>
      </c>
      <c r="G70" s="1">
        <v>5007</v>
      </c>
      <c r="H70" s="1" t="s">
        <v>1518</v>
      </c>
      <c r="I70" s="1">
        <v>0</v>
      </c>
      <c r="J70" s="1">
        <v>0</v>
      </c>
      <c r="K70" s="1">
        <v>0</v>
      </c>
      <c r="L70" s="1">
        <v>0</v>
      </c>
      <c r="M70" s="1">
        <v>49</v>
      </c>
      <c r="N70" s="3">
        <v>1</v>
      </c>
      <c r="O70" s="39">
        <f t="shared" si="3"/>
        <v>5097</v>
      </c>
      <c r="P70" s="39">
        <f>VLOOKUP(A70,材料!$P$4:$R$85,3,FALSE)</f>
        <v>1699</v>
      </c>
      <c r="T70" s="36" t="s">
        <v>803</v>
      </c>
      <c r="U70" s="36" t="s">
        <v>802</v>
      </c>
      <c r="V70" s="36">
        <v>0</v>
      </c>
      <c r="X70" s="2" t="s">
        <v>785</v>
      </c>
      <c r="Y70" s="1">
        <v>0</v>
      </c>
      <c r="Z70" s="1">
        <v>0</v>
      </c>
      <c r="AA70" s="1">
        <v>0</v>
      </c>
      <c r="AB70" s="1">
        <v>0</v>
      </c>
      <c r="AC70" s="1">
        <v>0</v>
      </c>
      <c r="AD70" s="1">
        <v>0</v>
      </c>
      <c r="AE70" s="1">
        <v>0</v>
      </c>
      <c r="AF70" s="1">
        <v>0</v>
      </c>
      <c r="AG70" s="1">
        <v>0</v>
      </c>
      <c r="AH70" s="1">
        <v>0</v>
      </c>
      <c r="AI70" s="1">
        <v>0</v>
      </c>
      <c r="AJ70" s="1" t="s">
        <v>1036</v>
      </c>
    </row>
    <row r="71" spans="1:36" x14ac:dyDescent="0.15">
      <c r="A71" s="12" t="s">
        <v>471</v>
      </c>
      <c r="B71" s="1">
        <v>249</v>
      </c>
      <c r="C71" s="12" t="s">
        <v>471</v>
      </c>
      <c r="D71" s="1">
        <v>5</v>
      </c>
      <c r="E71" s="1">
        <v>0</v>
      </c>
      <c r="F71" s="1">
        <v>0</v>
      </c>
      <c r="H71" s="1" t="s">
        <v>1519</v>
      </c>
      <c r="I71" s="1">
        <v>0</v>
      </c>
      <c r="J71" s="1">
        <v>0</v>
      </c>
      <c r="K71" s="1">
        <v>0</v>
      </c>
      <c r="L71" s="1">
        <v>0</v>
      </c>
      <c r="M71" s="1">
        <v>49</v>
      </c>
      <c r="N71" s="3">
        <v>1</v>
      </c>
      <c r="O71" s="39">
        <f t="shared" si="3"/>
        <v>2400</v>
      </c>
      <c r="P71" s="39">
        <v>800</v>
      </c>
      <c r="T71" s="36" t="s">
        <v>803</v>
      </c>
      <c r="U71" s="36" t="s">
        <v>802</v>
      </c>
      <c r="V71" s="36">
        <v>0</v>
      </c>
      <c r="X71" s="2" t="s">
        <v>785</v>
      </c>
      <c r="Y71" s="1">
        <v>0</v>
      </c>
      <c r="Z71" s="1">
        <v>0</v>
      </c>
      <c r="AA71" s="1">
        <v>0</v>
      </c>
      <c r="AB71" s="1">
        <v>0</v>
      </c>
      <c r="AC71" s="1">
        <v>0</v>
      </c>
      <c r="AD71" s="1">
        <v>0</v>
      </c>
      <c r="AE71" s="1">
        <v>0</v>
      </c>
      <c r="AF71" s="1">
        <v>0</v>
      </c>
      <c r="AG71" s="1">
        <v>0</v>
      </c>
      <c r="AH71" s="1">
        <v>0</v>
      </c>
      <c r="AI71" s="1">
        <v>0</v>
      </c>
      <c r="AJ71" s="1" t="s">
        <v>1037</v>
      </c>
    </row>
    <row r="72" spans="1:36" x14ac:dyDescent="0.15">
      <c r="A72" s="12" t="s">
        <v>472</v>
      </c>
      <c r="B72" s="1">
        <v>250</v>
      </c>
      <c r="C72" s="12" t="s">
        <v>472</v>
      </c>
      <c r="D72" s="1">
        <v>5</v>
      </c>
      <c r="E72" s="1">
        <v>0</v>
      </c>
      <c r="F72" s="1">
        <v>0</v>
      </c>
      <c r="G72" s="1" t="s">
        <v>1826</v>
      </c>
      <c r="H72" s="1" t="s">
        <v>1520</v>
      </c>
      <c r="I72" s="1">
        <v>0</v>
      </c>
      <c r="J72" s="1">
        <v>0</v>
      </c>
      <c r="K72" s="1">
        <v>0</v>
      </c>
      <c r="L72" s="1">
        <v>0</v>
      </c>
      <c r="M72" s="1">
        <v>49</v>
      </c>
      <c r="N72" s="3">
        <v>1</v>
      </c>
      <c r="O72" s="39">
        <f t="shared" si="3"/>
        <v>6585</v>
      </c>
      <c r="P72" s="39">
        <f>VLOOKUP(A72,材料!$P$4:$R$85,3,FALSE)</f>
        <v>2195</v>
      </c>
      <c r="T72" s="36" t="s">
        <v>803</v>
      </c>
      <c r="U72" s="36" t="s">
        <v>802</v>
      </c>
      <c r="V72" s="36">
        <v>0</v>
      </c>
      <c r="X72" s="2" t="s">
        <v>785</v>
      </c>
      <c r="Y72" s="1">
        <v>0</v>
      </c>
      <c r="Z72" s="1">
        <v>0</v>
      </c>
      <c r="AA72" s="1">
        <v>0</v>
      </c>
      <c r="AB72" s="1">
        <v>0</v>
      </c>
      <c r="AC72" s="1">
        <v>0</v>
      </c>
      <c r="AD72" s="1">
        <v>0</v>
      </c>
      <c r="AE72" s="1">
        <v>0</v>
      </c>
      <c r="AF72" s="1">
        <v>0</v>
      </c>
      <c r="AG72" s="1">
        <v>0</v>
      </c>
      <c r="AH72" s="1">
        <v>0</v>
      </c>
      <c r="AI72" s="1">
        <v>0</v>
      </c>
      <c r="AJ72" s="1" t="s">
        <v>1038</v>
      </c>
    </row>
    <row r="73" spans="1:36" x14ac:dyDescent="0.15">
      <c r="A73" s="12" t="s">
        <v>473</v>
      </c>
      <c r="B73" s="1">
        <v>251</v>
      </c>
      <c r="C73" s="12" t="s">
        <v>473</v>
      </c>
      <c r="D73" s="1">
        <v>5</v>
      </c>
      <c r="E73" s="1">
        <v>0</v>
      </c>
      <c r="F73" s="1">
        <v>0</v>
      </c>
      <c r="G73" s="1" t="s">
        <v>1827</v>
      </c>
      <c r="H73" s="1" t="s">
        <v>1521</v>
      </c>
      <c r="I73" s="1">
        <v>0</v>
      </c>
      <c r="J73" s="1">
        <v>0</v>
      </c>
      <c r="K73" s="1">
        <v>0</v>
      </c>
      <c r="L73" s="1">
        <v>0</v>
      </c>
      <c r="M73" s="1">
        <v>49</v>
      </c>
      <c r="N73" s="3">
        <v>1</v>
      </c>
      <c r="O73" s="39">
        <f t="shared" si="3"/>
        <v>1065</v>
      </c>
      <c r="P73" s="39">
        <f>VLOOKUP(A73,材料!$P$4:$R$85,3,FALSE)</f>
        <v>355</v>
      </c>
      <c r="T73" s="36" t="s">
        <v>803</v>
      </c>
      <c r="U73" s="36" t="s">
        <v>802</v>
      </c>
      <c r="V73" s="36">
        <v>0</v>
      </c>
      <c r="X73" s="2" t="s">
        <v>785</v>
      </c>
      <c r="Y73" s="1">
        <v>0</v>
      </c>
      <c r="Z73" s="1">
        <v>0</v>
      </c>
      <c r="AA73" s="1">
        <v>0</v>
      </c>
      <c r="AB73" s="1">
        <v>0</v>
      </c>
      <c r="AC73" s="1">
        <v>0</v>
      </c>
      <c r="AD73" s="1">
        <v>0</v>
      </c>
      <c r="AE73" s="1">
        <v>0</v>
      </c>
      <c r="AF73" s="1">
        <v>0</v>
      </c>
      <c r="AG73" s="1">
        <v>0</v>
      </c>
      <c r="AH73" s="1">
        <v>0</v>
      </c>
      <c r="AI73" s="1">
        <v>0</v>
      </c>
      <c r="AJ73" s="1" t="s">
        <v>1039</v>
      </c>
    </row>
    <row r="74" spans="1:36" x14ac:dyDescent="0.15">
      <c r="A74" s="12" t="s">
        <v>364</v>
      </c>
      <c r="B74" s="1">
        <v>253</v>
      </c>
      <c r="C74" s="12" t="s">
        <v>364</v>
      </c>
      <c r="D74" s="1">
        <v>5</v>
      </c>
      <c r="E74" s="1">
        <v>0</v>
      </c>
      <c r="F74" s="1">
        <v>0</v>
      </c>
      <c r="G74" s="1">
        <v>5008</v>
      </c>
      <c r="H74" s="1" t="s">
        <v>1505</v>
      </c>
      <c r="I74" s="1">
        <v>0</v>
      </c>
      <c r="J74" s="1">
        <v>0</v>
      </c>
      <c r="K74" s="1">
        <v>0</v>
      </c>
      <c r="L74" s="1">
        <v>0</v>
      </c>
      <c r="M74" s="1">
        <v>49</v>
      </c>
      <c r="N74" s="3">
        <v>1</v>
      </c>
      <c r="O74" s="39">
        <f t="shared" si="3"/>
        <v>3225</v>
      </c>
      <c r="P74" s="39">
        <f>VLOOKUP(A74,材料!$P$4:$R$85,3,FALSE)</f>
        <v>1075</v>
      </c>
      <c r="T74" s="36" t="s">
        <v>803</v>
      </c>
      <c r="U74" s="36" t="s">
        <v>802</v>
      </c>
      <c r="V74" s="36">
        <v>0</v>
      </c>
      <c r="X74" s="2" t="s">
        <v>785</v>
      </c>
      <c r="Y74" s="1">
        <v>0</v>
      </c>
      <c r="Z74" s="1">
        <v>0</v>
      </c>
      <c r="AA74" s="1">
        <v>0</v>
      </c>
      <c r="AB74" s="1">
        <v>0</v>
      </c>
      <c r="AC74" s="1">
        <v>0</v>
      </c>
      <c r="AD74" s="1">
        <v>0</v>
      </c>
      <c r="AE74" s="1">
        <v>0</v>
      </c>
      <c r="AF74" s="1">
        <v>0</v>
      </c>
      <c r="AG74" s="1">
        <v>0</v>
      </c>
      <c r="AH74" s="1">
        <v>0</v>
      </c>
      <c r="AI74" s="1">
        <v>0</v>
      </c>
      <c r="AJ74" s="1" t="e">
        <f>VLOOKUP(ItemData!A74,Sheet8!N:O,2,FALSE)</f>
        <v>#N/A</v>
      </c>
    </row>
    <row r="75" spans="1:36" x14ac:dyDescent="0.15">
      <c r="A75" s="12" t="s">
        <v>474</v>
      </c>
      <c r="B75" s="1">
        <v>254</v>
      </c>
      <c r="C75" s="12" t="s">
        <v>474</v>
      </c>
      <c r="D75" s="1">
        <v>5</v>
      </c>
      <c r="E75" s="1">
        <v>0</v>
      </c>
      <c r="F75" s="1">
        <v>0</v>
      </c>
      <c r="G75" s="1" t="s">
        <v>1826</v>
      </c>
      <c r="H75" s="1" t="s">
        <v>1510</v>
      </c>
      <c r="I75" s="1">
        <v>0</v>
      </c>
      <c r="J75" s="1">
        <v>0</v>
      </c>
      <c r="K75" s="1">
        <v>0</v>
      </c>
      <c r="L75" s="1">
        <v>0</v>
      </c>
      <c r="M75" s="1">
        <v>49</v>
      </c>
      <c r="N75" s="3">
        <v>1</v>
      </c>
      <c r="O75" s="39">
        <f t="shared" si="3"/>
        <v>2451</v>
      </c>
      <c r="P75" s="39">
        <f>VLOOKUP(A75,材料!$P$4:$R$85,3,FALSE)</f>
        <v>817</v>
      </c>
      <c r="T75" s="36" t="s">
        <v>803</v>
      </c>
      <c r="U75" s="36" t="s">
        <v>802</v>
      </c>
      <c r="V75" s="36">
        <v>0</v>
      </c>
      <c r="X75" s="2" t="s">
        <v>785</v>
      </c>
      <c r="Y75" s="1">
        <v>0</v>
      </c>
      <c r="Z75" s="1">
        <v>0</v>
      </c>
      <c r="AA75" s="1">
        <v>0</v>
      </c>
      <c r="AB75" s="1">
        <v>0</v>
      </c>
      <c r="AC75" s="1">
        <v>0</v>
      </c>
      <c r="AD75" s="1">
        <v>0</v>
      </c>
      <c r="AE75" s="1">
        <v>0</v>
      </c>
      <c r="AF75" s="1">
        <v>0</v>
      </c>
      <c r="AG75" s="1">
        <v>0</v>
      </c>
      <c r="AH75" s="1">
        <v>0</v>
      </c>
      <c r="AI75" s="1">
        <v>0</v>
      </c>
      <c r="AJ75" s="1" t="s">
        <v>1040</v>
      </c>
    </row>
    <row r="76" spans="1:36" x14ac:dyDescent="0.15">
      <c r="A76" s="12" t="s">
        <v>475</v>
      </c>
      <c r="B76" s="1">
        <v>255</v>
      </c>
      <c r="C76" s="12" t="s">
        <v>475</v>
      </c>
      <c r="D76" s="1">
        <v>5</v>
      </c>
      <c r="E76" s="1">
        <v>0</v>
      </c>
      <c r="F76" s="1">
        <v>0</v>
      </c>
      <c r="G76" s="1" t="s">
        <v>1830</v>
      </c>
      <c r="H76" s="1" t="s">
        <v>1522</v>
      </c>
      <c r="I76" s="1">
        <v>0</v>
      </c>
      <c r="J76" s="1">
        <v>0</v>
      </c>
      <c r="K76" s="1">
        <v>0</v>
      </c>
      <c r="L76" s="1">
        <v>0</v>
      </c>
      <c r="M76" s="1">
        <v>49</v>
      </c>
      <c r="N76" s="3">
        <v>1</v>
      </c>
      <c r="O76" s="39">
        <f t="shared" si="3"/>
        <v>2697</v>
      </c>
      <c r="P76" s="39">
        <f>VLOOKUP(A76,材料!$P$4:$R$85,3,FALSE)</f>
        <v>899</v>
      </c>
      <c r="T76" s="36" t="s">
        <v>803</v>
      </c>
      <c r="U76" s="36" t="s">
        <v>802</v>
      </c>
      <c r="V76" s="36">
        <v>0</v>
      </c>
      <c r="X76" s="2" t="s">
        <v>785</v>
      </c>
      <c r="Y76" s="1">
        <v>0</v>
      </c>
      <c r="Z76" s="1">
        <v>0</v>
      </c>
      <c r="AA76" s="1">
        <v>0</v>
      </c>
      <c r="AB76" s="1">
        <v>0</v>
      </c>
      <c r="AC76" s="1">
        <v>0</v>
      </c>
      <c r="AD76" s="1">
        <v>0</v>
      </c>
      <c r="AE76" s="1">
        <v>0</v>
      </c>
      <c r="AF76" s="1">
        <v>0</v>
      </c>
      <c r="AG76" s="1">
        <v>0</v>
      </c>
      <c r="AH76" s="1">
        <v>0</v>
      </c>
      <c r="AI76" s="1">
        <v>0</v>
      </c>
      <c r="AJ76" s="1" t="e">
        <f>VLOOKUP(ItemData!A76,Sheet8!N:O,2,FALSE)</f>
        <v>#N/A</v>
      </c>
    </row>
    <row r="77" spans="1:36" x14ac:dyDescent="0.15">
      <c r="A77" s="12" t="s">
        <v>476</v>
      </c>
      <c r="B77" s="1">
        <v>256</v>
      </c>
      <c r="C77" s="12" t="s">
        <v>476</v>
      </c>
      <c r="D77" s="1">
        <v>5</v>
      </c>
      <c r="E77" s="1">
        <v>0</v>
      </c>
      <c r="F77" s="1">
        <v>0</v>
      </c>
      <c r="G77" s="1" t="s">
        <v>1831</v>
      </c>
      <c r="H77" s="1" t="s">
        <v>1523</v>
      </c>
      <c r="I77" s="1">
        <v>0</v>
      </c>
      <c r="J77" s="1">
        <v>0</v>
      </c>
      <c r="K77" s="1">
        <v>0</v>
      </c>
      <c r="L77" s="1">
        <v>0</v>
      </c>
      <c r="M77" s="1">
        <v>49</v>
      </c>
      <c r="N77" s="3">
        <v>1</v>
      </c>
      <c r="O77" s="39">
        <f t="shared" si="3"/>
        <v>4755</v>
      </c>
      <c r="P77" s="39">
        <f>VLOOKUP(A77,材料!$P$4:$R$85,3,FALSE)</f>
        <v>1585</v>
      </c>
      <c r="T77" s="36" t="s">
        <v>803</v>
      </c>
      <c r="U77" s="36" t="s">
        <v>802</v>
      </c>
      <c r="V77" s="36">
        <v>0</v>
      </c>
      <c r="X77" s="2" t="s">
        <v>785</v>
      </c>
      <c r="Y77" s="1">
        <v>0</v>
      </c>
      <c r="Z77" s="1">
        <v>0</v>
      </c>
      <c r="AA77" s="1">
        <v>0</v>
      </c>
      <c r="AB77" s="1">
        <v>0</v>
      </c>
      <c r="AC77" s="1">
        <v>0</v>
      </c>
      <c r="AD77" s="1">
        <v>0</v>
      </c>
      <c r="AE77" s="1">
        <v>0</v>
      </c>
      <c r="AF77" s="1">
        <v>0</v>
      </c>
      <c r="AG77" s="1">
        <v>0</v>
      </c>
      <c r="AH77" s="1">
        <v>0</v>
      </c>
      <c r="AI77" s="1">
        <v>0</v>
      </c>
      <c r="AJ77" s="1" t="s">
        <v>1041</v>
      </c>
    </row>
    <row r="78" spans="1:36" x14ac:dyDescent="0.15">
      <c r="A78" s="12" t="s">
        <v>477</v>
      </c>
      <c r="B78" s="1">
        <v>257</v>
      </c>
      <c r="C78" s="12" t="s">
        <v>477</v>
      </c>
      <c r="D78" s="1">
        <v>5</v>
      </c>
      <c r="E78" s="1">
        <v>0</v>
      </c>
      <c r="F78" s="1">
        <v>0</v>
      </c>
      <c r="G78" s="1" t="s">
        <v>1828</v>
      </c>
      <c r="H78" s="1" t="s">
        <v>1524</v>
      </c>
      <c r="I78" s="1">
        <v>0</v>
      </c>
      <c r="J78" s="1">
        <v>0</v>
      </c>
      <c r="K78" s="1">
        <v>0</v>
      </c>
      <c r="L78" s="1">
        <v>0</v>
      </c>
      <c r="M78" s="1">
        <v>49</v>
      </c>
      <c r="N78" s="3">
        <v>1</v>
      </c>
      <c r="O78" s="39">
        <f t="shared" si="3"/>
        <v>3801</v>
      </c>
      <c r="P78" s="39">
        <f>VLOOKUP(A78,材料!$P$4:$R$85,3,FALSE)</f>
        <v>1267</v>
      </c>
      <c r="T78" s="36" t="s">
        <v>803</v>
      </c>
      <c r="U78" s="36" t="s">
        <v>802</v>
      </c>
      <c r="V78" s="36">
        <v>0</v>
      </c>
      <c r="X78" s="2" t="s">
        <v>785</v>
      </c>
      <c r="Y78" s="1">
        <v>0</v>
      </c>
      <c r="Z78" s="1">
        <v>0</v>
      </c>
      <c r="AA78" s="1">
        <v>0</v>
      </c>
      <c r="AB78" s="1">
        <v>0</v>
      </c>
      <c r="AC78" s="1">
        <v>0</v>
      </c>
      <c r="AD78" s="1">
        <v>0</v>
      </c>
      <c r="AE78" s="1">
        <v>0</v>
      </c>
      <c r="AF78" s="1">
        <v>0</v>
      </c>
      <c r="AG78" s="1">
        <v>0</v>
      </c>
      <c r="AH78" s="1">
        <v>0</v>
      </c>
      <c r="AI78" s="1">
        <v>0</v>
      </c>
      <c r="AJ78" s="1" t="s">
        <v>1042</v>
      </c>
    </row>
    <row r="79" spans="1:36" x14ac:dyDescent="0.15">
      <c r="A79" s="12" t="s">
        <v>478</v>
      </c>
      <c r="B79" s="1">
        <v>258</v>
      </c>
      <c r="C79" s="12" t="s">
        <v>478</v>
      </c>
      <c r="D79" s="1">
        <v>5</v>
      </c>
      <c r="E79" s="1">
        <v>0</v>
      </c>
      <c r="F79" s="1">
        <v>0</v>
      </c>
      <c r="G79" s="1" t="s">
        <v>1829</v>
      </c>
      <c r="H79" s="1" t="s">
        <v>1525</v>
      </c>
      <c r="I79" s="1">
        <v>0</v>
      </c>
      <c r="J79" s="1">
        <v>0</v>
      </c>
      <c r="K79" s="1">
        <v>0</v>
      </c>
      <c r="L79" s="1">
        <v>0</v>
      </c>
      <c r="M79" s="1">
        <v>49</v>
      </c>
      <c r="N79" s="3">
        <v>1</v>
      </c>
      <c r="O79" s="39">
        <f t="shared" si="3"/>
        <v>5097</v>
      </c>
      <c r="P79" s="39">
        <f>VLOOKUP(A79,材料!$P$4:$R$85,3,FALSE)</f>
        <v>1699</v>
      </c>
      <c r="T79" s="36" t="s">
        <v>803</v>
      </c>
      <c r="U79" s="36" t="s">
        <v>802</v>
      </c>
      <c r="V79" s="36">
        <v>0</v>
      </c>
      <c r="X79" s="2" t="s">
        <v>785</v>
      </c>
      <c r="Y79" s="1">
        <v>0</v>
      </c>
      <c r="Z79" s="1">
        <v>0</v>
      </c>
      <c r="AA79" s="1">
        <v>0</v>
      </c>
      <c r="AB79" s="1">
        <v>0</v>
      </c>
      <c r="AC79" s="1">
        <v>0</v>
      </c>
      <c r="AD79" s="1">
        <v>0</v>
      </c>
      <c r="AE79" s="1">
        <v>0</v>
      </c>
      <c r="AF79" s="1">
        <v>0</v>
      </c>
      <c r="AG79" s="1">
        <v>0</v>
      </c>
      <c r="AH79" s="1">
        <v>0</v>
      </c>
      <c r="AI79" s="1">
        <v>0</v>
      </c>
      <c r="AJ79" s="1" t="s">
        <v>1043</v>
      </c>
    </row>
    <row r="80" spans="1:36" x14ac:dyDescent="0.15">
      <c r="A80" s="12" t="s">
        <v>366</v>
      </c>
      <c r="B80" s="1">
        <v>259</v>
      </c>
      <c r="C80" s="12" t="s">
        <v>366</v>
      </c>
      <c r="D80" s="1">
        <v>5</v>
      </c>
      <c r="E80" s="1">
        <v>0</v>
      </c>
      <c r="F80" s="1">
        <v>0</v>
      </c>
      <c r="G80" s="1" t="s">
        <v>1828</v>
      </c>
      <c r="H80" s="1" t="s">
        <v>1522</v>
      </c>
      <c r="I80" s="1">
        <v>0</v>
      </c>
      <c r="J80" s="1">
        <v>0</v>
      </c>
      <c r="K80" s="1">
        <v>0</v>
      </c>
      <c r="L80" s="1">
        <v>0</v>
      </c>
      <c r="M80" s="1">
        <v>49</v>
      </c>
      <c r="N80" s="3">
        <v>1</v>
      </c>
      <c r="O80" s="39">
        <f t="shared" si="3"/>
        <v>3801</v>
      </c>
      <c r="P80" s="39">
        <f>VLOOKUP(A80,材料!$P$4:$R$85,3,FALSE)</f>
        <v>1267</v>
      </c>
      <c r="T80" s="36" t="s">
        <v>803</v>
      </c>
      <c r="U80" s="36" t="s">
        <v>802</v>
      </c>
      <c r="V80" s="36">
        <v>0</v>
      </c>
      <c r="X80" s="2" t="s">
        <v>785</v>
      </c>
      <c r="Y80" s="1">
        <v>0</v>
      </c>
      <c r="Z80" s="1">
        <v>0</v>
      </c>
      <c r="AA80" s="1">
        <v>0</v>
      </c>
      <c r="AB80" s="1">
        <v>0</v>
      </c>
      <c r="AC80" s="1">
        <v>0</v>
      </c>
      <c r="AD80" s="1">
        <v>0</v>
      </c>
      <c r="AE80" s="1">
        <v>0</v>
      </c>
      <c r="AF80" s="1">
        <v>0</v>
      </c>
      <c r="AG80" s="1">
        <v>0</v>
      </c>
      <c r="AH80" s="1">
        <v>0</v>
      </c>
      <c r="AI80" s="1">
        <v>0</v>
      </c>
      <c r="AJ80" s="1" t="e">
        <f>VLOOKUP(ItemData!A80,Sheet8!N:O,2,FALSE)</f>
        <v>#N/A</v>
      </c>
    </row>
    <row r="81" spans="1:36" x14ac:dyDescent="0.15">
      <c r="A81" s="12" t="s">
        <v>479</v>
      </c>
      <c r="B81" s="1">
        <v>260</v>
      </c>
      <c r="C81" s="12" t="s">
        <v>479</v>
      </c>
      <c r="D81" s="1">
        <v>5</v>
      </c>
      <c r="E81" s="1">
        <v>0</v>
      </c>
      <c r="F81" s="1">
        <v>0</v>
      </c>
      <c r="G81" s="1">
        <v>5008</v>
      </c>
      <c r="H81" s="1" t="s">
        <v>1489</v>
      </c>
      <c r="I81" s="1">
        <v>0</v>
      </c>
      <c r="J81" s="1">
        <v>0</v>
      </c>
      <c r="K81" s="1">
        <v>0</v>
      </c>
      <c r="L81" s="1">
        <v>0</v>
      </c>
      <c r="M81" s="1">
        <v>49</v>
      </c>
      <c r="N81" s="3">
        <v>1</v>
      </c>
      <c r="O81" s="39">
        <f t="shared" si="3"/>
        <v>5451</v>
      </c>
      <c r="P81" s="39">
        <f>VLOOKUP(A81,材料!$P$4:$R$85,3,FALSE)</f>
        <v>1817</v>
      </c>
      <c r="T81" s="36" t="s">
        <v>803</v>
      </c>
      <c r="U81" s="36" t="s">
        <v>802</v>
      </c>
      <c r="V81" s="36">
        <v>0</v>
      </c>
      <c r="X81" s="2" t="s">
        <v>785</v>
      </c>
      <c r="Y81" s="1">
        <v>0</v>
      </c>
      <c r="Z81" s="1">
        <v>0</v>
      </c>
      <c r="AA81" s="1">
        <v>0</v>
      </c>
      <c r="AB81" s="1">
        <v>0</v>
      </c>
      <c r="AC81" s="1">
        <v>0</v>
      </c>
      <c r="AD81" s="1">
        <v>0</v>
      </c>
      <c r="AE81" s="1">
        <v>0</v>
      </c>
      <c r="AF81" s="1">
        <v>0</v>
      </c>
      <c r="AG81" s="1">
        <v>0</v>
      </c>
      <c r="AH81" s="1">
        <v>0</v>
      </c>
      <c r="AI81" s="1">
        <v>0</v>
      </c>
      <c r="AJ81" s="1" t="s">
        <v>1044</v>
      </c>
    </row>
    <row r="82" spans="1:36" x14ac:dyDescent="0.15">
      <c r="A82" s="12" t="s">
        <v>480</v>
      </c>
      <c r="B82" s="1">
        <v>261</v>
      </c>
      <c r="C82" s="12" t="s">
        <v>480</v>
      </c>
      <c r="D82" s="1">
        <v>5</v>
      </c>
      <c r="E82" s="1">
        <v>0</v>
      </c>
      <c r="F82" s="1">
        <v>0</v>
      </c>
      <c r="G82" s="1" t="s">
        <v>1828</v>
      </c>
      <c r="H82" s="1" t="s">
        <v>1526</v>
      </c>
      <c r="I82" s="1">
        <v>0</v>
      </c>
      <c r="J82" s="1">
        <v>0</v>
      </c>
      <c r="K82" s="1">
        <v>0</v>
      </c>
      <c r="L82" s="1">
        <v>0</v>
      </c>
      <c r="M82" s="1">
        <v>49</v>
      </c>
      <c r="N82" s="3">
        <v>1</v>
      </c>
      <c r="O82" s="39">
        <f t="shared" si="3"/>
        <v>3225</v>
      </c>
      <c r="P82" s="39">
        <f>VLOOKUP(A82,材料!$P$4:$R$85,3,FALSE)</f>
        <v>1075</v>
      </c>
      <c r="T82" s="36" t="s">
        <v>803</v>
      </c>
      <c r="U82" s="36" t="s">
        <v>802</v>
      </c>
      <c r="V82" s="36">
        <v>0</v>
      </c>
      <c r="X82" s="2" t="s">
        <v>785</v>
      </c>
      <c r="Y82" s="1">
        <v>0</v>
      </c>
      <c r="Z82" s="1">
        <v>0</v>
      </c>
      <c r="AA82" s="1">
        <v>0</v>
      </c>
      <c r="AB82" s="1">
        <v>0</v>
      </c>
      <c r="AC82" s="1">
        <v>0</v>
      </c>
      <c r="AD82" s="1">
        <v>0</v>
      </c>
      <c r="AE82" s="1">
        <v>0</v>
      </c>
      <c r="AF82" s="1">
        <v>0</v>
      </c>
      <c r="AG82" s="1">
        <v>0</v>
      </c>
      <c r="AH82" s="1">
        <v>0</v>
      </c>
      <c r="AI82" s="1">
        <v>0</v>
      </c>
      <c r="AJ82" s="1" t="s">
        <v>1045</v>
      </c>
    </row>
    <row r="83" spans="1:36" x14ac:dyDescent="0.15">
      <c r="A83" s="12" t="s">
        <v>368</v>
      </c>
      <c r="B83" s="1">
        <v>263</v>
      </c>
      <c r="C83" s="12" t="s">
        <v>368</v>
      </c>
      <c r="D83" s="1">
        <v>5</v>
      </c>
      <c r="E83" s="1">
        <v>0</v>
      </c>
      <c r="F83" s="1">
        <v>0</v>
      </c>
      <c r="G83" s="1" t="s">
        <v>1828</v>
      </c>
      <c r="H83" s="1" t="s">
        <v>1446</v>
      </c>
      <c r="I83" s="1">
        <v>0</v>
      </c>
      <c r="J83" s="1">
        <v>0</v>
      </c>
      <c r="K83" s="1">
        <v>0</v>
      </c>
      <c r="L83" s="1">
        <v>0</v>
      </c>
      <c r="M83" s="1">
        <v>49</v>
      </c>
      <c r="N83" s="3">
        <v>1</v>
      </c>
      <c r="O83" s="39">
        <f t="shared" si="3"/>
        <v>6195</v>
      </c>
      <c r="P83" s="39">
        <f>VLOOKUP(A83,材料!$P$4:$R$85,3,FALSE)</f>
        <v>2065</v>
      </c>
      <c r="T83" s="36" t="s">
        <v>803</v>
      </c>
      <c r="U83" s="36" t="s">
        <v>802</v>
      </c>
      <c r="V83" s="36">
        <v>0</v>
      </c>
      <c r="X83" s="2" t="s">
        <v>785</v>
      </c>
      <c r="Y83" s="1">
        <v>0</v>
      </c>
      <c r="Z83" s="1">
        <v>0</v>
      </c>
      <c r="AA83" s="1">
        <v>0</v>
      </c>
      <c r="AB83" s="1">
        <v>0</v>
      </c>
      <c r="AC83" s="1">
        <v>0</v>
      </c>
      <c r="AD83" s="1">
        <v>0</v>
      </c>
      <c r="AE83" s="1">
        <v>0</v>
      </c>
      <c r="AF83" s="1">
        <v>0</v>
      </c>
      <c r="AG83" s="1">
        <v>0</v>
      </c>
      <c r="AH83" s="1">
        <v>0</v>
      </c>
      <c r="AI83" s="1">
        <v>0</v>
      </c>
      <c r="AJ83" s="1" t="e">
        <f>VLOOKUP(ItemData!A83,Sheet8!N:O,2,FALSE)</f>
        <v>#N/A</v>
      </c>
    </row>
    <row r="84" spans="1:36" x14ac:dyDescent="0.15">
      <c r="A84" s="12" t="s">
        <v>481</v>
      </c>
      <c r="B84" s="1">
        <v>264</v>
      </c>
      <c r="C84" s="12" t="s">
        <v>481</v>
      </c>
      <c r="D84" s="1">
        <v>5</v>
      </c>
      <c r="E84" s="1">
        <v>0</v>
      </c>
      <c r="F84" s="1">
        <v>0</v>
      </c>
      <c r="G84" s="1" t="s">
        <v>1825</v>
      </c>
      <c r="H84" s="1" t="s">
        <v>1527</v>
      </c>
      <c r="I84" s="1">
        <v>0</v>
      </c>
      <c r="J84" s="1">
        <v>0</v>
      </c>
      <c r="K84" s="1">
        <v>0</v>
      </c>
      <c r="L84" s="1">
        <v>0</v>
      </c>
      <c r="M84" s="1">
        <v>49</v>
      </c>
      <c r="N84" s="3">
        <v>1</v>
      </c>
      <c r="O84" s="39">
        <f t="shared" si="3"/>
        <v>5097</v>
      </c>
      <c r="P84" s="39">
        <f>VLOOKUP(A84,材料!$P$4:$R$85,3,FALSE)</f>
        <v>1699</v>
      </c>
      <c r="T84" s="36" t="s">
        <v>803</v>
      </c>
      <c r="U84" s="36" t="s">
        <v>802</v>
      </c>
      <c r="V84" s="36">
        <v>0</v>
      </c>
      <c r="X84" s="2" t="s">
        <v>785</v>
      </c>
      <c r="Y84" s="1">
        <v>0</v>
      </c>
      <c r="Z84" s="1">
        <v>0</v>
      </c>
      <c r="AA84" s="1">
        <v>0</v>
      </c>
      <c r="AB84" s="1">
        <v>0</v>
      </c>
      <c r="AC84" s="1">
        <v>0</v>
      </c>
      <c r="AD84" s="1">
        <v>0</v>
      </c>
      <c r="AE84" s="1">
        <v>0</v>
      </c>
      <c r="AF84" s="1">
        <v>0</v>
      </c>
      <c r="AG84" s="1">
        <v>0</v>
      </c>
      <c r="AH84" s="1">
        <v>0</v>
      </c>
      <c r="AI84" s="1">
        <v>0</v>
      </c>
      <c r="AJ84" s="1" t="s">
        <v>1046</v>
      </c>
    </row>
    <row r="85" spans="1:36" x14ac:dyDescent="0.15">
      <c r="A85" s="12" t="s">
        <v>482</v>
      </c>
      <c r="B85" s="1">
        <v>265</v>
      </c>
      <c r="C85" s="12" t="s">
        <v>482</v>
      </c>
      <c r="D85" s="1">
        <v>5</v>
      </c>
      <c r="E85" s="1">
        <v>0</v>
      </c>
      <c r="F85" s="1">
        <v>0</v>
      </c>
      <c r="G85" s="1">
        <v>5006</v>
      </c>
      <c r="H85" s="1" t="s">
        <v>1528</v>
      </c>
      <c r="I85" s="1">
        <v>0</v>
      </c>
      <c r="J85" s="1">
        <v>0</v>
      </c>
      <c r="K85" s="1">
        <v>0</v>
      </c>
      <c r="L85" s="1">
        <v>0</v>
      </c>
      <c r="M85" s="1">
        <v>49</v>
      </c>
      <c r="N85" s="3">
        <v>1</v>
      </c>
      <c r="O85" s="39">
        <f t="shared" si="3"/>
        <v>2697</v>
      </c>
      <c r="P85" s="39">
        <f>VLOOKUP(A85,材料!$P$4:$R$85,3,FALSE)</f>
        <v>899</v>
      </c>
      <c r="T85" s="36" t="s">
        <v>803</v>
      </c>
      <c r="U85" s="36" t="s">
        <v>802</v>
      </c>
      <c r="V85" s="36">
        <v>0</v>
      </c>
      <c r="X85" s="2" t="s">
        <v>785</v>
      </c>
      <c r="Y85" s="1">
        <v>0</v>
      </c>
      <c r="Z85" s="1">
        <v>0</v>
      </c>
      <c r="AA85" s="1">
        <v>0</v>
      </c>
      <c r="AB85" s="1">
        <v>0</v>
      </c>
      <c r="AC85" s="1">
        <v>0</v>
      </c>
      <c r="AD85" s="1">
        <v>0</v>
      </c>
      <c r="AE85" s="1">
        <v>0</v>
      </c>
      <c r="AF85" s="1">
        <v>0</v>
      </c>
      <c r="AG85" s="1">
        <v>0</v>
      </c>
      <c r="AH85" s="1">
        <v>0</v>
      </c>
      <c r="AI85" s="1">
        <v>0</v>
      </c>
      <c r="AJ85" s="1" t="s">
        <v>1047</v>
      </c>
    </row>
    <row r="86" spans="1:36" x14ac:dyDescent="0.15">
      <c r="A86" s="12" t="s">
        <v>483</v>
      </c>
      <c r="B86" s="1">
        <v>266</v>
      </c>
      <c r="C86" s="12" t="s">
        <v>483</v>
      </c>
      <c r="D86" s="1">
        <v>5</v>
      </c>
      <c r="E86" s="1">
        <v>0</v>
      </c>
      <c r="F86" s="1">
        <v>0</v>
      </c>
      <c r="H86" s="1" t="s">
        <v>1529</v>
      </c>
      <c r="I86" s="1">
        <v>0</v>
      </c>
      <c r="J86" s="1">
        <v>0</v>
      </c>
      <c r="K86" s="1">
        <v>0</v>
      </c>
      <c r="L86" s="1">
        <v>0</v>
      </c>
      <c r="M86" s="1">
        <v>49</v>
      </c>
      <c r="N86" s="3">
        <v>1</v>
      </c>
      <c r="O86" s="39">
        <f t="shared" si="3"/>
        <v>5097</v>
      </c>
      <c r="P86" s="39">
        <v>1699</v>
      </c>
      <c r="T86" s="36" t="s">
        <v>803</v>
      </c>
      <c r="U86" s="36" t="s">
        <v>802</v>
      </c>
      <c r="V86" s="36">
        <v>0</v>
      </c>
      <c r="X86" s="2" t="s">
        <v>785</v>
      </c>
      <c r="Y86" s="1">
        <v>0</v>
      </c>
      <c r="Z86" s="1">
        <v>0</v>
      </c>
      <c r="AA86" s="1">
        <v>0</v>
      </c>
      <c r="AB86" s="1">
        <v>0</v>
      </c>
      <c r="AC86" s="1">
        <v>0</v>
      </c>
      <c r="AD86" s="1">
        <v>0</v>
      </c>
      <c r="AE86" s="1">
        <v>0</v>
      </c>
      <c r="AF86" s="1">
        <v>0</v>
      </c>
      <c r="AG86" s="1">
        <v>0</v>
      </c>
      <c r="AH86" s="1">
        <v>0</v>
      </c>
      <c r="AI86" s="1">
        <v>0</v>
      </c>
      <c r="AJ86" s="1" t="s">
        <v>1048</v>
      </c>
    </row>
    <row r="87" spans="1:36" x14ac:dyDescent="0.15">
      <c r="A87" s="12" t="s">
        <v>484</v>
      </c>
      <c r="B87" s="1">
        <v>267</v>
      </c>
      <c r="C87" s="12" t="s">
        <v>484</v>
      </c>
      <c r="D87" s="1">
        <v>5</v>
      </c>
      <c r="E87" s="1">
        <v>0</v>
      </c>
      <c r="F87" s="1">
        <v>0</v>
      </c>
      <c r="G87" s="1" t="s">
        <v>1831</v>
      </c>
      <c r="H87" s="1" t="s">
        <v>1530</v>
      </c>
      <c r="I87" s="1">
        <v>0</v>
      </c>
      <c r="J87" s="1">
        <v>0</v>
      </c>
      <c r="K87" s="1">
        <v>0</v>
      </c>
      <c r="L87" s="1">
        <v>0</v>
      </c>
      <c r="M87" s="1">
        <v>49</v>
      </c>
      <c r="N87" s="3">
        <v>1</v>
      </c>
      <c r="O87" s="39">
        <f t="shared" si="3"/>
        <v>8265</v>
      </c>
      <c r="P87" s="39">
        <f>VLOOKUP(A87,材料!$P$4:$R$85,3,FALSE)</f>
        <v>2755</v>
      </c>
      <c r="T87" s="36" t="s">
        <v>803</v>
      </c>
      <c r="U87" s="36" t="s">
        <v>802</v>
      </c>
      <c r="V87" s="36">
        <v>0</v>
      </c>
      <c r="X87" s="2" t="s">
        <v>785</v>
      </c>
      <c r="Y87" s="1">
        <v>0</v>
      </c>
      <c r="Z87" s="1">
        <v>0</v>
      </c>
      <c r="AA87" s="1">
        <v>0</v>
      </c>
      <c r="AB87" s="1">
        <v>0</v>
      </c>
      <c r="AC87" s="1">
        <v>0</v>
      </c>
      <c r="AD87" s="1">
        <v>0</v>
      </c>
      <c r="AE87" s="1">
        <v>0</v>
      </c>
      <c r="AF87" s="1">
        <v>0</v>
      </c>
      <c r="AG87" s="1">
        <v>0</v>
      </c>
      <c r="AH87" s="1">
        <v>0</v>
      </c>
      <c r="AI87" s="1">
        <v>0</v>
      </c>
      <c r="AJ87" s="1" t="s">
        <v>1049</v>
      </c>
    </row>
    <row r="88" spans="1:36" x14ac:dyDescent="0.15">
      <c r="A88" s="12" t="s">
        <v>485</v>
      </c>
      <c r="B88" s="1">
        <v>268</v>
      </c>
      <c r="C88" s="12" t="s">
        <v>485</v>
      </c>
      <c r="D88" s="1">
        <v>5</v>
      </c>
      <c r="E88" s="1">
        <v>0</v>
      </c>
      <c r="F88" s="1">
        <v>0</v>
      </c>
      <c r="G88" s="1">
        <v>5008</v>
      </c>
      <c r="H88" s="1" t="s">
        <v>1530</v>
      </c>
      <c r="I88" s="1">
        <v>0</v>
      </c>
      <c r="J88" s="1">
        <v>0</v>
      </c>
      <c r="K88" s="1">
        <v>0</v>
      </c>
      <c r="L88" s="1">
        <v>0</v>
      </c>
      <c r="M88" s="1">
        <v>49</v>
      </c>
      <c r="N88" s="3">
        <v>1</v>
      </c>
      <c r="O88" s="39">
        <f t="shared" si="3"/>
        <v>8265</v>
      </c>
      <c r="P88" s="39">
        <f>VLOOKUP(A88,材料!$P$4:$R$85,3,FALSE)</f>
        <v>2755</v>
      </c>
      <c r="T88" s="36" t="s">
        <v>803</v>
      </c>
      <c r="U88" s="36" t="s">
        <v>802</v>
      </c>
      <c r="V88" s="36">
        <v>0</v>
      </c>
      <c r="X88" s="2" t="s">
        <v>785</v>
      </c>
      <c r="Y88" s="1">
        <v>0</v>
      </c>
      <c r="Z88" s="1">
        <v>0</v>
      </c>
      <c r="AA88" s="1">
        <v>0</v>
      </c>
      <c r="AB88" s="1">
        <v>0</v>
      </c>
      <c r="AC88" s="1">
        <v>0</v>
      </c>
      <c r="AD88" s="1">
        <v>0</v>
      </c>
      <c r="AE88" s="1">
        <v>0</v>
      </c>
      <c r="AF88" s="1">
        <v>0</v>
      </c>
      <c r="AG88" s="1">
        <v>0</v>
      </c>
      <c r="AH88" s="1">
        <v>0</v>
      </c>
      <c r="AI88" s="1">
        <v>0</v>
      </c>
      <c r="AJ88" s="1" t="s">
        <v>1050</v>
      </c>
    </row>
    <row r="89" spans="1:36" x14ac:dyDescent="0.15">
      <c r="A89" s="12" t="s">
        <v>511</v>
      </c>
      <c r="B89" s="1">
        <v>269</v>
      </c>
      <c r="C89" s="12" t="s">
        <v>511</v>
      </c>
      <c r="D89" s="1">
        <v>5</v>
      </c>
      <c r="E89" s="1">
        <v>0</v>
      </c>
      <c r="F89" s="1">
        <v>0</v>
      </c>
      <c r="G89" s="1" t="s">
        <v>1826</v>
      </c>
      <c r="H89" s="1" t="s">
        <v>1489</v>
      </c>
      <c r="I89" s="1">
        <v>0</v>
      </c>
      <c r="J89" s="1">
        <v>0</v>
      </c>
      <c r="K89" s="1">
        <v>0</v>
      </c>
      <c r="L89" s="1">
        <v>0</v>
      </c>
      <c r="M89" s="1">
        <v>49</v>
      </c>
      <c r="N89" s="3">
        <v>1</v>
      </c>
      <c r="O89" s="39">
        <f t="shared" si="3"/>
        <v>2955</v>
      </c>
      <c r="P89" s="39">
        <f>VLOOKUP(A89,材料!$P$4:$R$85,3,FALSE)</f>
        <v>985</v>
      </c>
      <c r="T89" s="36" t="s">
        <v>803</v>
      </c>
      <c r="U89" s="36" t="s">
        <v>802</v>
      </c>
      <c r="V89" s="36">
        <v>0</v>
      </c>
      <c r="X89" s="2" t="s">
        <v>785</v>
      </c>
      <c r="Y89" s="1">
        <v>0</v>
      </c>
      <c r="Z89" s="1">
        <v>0</v>
      </c>
      <c r="AA89" s="1">
        <v>0</v>
      </c>
      <c r="AB89" s="1">
        <v>0</v>
      </c>
      <c r="AC89" s="1">
        <v>0</v>
      </c>
      <c r="AD89" s="1">
        <v>0</v>
      </c>
      <c r="AE89" s="1">
        <v>0</v>
      </c>
      <c r="AF89" s="1">
        <v>0</v>
      </c>
      <c r="AG89" s="1">
        <v>0</v>
      </c>
      <c r="AH89" s="1">
        <v>0</v>
      </c>
      <c r="AI89" s="1">
        <v>0</v>
      </c>
      <c r="AJ89" s="1" t="s">
        <v>1051</v>
      </c>
    </row>
    <row r="90" spans="1:36" x14ac:dyDescent="0.15">
      <c r="A90" s="12" t="s">
        <v>508</v>
      </c>
      <c r="B90" s="1">
        <v>270</v>
      </c>
      <c r="C90" s="12" t="s">
        <v>508</v>
      </c>
      <c r="D90" s="1">
        <v>5</v>
      </c>
      <c r="E90" s="1">
        <v>0</v>
      </c>
      <c r="F90" s="1">
        <v>0</v>
      </c>
      <c r="G90" s="1">
        <v>5008</v>
      </c>
      <c r="H90" s="1" t="s">
        <v>1531</v>
      </c>
      <c r="I90" s="1">
        <v>0</v>
      </c>
      <c r="J90" s="1">
        <v>0</v>
      </c>
      <c r="K90" s="1">
        <v>0</v>
      </c>
      <c r="L90" s="1">
        <v>0</v>
      </c>
      <c r="M90" s="1">
        <v>49</v>
      </c>
      <c r="N90" s="3">
        <v>1</v>
      </c>
      <c r="O90" s="39">
        <f t="shared" si="3"/>
        <v>1065</v>
      </c>
      <c r="P90" s="39">
        <f>VLOOKUP(A90,材料!$P$4:$R$85,3,FALSE)</f>
        <v>355</v>
      </c>
      <c r="T90" s="36" t="s">
        <v>803</v>
      </c>
      <c r="U90" s="36" t="s">
        <v>802</v>
      </c>
      <c r="V90" s="36">
        <v>0</v>
      </c>
      <c r="X90" s="2" t="s">
        <v>785</v>
      </c>
      <c r="Y90" s="1">
        <v>0</v>
      </c>
      <c r="Z90" s="1">
        <v>0</v>
      </c>
      <c r="AA90" s="1">
        <v>0</v>
      </c>
      <c r="AB90" s="1">
        <v>0</v>
      </c>
      <c r="AC90" s="1">
        <v>0</v>
      </c>
      <c r="AD90" s="1">
        <v>0</v>
      </c>
      <c r="AE90" s="1">
        <v>0</v>
      </c>
      <c r="AF90" s="1">
        <v>0</v>
      </c>
      <c r="AG90" s="1">
        <v>0</v>
      </c>
      <c r="AH90" s="1">
        <v>0</v>
      </c>
      <c r="AI90" s="1">
        <v>0</v>
      </c>
      <c r="AJ90" s="1" t="s">
        <v>1052</v>
      </c>
    </row>
    <row r="91" spans="1:36" x14ac:dyDescent="0.15">
      <c r="A91" s="12" t="s">
        <v>1306</v>
      </c>
      <c r="B91" s="1">
        <v>271</v>
      </c>
      <c r="C91" s="12" t="s">
        <v>440</v>
      </c>
      <c r="D91" s="1">
        <v>5</v>
      </c>
      <c r="E91" s="1">
        <v>0</v>
      </c>
      <c r="F91" s="1">
        <v>0</v>
      </c>
      <c r="G91" s="1" t="s">
        <v>1825</v>
      </c>
      <c r="H91" s="1" t="s">
        <v>1532</v>
      </c>
      <c r="I91" s="1">
        <v>0</v>
      </c>
      <c r="J91" s="1">
        <v>0</v>
      </c>
      <c r="K91" s="1">
        <v>0</v>
      </c>
      <c r="L91" s="1">
        <v>0</v>
      </c>
      <c r="M91" s="1">
        <v>49</v>
      </c>
      <c r="N91" s="3">
        <v>1</v>
      </c>
      <c r="O91" s="39">
        <f t="shared" si="3"/>
        <v>300</v>
      </c>
      <c r="P91" s="39">
        <v>100</v>
      </c>
      <c r="T91" s="36" t="s">
        <v>803</v>
      </c>
      <c r="U91" s="36" t="s">
        <v>802</v>
      </c>
      <c r="V91" s="36">
        <v>0</v>
      </c>
      <c r="X91" s="2" t="s">
        <v>785</v>
      </c>
      <c r="Y91" s="1">
        <v>0</v>
      </c>
      <c r="Z91" s="1">
        <v>0</v>
      </c>
      <c r="AA91" s="1">
        <v>0</v>
      </c>
      <c r="AB91" s="1">
        <v>0</v>
      </c>
      <c r="AC91" s="1">
        <v>0</v>
      </c>
      <c r="AD91" s="1">
        <v>0</v>
      </c>
      <c r="AE91" s="1">
        <v>0</v>
      </c>
      <c r="AF91" s="1">
        <v>0</v>
      </c>
      <c r="AG91" s="1">
        <v>0</v>
      </c>
      <c r="AH91" s="1">
        <v>0</v>
      </c>
      <c r="AI91" s="1">
        <v>0</v>
      </c>
      <c r="AJ91" s="1" t="s">
        <v>1053</v>
      </c>
    </row>
    <row r="92" spans="1:36" x14ac:dyDescent="0.15">
      <c r="A92" s="12" t="s">
        <v>555</v>
      </c>
      <c r="B92" s="1">
        <v>272</v>
      </c>
      <c r="C92" s="12" t="s">
        <v>555</v>
      </c>
      <c r="D92" s="1">
        <v>5</v>
      </c>
      <c r="E92" s="1">
        <v>0</v>
      </c>
      <c r="F92" s="1">
        <v>0</v>
      </c>
      <c r="G92" s="1">
        <v>5007</v>
      </c>
      <c r="H92" s="1" t="s">
        <v>1533</v>
      </c>
      <c r="I92" s="1">
        <v>0</v>
      </c>
      <c r="J92" s="1">
        <v>0</v>
      </c>
      <c r="K92" s="1">
        <v>0</v>
      </c>
      <c r="L92" s="1">
        <v>0</v>
      </c>
      <c r="M92" s="1">
        <v>49</v>
      </c>
      <c r="N92" s="3">
        <v>1</v>
      </c>
      <c r="O92" s="39">
        <f t="shared" si="3"/>
        <v>1401</v>
      </c>
      <c r="P92" s="39">
        <f>VLOOKUP(A92,材料!$P$4:$R$85,3,FALSE)</f>
        <v>467</v>
      </c>
      <c r="T92" s="36" t="s">
        <v>803</v>
      </c>
      <c r="U92" s="36" t="s">
        <v>802</v>
      </c>
      <c r="V92" s="36">
        <v>0</v>
      </c>
      <c r="X92" s="2" t="s">
        <v>785</v>
      </c>
      <c r="Y92" s="1">
        <v>0</v>
      </c>
      <c r="Z92" s="1">
        <v>0</v>
      </c>
      <c r="AA92" s="1">
        <v>0</v>
      </c>
      <c r="AB92" s="1">
        <v>0</v>
      </c>
      <c r="AC92" s="1">
        <v>0</v>
      </c>
      <c r="AD92" s="1">
        <v>0</v>
      </c>
      <c r="AE92" s="1">
        <v>0</v>
      </c>
      <c r="AF92" s="1">
        <v>0</v>
      </c>
      <c r="AG92" s="1">
        <v>0</v>
      </c>
      <c r="AH92" s="1">
        <v>0</v>
      </c>
      <c r="AI92" s="1">
        <v>0</v>
      </c>
      <c r="AJ92" s="1" t="s">
        <v>1054</v>
      </c>
    </row>
    <row r="93" spans="1:36" x14ac:dyDescent="0.15">
      <c r="A93" s="12" t="s">
        <v>516</v>
      </c>
      <c r="B93" s="1">
        <v>273</v>
      </c>
      <c r="C93" s="12" t="s">
        <v>516</v>
      </c>
      <c r="D93" s="1">
        <v>5</v>
      </c>
      <c r="E93" s="1">
        <v>0</v>
      </c>
      <c r="F93" s="1">
        <v>0</v>
      </c>
      <c r="G93" s="1">
        <v>5007</v>
      </c>
      <c r="H93" s="1" t="s">
        <v>1491</v>
      </c>
      <c r="I93" s="1">
        <v>0</v>
      </c>
      <c r="J93" s="1">
        <v>0</v>
      </c>
      <c r="K93" s="1">
        <v>0</v>
      </c>
      <c r="L93" s="1">
        <v>0</v>
      </c>
      <c r="M93" s="1">
        <v>49</v>
      </c>
      <c r="N93" s="3">
        <v>1</v>
      </c>
      <c r="O93" s="39">
        <f t="shared" si="3"/>
        <v>201</v>
      </c>
      <c r="P93" s="39">
        <f>VLOOKUP(A93,材料!$P$4:$R$85,3,FALSE)</f>
        <v>67</v>
      </c>
      <c r="T93" s="36" t="s">
        <v>803</v>
      </c>
      <c r="U93" s="36" t="s">
        <v>802</v>
      </c>
      <c r="V93" s="36">
        <v>0</v>
      </c>
      <c r="X93" s="2" t="s">
        <v>785</v>
      </c>
      <c r="Y93" s="1">
        <v>0</v>
      </c>
      <c r="Z93" s="1">
        <v>0</v>
      </c>
      <c r="AA93" s="1">
        <v>0</v>
      </c>
      <c r="AB93" s="1">
        <v>0</v>
      </c>
      <c r="AC93" s="1">
        <v>0</v>
      </c>
      <c r="AD93" s="1">
        <v>0</v>
      </c>
      <c r="AE93" s="1">
        <v>0</v>
      </c>
      <c r="AF93" s="1">
        <v>0</v>
      </c>
      <c r="AG93" s="1">
        <v>0</v>
      </c>
      <c r="AH93" s="1">
        <v>0</v>
      </c>
      <c r="AI93" s="1">
        <v>0</v>
      </c>
      <c r="AJ93" s="1" t="s">
        <v>1055</v>
      </c>
    </row>
    <row r="94" spans="1:36" x14ac:dyDescent="0.15">
      <c r="A94" s="12" t="s">
        <v>356</v>
      </c>
      <c r="B94" s="1">
        <v>274</v>
      </c>
      <c r="C94" s="12" t="s">
        <v>356</v>
      </c>
      <c r="D94" s="1">
        <v>5</v>
      </c>
      <c r="E94" s="1">
        <v>0</v>
      </c>
      <c r="F94" s="1">
        <v>0</v>
      </c>
      <c r="G94" s="1">
        <v>5008</v>
      </c>
      <c r="H94" s="1" t="s">
        <v>1534</v>
      </c>
      <c r="I94" s="1">
        <v>0</v>
      </c>
      <c r="J94" s="1">
        <v>0</v>
      </c>
      <c r="K94" s="1">
        <v>0</v>
      </c>
      <c r="L94" s="1">
        <v>0</v>
      </c>
      <c r="M94" s="1">
        <v>49</v>
      </c>
      <c r="N94" s="3">
        <v>1</v>
      </c>
      <c r="O94" s="39">
        <f t="shared" si="3"/>
        <v>201</v>
      </c>
      <c r="P94" s="39">
        <f>VLOOKUP(A94,材料!$P$4:$R$85,3,FALSE)</f>
        <v>67</v>
      </c>
      <c r="T94" s="36" t="s">
        <v>803</v>
      </c>
      <c r="U94" s="36" t="s">
        <v>802</v>
      </c>
      <c r="V94" s="36">
        <v>0</v>
      </c>
      <c r="X94" s="2" t="s">
        <v>785</v>
      </c>
      <c r="Y94" s="1">
        <v>0</v>
      </c>
      <c r="Z94" s="1">
        <v>0</v>
      </c>
      <c r="AA94" s="1">
        <v>0</v>
      </c>
      <c r="AB94" s="1">
        <v>0</v>
      </c>
      <c r="AC94" s="1">
        <v>0</v>
      </c>
      <c r="AD94" s="1">
        <v>0</v>
      </c>
      <c r="AE94" s="1">
        <v>0</v>
      </c>
      <c r="AF94" s="1">
        <v>0</v>
      </c>
      <c r="AG94" s="1">
        <v>0</v>
      </c>
      <c r="AH94" s="1">
        <v>0</v>
      </c>
      <c r="AI94" s="1">
        <v>0</v>
      </c>
      <c r="AJ94" s="1" t="e">
        <f>VLOOKUP(ItemData!A94,Sheet8!N:O,2,FALSE)</f>
        <v>#N/A</v>
      </c>
    </row>
    <row r="95" spans="1:36" x14ac:dyDescent="0.15">
      <c r="A95" s="12" t="s">
        <v>500</v>
      </c>
      <c r="B95" s="1">
        <v>275</v>
      </c>
      <c r="C95" s="12" t="s">
        <v>500</v>
      </c>
      <c r="D95" s="1">
        <v>5</v>
      </c>
      <c r="E95" s="1">
        <v>0</v>
      </c>
      <c r="F95" s="1">
        <v>0</v>
      </c>
      <c r="G95" s="1">
        <v>5008</v>
      </c>
      <c r="H95" s="1" t="s">
        <v>1535</v>
      </c>
      <c r="I95" s="1">
        <v>0</v>
      </c>
      <c r="J95" s="1">
        <v>0</v>
      </c>
      <c r="K95" s="1">
        <v>0</v>
      </c>
      <c r="L95" s="1">
        <v>0</v>
      </c>
      <c r="M95" s="1">
        <v>49</v>
      </c>
      <c r="N95" s="3">
        <v>1</v>
      </c>
      <c r="O95" s="39">
        <f t="shared" ref="O95:O121" si="4">P95*3</f>
        <v>6585</v>
      </c>
      <c r="P95" s="39">
        <f>VLOOKUP(A95,材料!$P$4:$R$85,3,FALSE)</f>
        <v>2195</v>
      </c>
      <c r="T95" s="36" t="s">
        <v>803</v>
      </c>
      <c r="U95" s="36" t="s">
        <v>802</v>
      </c>
      <c r="V95" s="36">
        <v>0</v>
      </c>
      <c r="X95" s="2" t="s">
        <v>785</v>
      </c>
      <c r="Y95" s="1">
        <v>0</v>
      </c>
      <c r="Z95" s="1">
        <v>0</v>
      </c>
      <c r="AA95" s="1">
        <v>0</v>
      </c>
      <c r="AB95" s="1">
        <v>0</v>
      </c>
      <c r="AC95" s="1">
        <v>0</v>
      </c>
      <c r="AD95" s="1">
        <v>0</v>
      </c>
      <c r="AE95" s="1">
        <v>0</v>
      </c>
      <c r="AF95" s="1">
        <v>0</v>
      </c>
      <c r="AG95" s="1">
        <v>0</v>
      </c>
      <c r="AH95" s="1">
        <v>0</v>
      </c>
      <c r="AI95" s="1">
        <v>0</v>
      </c>
      <c r="AJ95" s="1" t="s">
        <v>1056</v>
      </c>
    </row>
    <row r="96" spans="1:36" x14ac:dyDescent="0.15">
      <c r="A96" s="12" t="s">
        <v>1629</v>
      </c>
      <c r="B96" s="1">
        <v>276</v>
      </c>
      <c r="C96" s="12" t="s">
        <v>359</v>
      </c>
      <c r="D96" s="1">
        <v>5</v>
      </c>
      <c r="E96" s="1">
        <v>0</v>
      </c>
      <c r="F96" s="1">
        <v>0</v>
      </c>
      <c r="G96" s="1">
        <v>5007</v>
      </c>
      <c r="H96" s="1" t="s">
        <v>1536</v>
      </c>
      <c r="I96" s="1">
        <v>0</v>
      </c>
      <c r="J96" s="1">
        <v>0</v>
      </c>
      <c r="K96" s="1">
        <v>0</v>
      </c>
      <c r="L96" s="1">
        <v>0</v>
      </c>
      <c r="M96" s="1">
        <v>49</v>
      </c>
      <c r="N96" s="3">
        <v>1</v>
      </c>
      <c r="O96" s="39">
        <f t="shared" si="4"/>
        <v>1440</v>
      </c>
      <c r="P96" s="39">
        <v>480</v>
      </c>
      <c r="T96" s="36" t="s">
        <v>803</v>
      </c>
      <c r="U96" s="36" t="s">
        <v>802</v>
      </c>
      <c r="V96" s="36">
        <v>0</v>
      </c>
      <c r="X96" s="2" t="s">
        <v>785</v>
      </c>
      <c r="Y96" s="1">
        <v>0</v>
      </c>
      <c r="Z96" s="1">
        <v>0</v>
      </c>
      <c r="AA96" s="1">
        <v>0</v>
      </c>
      <c r="AB96" s="1">
        <v>0</v>
      </c>
      <c r="AC96" s="1">
        <v>0</v>
      </c>
      <c r="AD96" s="1">
        <v>0</v>
      </c>
      <c r="AE96" s="1">
        <v>0</v>
      </c>
      <c r="AF96" s="1">
        <v>0</v>
      </c>
      <c r="AG96" s="1">
        <v>0</v>
      </c>
      <c r="AH96" s="1">
        <v>0</v>
      </c>
      <c r="AI96" s="1">
        <v>0</v>
      </c>
      <c r="AJ96" s="1" t="e">
        <f>VLOOKUP(ItemData!A96,Sheet8!N:O,2,FALSE)</f>
        <v>#N/A</v>
      </c>
    </row>
    <row r="97" spans="1:36" x14ac:dyDescent="0.15">
      <c r="A97" s="12" t="s">
        <v>581</v>
      </c>
      <c r="B97" s="1">
        <v>277</v>
      </c>
      <c r="C97" s="12" t="s">
        <v>581</v>
      </c>
      <c r="D97" s="1">
        <v>5</v>
      </c>
      <c r="E97" s="1">
        <v>0</v>
      </c>
      <c r="F97" s="1">
        <v>0</v>
      </c>
      <c r="H97" s="1" t="s">
        <v>1537</v>
      </c>
      <c r="I97" s="1">
        <v>0</v>
      </c>
      <c r="J97" s="1">
        <v>0</v>
      </c>
      <c r="K97" s="1">
        <v>0</v>
      </c>
      <c r="L97" s="1">
        <v>0</v>
      </c>
      <c r="M97" s="1">
        <v>49</v>
      </c>
      <c r="N97" s="3">
        <v>1</v>
      </c>
      <c r="O97" s="39">
        <f t="shared" si="4"/>
        <v>462</v>
      </c>
      <c r="P97" s="39">
        <v>154</v>
      </c>
      <c r="T97" s="36" t="s">
        <v>803</v>
      </c>
      <c r="U97" s="36" t="s">
        <v>802</v>
      </c>
      <c r="V97" s="36">
        <v>0</v>
      </c>
      <c r="X97" s="2" t="s">
        <v>785</v>
      </c>
      <c r="Y97" s="1">
        <v>0</v>
      </c>
      <c r="Z97" s="1">
        <v>0</v>
      </c>
      <c r="AA97" s="1">
        <v>0</v>
      </c>
      <c r="AB97" s="1">
        <v>0</v>
      </c>
      <c r="AC97" s="1">
        <v>0</v>
      </c>
      <c r="AD97" s="1">
        <v>0</v>
      </c>
      <c r="AE97" s="1">
        <v>0</v>
      </c>
      <c r="AF97" s="1">
        <v>0</v>
      </c>
      <c r="AG97" s="1">
        <v>0</v>
      </c>
      <c r="AH97" s="1">
        <v>0</v>
      </c>
      <c r="AI97" s="1">
        <v>0</v>
      </c>
      <c r="AJ97" s="1" t="s">
        <v>1057</v>
      </c>
    </row>
    <row r="98" spans="1:36" x14ac:dyDescent="0.15">
      <c r="A98" s="12" t="s">
        <v>526</v>
      </c>
      <c r="B98" s="1">
        <v>278</v>
      </c>
      <c r="C98" s="12" t="s">
        <v>526</v>
      </c>
      <c r="D98" s="1">
        <v>5</v>
      </c>
      <c r="E98" s="1">
        <v>0</v>
      </c>
      <c r="F98" s="1">
        <v>0</v>
      </c>
      <c r="G98" s="1" t="s">
        <v>1827</v>
      </c>
      <c r="H98" s="1" t="s">
        <v>1538</v>
      </c>
      <c r="I98" s="1">
        <v>0</v>
      </c>
      <c r="J98" s="1">
        <v>0</v>
      </c>
      <c r="K98" s="1">
        <v>0</v>
      </c>
      <c r="L98" s="1">
        <v>0</v>
      </c>
      <c r="M98" s="1">
        <v>49</v>
      </c>
      <c r="N98" s="3">
        <v>1</v>
      </c>
      <c r="O98" s="39">
        <f t="shared" si="4"/>
        <v>651</v>
      </c>
      <c r="P98" s="39">
        <f>VLOOKUP(A98,材料!$P$4:$R$85,3,FALSE)</f>
        <v>217</v>
      </c>
      <c r="T98" s="36" t="s">
        <v>803</v>
      </c>
      <c r="U98" s="36" t="s">
        <v>802</v>
      </c>
      <c r="V98" s="36">
        <v>0</v>
      </c>
      <c r="X98" s="2" t="s">
        <v>785</v>
      </c>
      <c r="Y98" s="1">
        <v>0</v>
      </c>
      <c r="Z98" s="1">
        <v>0</v>
      </c>
      <c r="AA98" s="1">
        <v>0</v>
      </c>
      <c r="AB98" s="1">
        <v>0</v>
      </c>
      <c r="AC98" s="1">
        <v>0</v>
      </c>
      <c r="AD98" s="1">
        <v>0</v>
      </c>
      <c r="AE98" s="1">
        <v>0</v>
      </c>
      <c r="AF98" s="1">
        <v>0</v>
      </c>
      <c r="AG98" s="1">
        <v>0</v>
      </c>
      <c r="AH98" s="1">
        <v>0</v>
      </c>
      <c r="AI98" s="1">
        <v>0</v>
      </c>
      <c r="AJ98" s="1" t="s">
        <v>1058</v>
      </c>
    </row>
    <row r="99" spans="1:36" x14ac:dyDescent="0.15">
      <c r="A99" s="12" t="s">
        <v>1409</v>
      </c>
      <c r="B99" s="1">
        <v>279</v>
      </c>
      <c r="C99" s="12" t="s">
        <v>502</v>
      </c>
      <c r="D99" s="1">
        <v>5</v>
      </c>
      <c r="E99" s="1">
        <v>0</v>
      </c>
      <c r="F99" s="1">
        <v>0</v>
      </c>
      <c r="G99" s="1">
        <v>5007</v>
      </c>
      <c r="H99" s="1" t="s">
        <v>1518</v>
      </c>
      <c r="I99" s="1">
        <v>0</v>
      </c>
      <c r="J99" s="1">
        <v>0</v>
      </c>
      <c r="K99" s="1">
        <v>0</v>
      </c>
      <c r="L99" s="1">
        <v>0</v>
      </c>
      <c r="M99" s="1">
        <v>49</v>
      </c>
      <c r="N99" s="3">
        <v>1</v>
      </c>
      <c r="O99" s="39">
        <f t="shared" si="4"/>
        <v>5097</v>
      </c>
      <c r="P99" s="39">
        <f>VLOOKUP(A99,材料!$P$4:$R$85,3,FALSE)</f>
        <v>1699</v>
      </c>
      <c r="T99" s="36" t="s">
        <v>803</v>
      </c>
      <c r="U99" s="36" t="s">
        <v>802</v>
      </c>
      <c r="V99" s="36">
        <v>0</v>
      </c>
      <c r="X99" s="2" t="s">
        <v>785</v>
      </c>
      <c r="Y99" s="1">
        <v>0</v>
      </c>
      <c r="Z99" s="1">
        <v>0</v>
      </c>
      <c r="AA99" s="1">
        <v>0</v>
      </c>
      <c r="AB99" s="1">
        <v>0</v>
      </c>
      <c r="AC99" s="1">
        <v>0</v>
      </c>
      <c r="AD99" s="1">
        <v>0</v>
      </c>
      <c r="AE99" s="1">
        <v>0</v>
      </c>
      <c r="AF99" s="1">
        <v>0</v>
      </c>
      <c r="AG99" s="1">
        <v>0</v>
      </c>
      <c r="AH99" s="1">
        <v>0</v>
      </c>
      <c r="AI99" s="1">
        <v>0</v>
      </c>
      <c r="AJ99" s="1" t="s">
        <v>1059</v>
      </c>
    </row>
    <row r="100" spans="1:36" x14ac:dyDescent="0.15">
      <c r="A100" s="12" t="s">
        <v>489</v>
      </c>
      <c r="B100" s="1">
        <v>280</v>
      </c>
      <c r="C100" s="12" t="s">
        <v>489</v>
      </c>
      <c r="D100" s="1">
        <v>5</v>
      </c>
      <c r="E100" s="1">
        <v>0</v>
      </c>
      <c r="F100" s="1">
        <v>0</v>
      </c>
      <c r="G100" s="1">
        <v>5007</v>
      </c>
      <c r="H100" s="1" t="s">
        <v>1539</v>
      </c>
      <c r="I100" s="1">
        <v>0</v>
      </c>
      <c r="J100" s="1">
        <v>0</v>
      </c>
      <c r="K100" s="1">
        <v>0</v>
      </c>
      <c r="L100" s="1">
        <v>0</v>
      </c>
      <c r="M100" s="1">
        <v>49</v>
      </c>
      <c r="N100" s="3">
        <v>1</v>
      </c>
      <c r="O100" s="39">
        <f t="shared" si="4"/>
        <v>537</v>
      </c>
      <c r="P100" s="39">
        <f>VLOOKUP(A100,材料!$P$4:$R$85,3,FALSE)</f>
        <v>179</v>
      </c>
      <c r="T100" s="36" t="s">
        <v>803</v>
      </c>
      <c r="U100" s="36" t="s">
        <v>802</v>
      </c>
      <c r="V100" s="36">
        <v>0</v>
      </c>
      <c r="X100" s="2" t="s">
        <v>785</v>
      </c>
      <c r="Y100" s="1">
        <v>0</v>
      </c>
      <c r="Z100" s="1">
        <v>0</v>
      </c>
      <c r="AA100" s="1">
        <v>0</v>
      </c>
      <c r="AB100" s="1">
        <v>0</v>
      </c>
      <c r="AC100" s="1">
        <v>0</v>
      </c>
      <c r="AD100" s="1">
        <v>0</v>
      </c>
      <c r="AE100" s="1">
        <v>0</v>
      </c>
      <c r="AF100" s="1">
        <v>0</v>
      </c>
      <c r="AG100" s="1">
        <v>0</v>
      </c>
      <c r="AH100" s="1">
        <v>0</v>
      </c>
      <c r="AI100" s="1">
        <v>0</v>
      </c>
      <c r="AJ100" s="1" t="s">
        <v>1060</v>
      </c>
    </row>
    <row r="101" spans="1:36" x14ac:dyDescent="0.15">
      <c r="A101" s="12" t="s">
        <v>506</v>
      </c>
      <c r="B101" s="1">
        <v>281</v>
      </c>
      <c r="C101" s="12" t="s">
        <v>506</v>
      </c>
      <c r="D101" s="1">
        <v>5</v>
      </c>
      <c r="E101" s="1">
        <v>0</v>
      </c>
      <c r="F101" s="1">
        <v>0</v>
      </c>
      <c r="G101" s="1" t="s">
        <v>1832</v>
      </c>
      <c r="H101" s="1" t="s">
        <v>1540</v>
      </c>
      <c r="I101" s="1">
        <v>0</v>
      </c>
      <c r="J101" s="1">
        <v>0</v>
      </c>
      <c r="K101" s="1">
        <v>0</v>
      </c>
      <c r="L101" s="1">
        <v>0</v>
      </c>
      <c r="M101" s="1">
        <v>49</v>
      </c>
      <c r="N101" s="3">
        <v>1</v>
      </c>
      <c r="O101" s="39">
        <f t="shared" si="4"/>
        <v>4755</v>
      </c>
      <c r="P101" s="39">
        <f>VLOOKUP(A101,材料!$P$4:$R$85,3,FALSE)</f>
        <v>1585</v>
      </c>
      <c r="T101" s="36" t="s">
        <v>803</v>
      </c>
      <c r="U101" s="36" t="s">
        <v>802</v>
      </c>
      <c r="V101" s="36">
        <v>0</v>
      </c>
      <c r="X101" s="2" t="s">
        <v>785</v>
      </c>
      <c r="Y101" s="1">
        <v>0</v>
      </c>
      <c r="Z101" s="1">
        <v>0</v>
      </c>
      <c r="AA101" s="1">
        <v>0</v>
      </c>
      <c r="AB101" s="1">
        <v>0</v>
      </c>
      <c r="AC101" s="1">
        <v>0</v>
      </c>
      <c r="AD101" s="1">
        <v>0</v>
      </c>
      <c r="AE101" s="1">
        <v>0</v>
      </c>
      <c r="AF101" s="1">
        <v>0</v>
      </c>
      <c r="AG101" s="1">
        <v>0</v>
      </c>
      <c r="AH101" s="1">
        <v>0</v>
      </c>
      <c r="AI101" s="1">
        <v>0</v>
      </c>
      <c r="AJ101" s="1" t="s">
        <v>1061</v>
      </c>
    </row>
    <row r="102" spans="1:36" x14ac:dyDescent="0.15">
      <c r="A102" s="12" t="s">
        <v>554</v>
      </c>
      <c r="B102" s="1">
        <v>282</v>
      </c>
      <c r="C102" s="12" t="s">
        <v>554</v>
      </c>
      <c r="D102" s="1">
        <v>5</v>
      </c>
      <c r="E102" s="1">
        <v>0</v>
      </c>
      <c r="F102" s="1">
        <v>0</v>
      </c>
      <c r="G102" s="1">
        <v>5007</v>
      </c>
      <c r="H102" s="1" t="s">
        <v>1541</v>
      </c>
      <c r="I102" s="1">
        <v>0</v>
      </c>
      <c r="J102" s="1">
        <v>0</v>
      </c>
      <c r="K102" s="1">
        <v>0</v>
      </c>
      <c r="L102" s="1">
        <v>0</v>
      </c>
      <c r="M102" s="1">
        <v>49</v>
      </c>
      <c r="N102" s="3">
        <v>1</v>
      </c>
      <c r="O102" s="39">
        <f t="shared" si="4"/>
        <v>1785</v>
      </c>
      <c r="P102" s="39">
        <f>VLOOKUP(A102,材料!$P$4:$R$85,3,FALSE)</f>
        <v>595</v>
      </c>
      <c r="T102" s="36" t="s">
        <v>803</v>
      </c>
      <c r="U102" s="36" t="s">
        <v>802</v>
      </c>
      <c r="V102" s="36">
        <v>0</v>
      </c>
      <c r="X102" s="2" t="s">
        <v>785</v>
      </c>
      <c r="Y102" s="1">
        <v>0</v>
      </c>
      <c r="Z102" s="1">
        <v>0</v>
      </c>
      <c r="AA102" s="1">
        <v>0</v>
      </c>
      <c r="AB102" s="1">
        <v>0</v>
      </c>
      <c r="AC102" s="1">
        <v>0</v>
      </c>
      <c r="AD102" s="1">
        <v>0</v>
      </c>
      <c r="AE102" s="1">
        <v>0</v>
      </c>
      <c r="AF102" s="1">
        <v>0</v>
      </c>
      <c r="AG102" s="1">
        <v>0</v>
      </c>
      <c r="AH102" s="1">
        <v>0</v>
      </c>
      <c r="AI102" s="1">
        <v>0</v>
      </c>
      <c r="AJ102" s="1" t="s">
        <v>1062</v>
      </c>
    </row>
    <row r="103" spans="1:36" x14ac:dyDescent="0.15">
      <c r="A103" s="12" t="s">
        <v>358</v>
      </c>
      <c r="B103" s="1">
        <v>283</v>
      </c>
      <c r="C103" s="12" t="s">
        <v>358</v>
      </c>
      <c r="D103" s="1">
        <v>5</v>
      </c>
      <c r="E103" s="1">
        <v>0</v>
      </c>
      <c r="F103" s="1">
        <v>0</v>
      </c>
      <c r="G103" s="1" t="s">
        <v>1833</v>
      </c>
      <c r="H103" s="1" t="s">
        <v>1542</v>
      </c>
      <c r="I103" s="1">
        <v>0</v>
      </c>
      <c r="J103" s="1">
        <v>0</v>
      </c>
      <c r="K103" s="1">
        <v>0</v>
      </c>
      <c r="L103" s="1">
        <v>0</v>
      </c>
      <c r="M103" s="1">
        <v>49</v>
      </c>
      <c r="N103" s="3">
        <v>1</v>
      </c>
      <c r="O103" s="39">
        <f t="shared" si="4"/>
        <v>462</v>
      </c>
      <c r="P103" s="39">
        <v>154</v>
      </c>
      <c r="T103" s="36" t="s">
        <v>803</v>
      </c>
      <c r="U103" s="36" t="s">
        <v>802</v>
      </c>
      <c r="V103" s="36">
        <v>0</v>
      </c>
      <c r="X103" s="2" t="s">
        <v>785</v>
      </c>
      <c r="Y103" s="1">
        <v>0</v>
      </c>
      <c r="Z103" s="1">
        <v>0</v>
      </c>
      <c r="AA103" s="1">
        <v>0</v>
      </c>
      <c r="AB103" s="1">
        <v>0</v>
      </c>
      <c r="AC103" s="1">
        <v>0</v>
      </c>
      <c r="AD103" s="1">
        <v>0</v>
      </c>
      <c r="AE103" s="1">
        <v>0</v>
      </c>
      <c r="AF103" s="1">
        <v>0</v>
      </c>
      <c r="AG103" s="1">
        <v>0</v>
      </c>
      <c r="AH103" s="1">
        <v>0</v>
      </c>
      <c r="AI103" s="1">
        <v>0</v>
      </c>
      <c r="AJ103" s="1" t="e">
        <f>VLOOKUP(ItemData!A103,Sheet8!N:O,2,FALSE)</f>
        <v>#N/A</v>
      </c>
    </row>
    <row r="104" spans="1:36" x14ac:dyDescent="0.15">
      <c r="A104" s="12" t="s">
        <v>507</v>
      </c>
      <c r="B104" s="1">
        <v>284</v>
      </c>
      <c r="C104" s="12" t="s">
        <v>507</v>
      </c>
      <c r="D104" s="1">
        <v>5</v>
      </c>
      <c r="E104" s="1">
        <v>0</v>
      </c>
      <c r="F104" s="1">
        <v>0</v>
      </c>
      <c r="G104" s="1" t="s">
        <v>1828</v>
      </c>
      <c r="H104" s="1" t="s">
        <v>1543</v>
      </c>
      <c r="I104" s="1">
        <v>0</v>
      </c>
      <c r="J104" s="1">
        <v>0</v>
      </c>
      <c r="K104" s="1">
        <v>0</v>
      </c>
      <c r="L104" s="1">
        <v>0</v>
      </c>
      <c r="M104" s="1">
        <v>49</v>
      </c>
      <c r="N104" s="3">
        <v>1</v>
      </c>
      <c r="O104" s="39">
        <f t="shared" si="4"/>
        <v>4107</v>
      </c>
      <c r="P104" s="39">
        <f>VLOOKUP(A104,材料!$P$4:$R$85,3,FALSE)</f>
        <v>1369</v>
      </c>
      <c r="T104" s="36" t="s">
        <v>803</v>
      </c>
      <c r="U104" s="36" t="s">
        <v>802</v>
      </c>
      <c r="V104" s="36">
        <v>0</v>
      </c>
      <c r="X104" s="2" t="s">
        <v>785</v>
      </c>
      <c r="Y104" s="1">
        <v>0</v>
      </c>
      <c r="Z104" s="1">
        <v>0</v>
      </c>
      <c r="AA104" s="1">
        <v>0</v>
      </c>
      <c r="AB104" s="1">
        <v>0</v>
      </c>
      <c r="AC104" s="1">
        <v>0</v>
      </c>
      <c r="AD104" s="1">
        <v>0</v>
      </c>
      <c r="AE104" s="1">
        <v>0</v>
      </c>
      <c r="AF104" s="1">
        <v>0</v>
      </c>
      <c r="AG104" s="1">
        <v>0</v>
      </c>
      <c r="AH104" s="1">
        <v>0</v>
      </c>
      <c r="AI104" s="1">
        <v>0</v>
      </c>
      <c r="AJ104" s="1" t="s">
        <v>1063</v>
      </c>
    </row>
    <row r="105" spans="1:36" x14ac:dyDescent="0.15">
      <c r="A105" s="12" t="s">
        <v>559</v>
      </c>
      <c r="B105" s="1">
        <v>285</v>
      </c>
      <c r="C105" s="12" t="s">
        <v>559</v>
      </c>
      <c r="D105" s="1">
        <v>5</v>
      </c>
      <c r="E105" s="1">
        <v>0</v>
      </c>
      <c r="F105" s="1">
        <v>0</v>
      </c>
      <c r="G105" s="1" t="s">
        <v>1831</v>
      </c>
      <c r="H105" s="1" t="s">
        <v>1489</v>
      </c>
      <c r="I105" s="1">
        <v>0</v>
      </c>
      <c r="J105" s="1">
        <v>0</v>
      </c>
      <c r="K105" s="1">
        <v>0</v>
      </c>
      <c r="L105" s="1">
        <v>0</v>
      </c>
      <c r="M105" s="1">
        <v>49</v>
      </c>
      <c r="N105" s="3">
        <v>1</v>
      </c>
      <c r="O105" s="39">
        <f t="shared" si="4"/>
        <v>3801</v>
      </c>
      <c r="P105" s="39">
        <f>VLOOKUP(A105,材料!$P$4:$R$85,3,FALSE)</f>
        <v>1267</v>
      </c>
      <c r="T105" s="36" t="s">
        <v>803</v>
      </c>
      <c r="U105" s="36" t="s">
        <v>802</v>
      </c>
      <c r="V105" s="36">
        <v>0</v>
      </c>
      <c r="X105" s="2" t="s">
        <v>785</v>
      </c>
      <c r="Y105" s="1">
        <v>0</v>
      </c>
      <c r="Z105" s="1">
        <v>0</v>
      </c>
      <c r="AA105" s="1">
        <v>0</v>
      </c>
      <c r="AB105" s="1">
        <v>0</v>
      </c>
      <c r="AC105" s="1">
        <v>0</v>
      </c>
      <c r="AD105" s="1">
        <v>0</v>
      </c>
      <c r="AE105" s="1">
        <v>0</v>
      </c>
      <c r="AF105" s="1">
        <v>0</v>
      </c>
      <c r="AG105" s="1">
        <v>0</v>
      </c>
      <c r="AH105" s="1">
        <v>0</v>
      </c>
      <c r="AI105" s="1">
        <v>0</v>
      </c>
      <c r="AJ105" s="1" t="s">
        <v>1064</v>
      </c>
    </row>
    <row r="106" spans="1:36" x14ac:dyDescent="0.15">
      <c r="A106" s="12" t="s">
        <v>557</v>
      </c>
      <c r="B106" s="1">
        <v>286</v>
      </c>
      <c r="C106" s="12" t="s">
        <v>557</v>
      </c>
      <c r="D106" s="1">
        <v>5</v>
      </c>
      <c r="E106" s="1">
        <v>0</v>
      </c>
      <c r="F106" s="1">
        <v>0</v>
      </c>
      <c r="G106" s="1" t="s">
        <v>1834</v>
      </c>
      <c r="H106" s="1" t="s">
        <v>1544</v>
      </c>
      <c r="I106" s="1">
        <v>0</v>
      </c>
      <c r="J106" s="1">
        <v>0</v>
      </c>
      <c r="K106" s="1">
        <v>0</v>
      </c>
      <c r="L106" s="1">
        <v>0</v>
      </c>
      <c r="M106" s="1">
        <v>49</v>
      </c>
      <c r="N106" s="3">
        <v>1</v>
      </c>
      <c r="O106" s="39">
        <f t="shared" si="4"/>
        <v>915</v>
      </c>
      <c r="P106" s="39">
        <f>VLOOKUP(A106,材料!$P$4:$R$85,3,FALSE)</f>
        <v>305</v>
      </c>
      <c r="T106" s="36" t="s">
        <v>803</v>
      </c>
      <c r="U106" s="36" t="s">
        <v>802</v>
      </c>
      <c r="V106" s="36">
        <v>0</v>
      </c>
      <c r="X106" s="2" t="s">
        <v>785</v>
      </c>
      <c r="Y106" s="1">
        <v>0</v>
      </c>
      <c r="Z106" s="1">
        <v>0</v>
      </c>
      <c r="AA106" s="1">
        <v>0</v>
      </c>
      <c r="AB106" s="1">
        <v>0</v>
      </c>
      <c r="AC106" s="1">
        <v>0</v>
      </c>
      <c r="AD106" s="1">
        <v>0</v>
      </c>
      <c r="AE106" s="1">
        <v>0</v>
      </c>
      <c r="AF106" s="1">
        <v>0</v>
      </c>
      <c r="AG106" s="1">
        <v>0</v>
      </c>
      <c r="AH106" s="1">
        <v>0</v>
      </c>
      <c r="AI106" s="1">
        <v>0</v>
      </c>
      <c r="AJ106" s="1" t="s">
        <v>1065</v>
      </c>
    </row>
    <row r="107" spans="1:36" x14ac:dyDescent="0.15">
      <c r="A107" s="12" t="s">
        <v>553</v>
      </c>
      <c r="B107" s="1">
        <v>287</v>
      </c>
      <c r="C107" s="12" t="s">
        <v>553</v>
      </c>
      <c r="D107" s="1">
        <v>5</v>
      </c>
      <c r="E107" s="1">
        <v>0</v>
      </c>
      <c r="F107" s="1">
        <v>0</v>
      </c>
      <c r="G107" s="1">
        <v>5006</v>
      </c>
      <c r="H107" s="1" t="s">
        <v>1497</v>
      </c>
      <c r="I107" s="1">
        <v>0</v>
      </c>
      <c r="J107" s="1">
        <v>0</v>
      </c>
      <c r="K107" s="1">
        <v>0</v>
      </c>
      <c r="L107" s="1">
        <v>0</v>
      </c>
      <c r="M107" s="1">
        <v>49</v>
      </c>
      <c r="N107" s="3">
        <v>1</v>
      </c>
      <c r="O107" s="39">
        <f t="shared" si="4"/>
        <v>267</v>
      </c>
      <c r="P107" s="39">
        <f>VLOOKUP(A107,材料!$P$4:$R$85,3,FALSE)</f>
        <v>89</v>
      </c>
      <c r="T107" s="36" t="s">
        <v>803</v>
      </c>
      <c r="U107" s="36" t="s">
        <v>802</v>
      </c>
      <c r="V107" s="36">
        <v>0</v>
      </c>
      <c r="X107" s="2" t="s">
        <v>785</v>
      </c>
      <c r="Y107" s="1">
        <v>0</v>
      </c>
      <c r="Z107" s="1">
        <v>0</v>
      </c>
      <c r="AA107" s="1">
        <v>0</v>
      </c>
      <c r="AB107" s="1">
        <v>0</v>
      </c>
      <c r="AC107" s="1">
        <v>0</v>
      </c>
      <c r="AD107" s="1">
        <v>0</v>
      </c>
      <c r="AE107" s="1">
        <v>0</v>
      </c>
      <c r="AF107" s="1">
        <v>0</v>
      </c>
      <c r="AG107" s="1">
        <v>0</v>
      </c>
      <c r="AH107" s="1">
        <v>0</v>
      </c>
      <c r="AI107" s="1">
        <v>0</v>
      </c>
      <c r="AJ107" s="1" t="s">
        <v>1066</v>
      </c>
    </row>
    <row r="108" spans="1:36" x14ac:dyDescent="0.15">
      <c r="A108" s="12" t="s">
        <v>513</v>
      </c>
      <c r="B108" s="1">
        <v>288</v>
      </c>
      <c r="C108" s="12" t="s">
        <v>513</v>
      </c>
      <c r="D108" s="1">
        <v>5</v>
      </c>
      <c r="E108" s="1">
        <v>0</v>
      </c>
      <c r="F108" s="1">
        <v>0</v>
      </c>
      <c r="G108" s="1" t="s">
        <v>1828</v>
      </c>
      <c r="H108" s="1" t="s">
        <v>1545</v>
      </c>
      <c r="I108" s="1">
        <v>0</v>
      </c>
      <c r="J108" s="1">
        <v>0</v>
      </c>
      <c r="K108" s="1">
        <v>0</v>
      </c>
      <c r="L108" s="1">
        <v>0</v>
      </c>
      <c r="M108" s="1">
        <v>49</v>
      </c>
      <c r="N108" s="3">
        <v>1</v>
      </c>
      <c r="O108" s="39">
        <f t="shared" si="4"/>
        <v>3801</v>
      </c>
      <c r="P108" s="39">
        <f>VLOOKUP(A108,材料!$P$4:$R$85,3,FALSE)</f>
        <v>1267</v>
      </c>
      <c r="T108" s="36" t="s">
        <v>803</v>
      </c>
      <c r="U108" s="36" t="s">
        <v>802</v>
      </c>
      <c r="V108" s="36">
        <v>0</v>
      </c>
      <c r="X108" s="2" t="s">
        <v>785</v>
      </c>
      <c r="Y108" s="1">
        <v>0</v>
      </c>
      <c r="Z108" s="1">
        <v>0</v>
      </c>
      <c r="AA108" s="1">
        <v>0</v>
      </c>
      <c r="AB108" s="1">
        <v>0</v>
      </c>
      <c r="AC108" s="1">
        <v>0</v>
      </c>
      <c r="AD108" s="1">
        <v>0</v>
      </c>
      <c r="AE108" s="1">
        <v>0</v>
      </c>
      <c r="AF108" s="1">
        <v>0</v>
      </c>
      <c r="AG108" s="1">
        <v>0</v>
      </c>
      <c r="AH108" s="1">
        <v>0</v>
      </c>
      <c r="AI108" s="1">
        <v>0</v>
      </c>
      <c r="AJ108" s="1" t="s">
        <v>1067</v>
      </c>
    </row>
    <row r="109" spans="1:36" x14ac:dyDescent="0.15">
      <c r="A109" s="12" t="s">
        <v>509</v>
      </c>
      <c r="B109" s="1">
        <v>289</v>
      </c>
      <c r="C109" s="12" t="s">
        <v>509</v>
      </c>
      <c r="D109" s="1">
        <v>5</v>
      </c>
      <c r="E109" s="1">
        <v>0</v>
      </c>
      <c r="F109" s="1">
        <v>0</v>
      </c>
      <c r="G109" s="1">
        <v>5006</v>
      </c>
      <c r="H109" s="1" t="s">
        <v>1546</v>
      </c>
      <c r="I109" s="1">
        <v>0</v>
      </c>
      <c r="J109" s="1">
        <v>0</v>
      </c>
      <c r="K109" s="1">
        <v>0</v>
      </c>
      <c r="L109" s="1">
        <v>0</v>
      </c>
      <c r="M109" s="1">
        <v>49</v>
      </c>
      <c r="N109" s="3">
        <v>1</v>
      </c>
      <c r="O109" s="39">
        <f t="shared" si="4"/>
        <v>2697</v>
      </c>
      <c r="P109" s="39">
        <f>VLOOKUP(A109,材料!$P$4:$R$85,3,FALSE)</f>
        <v>899</v>
      </c>
      <c r="T109" s="36" t="s">
        <v>803</v>
      </c>
      <c r="U109" s="36" t="s">
        <v>802</v>
      </c>
      <c r="V109" s="36">
        <v>0</v>
      </c>
      <c r="X109" s="2" t="s">
        <v>785</v>
      </c>
      <c r="Y109" s="1">
        <v>0</v>
      </c>
      <c r="Z109" s="1">
        <v>0</v>
      </c>
      <c r="AA109" s="1">
        <v>0</v>
      </c>
      <c r="AB109" s="1">
        <v>0</v>
      </c>
      <c r="AC109" s="1">
        <v>0</v>
      </c>
      <c r="AD109" s="1">
        <v>0</v>
      </c>
      <c r="AE109" s="1">
        <v>0</v>
      </c>
      <c r="AF109" s="1">
        <v>0</v>
      </c>
      <c r="AG109" s="1">
        <v>0</v>
      </c>
      <c r="AH109" s="1">
        <v>0</v>
      </c>
      <c r="AI109" s="1">
        <v>0</v>
      </c>
      <c r="AJ109" s="1" t="s">
        <v>1068</v>
      </c>
    </row>
    <row r="110" spans="1:36" x14ac:dyDescent="0.15">
      <c r="A110" s="12" t="s">
        <v>556</v>
      </c>
      <c r="B110" s="1">
        <v>290</v>
      </c>
      <c r="C110" s="12" t="s">
        <v>556</v>
      </c>
      <c r="D110" s="1">
        <v>5</v>
      </c>
      <c r="E110" s="1">
        <v>0</v>
      </c>
      <c r="F110" s="1">
        <v>0</v>
      </c>
      <c r="G110" s="1">
        <v>5006</v>
      </c>
      <c r="H110" s="1" t="s">
        <v>1547</v>
      </c>
      <c r="I110" s="1">
        <v>0</v>
      </c>
      <c r="J110" s="1">
        <v>0</v>
      </c>
      <c r="K110" s="1">
        <v>0</v>
      </c>
      <c r="L110" s="1">
        <v>0</v>
      </c>
      <c r="M110" s="1">
        <v>49</v>
      </c>
      <c r="N110" s="3">
        <v>1</v>
      </c>
      <c r="O110" s="39">
        <f t="shared" si="4"/>
        <v>1785</v>
      </c>
      <c r="P110" s="39">
        <f>VLOOKUP(A110,材料!$P$4:$R$85,3,FALSE)</f>
        <v>595</v>
      </c>
      <c r="T110" s="36" t="s">
        <v>803</v>
      </c>
      <c r="U110" s="36" t="s">
        <v>802</v>
      </c>
      <c r="V110" s="36">
        <v>0</v>
      </c>
      <c r="X110" s="2" t="s">
        <v>785</v>
      </c>
      <c r="Y110" s="1">
        <v>0</v>
      </c>
      <c r="Z110" s="1">
        <v>0</v>
      </c>
      <c r="AA110" s="1">
        <v>0</v>
      </c>
      <c r="AB110" s="1">
        <v>0</v>
      </c>
      <c r="AC110" s="1">
        <v>0</v>
      </c>
      <c r="AD110" s="1">
        <v>0</v>
      </c>
      <c r="AE110" s="1">
        <v>0</v>
      </c>
      <c r="AF110" s="1">
        <v>0</v>
      </c>
      <c r="AG110" s="1">
        <v>0</v>
      </c>
      <c r="AH110" s="1">
        <v>0</v>
      </c>
      <c r="AI110" s="1">
        <v>0</v>
      </c>
      <c r="AJ110" s="1" t="s">
        <v>1069</v>
      </c>
    </row>
    <row r="111" spans="1:36" x14ac:dyDescent="0.15">
      <c r="A111" s="12" t="s">
        <v>491</v>
      </c>
      <c r="B111" s="1">
        <v>291</v>
      </c>
      <c r="C111" s="12" t="s">
        <v>491</v>
      </c>
      <c r="D111" s="1">
        <v>5</v>
      </c>
      <c r="E111" s="1">
        <v>0</v>
      </c>
      <c r="F111" s="1">
        <v>0</v>
      </c>
      <c r="G111" s="1">
        <v>5006</v>
      </c>
      <c r="H111" s="1" t="s">
        <v>1548</v>
      </c>
      <c r="I111" s="1">
        <v>0</v>
      </c>
      <c r="J111" s="1">
        <v>0</v>
      </c>
      <c r="K111" s="1">
        <v>0</v>
      </c>
      <c r="L111" s="1">
        <v>0</v>
      </c>
      <c r="M111" s="1">
        <v>49</v>
      </c>
      <c r="N111" s="3">
        <v>1</v>
      </c>
      <c r="O111" s="39">
        <f t="shared" si="4"/>
        <v>267</v>
      </c>
      <c r="P111" s="39">
        <f>VLOOKUP(A111,材料!$P$4:$R$85,3,FALSE)</f>
        <v>89</v>
      </c>
      <c r="T111" s="36" t="s">
        <v>803</v>
      </c>
      <c r="U111" s="36" t="s">
        <v>802</v>
      </c>
      <c r="V111" s="36">
        <v>0</v>
      </c>
      <c r="X111" s="2" t="s">
        <v>785</v>
      </c>
      <c r="Y111" s="1">
        <v>0</v>
      </c>
      <c r="Z111" s="1">
        <v>0</v>
      </c>
      <c r="AA111" s="1">
        <v>0</v>
      </c>
      <c r="AB111" s="1">
        <v>0</v>
      </c>
      <c r="AC111" s="1">
        <v>0</v>
      </c>
      <c r="AD111" s="1">
        <v>0</v>
      </c>
      <c r="AE111" s="1">
        <v>0</v>
      </c>
      <c r="AF111" s="1">
        <v>0</v>
      </c>
      <c r="AG111" s="1">
        <v>0</v>
      </c>
      <c r="AH111" s="1">
        <v>0</v>
      </c>
      <c r="AI111" s="1">
        <v>0</v>
      </c>
      <c r="AJ111" s="1" t="s">
        <v>1070</v>
      </c>
    </row>
    <row r="112" spans="1:36" x14ac:dyDescent="0.15">
      <c r="A112" s="12" t="s">
        <v>558</v>
      </c>
      <c r="B112" s="1">
        <v>292</v>
      </c>
      <c r="C112" s="12" t="s">
        <v>558</v>
      </c>
      <c r="D112" s="1">
        <v>5</v>
      </c>
      <c r="E112" s="1">
        <v>0</v>
      </c>
      <c r="F112" s="1">
        <v>0</v>
      </c>
      <c r="G112" s="1">
        <v>5006</v>
      </c>
      <c r="H112" s="1" t="s">
        <v>1530</v>
      </c>
      <c r="I112" s="1">
        <v>0</v>
      </c>
      <c r="J112" s="1">
        <v>0</v>
      </c>
      <c r="K112" s="1">
        <v>0</v>
      </c>
      <c r="L112" s="1">
        <v>0</v>
      </c>
      <c r="M112" s="1">
        <v>49</v>
      </c>
      <c r="N112" s="3">
        <v>1</v>
      </c>
      <c r="O112" s="39">
        <f t="shared" si="4"/>
        <v>4425</v>
      </c>
      <c r="P112" s="39">
        <f>VLOOKUP(A112,材料!$P$4:$R$85,3,FALSE)</f>
        <v>1475</v>
      </c>
      <c r="T112" s="36" t="s">
        <v>803</v>
      </c>
      <c r="U112" s="36" t="s">
        <v>802</v>
      </c>
      <c r="V112" s="36">
        <v>0</v>
      </c>
      <c r="X112" s="2" t="s">
        <v>785</v>
      </c>
      <c r="Y112" s="1">
        <v>0</v>
      </c>
      <c r="Z112" s="1">
        <v>0</v>
      </c>
      <c r="AA112" s="1">
        <v>0</v>
      </c>
      <c r="AB112" s="1">
        <v>0</v>
      </c>
      <c r="AC112" s="1">
        <v>0</v>
      </c>
      <c r="AD112" s="1">
        <v>0</v>
      </c>
      <c r="AE112" s="1">
        <v>0</v>
      </c>
      <c r="AF112" s="1">
        <v>0</v>
      </c>
      <c r="AG112" s="1">
        <v>0</v>
      </c>
      <c r="AH112" s="1">
        <v>0</v>
      </c>
      <c r="AI112" s="1">
        <v>0</v>
      </c>
      <c r="AJ112" s="1" t="s">
        <v>1071</v>
      </c>
    </row>
    <row r="113" spans="1:36" x14ac:dyDescent="0.15">
      <c r="A113" s="12" t="s">
        <v>512</v>
      </c>
      <c r="B113" s="1">
        <v>293</v>
      </c>
      <c r="C113" s="12" t="s">
        <v>512</v>
      </c>
      <c r="D113" s="1">
        <v>5</v>
      </c>
      <c r="E113" s="1">
        <v>0</v>
      </c>
      <c r="F113" s="1">
        <v>0</v>
      </c>
      <c r="G113" s="1">
        <v>5006</v>
      </c>
      <c r="H113" s="1" t="s">
        <v>1523</v>
      </c>
      <c r="I113" s="1">
        <v>0</v>
      </c>
      <c r="J113" s="1">
        <v>0</v>
      </c>
      <c r="K113" s="1">
        <v>0</v>
      </c>
      <c r="L113" s="1">
        <v>0</v>
      </c>
      <c r="M113" s="1">
        <v>49</v>
      </c>
      <c r="N113" s="3">
        <v>1</v>
      </c>
      <c r="O113" s="39">
        <f t="shared" si="4"/>
        <v>345</v>
      </c>
      <c r="P113" s="39">
        <f>VLOOKUP(A113,材料!$P$4:$R$85,3,FALSE)</f>
        <v>115</v>
      </c>
      <c r="T113" s="36" t="s">
        <v>803</v>
      </c>
      <c r="U113" s="36" t="s">
        <v>802</v>
      </c>
      <c r="V113" s="36">
        <v>0</v>
      </c>
      <c r="X113" s="2" t="s">
        <v>785</v>
      </c>
      <c r="Y113" s="1">
        <v>0</v>
      </c>
      <c r="Z113" s="1">
        <v>0</v>
      </c>
      <c r="AA113" s="1">
        <v>0</v>
      </c>
      <c r="AB113" s="1">
        <v>0</v>
      </c>
      <c r="AC113" s="1">
        <v>0</v>
      </c>
      <c r="AD113" s="1">
        <v>0</v>
      </c>
      <c r="AE113" s="1">
        <v>0</v>
      </c>
      <c r="AF113" s="1">
        <v>0</v>
      </c>
      <c r="AG113" s="1">
        <v>0</v>
      </c>
      <c r="AH113" s="1">
        <v>0</v>
      </c>
      <c r="AI113" s="1">
        <v>0</v>
      </c>
      <c r="AJ113" s="1" t="s">
        <v>1072</v>
      </c>
    </row>
    <row r="114" spans="1:36" x14ac:dyDescent="0.15">
      <c r="A114" s="12" t="s">
        <v>515</v>
      </c>
      <c r="B114" s="1">
        <v>294</v>
      </c>
      <c r="C114" s="12" t="s">
        <v>515</v>
      </c>
      <c r="D114" s="1">
        <v>5</v>
      </c>
      <c r="E114" s="1">
        <v>0</v>
      </c>
      <c r="F114" s="1">
        <v>0</v>
      </c>
      <c r="G114" s="1">
        <v>5006</v>
      </c>
      <c r="H114" s="1" t="s">
        <v>1444</v>
      </c>
      <c r="I114" s="1">
        <v>0</v>
      </c>
      <c r="J114" s="1">
        <v>0</v>
      </c>
      <c r="K114" s="1">
        <v>0</v>
      </c>
      <c r="L114" s="1">
        <v>0</v>
      </c>
      <c r="M114" s="1">
        <v>49</v>
      </c>
      <c r="N114" s="3">
        <v>1</v>
      </c>
      <c r="O114" s="39">
        <f t="shared" si="4"/>
        <v>3801</v>
      </c>
      <c r="P114" s="39">
        <f>VLOOKUP(A114,材料!$P$4:$R$85,3,FALSE)</f>
        <v>1267</v>
      </c>
      <c r="T114" s="36" t="s">
        <v>803</v>
      </c>
      <c r="U114" s="36" t="s">
        <v>802</v>
      </c>
      <c r="V114" s="36">
        <v>0</v>
      </c>
      <c r="X114" s="2" t="s">
        <v>785</v>
      </c>
      <c r="Y114" s="1">
        <v>0</v>
      </c>
      <c r="Z114" s="1">
        <v>0</v>
      </c>
      <c r="AA114" s="1">
        <v>0</v>
      </c>
      <c r="AB114" s="1">
        <v>0</v>
      </c>
      <c r="AC114" s="1">
        <v>0</v>
      </c>
      <c r="AD114" s="1">
        <v>0</v>
      </c>
      <c r="AE114" s="1">
        <v>0</v>
      </c>
      <c r="AF114" s="1">
        <v>0</v>
      </c>
      <c r="AG114" s="1">
        <v>0</v>
      </c>
      <c r="AH114" s="1">
        <v>0</v>
      </c>
      <c r="AI114" s="1">
        <v>0</v>
      </c>
      <c r="AJ114" s="1" t="s">
        <v>1073</v>
      </c>
    </row>
    <row r="115" spans="1:36" x14ac:dyDescent="0.15">
      <c r="A115" s="12" t="s">
        <v>670</v>
      </c>
      <c r="B115" s="1">
        <v>295</v>
      </c>
      <c r="C115" s="12" t="s">
        <v>634</v>
      </c>
      <c r="D115" s="1">
        <v>5</v>
      </c>
      <c r="E115" s="1">
        <v>0</v>
      </c>
      <c r="F115" s="1">
        <v>0</v>
      </c>
      <c r="H115" s="1" t="s">
        <v>1549</v>
      </c>
      <c r="I115" s="1">
        <v>0</v>
      </c>
      <c r="J115" s="1">
        <v>0</v>
      </c>
      <c r="K115" s="1">
        <v>0</v>
      </c>
      <c r="L115" s="1">
        <v>0</v>
      </c>
      <c r="M115" s="1">
        <v>49</v>
      </c>
      <c r="N115" s="3">
        <v>1</v>
      </c>
      <c r="O115" s="39">
        <f t="shared" si="4"/>
        <v>1080</v>
      </c>
      <c r="P115" s="39">
        <v>360</v>
      </c>
      <c r="T115" s="36" t="s">
        <v>803</v>
      </c>
      <c r="U115" s="36" t="s">
        <v>802</v>
      </c>
      <c r="V115" s="36">
        <v>0</v>
      </c>
      <c r="X115" s="2" t="s">
        <v>785</v>
      </c>
      <c r="Y115" s="1">
        <v>0</v>
      </c>
      <c r="Z115" s="1">
        <v>0</v>
      </c>
      <c r="AA115" s="1">
        <v>0</v>
      </c>
      <c r="AB115" s="1">
        <v>0</v>
      </c>
      <c r="AC115" s="1">
        <v>0</v>
      </c>
      <c r="AD115" s="1">
        <v>0</v>
      </c>
      <c r="AE115" s="1">
        <v>0</v>
      </c>
      <c r="AF115" s="1">
        <v>0</v>
      </c>
      <c r="AG115" s="1">
        <v>0</v>
      </c>
      <c r="AH115" s="1">
        <v>0</v>
      </c>
      <c r="AI115" s="1">
        <v>0</v>
      </c>
      <c r="AJ115" s="1" t="s">
        <v>1074</v>
      </c>
    </row>
    <row r="116" spans="1:36" x14ac:dyDescent="0.15">
      <c r="A116" s="12" t="s">
        <v>622</v>
      </c>
      <c r="B116" s="1">
        <v>296</v>
      </c>
      <c r="C116" s="12" t="s">
        <v>622</v>
      </c>
      <c r="D116" s="1">
        <v>5</v>
      </c>
      <c r="E116" s="1">
        <v>0</v>
      </c>
      <c r="F116" s="1">
        <v>0</v>
      </c>
      <c r="G116" s="1">
        <v>5015</v>
      </c>
      <c r="H116" s="1" t="s">
        <v>1494</v>
      </c>
      <c r="I116" s="1">
        <v>0</v>
      </c>
      <c r="J116" s="1">
        <v>0</v>
      </c>
      <c r="K116" s="1">
        <v>0</v>
      </c>
      <c r="L116" s="1">
        <v>0</v>
      </c>
      <c r="M116" s="1">
        <v>49</v>
      </c>
      <c r="N116" s="3">
        <v>1</v>
      </c>
      <c r="O116" s="39">
        <f t="shared" si="4"/>
        <v>105</v>
      </c>
      <c r="P116" s="39">
        <f>VLOOKUP(A116,材料!$P$4:$R$85,3,FALSE)</f>
        <v>35</v>
      </c>
      <c r="T116" s="36" t="s">
        <v>803</v>
      </c>
      <c r="U116" s="36" t="s">
        <v>802</v>
      </c>
      <c r="V116" s="36">
        <v>0</v>
      </c>
      <c r="X116" s="2" t="s">
        <v>785</v>
      </c>
      <c r="Y116" s="1">
        <v>0</v>
      </c>
      <c r="Z116" s="1">
        <v>0</v>
      </c>
      <c r="AA116" s="1">
        <v>0</v>
      </c>
      <c r="AB116" s="1">
        <v>0</v>
      </c>
      <c r="AC116" s="1">
        <v>0</v>
      </c>
      <c r="AD116" s="1">
        <v>0</v>
      </c>
      <c r="AE116" s="1">
        <v>0</v>
      </c>
      <c r="AF116" s="1">
        <v>0</v>
      </c>
      <c r="AG116" s="1">
        <v>0</v>
      </c>
      <c r="AH116" s="1">
        <v>0</v>
      </c>
      <c r="AI116" s="1">
        <v>0</v>
      </c>
      <c r="AJ116" s="1" t="e">
        <f>VLOOKUP(ItemData!A116,Sheet8!N:O,2,FALSE)</f>
        <v>#N/A</v>
      </c>
    </row>
    <row r="117" spans="1:36" x14ac:dyDescent="0.15">
      <c r="A117" s="12" t="s">
        <v>421</v>
      </c>
      <c r="B117" s="1">
        <v>297</v>
      </c>
      <c r="C117" s="12" t="s">
        <v>552</v>
      </c>
      <c r="D117" s="1">
        <v>5</v>
      </c>
      <c r="E117" s="1">
        <v>0</v>
      </c>
      <c r="F117" s="1">
        <v>0</v>
      </c>
      <c r="G117" s="1">
        <v>5015</v>
      </c>
      <c r="H117" s="1" t="s">
        <v>1550</v>
      </c>
      <c r="I117" s="1">
        <v>0</v>
      </c>
      <c r="J117" s="1">
        <v>0</v>
      </c>
      <c r="K117" s="1">
        <v>0</v>
      </c>
      <c r="L117" s="1">
        <v>0</v>
      </c>
      <c r="M117" s="1">
        <v>49</v>
      </c>
      <c r="N117" s="3">
        <v>1</v>
      </c>
      <c r="O117" s="39">
        <f t="shared" si="4"/>
        <v>147</v>
      </c>
      <c r="P117" s="39">
        <f>VLOOKUP(A117,材料!$P$4:$R$85,3,FALSE)</f>
        <v>49</v>
      </c>
      <c r="T117" s="36" t="s">
        <v>803</v>
      </c>
      <c r="U117" s="36" t="s">
        <v>802</v>
      </c>
      <c r="V117" s="36">
        <v>0</v>
      </c>
      <c r="X117" s="2" t="s">
        <v>785</v>
      </c>
      <c r="Y117" s="1">
        <v>0</v>
      </c>
      <c r="Z117" s="1">
        <v>0</v>
      </c>
      <c r="AA117" s="1">
        <v>0</v>
      </c>
      <c r="AB117" s="1">
        <v>0</v>
      </c>
      <c r="AC117" s="1">
        <v>0</v>
      </c>
      <c r="AD117" s="1">
        <v>0</v>
      </c>
      <c r="AE117" s="1">
        <v>0</v>
      </c>
      <c r="AF117" s="1">
        <v>0</v>
      </c>
      <c r="AG117" s="1">
        <v>0</v>
      </c>
      <c r="AH117" s="1">
        <v>0</v>
      </c>
      <c r="AI117" s="1">
        <v>0</v>
      </c>
      <c r="AJ117" s="1" t="s">
        <v>1075</v>
      </c>
    </row>
    <row r="118" spans="1:36" x14ac:dyDescent="0.15">
      <c r="A118" s="16" t="s">
        <v>522</v>
      </c>
      <c r="B118" s="1">
        <v>298</v>
      </c>
      <c r="C118" s="16" t="s">
        <v>522</v>
      </c>
      <c r="D118" s="1">
        <v>5</v>
      </c>
      <c r="E118" s="1">
        <v>0</v>
      </c>
      <c r="F118" s="1">
        <v>0</v>
      </c>
      <c r="G118" s="1" t="s">
        <v>1835</v>
      </c>
      <c r="H118" s="1" t="s">
        <v>1519</v>
      </c>
      <c r="I118" s="1">
        <v>0</v>
      </c>
      <c r="J118" s="1">
        <v>0</v>
      </c>
      <c r="K118" s="1">
        <v>0</v>
      </c>
      <c r="L118" s="1">
        <v>0</v>
      </c>
      <c r="M118" s="1">
        <v>49</v>
      </c>
      <c r="N118" s="3">
        <v>1</v>
      </c>
      <c r="O118" s="39">
        <f t="shared" si="4"/>
        <v>240</v>
      </c>
      <c r="P118" s="39">
        <v>80</v>
      </c>
      <c r="T118" s="36" t="s">
        <v>803</v>
      </c>
      <c r="U118" s="36" t="s">
        <v>802</v>
      </c>
      <c r="V118" s="36">
        <v>0</v>
      </c>
      <c r="X118" s="2" t="s">
        <v>785</v>
      </c>
      <c r="Y118" s="1">
        <v>0</v>
      </c>
      <c r="Z118" s="1">
        <v>0</v>
      </c>
      <c r="AA118" s="1">
        <v>0</v>
      </c>
      <c r="AB118" s="1">
        <v>0</v>
      </c>
      <c r="AC118" s="1">
        <v>0</v>
      </c>
      <c r="AD118" s="1">
        <v>0</v>
      </c>
      <c r="AE118" s="1">
        <v>0</v>
      </c>
      <c r="AF118" s="1">
        <v>0</v>
      </c>
      <c r="AG118" s="1">
        <v>0</v>
      </c>
      <c r="AH118" s="1">
        <v>0</v>
      </c>
      <c r="AI118" s="1">
        <v>0</v>
      </c>
      <c r="AJ118" s="1" t="s">
        <v>1076</v>
      </c>
    </row>
    <row r="119" spans="1:36" x14ac:dyDescent="0.15">
      <c r="A119" s="16" t="s">
        <v>354</v>
      </c>
      <c r="B119" s="1">
        <v>299</v>
      </c>
      <c r="C119" s="16" t="s">
        <v>354</v>
      </c>
      <c r="D119" s="1">
        <v>5</v>
      </c>
      <c r="E119" s="1">
        <v>0</v>
      </c>
      <c r="F119" s="1">
        <v>0</v>
      </c>
      <c r="G119" s="1" t="s">
        <v>1829</v>
      </c>
      <c r="H119" s="1" t="s">
        <v>1519</v>
      </c>
      <c r="I119" s="1">
        <v>0</v>
      </c>
      <c r="J119" s="1">
        <v>0</v>
      </c>
      <c r="K119" s="1">
        <v>0</v>
      </c>
      <c r="L119" s="1">
        <v>0</v>
      </c>
      <c r="M119" s="1">
        <v>49</v>
      </c>
      <c r="N119" s="3">
        <v>1</v>
      </c>
      <c r="O119" s="39">
        <f t="shared" si="4"/>
        <v>360</v>
      </c>
      <c r="P119" s="39">
        <v>120</v>
      </c>
      <c r="T119" s="36" t="s">
        <v>803</v>
      </c>
      <c r="U119" s="36" t="s">
        <v>802</v>
      </c>
      <c r="V119" s="36">
        <v>0</v>
      </c>
      <c r="X119" s="2" t="s">
        <v>785</v>
      </c>
      <c r="Y119" s="1">
        <v>0</v>
      </c>
      <c r="Z119" s="1">
        <v>0</v>
      </c>
      <c r="AA119" s="1">
        <v>0</v>
      </c>
      <c r="AB119" s="1">
        <v>0</v>
      </c>
      <c r="AC119" s="1">
        <v>0</v>
      </c>
      <c r="AD119" s="1">
        <v>0</v>
      </c>
      <c r="AE119" s="1">
        <v>0</v>
      </c>
      <c r="AF119" s="1">
        <v>0</v>
      </c>
      <c r="AG119" s="1">
        <v>0</v>
      </c>
      <c r="AH119" s="1">
        <v>0</v>
      </c>
      <c r="AI119" s="1">
        <v>0</v>
      </c>
      <c r="AJ119" s="1" t="e">
        <f>VLOOKUP(ItemData!A119,Sheet8!N:O,2,FALSE)</f>
        <v>#N/A</v>
      </c>
    </row>
    <row r="120" spans="1:36" x14ac:dyDescent="0.15">
      <c r="A120" s="16" t="s">
        <v>713</v>
      </c>
      <c r="B120" s="1">
        <v>300</v>
      </c>
      <c r="C120" s="16" t="s">
        <v>713</v>
      </c>
      <c r="D120" s="1">
        <v>5</v>
      </c>
      <c r="E120" s="1">
        <v>0</v>
      </c>
      <c r="F120" s="1">
        <v>0</v>
      </c>
      <c r="H120" s="1" t="s">
        <v>1551</v>
      </c>
      <c r="I120" s="1">
        <v>0</v>
      </c>
      <c r="J120" s="1">
        <v>0</v>
      </c>
      <c r="K120" s="1">
        <v>0</v>
      </c>
      <c r="L120" s="1">
        <v>0</v>
      </c>
      <c r="M120" s="1">
        <v>49</v>
      </c>
      <c r="N120" s="3">
        <v>1</v>
      </c>
      <c r="O120" s="39">
        <f t="shared" si="4"/>
        <v>540</v>
      </c>
      <c r="P120" s="39">
        <v>180</v>
      </c>
      <c r="T120" s="36" t="s">
        <v>803</v>
      </c>
      <c r="U120" s="36" t="s">
        <v>802</v>
      </c>
      <c r="V120" s="36">
        <v>0</v>
      </c>
      <c r="X120" s="2" t="s">
        <v>785</v>
      </c>
      <c r="Y120" s="1">
        <v>0</v>
      </c>
      <c r="Z120" s="1">
        <v>0</v>
      </c>
      <c r="AA120" s="1">
        <v>0</v>
      </c>
      <c r="AB120" s="1">
        <v>0</v>
      </c>
      <c r="AC120" s="1">
        <v>0</v>
      </c>
      <c r="AD120" s="1">
        <v>0</v>
      </c>
      <c r="AE120" s="1">
        <v>0</v>
      </c>
      <c r="AF120" s="1">
        <v>0</v>
      </c>
      <c r="AG120" s="1">
        <v>0</v>
      </c>
      <c r="AH120" s="1">
        <v>0</v>
      </c>
      <c r="AI120" s="1">
        <v>0</v>
      </c>
      <c r="AJ120" s="1" t="s">
        <v>1077</v>
      </c>
    </row>
    <row r="121" spans="1:36" x14ac:dyDescent="0.15">
      <c r="A121" s="16" t="s">
        <v>715</v>
      </c>
      <c r="B121" s="1">
        <v>301</v>
      </c>
      <c r="C121" s="16" t="s">
        <v>714</v>
      </c>
      <c r="D121" s="1">
        <v>5</v>
      </c>
      <c r="E121" s="1">
        <v>0</v>
      </c>
      <c r="F121" s="1">
        <v>0</v>
      </c>
      <c r="G121" s="1">
        <v>5007</v>
      </c>
      <c r="H121" s="1" t="s">
        <v>1542</v>
      </c>
      <c r="I121" s="1">
        <v>0</v>
      </c>
      <c r="J121" s="1">
        <v>0</v>
      </c>
      <c r="K121" s="1">
        <v>0</v>
      </c>
      <c r="L121" s="1">
        <v>0</v>
      </c>
      <c r="M121" s="1">
        <v>49</v>
      </c>
      <c r="N121" s="3">
        <v>1</v>
      </c>
      <c r="O121" s="39">
        <f t="shared" si="4"/>
        <v>540</v>
      </c>
      <c r="P121" s="39">
        <v>180</v>
      </c>
      <c r="T121" s="36" t="s">
        <v>803</v>
      </c>
      <c r="U121" s="36" t="s">
        <v>802</v>
      </c>
      <c r="V121" s="36">
        <v>0</v>
      </c>
      <c r="X121" s="2" t="s">
        <v>785</v>
      </c>
      <c r="Y121" s="1">
        <v>0</v>
      </c>
      <c r="Z121" s="1">
        <v>0</v>
      </c>
      <c r="AA121" s="1">
        <v>0</v>
      </c>
      <c r="AB121" s="1">
        <v>0</v>
      </c>
      <c r="AC121" s="1">
        <v>0</v>
      </c>
      <c r="AD121" s="1">
        <v>0</v>
      </c>
      <c r="AE121" s="1">
        <v>0</v>
      </c>
      <c r="AF121" s="1">
        <v>0</v>
      </c>
      <c r="AG121" s="1">
        <v>0</v>
      </c>
      <c r="AH121" s="1">
        <v>0</v>
      </c>
      <c r="AI121" s="1">
        <v>0</v>
      </c>
      <c r="AJ121" s="1" t="s">
        <v>1078</v>
      </c>
    </row>
    <row r="122" spans="1:36" x14ac:dyDescent="0.15">
      <c r="A122" s="16" t="s">
        <v>759</v>
      </c>
      <c r="B122" s="1">
        <v>302</v>
      </c>
      <c r="C122" s="16" t="s">
        <v>759</v>
      </c>
      <c r="D122" s="1">
        <v>5</v>
      </c>
      <c r="E122" s="1">
        <v>0</v>
      </c>
      <c r="F122" s="1">
        <v>0</v>
      </c>
      <c r="G122" s="1">
        <v>5007</v>
      </c>
      <c r="H122" s="1" t="s">
        <v>1552</v>
      </c>
      <c r="I122" s="1">
        <v>0</v>
      </c>
      <c r="J122" s="1">
        <v>0</v>
      </c>
      <c r="K122" s="1">
        <v>0</v>
      </c>
      <c r="L122" s="1">
        <v>0</v>
      </c>
      <c r="M122" s="1">
        <v>49</v>
      </c>
      <c r="N122" s="3">
        <v>1</v>
      </c>
      <c r="O122" s="39">
        <f>P122*3</f>
        <v>1350</v>
      </c>
      <c r="P122" s="39">
        <v>450</v>
      </c>
      <c r="T122" s="36" t="s">
        <v>803</v>
      </c>
      <c r="U122" s="36" t="s">
        <v>802</v>
      </c>
      <c r="V122" s="36">
        <v>0</v>
      </c>
      <c r="X122" s="2" t="s">
        <v>785</v>
      </c>
      <c r="Y122" s="1">
        <v>0</v>
      </c>
      <c r="Z122" s="1">
        <v>0</v>
      </c>
      <c r="AA122" s="1">
        <v>0</v>
      </c>
      <c r="AB122" s="1">
        <v>0</v>
      </c>
      <c r="AC122" s="1">
        <v>0</v>
      </c>
      <c r="AD122" s="1">
        <v>0</v>
      </c>
      <c r="AE122" s="1">
        <v>0</v>
      </c>
      <c r="AF122" s="1">
        <v>0</v>
      </c>
      <c r="AG122" s="1">
        <v>0</v>
      </c>
      <c r="AH122" s="1">
        <v>0</v>
      </c>
      <c r="AI122" s="1">
        <v>0</v>
      </c>
      <c r="AJ122" s="1" t="s">
        <v>1079</v>
      </c>
    </row>
    <row r="123" spans="1:36" s="3" customFormat="1" x14ac:dyDescent="0.15">
      <c r="A123" s="1" t="s">
        <v>33</v>
      </c>
      <c r="B123" s="3">
        <v>1001</v>
      </c>
      <c r="C123" s="3" t="str">
        <f>A123&amp;"_01"</f>
        <v>芜菁_01</v>
      </c>
      <c r="D123" s="1">
        <v>12</v>
      </c>
      <c r="E123" s="1">
        <v>8001</v>
      </c>
      <c r="F123" s="1">
        <v>0</v>
      </c>
      <c r="G123" s="1" t="s">
        <v>1836</v>
      </c>
      <c r="H123" s="1" t="s">
        <v>1553</v>
      </c>
      <c r="I123" s="1">
        <v>1</v>
      </c>
      <c r="J123" s="1">
        <v>0</v>
      </c>
      <c r="K123" s="1">
        <v>0</v>
      </c>
      <c r="L123" s="1">
        <v>0</v>
      </c>
      <c r="M123" s="3">
        <v>29</v>
      </c>
      <c r="N123" s="3">
        <v>1</v>
      </c>
      <c r="O123" s="39">
        <f>ROUND(P123*4,0)</f>
        <v>164</v>
      </c>
      <c r="P123" s="38">
        <v>40.999999999999993</v>
      </c>
      <c r="Q123" s="38"/>
      <c r="R123" s="4"/>
      <c r="S123" s="4"/>
      <c r="T123" s="36" t="s">
        <v>803</v>
      </c>
      <c r="U123" s="36" t="s">
        <v>802</v>
      </c>
      <c r="V123" s="36">
        <v>0</v>
      </c>
      <c r="W123" s="4"/>
      <c r="X123" s="2" t="s">
        <v>785</v>
      </c>
      <c r="Y123" s="1">
        <v>0</v>
      </c>
      <c r="Z123" s="1">
        <v>0</v>
      </c>
      <c r="AA123" s="1">
        <v>0</v>
      </c>
      <c r="AB123" s="1">
        <v>0</v>
      </c>
      <c r="AC123" s="1">
        <v>0</v>
      </c>
      <c r="AD123" s="1">
        <v>0</v>
      </c>
      <c r="AE123" s="1">
        <v>0</v>
      </c>
      <c r="AF123" s="1">
        <v>0</v>
      </c>
      <c r="AG123" s="1">
        <v>0</v>
      </c>
      <c r="AH123" s="1">
        <v>0</v>
      </c>
      <c r="AI123" s="1">
        <v>0</v>
      </c>
      <c r="AJ123" s="1" t="e">
        <f>VLOOKUP(ItemData!A123,Sheet8!N:O,2,FALSE)</f>
        <v>#N/A</v>
      </c>
    </row>
    <row r="124" spans="1:36" s="3" customFormat="1" x14ac:dyDescent="0.15">
      <c r="A124" s="5" t="s">
        <v>34</v>
      </c>
      <c r="B124" s="3">
        <v>1002</v>
      </c>
      <c r="C124" s="3" t="str">
        <f t="shared" ref="C124:C150" si="5">A124&amp;"_01"</f>
        <v>卷心菜_01</v>
      </c>
      <c r="D124" s="1">
        <v>12</v>
      </c>
      <c r="E124" s="1">
        <v>8002</v>
      </c>
      <c r="F124" s="1">
        <v>0</v>
      </c>
      <c r="G124" s="1" t="s">
        <v>1837</v>
      </c>
      <c r="H124" s="1">
        <v>0</v>
      </c>
      <c r="I124" s="1">
        <v>1</v>
      </c>
      <c r="J124" s="1">
        <v>0</v>
      </c>
      <c r="K124" s="1">
        <v>0</v>
      </c>
      <c r="L124" s="1">
        <v>0</v>
      </c>
      <c r="M124" s="3">
        <v>29</v>
      </c>
      <c r="N124" s="3">
        <v>1</v>
      </c>
      <c r="O124" s="39">
        <f t="shared" ref="O124:O150" si="6">ROUND(P124*4,0)</f>
        <v>164</v>
      </c>
      <c r="P124" s="38">
        <v>40.999999999999993</v>
      </c>
      <c r="Q124" s="38"/>
      <c r="R124" s="4"/>
      <c r="S124" s="4"/>
      <c r="T124" s="36" t="s">
        <v>803</v>
      </c>
      <c r="U124" s="36" t="s">
        <v>802</v>
      </c>
      <c r="V124" s="36">
        <v>0</v>
      </c>
      <c r="W124" s="4"/>
      <c r="X124" s="2" t="s">
        <v>785</v>
      </c>
      <c r="Y124" s="1">
        <v>0</v>
      </c>
      <c r="Z124" s="1">
        <v>0</v>
      </c>
      <c r="AA124" s="1">
        <v>0</v>
      </c>
      <c r="AB124" s="1">
        <v>0</v>
      </c>
      <c r="AC124" s="1">
        <v>0</v>
      </c>
      <c r="AD124" s="1">
        <v>0</v>
      </c>
      <c r="AE124" s="1">
        <v>0</v>
      </c>
      <c r="AF124" s="1">
        <v>0</v>
      </c>
      <c r="AG124" s="1">
        <v>0</v>
      </c>
      <c r="AH124" s="1">
        <v>0</v>
      </c>
      <c r="AI124" s="1">
        <v>0</v>
      </c>
      <c r="AJ124" s="1" t="e">
        <f>VLOOKUP(ItemData!A124,Sheet8!N:O,2,FALSE)</f>
        <v>#N/A</v>
      </c>
    </row>
    <row r="125" spans="1:36" x14ac:dyDescent="0.15">
      <c r="A125" s="5" t="s">
        <v>154</v>
      </c>
      <c r="B125" s="3">
        <v>1003</v>
      </c>
      <c r="C125" s="3" t="str">
        <f t="shared" si="5"/>
        <v>葱_01</v>
      </c>
      <c r="D125" s="1">
        <v>12</v>
      </c>
      <c r="E125" s="1">
        <v>8003</v>
      </c>
      <c r="F125" s="1">
        <v>0</v>
      </c>
      <c r="G125" s="1" t="s">
        <v>1838</v>
      </c>
      <c r="H125" s="1" t="s">
        <v>1553</v>
      </c>
      <c r="I125" s="1">
        <v>1</v>
      </c>
      <c r="J125" s="1">
        <v>0</v>
      </c>
      <c r="K125" s="1">
        <v>0</v>
      </c>
      <c r="L125" s="1">
        <v>0</v>
      </c>
      <c r="M125" s="3">
        <v>29</v>
      </c>
      <c r="N125" s="3">
        <v>1</v>
      </c>
      <c r="O125" s="39">
        <f t="shared" si="6"/>
        <v>173</v>
      </c>
      <c r="P125" s="38">
        <v>43.125</v>
      </c>
      <c r="Q125" s="38"/>
      <c r="T125" s="36" t="s">
        <v>803</v>
      </c>
      <c r="U125" s="36" t="s">
        <v>802</v>
      </c>
      <c r="V125" s="36">
        <v>0</v>
      </c>
      <c r="X125" s="2" t="s">
        <v>785</v>
      </c>
      <c r="Y125" s="1">
        <v>0</v>
      </c>
      <c r="Z125" s="1">
        <v>0</v>
      </c>
      <c r="AA125" s="1">
        <v>0</v>
      </c>
      <c r="AB125" s="1">
        <v>0</v>
      </c>
      <c r="AC125" s="1">
        <v>0</v>
      </c>
      <c r="AD125" s="1">
        <v>0</v>
      </c>
      <c r="AE125" s="1">
        <v>0</v>
      </c>
      <c r="AF125" s="1">
        <v>0</v>
      </c>
      <c r="AG125" s="1">
        <v>0</v>
      </c>
      <c r="AH125" s="1">
        <v>0</v>
      </c>
      <c r="AI125" s="1">
        <v>0</v>
      </c>
      <c r="AJ125" s="1" t="s">
        <v>1081</v>
      </c>
    </row>
    <row r="126" spans="1:36" x14ac:dyDescent="0.15">
      <c r="A126" s="5" t="s">
        <v>35</v>
      </c>
      <c r="B126" s="3">
        <v>1004</v>
      </c>
      <c r="C126" s="3" t="str">
        <f t="shared" si="5"/>
        <v>萝卜_01</v>
      </c>
      <c r="D126" s="1">
        <v>12</v>
      </c>
      <c r="E126" s="1">
        <v>8004</v>
      </c>
      <c r="F126" s="1">
        <v>0</v>
      </c>
      <c r="G126" s="1" t="s">
        <v>1839</v>
      </c>
      <c r="H126" s="1" t="s">
        <v>1553</v>
      </c>
      <c r="I126" s="1">
        <v>1</v>
      </c>
      <c r="J126" s="1">
        <v>0</v>
      </c>
      <c r="K126" s="1">
        <v>0</v>
      </c>
      <c r="L126" s="1">
        <v>0</v>
      </c>
      <c r="M126" s="3">
        <v>29</v>
      </c>
      <c r="N126" s="3">
        <v>1</v>
      </c>
      <c r="O126" s="39">
        <f t="shared" si="6"/>
        <v>173</v>
      </c>
      <c r="P126" s="38">
        <v>43.125</v>
      </c>
      <c r="Q126" s="38"/>
      <c r="T126" s="36" t="s">
        <v>803</v>
      </c>
      <c r="U126" s="36" t="s">
        <v>802</v>
      </c>
      <c r="V126" s="36">
        <v>0</v>
      </c>
      <c r="X126" s="2" t="s">
        <v>785</v>
      </c>
      <c r="Y126" s="1">
        <v>0</v>
      </c>
      <c r="Z126" s="1">
        <v>0</v>
      </c>
      <c r="AA126" s="1">
        <v>0</v>
      </c>
      <c r="AB126" s="1">
        <v>0</v>
      </c>
      <c r="AC126" s="1">
        <v>0</v>
      </c>
      <c r="AD126" s="1">
        <v>0</v>
      </c>
      <c r="AE126" s="1">
        <v>0</v>
      </c>
      <c r="AF126" s="1">
        <v>0</v>
      </c>
      <c r="AG126" s="1">
        <v>0</v>
      </c>
      <c r="AH126" s="1">
        <v>0</v>
      </c>
      <c r="AI126" s="1">
        <v>0</v>
      </c>
      <c r="AJ126" s="1" t="e">
        <f>VLOOKUP(ItemData!A126,Sheet8!N:O,2,FALSE)</f>
        <v>#N/A</v>
      </c>
    </row>
    <row r="127" spans="1:36" x14ac:dyDescent="0.15">
      <c r="A127" s="5" t="s">
        <v>36</v>
      </c>
      <c r="B127" s="3">
        <v>1005</v>
      </c>
      <c r="C127" s="3" t="str">
        <f t="shared" si="5"/>
        <v>紫甘蓝_01</v>
      </c>
      <c r="D127" s="1">
        <v>12</v>
      </c>
      <c r="E127" s="1">
        <v>8005</v>
      </c>
      <c r="F127" s="1">
        <v>0</v>
      </c>
      <c r="G127" s="1" t="s">
        <v>1840</v>
      </c>
      <c r="H127" s="1" t="s">
        <v>1553</v>
      </c>
      <c r="I127" s="1">
        <v>1</v>
      </c>
      <c r="J127" s="1">
        <v>0</v>
      </c>
      <c r="K127" s="1">
        <v>0</v>
      </c>
      <c r="L127" s="1">
        <v>0</v>
      </c>
      <c r="M127" s="3">
        <v>29</v>
      </c>
      <c r="N127" s="3">
        <v>1</v>
      </c>
      <c r="O127" s="39">
        <f t="shared" si="6"/>
        <v>346</v>
      </c>
      <c r="P127" s="38">
        <v>86.5</v>
      </c>
      <c r="Q127" s="38"/>
      <c r="T127" s="36" t="s">
        <v>803</v>
      </c>
      <c r="U127" s="36" t="s">
        <v>802</v>
      </c>
      <c r="V127" s="36">
        <v>0</v>
      </c>
      <c r="X127" s="2" t="s">
        <v>785</v>
      </c>
      <c r="Y127" s="1">
        <v>0</v>
      </c>
      <c r="Z127" s="1">
        <v>0</v>
      </c>
      <c r="AA127" s="1">
        <v>0</v>
      </c>
      <c r="AB127" s="1">
        <v>0</v>
      </c>
      <c r="AC127" s="1">
        <v>0</v>
      </c>
      <c r="AD127" s="1">
        <v>0</v>
      </c>
      <c r="AE127" s="1">
        <v>0</v>
      </c>
      <c r="AF127" s="1">
        <v>0</v>
      </c>
      <c r="AG127" s="1">
        <v>0</v>
      </c>
      <c r="AH127" s="1">
        <v>0</v>
      </c>
      <c r="AI127" s="1">
        <v>0</v>
      </c>
      <c r="AJ127" s="1" t="e">
        <f>VLOOKUP(ItemData!A127,Sheet8!N:O,2,FALSE)</f>
        <v>#N/A</v>
      </c>
    </row>
    <row r="128" spans="1:36" x14ac:dyDescent="0.15">
      <c r="A128" s="5" t="s">
        <v>37</v>
      </c>
      <c r="B128" s="3">
        <v>1006</v>
      </c>
      <c r="C128" s="3" t="str">
        <f t="shared" si="5"/>
        <v>黄瓜_01</v>
      </c>
      <c r="D128" s="1">
        <v>12</v>
      </c>
      <c r="E128" s="1">
        <v>8006</v>
      </c>
      <c r="F128" s="1">
        <v>0</v>
      </c>
      <c r="G128" s="1" t="s">
        <v>1836</v>
      </c>
      <c r="H128" s="1" t="s">
        <v>1553</v>
      </c>
      <c r="I128" s="1">
        <v>1</v>
      </c>
      <c r="J128" s="1">
        <v>0</v>
      </c>
      <c r="K128" s="1">
        <v>0</v>
      </c>
      <c r="L128" s="1">
        <v>0</v>
      </c>
      <c r="M128" s="3">
        <v>29</v>
      </c>
      <c r="N128" s="1">
        <v>1</v>
      </c>
      <c r="O128" s="39">
        <f t="shared" si="6"/>
        <v>208</v>
      </c>
      <c r="P128" s="38">
        <v>51.9</v>
      </c>
      <c r="Q128" s="38"/>
      <c r="T128" s="36" t="s">
        <v>803</v>
      </c>
      <c r="U128" s="36" t="s">
        <v>802</v>
      </c>
      <c r="V128" s="36">
        <v>0</v>
      </c>
      <c r="X128" s="2" t="s">
        <v>785</v>
      </c>
      <c r="Y128" s="1">
        <v>0</v>
      </c>
      <c r="Z128" s="1">
        <v>0</v>
      </c>
      <c r="AA128" s="1">
        <v>0</v>
      </c>
      <c r="AB128" s="1">
        <v>0</v>
      </c>
      <c r="AC128" s="1">
        <v>0</v>
      </c>
      <c r="AD128" s="1">
        <v>0</v>
      </c>
      <c r="AE128" s="1">
        <v>0</v>
      </c>
      <c r="AF128" s="1">
        <v>0</v>
      </c>
      <c r="AG128" s="1">
        <v>0</v>
      </c>
      <c r="AH128" s="1">
        <v>0</v>
      </c>
      <c r="AI128" s="1">
        <v>0</v>
      </c>
      <c r="AJ128" s="1" t="e">
        <f>VLOOKUP(ItemData!A128,Sheet8!N:O,2,FALSE)</f>
        <v>#N/A</v>
      </c>
    </row>
    <row r="129" spans="1:36" x14ac:dyDescent="0.15">
      <c r="A129" s="5" t="s">
        <v>1082</v>
      </c>
      <c r="B129" s="3">
        <v>1007</v>
      </c>
      <c r="C129" s="3" t="str">
        <f t="shared" si="5"/>
        <v>西兰花_01</v>
      </c>
      <c r="D129" s="1">
        <v>12</v>
      </c>
      <c r="E129" s="1">
        <v>8007</v>
      </c>
      <c r="F129" s="1">
        <v>0</v>
      </c>
      <c r="G129" s="1" t="s">
        <v>1838</v>
      </c>
      <c r="H129" s="1" t="s">
        <v>1553</v>
      </c>
      <c r="I129" s="1">
        <v>1</v>
      </c>
      <c r="J129" s="1">
        <v>0</v>
      </c>
      <c r="K129" s="1">
        <v>0</v>
      </c>
      <c r="L129" s="1">
        <v>0</v>
      </c>
      <c r="M129" s="3">
        <v>29</v>
      </c>
      <c r="N129" s="1">
        <v>1</v>
      </c>
      <c r="O129" s="39">
        <f t="shared" si="6"/>
        <v>346</v>
      </c>
      <c r="P129" s="38">
        <v>86.5</v>
      </c>
      <c r="Q129" s="38"/>
      <c r="T129" s="36" t="s">
        <v>803</v>
      </c>
      <c r="U129" s="36" t="s">
        <v>802</v>
      </c>
      <c r="V129" s="36">
        <v>0</v>
      </c>
      <c r="X129" s="2" t="s">
        <v>785</v>
      </c>
      <c r="Y129" s="1">
        <v>0</v>
      </c>
      <c r="Z129" s="1">
        <v>0</v>
      </c>
      <c r="AA129" s="1">
        <v>0</v>
      </c>
      <c r="AB129" s="1">
        <v>0</v>
      </c>
      <c r="AC129" s="1">
        <v>0</v>
      </c>
      <c r="AD129" s="1">
        <v>0</v>
      </c>
      <c r="AE129" s="1">
        <v>0</v>
      </c>
      <c r="AF129" s="1">
        <v>0</v>
      </c>
      <c r="AG129" s="1">
        <v>0</v>
      </c>
      <c r="AH129" s="1">
        <v>0</v>
      </c>
      <c r="AI129" s="1">
        <v>0</v>
      </c>
      <c r="AJ129" s="1" t="s">
        <v>1084</v>
      </c>
    </row>
    <row r="130" spans="1:36" x14ac:dyDescent="0.15">
      <c r="A130" s="5" t="s">
        <v>39</v>
      </c>
      <c r="B130" s="3">
        <v>1008</v>
      </c>
      <c r="C130" s="3" t="str">
        <f t="shared" si="5"/>
        <v>番茄_01</v>
      </c>
      <c r="D130" s="1">
        <v>12</v>
      </c>
      <c r="E130" s="1">
        <v>8008</v>
      </c>
      <c r="F130" s="1">
        <v>0</v>
      </c>
      <c r="G130" s="1" t="s">
        <v>1837</v>
      </c>
      <c r="H130" s="1" t="s">
        <v>1553</v>
      </c>
      <c r="I130" s="1">
        <v>1</v>
      </c>
      <c r="J130" s="1">
        <v>0</v>
      </c>
      <c r="K130" s="1">
        <v>0</v>
      </c>
      <c r="L130" s="1">
        <v>0</v>
      </c>
      <c r="M130" s="3">
        <v>29</v>
      </c>
      <c r="N130" s="1">
        <v>1</v>
      </c>
      <c r="O130" s="39">
        <f t="shared" si="6"/>
        <v>488</v>
      </c>
      <c r="P130" s="38">
        <v>121.94999999999997</v>
      </c>
      <c r="Q130" s="38"/>
      <c r="T130" s="36" t="s">
        <v>803</v>
      </c>
      <c r="U130" s="36" t="s">
        <v>802</v>
      </c>
      <c r="V130" s="36">
        <v>0</v>
      </c>
      <c r="X130" s="2" t="s">
        <v>785</v>
      </c>
      <c r="Y130" s="1">
        <v>0</v>
      </c>
      <c r="Z130" s="1">
        <v>0</v>
      </c>
      <c r="AA130" s="1">
        <v>0</v>
      </c>
      <c r="AB130" s="1">
        <v>0</v>
      </c>
      <c r="AC130" s="1">
        <v>0</v>
      </c>
      <c r="AD130" s="1">
        <v>0</v>
      </c>
      <c r="AE130" s="1">
        <v>0</v>
      </c>
      <c r="AF130" s="1">
        <v>0</v>
      </c>
      <c r="AG130" s="1">
        <v>0</v>
      </c>
      <c r="AH130" s="1">
        <v>0</v>
      </c>
      <c r="AI130" s="1">
        <v>0</v>
      </c>
      <c r="AJ130" s="1" t="e">
        <f>VLOOKUP(ItemData!A130,Sheet8!N:O,2,FALSE)</f>
        <v>#N/A</v>
      </c>
    </row>
    <row r="131" spans="1:36" x14ac:dyDescent="0.15">
      <c r="A131" s="5" t="s">
        <v>23</v>
      </c>
      <c r="B131" s="3">
        <v>1009</v>
      </c>
      <c r="C131" s="3" t="str">
        <f t="shared" si="5"/>
        <v>胡萝卜_01</v>
      </c>
      <c r="D131" s="1">
        <v>12</v>
      </c>
      <c r="E131" s="1">
        <v>8009</v>
      </c>
      <c r="F131" s="1">
        <v>0</v>
      </c>
      <c r="G131" s="1" t="s">
        <v>1837</v>
      </c>
      <c r="H131" s="1" t="s">
        <v>1553</v>
      </c>
      <c r="I131" s="1">
        <v>1</v>
      </c>
      <c r="J131" s="1">
        <v>0</v>
      </c>
      <c r="K131" s="1">
        <v>0</v>
      </c>
      <c r="L131" s="1">
        <v>0</v>
      </c>
      <c r="M131" s="3">
        <v>29</v>
      </c>
      <c r="N131" s="1">
        <v>1</v>
      </c>
      <c r="O131" s="39">
        <f t="shared" si="6"/>
        <v>542</v>
      </c>
      <c r="P131" s="38">
        <v>135.5</v>
      </c>
      <c r="Q131" s="38"/>
      <c r="T131" s="36" t="s">
        <v>803</v>
      </c>
      <c r="U131" s="36" t="s">
        <v>802</v>
      </c>
      <c r="V131" s="36">
        <v>0</v>
      </c>
      <c r="X131" s="2" t="s">
        <v>785</v>
      </c>
      <c r="Y131" s="1">
        <v>0</v>
      </c>
      <c r="Z131" s="1">
        <v>0</v>
      </c>
      <c r="AA131" s="1">
        <v>0</v>
      </c>
      <c r="AB131" s="1">
        <v>0</v>
      </c>
      <c r="AC131" s="1">
        <v>0</v>
      </c>
      <c r="AD131" s="1">
        <v>0</v>
      </c>
      <c r="AE131" s="1">
        <v>0</v>
      </c>
      <c r="AF131" s="1">
        <v>0</v>
      </c>
      <c r="AG131" s="1">
        <v>0</v>
      </c>
      <c r="AH131" s="1">
        <v>0</v>
      </c>
      <c r="AI131" s="1">
        <v>0</v>
      </c>
      <c r="AJ131" s="1" t="e">
        <f>VLOOKUP(ItemData!A131,Sheet8!N:O,2,FALSE)</f>
        <v>#N/A</v>
      </c>
    </row>
    <row r="132" spans="1:36" x14ac:dyDescent="0.15">
      <c r="A132" s="5" t="s">
        <v>40</v>
      </c>
      <c r="B132" s="3">
        <v>1010</v>
      </c>
      <c r="C132" s="3" t="str">
        <f t="shared" si="5"/>
        <v>西瓜_01</v>
      </c>
      <c r="D132" s="1">
        <v>12</v>
      </c>
      <c r="E132" s="1">
        <v>8010</v>
      </c>
      <c r="F132" s="1">
        <v>0</v>
      </c>
      <c r="G132" s="1">
        <v>5002</v>
      </c>
      <c r="H132" s="1" t="s">
        <v>1554</v>
      </c>
      <c r="I132" s="1">
        <v>1</v>
      </c>
      <c r="J132" s="1">
        <v>0</v>
      </c>
      <c r="K132" s="1">
        <v>0</v>
      </c>
      <c r="L132" s="1">
        <v>0</v>
      </c>
      <c r="M132" s="3">
        <v>29</v>
      </c>
      <c r="N132" s="1">
        <v>1</v>
      </c>
      <c r="O132" s="39">
        <f t="shared" si="6"/>
        <v>976</v>
      </c>
      <c r="P132" s="38">
        <v>243.9</v>
      </c>
      <c r="Q132" s="38"/>
      <c r="T132" s="36" t="s">
        <v>803</v>
      </c>
      <c r="U132" s="36" t="s">
        <v>802</v>
      </c>
      <c r="V132" s="36">
        <v>0</v>
      </c>
      <c r="X132" s="2" t="s">
        <v>785</v>
      </c>
      <c r="Y132" s="1">
        <v>0</v>
      </c>
      <c r="Z132" s="1">
        <v>0</v>
      </c>
      <c r="AA132" s="1">
        <v>0</v>
      </c>
      <c r="AB132" s="1">
        <v>0</v>
      </c>
      <c r="AC132" s="1">
        <v>0</v>
      </c>
      <c r="AD132" s="1">
        <v>0</v>
      </c>
      <c r="AE132" s="1">
        <v>0</v>
      </c>
      <c r="AF132" s="1">
        <v>0</v>
      </c>
      <c r="AG132" s="1">
        <v>0</v>
      </c>
      <c r="AH132" s="1">
        <v>0</v>
      </c>
      <c r="AI132" s="1">
        <v>0</v>
      </c>
      <c r="AJ132" s="1" t="s">
        <v>1086</v>
      </c>
    </row>
    <row r="133" spans="1:36" x14ac:dyDescent="0.15">
      <c r="A133" s="5" t="s">
        <v>41</v>
      </c>
      <c r="B133" s="3">
        <v>1011</v>
      </c>
      <c r="C133" s="3" t="str">
        <f t="shared" si="5"/>
        <v>辣椒_01</v>
      </c>
      <c r="D133" s="1">
        <v>12</v>
      </c>
      <c r="E133" s="1">
        <v>8011</v>
      </c>
      <c r="F133" s="1">
        <v>0</v>
      </c>
      <c r="G133" s="1" t="s">
        <v>1841</v>
      </c>
      <c r="H133" s="1" t="s">
        <v>1553</v>
      </c>
      <c r="I133" s="1">
        <v>1</v>
      </c>
      <c r="J133" s="1">
        <v>0</v>
      </c>
      <c r="K133" s="1">
        <v>0</v>
      </c>
      <c r="L133" s="1">
        <v>0</v>
      </c>
      <c r="M133" s="3">
        <v>29</v>
      </c>
      <c r="N133" s="1">
        <v>1</v>
      </c>
      <c r="O133" s="39">
        <f t="shared" si="6"/>
        <v>509</v>
      </c>
      <c r="P133" s="38">
        <v>127.2</v>
      </c>
      <c r="Q133" s="38"/>
      <c r="T133" s="36" t="s">
        <v>803</v>
      </c>
      <c r="U133" s="36" t="s">
        <v>802</v>
      </c>
      <c r="V133" s="36">
        <v>0</v>
      </c>
      <c r="X133" s="2" t="s">
        <v>785</v>
      </c>
      <c r="Y133" s="1">
        <v>0</v>
      </c>
      <c r="Z133" s="1">
        <v>0</v>
      </c>
      <c r="AA133" s="1">
        <v>0</v>
      </c>
      <c r="AB133" s="1">
        <v>0</v>
      </c>
      <c r="AC133" s="1">
        <v>0</v>
      </c>
      <c r="AD133" s="1">
        <v>0</v>
      </c>
      <c r="AE133" s="1">
        <v>0</v>
      </c>
      <c r="AF133" s="1">
        <v>0</v>
      </c>
      <c r="AG133" s="1">
        <v>0</v>
      </c>
      <c r="AH133" s="1">
        <v>0</v>
      </c>
      <c r="AI133" s="1">
        <v>0</v>
      </c>
      <c r="AJ133" s="1" t="e">
        <f>VLOOKUP(ItemData!A133,Sheet8!N:O,2,FALSE)</f>
        <v>#N/A</v>
      </c>
    </row>
    <row r="134" spans="1:36" x14ac:dyDescent="0.15">
      <c r="A134" s="5" t="s">
        <v>42</v>
      </c>
      <c r="B134" s="3">
        <v>1012</v>
      </c>
      <c r="C134" s="3" t="str">
        <f t="shared" si="5"/>
        <v>奇异果_01</v>
      </c>
      <c r="D134" s="1">
        <v>12</v>
      </c>
      <c r="E134" s="1">
        <v>8012</v>
      </c>
      <c r="F134" s="1">
        <v>0</v>
      </c>
      <c r="G134" s="1">
        <v>5002</v>
      </c>
      <c r="H134" s="1" t="s">
        <v>1554</v>
      </c>
      <c r="I134" s="1">
        <v>1</v>
      </c>
      <c r="J134" s="1">
        <v>0</v>
      </c>
      <c r="K134" s="1">
        <v>0</v>
      </c>
      <c r="L134" s="1">
        <v>0</v>
      </c>
      <c r="M134" s="3">
        <v>29</v>
      </c>
      <c r="N134" s="1">
        <v>1</v>
      </c>
      <c r="O134" s="39">
        <f t="shared" si="6"/>
        <v>424</v>
      </c>
      <c r="P134" s="38">
        <v>105.99999999999999</v>
      </c>
      <c r="Q134" s="38"/>
      <c r="T134" s="36" t="s">
        <v>803</v>
      </c>
      <c r="U134" s="36" t="s">
        <v>802</v>
      </c>
      <c r="V134" s="36">
        <v>0</v>
      </c>
      <c r="X134" s="2" t="s">
        <v>785</v>
      </c>
      <c r="Y134" s="1">
        <v>0</v>
      </c>
      <c r="Z134" s="1">
        <v>0</v>
      </c>
      <c r="AA134" s="1">
        <v>0</v>
      </c>
      <c r="AB134" s="1">
        <v>0</v>
      </c>
      <c r="AC134" s="1">
        <v>0</v>
      </c>
      <c r="AD134" s="1">
        <v>0</v>
      </c>
      <c r="AE134" s="1">
        <v>0</v>
      </c>
      <c r="AF134" s="1">
        <v>0</v>
      </c>
      <c r="AG134" s="1">
        <v>0</v>
      </c>
      <c r="AH134" s="1">
        <v>0</v>
      </c>
      <c r="AI134" s="1">
        <v>0</v>
      </c>
      <c r="AJ134" s="1" t="s">
        <v>1088</v>
      </c>
    </row>
    <row r="135" spans="1:36" x14ac:dyDescent="0.15">
      <c r="A135" s="5" t="s">
        <v>53</v>
      </c>
      <c r="B135" s="3">
        <v>1013</v>
      </c>
      <c r="C135" s="3" t="str">
        <f t="shared" si="5"/>
        <v>茄子_01</v>
      </c>
      <c r="D135" s="1">
        <v>12</v>
      </c>
      <c r="E135" s="1">
        <v>8013</v>
      </c>
      <c r="F135" s="1">
        <v>0</v>
      </c>
      <c r="G135" s="1">
        <v>5003</v>
      </c>
      <c r="H135" s="1" t="s">
        <v>1553</v>
      </c>
      <c r="I135" s="1">
        <v>1</v>
      </c>
      <c r="J135" s="1">
        <v>0</v>
      </c>
      <c r="K135" s="1">
        <v>0</v>
      </c>
      <c r="L135" s="1">
        <v>0</v>
      </c>
      <c r="M135" s="3">
        <v>29</v>
      </c>
      <c r="N135" s="1">
        <v>1</v>
      </c>
      <c r="O135" s="39">
        <f t="shared" si="6"/>
        <v>1102</v>
      </c>
      <c r="P135" s="38">
        <v>275.59999999999997</v>
      </c>
      <c r="Q135" s="38"/>
      <c r="T135" s="36" t="s">
        <v>803</v>
      </c>
      <c r="U135" s="36" t="s">
        <v>802</v>
      </c>
      <c r="V135" s="36">
        <v>0</v>
      </c>
      <c r="X135" s="2" t="s">
        <v>785</v>
      </c>
      <c r="Y135" s="1">
        <v>0</v>
      </c>
      <c r="Z135" s="1">
        <v>0</v>
      </c>
      <c r="AA135" s="1">
        <v>0</v>
      </c>
      <c r="AB135" s="1">
        <v>0</v>
      </c>
      <c r="AC135" s="1">
        <v>0</v>
      </c>
      <c r="AD135" s="1">
        <v>0</v>
      </c>
      <c r="AE135" s="1">
        <v>0</v>
      </c>
      <c r="AF135" s="1">
        <v>0</v>
      </c>
      <c r="AG135" s="1">
        <v>0</v>
      </c>
      <c r="AH135" s="1">
        <v>0</v>
      </c>
      <c r="AI135" s="1">
        <v>0</v>
      </c>
      <c r="AJ135" s="1" t="e">
        <f>VLOOKUP(ItemData!A135,Sheet8!N:O,2,FALSE)</f>
        <v>#N/A</v>
      </c>
    </row>
    <row r="136" spans="1:36" x14ac:dyDescent="0.15">
      <c r="A136" s="5" t="s">
        <v>54</v>
      </c>
      <c r="B136" s="3">
        <v>1014</v>
      </c>
      <c r="C136" s="3" t="str">
        <f t="shared" si="5"/>
        <v>豌豆_01</v>
      </c>
      <c r="D136" s="1">
        <v>12</v>
      </c>
      <c r="E136" s="1">
        <v>8014</v>
      </c>
      <c r="F136" s="1">
        <v>0</v>
      </c>
      <c r="G136" s="1">
        <v>5004</v>
      </c>
      <c r="H136" s="1" t="s">
        <v>1553</v>
      </c>
      <c r="I136" s="1">
        <v>1</v>
      </c>
      <c r="J136" s="1">
        <v>0</v>
      </c>
      <c r="K136" s="1">
        <v>0</v>
      </c>
      <c r="L136" s="1">
        <v>0</v>
      </c>
      <c r="M136" s="3">
        <v>29</v>
      </c>
      <c r="N136" s="1">
        <v>1</v>
      </c>
      <c r="O136" s="39">
        <f t="shared" si="6"/>
        <v>776</v>
      </c>
      <c r="P136" s="38">
        <v>194.1</v>
      </c>
      <c r="Q136" s="38"/>
      <c r="T136" s="36" t="s">
        <v>803</v>
      </c>
      <c r="U136" s="36" t="s">
        <v>802</v>
      </c>
      <c r="V136" s="36">
        <v>0</v>
      </c>
      <c r="X136" s="2" t="s">
        <v>785</v>
      </c>
      <c r="Y136" s="1">
        <v>0</v>
      </c>
      <c r="Z136" s="1">
        <v>0</v>
      </c>
      <c r="AA136" s="1">
        <v>0</v>
      </c>
      <c r="AB136" s="1">
        <v>0</v>
      </c>
      <c r="AC136" s="1">
        <v>0</v>
      </c>
      <c r="AD136" s="1">
        <v>0</v>
      </c>
      <c r="AE136" s="1">
        <v>0</v>
      </c>
      <c r="AF136" s="1">
        <v>0</v>
      </c>
      <c r="AG136" s="1">
        <v>0</v>
      </c>
      <c r="AH136" s="1">
        <v>0</v>
      </c>
      <c r="AI136" s="1">
        <v>0</v>
      </c>
      <c r="AJ136" s="1" t="s">
        <v>1090</v>
      </c>
    </row>
    <row r="137" spans="1:36" x14ac:dyDescent="0.15">
      <c r="A137" s="5" t="s">
        <v>44</v>
      </c>
      <c r="B137" s="3">
        <v>1015</v>
      </c>
      <c r="C137" s="3" t="str">
        <f t="shared" si="5"/>
        <v>土豆_01</v>
      </c>
      <c r="D137" s="1">
        <v>12</v>
      </c>
      <c r="E137" s="1">
        <v>8015</v>
      </c>
      <c r="F137" s="1">
        <v>0</v>
      </c>
      <c r="G137" s="1" t="s">
        <v>1842</v>
      </c>
      <c r="H137" s="1" t="s">
        <v>1553</v>
      </c>
      <c r="I137" s="1">
        <v>1</v>
      </c>
      <c r="J137" s="1">
        <v>0</v>
      </c>
      <c r="K137" s="1">
        <v>0</v>
      </c>
      <c r="L137" s="1">
        <v>0</v>
      </c>
      <c r="M137" s="3">
        <v>29</v>
      </c>
      <c r="N137" s="1">
        <v>1</v>
      </c>
      <c r="O137" s="39">
        <f t="shared" si="6"/>
        <v>1359</v>
      </c>
      <c r="P137" s="38">
        <v>339.67500000000001</v>
      </c>
      <c r="Q137" s="38"/>
      <c r="T137" s="36" t="s">
        <v>803</v>
      </c>
      <c r="U137" s="36" t="s">
        <v>802</v>
      </c>
      <c r="V137" s="36">
        <v>0</v>
      </c>
      <c r="X137" s="2" t="s">
        <v>785</v>
      </c>
      <c r="Y137" s="1">
        <v>0</v>
      </c>
      <c r="Z137" s="1">
        <v>0</v>
      </c>
      <c r="AA137" s="1">
        <v>0</v>
      </c>
      <c r="AB137" s="1">
        <v>0</v>
      </c>
      <c r="AC137" s="1">
        <v>0</v>
      </c>
      <c r="AD137" s="1">
        <v>0</v>
      </c>
      <c r="AE137" s="1">
        <v>0</v>
      </c>
      <c r="AF137" s="1">
        <v>0</v>
      </c>
      <c r="AG137" s="1">
        <v>0</v>
      </c>
      <c r="AH137" s="1">
        <v>0</v>
      </c>
      <c r="AI137" s="1">
        <v>0</v>
      </c>
      <c r="AJ137" s="1" t="s">
        <v>984</v>
      </c>
    </row>
    <row r="138" spans="1:36" x14ac:dyDescent="0.15">
      <c r="A138" s="5" t="s">
        <v>25</v>
      </c>
      <c r="B138" s="3">
        <v>1016</v>
      </c>
      <c r="C138" s="3" t="str">
        <f t="shared" si="5"/>
        <v>大蒜_01</v>
      </c>
      <c r="D138" s="1">
        <v>12</v>
      </c>
      <c r="E138" s="1">
        <v>8016</v>
      </c>
      <c r="F138" s="1">
        <v>0</v>
      </c>
      <c r="G138" s="1">
        <v>5003</v>
      </c>
      <c r="H138" s="1" t="s">
        <v>1553</v>
      </c>
      <c r="I138" s="1">
        <v>1</v>
      </c>
      <c r="J138" s="1">
        <v>0</v>
      </c>
      <c r="K138" s="1">
        <v>0</v>
      </c>
      <c r="L138" s="1">
        <v>0</v>
      </c>
      <c r="M138" s="3">
        <v>29</v>
      </c>
      <c r="N138" s="1">
        <v>1</v>
      </c>
      <c r="O138" s="39">
        <f t="shared" si="6"/>
        <v>906</v>
      </c>
      <c r="P138" s="38">
        <v>226.45</v>
      </c>
      <c r="Q138" s="38"/>
      <c r="T138" s="36" t="s">
        <v>803</v>
      </c>
      <c r="U138" s="36" t="s">
        <v>802</v>
      </c>
      <c r="V138" s="36">
        <v>0</v>
      </c>
      <c r="X138" s="2" t="s">
        <v>785</v>
      </c>
      <c r="Y138" s="1">
        <v>0</v>
      </c>
      <c r="Z138" s="1">
        <v>0</v>
      </c>
      <c r="AA138" s="1">
        <v>0</v>
      </c>
      <c r="AB138" s="1">
        <v>0</v>
      </c>
      <c r="AC138" s="1">
        <v>0</v>
      </c>
      <c r="AD138" s="1">
        <v>0</v>
      </c>
      <c r="AE138" s="1">
        <v>0</v>
      </c>
      <c r="AF138" s="1">
        <v>0</v>
      </c>
      <c r="AG138" s="1">
        <v>0</v>
      </c>
      <c r="AH138" s="1">
        <v>0</v>
      </c>
      <c r="AI138" s="1">
        <v>0</v>
      </c>
      <c r="AJ138" s="1" t="e">
        <f>VLOOKUP(ItemData!A138,Sheet8!N:O,2,FALSE)</f>
        <v>#N/A</v>
      </c>
    </row>
    <row r="139" spans="1:36" x14ac:dyDescent="0.15">
      <c r="A139" s="5" t="s">
        <v>1091</v>
      </c>
      <c r="B139" s="3">
        <v>1017</v>
      </c>
      <c r="C139" s="3" t="str">
        <f t="shared" si="5"/>
        <v>芦笋_01</v>
      </c>
      <c r="D139" s="1">
        <v>12</v>
      </c>
      <c r="E139" s="1">
        <v>8017</v>
      </c>
      <c r="F139" s="1">
        <v>0</v>
      </c>
      <c r="G139" s="1" t="s">
        <v>1838</v>
      </c>
      <c r="H139" s="1" t="s">
        <v>1553</v>
      </c>
      <c r="I139" s="1">
        <v>1</v>
      </c>
      <c r="J139" s="1">
        <v>0</v>
      </c>
      <c r="K139" s="1">
        <v>0</v>
      </c>
      <c r="L139" s="1">
        <v>0</v>
      </c>
      <c r="M139" s="3">
        <v>29</v>
      </c>
      <c r="N139" s="1">
        <v>1</v>
      </c>
      <c r="O139" s="39">
        <f t="shared" si="6"/>
        <v>1719</v>
      </c>
      <c r="P139" s="42">
        <v>429.75</v>
      </c>
      <c r="Q139" s="42"/>
      <c r="T139" s="36" t="s">
        <v>803</v>
      </c>
      <c r="U139" s="36" t="s">
        <v>802</v>
      </c>
      <c r="V139" s="36">
        <v>0</v>
      </c>
      <c r="X139" s="2" t="s">
        <v>785</v>
      </c>
      <c r="Y139" s="1">
        <v>0</v>
      </c>
      <c r="Z139" s="1">
        <v>0</v>
      </c>
      <c r="AA139" s="1">
        <v>0</v>
      </c>
      <c r="AB139" s="1">
        <v>0</v>
      </c>
      <c r="AC139" s="1">
        <v>0</v>
      </c>
      <c r="AD139" s="1">
        <v>0</v>
      </c>
      <c r="AE139" s="1">
        <v>0</v>
      </c>
      <c r="AF139" s="1">
        <v>0</v>
      </c>
      <c r="AG139" s="1">
        <v>0</v>
      </c>
      <c r="AH139" s="1">
        <v>0</v>
      </c>
      <c r="AI139" s="1">
        <v>0</v>
      </c>
      <c r="AJ139" s="1" t="s">
        <v>1093</v>
      </c>
    </row>
    <row r="140" spans="1:36" x14ac:dyDescent="0.15">
      <c r="A140" s="5" t="s">
        <v>22</v>
      </c>
      <c r="B140" s="3">
        <v>1018</v>
      </c>
      <c r="C140" s="3" t="str">
        <f t="shared" si="5"/>
        <v>南瓜_01</v>
      </c>
      <c r="D140" s="1">
        <v>12</v>
      </c>
      <c r="E140" s="1">
        <v>8018</v>
      </c>
      <c r="F140" s="1">
        <v>0</v>
      </c>
      <c r="G140" s="1">
        <v>5004</v>
      </c>
      <c r="H140" s="1" t="s">
        <v>1553</v>
      </c>
      <c r="I140" s="1">
        <v>1</v>
      </c>
      <c r="J140" s="1">
        <v>0</v>
      </c>
      <c r="K140" s="1">
        <v>0</v>
      </c>
      <c r="L140" s="1">
        <v>0</v>
      </c>
      <c r="M140" s="3">
        <v>29</v>
      </c>
      <c r="N140" s="1">
        <v>1</v>
      </c>
      <c r="O140" s="39">
        <f t="shared" si="6"/>
        <v>1528</v>
      </c>
      <c r="P140" s="38">
        <v>382</v>
      </c>
      <c r="Q140" s="38"/>
      <c r="T140" s="36" t="s">
        <v>803</v>
      </c>
      <c r="U140" s="36" t="s">
        <v>802</v>
      </c>
      <c r="V140" s="36">
        <v>0</v>
      </c>
      <c r="X140" s="2" t="s">
        <v>785</v>
      </c>
      <c r="Y140" s="1">
        <v>0</v>
      </c>
      <c r="Z140" s="1">
        <v>0</v>
      </c>
      <c r="AA140" s="1">
        <v>0</v>
      </c>
      <c r="AB140" s="1">
        <v>0</v>
      </c>
      <c r="AC140" s="1">
        <v>0</v>
      </c>
      <c r="AD140" s="1">
        <v>0</v>
      </c>
      <c r="AE140" s="1">
        <v>0</v>
      </c>
      <c r="AF140" s="1">
        <v>0</v>
      </c>
      <c r="AG140" s="1">
        <v>0</v>
      </c>
      <c r="AH140" s="1">
        <v>0</v>
      </c>
      <c r="AI140" s="1">
        <v>0</v>
      </c>
      <c r="AJ140" s="1" t="e">
        <f>VLOOKUP(ItemData!A140,Sheet8!N:O,2,FALSE)</f>
        <v>#N/A</v>
      </c>
    </row>
    <row r="141" spans="1:36" x14ac:dyDescent="0.15">
      <c r="A141" s="5" t="s">
        <v>43</v>
      </c>
      <c r="B141" s="3">
        <v>1019</v>
      </c>
      <c r="C141" s="3" t="str">
        <f t="shared" si="5"/>
        <v>玉米_01</v>
      </c>
      <c r="D141" s="1">
        <v>12</v>
      </c>
      <c r="E141" s="1">
        <v>8019</v>
      </c>
      <c r="F141" s="1">
        <v>0</v>
      </c>
      <c r="G141" s="1" t="s">
        <v>1843</v>
      </c>
      <c r="H141" s="1" t="s">
        <v>1553</v>
      </c>
      <c r="I141" s="1">
        <v>1</v>
      </c>
      <c r="J141" s="1">
        <v>0</v>
      </c>
      <c r="K141" s="1">
        <v>0</v>
      </c>
      <c r="L141" s="1">
        <v>0</v>
      </c>
      <c r="M141" s="3">
        <v>29</v>
      </c>
      <c r="N141" s="1">
        <v>1</v>
      </c>
      <c r="O141" s="39">
        <f t="shared" si="6"/>
        <v>1433</v>
      </c>
      <c r="P141" s="38">
        <v>358.125</v>
      </c>
      <c r="Q141" s="38"/>
      <c r="T141" s="36" t="s">
        <v>803</v>
      </c>
      <c r="U141" s="36" t="s">
        <v>802</v>
      </c>
      <c r="V141" s="36">
        <v>0</v>
      </c>
      <c r="X141" s="2" t="s">
        <v>785</v>
      </c>
      <c r="Y141" s="1">
        <v>0</v>
      </c>
      <c r="Z141" s="1">
        <v>0</v>
      </c>
      <c r="AA141" s="1">
        <v>0</v>
      </c>
      <c r="AB141" s="1">
        <v>0</v>
      </c>
      <c r="AC141" s="1">
        <v>0</v>
      </c>
      <c r="AD141" s="1">
        <v>0</v>
      </c>
      <c r="AE141" s="1">
        <v>0</v>
      </c>
      <c r="AF141" s="1">
        <v>0</v>
      </c>
      <c r="AG141" s="1">
        <v>0</v>
      </c>
      <c r="AH141" s="1">
        <v>0</v>
      </c>
      <c r="AI141" s="1">
        <v>0</v>
      </c>
      <c r="AJ141" s="1" t="s">
        <v>1107</v>
      </c>
    </row>
    <row r="142" spans="1:36" x14ac:dyDescent="0.15">
      <c r="A142" s="5" t="s">
        <v>771</v>
      </c>
      <c r="B142" s="3">
        <v>1020</v>
      </c>
      <c r="C142" s="3" t="str">
        <f>A142&amp;"_01"</f>
        <v>大麦_01</v>
      </c>
      <c r="D142" s="1">
        <v>12</v>
      </c>
      <c r="E142" s="1">
        <v>8020</v>
      </c>
      <c r="F142" s="1">
        <v>0</v>
      </c>
      <c r="G142" s="1" t="s">
        <v>1844</v>
      </c>
      <c r="H142" s="1" t="s">
        <v>1422</v>
      </c>
      <c r="I142" s="1">
        <v>1</v>
      </c>
      <c r="J142" s="1">
        <v>0</v>
      </c>
      <c r="K142" s="1">
        <v>0</v>
      </c>
      <c r="L142" s="1">
        <v>0</v>
      </c>
      <c r="M142" s="3">
        <v>29</v>
      </c>
      <c r="N142" s="1">
        <v>1</v>
      </c>
      <c r="O142" s="39">
        <f t="shared" si="6"/>
        <v>1636</v>
      </c>
      <c r="P142" s="38">
        <v>408.9</v>
      </c>
      <c r="Q142" s="38"/>
      <c r="T142" s="36" t="s">
        <v>803</v>
      </c>
      <c r="U142" s="36" t="s">
        <v>802</v>
      </c>
      <c r="V142" s="36">
        <v>0</v>
      </c>
      <c r="X142" s="2" t="s">
        <v>785</v>
      </c>
      <c r="Y142" s="1">
        <v>0</v>
      </c>
      <c r="Z142" s="1">
        <v>0</v>
      </c>
      <c r="AA142" s="1">
        <v>0</v>
      </c>
      <c r="AB142" s="1">
        <v>0</v>
      </c>
      <c r="AC142" s="1">
        <v>0</v>
      </c>
      <c r="AD142" s="1">
        <v>0</v>
      </c>
      <c r="AE142" s="1">
        <v>0</v>
      </c>
      <c r="AF142" s="1">
        <v>0</v>
      </c>
      <c r="AG142" s="1">
        <v>0</v>
      </c>
      <c r="AH142" s="1">
        <v>0</v>
      </c>
      <c r="AI142" s="1">
        <v>0</v>
      </c>
      <c r="AJ142" s="1" t="s">
        <v>1095</v>
      </c>
    </row>
    <row r="143" spans="1:36" x14ac:dyDescent="0.15">
      <c r="A143" s="5" t="s">
        <v>50</v>
      </c>
      <c r="B143" s="3">
        <v>1021</v>
      </c>
      <c r="C143" s="3" t="str">
        <f t="shared" si="5"/>
        <v>啤酒花_01</v>
      </c>
      <c r="D143" s="1">
        <v>12</v>
      </c>
      <c r="E143" s="1">
        <v>8021</v>
      </c>
      <c r="F143" s="1">
        <v>0</v>
      </c>
      <c r="G143" s="1">
        <v>5005</v>
      </c>
      <c r="H143" s="1" t="s">
        <v>1553</v>
      </c>
      <c r="I143" s="1">
        <v>1</v>
      </c>
      <c r="J143" s="1">
        <v>0</v>
      </c>
      <c r="K143" s="1">
        <v>0</v>
      </c>
      <c r="L143" s="1">
        <v>0</v>
      </c>
      <c r="M143" s="3">
        <v>29</v>
      </c>
      <c r="N143" s="1">
        <v>1</v>
      </c>
      <c r="O143" s="39">
        <f t="shared" si="6"/>
        <v>1278</v>
      </c>
      <c r="P143" s="38">
        <v>319.45312499999994</v>
      </c>
      <c r="Q143" s="38"/>
      <c r="T143" s="36" t="s">
        <v>803</v>
      </c>
      <c r="U143" s="36" t="s">
        <v>802</v>
      </c>
      <c r="V143" s="36">
        <v>0</v>
      </c>
      <c r="X143" s="2" t="s">
        <v>785</v>
      </c>
      <c r="Y143" s="1">
        <v>0</v>
      </c>
      <c r="Z143" s="1">
        <v>0</v>
      </c>
      <c r="AA143" s="1">
        <v>0</v>
      </c>
      <c r="AB143" s="1">
        <v>0</v>
      </c>
      <c r="AC143" s="1">
        <v>0</v>
      </c>
      <c r="AD143" s="1">
        <v>0</v>
      </c>
      <c r="AE143" s="1">
        <v>0</v>
      </c>
      <c r="AF143" s="1">
        <v>0</v>
      </c>
      <c r="AG143" s="1">
        <v>0</v>
      </c>
      <c r="AH143" s="1">
        <v>0</v>
      </c>
      <c r="AI143" s="1">
        <v>0</v>
      </c>
      <c r="AJ143" s="1" t="s">
        <v>1097</v>
      </c>
    </row>
    <row r="144" spans="1:36" x14ac:dyDescent="0.15">
      <c r="A144" s="5" t="s">
        <v>24</v>
      </c>
      <c r="B144" s="3">
        <v>1022</v>
      </c>
      <c r="C144" s="3" t="str">
        <f t="shared" si="5"/>
        <v>葡萄_01</v>
      </c>
      <c r="D144" s="1">
        <v>12</v>
      </c>
      <c r="E144" s="1">
        <v>8022</v>
      </c>
      <c r="F144" s="1">
        <v>0</v>
      </c>
      <c r="G144" s="1">
        <v>5002</v>
      </c>
      <c r="H144" s="1" t="s">
        <v>1554</v>
      </c>
      <c r="I144" s="1">
        <v>1</v>
      </c>
      <c r="J144" s="1">
        <v>0</v>
      </c>
      <c r="K144" s="1">
        <v>0</v>
      </c>
      <c r="L144" s="1">
        <v>0</v>
      </c>
      <c r="M144" s="3">
        <v>29</v>
      </c>
      <c r="N144" s="1">
        <v>1</v>
      </c>
      <c r="O144" s="39">
        <f t="shared" si="6"/>
        <v>1363</v>
      </c>
      <c r="P144" s="38">
        <v>340.74999999999994</v>
      </c>
      <c r="Q144" s="38"/>
      <c r="T144" s="36" t="s">
        <v>803</v>
      </c>
      <c r="U144" s="36" t="s">
        <v>802</v>
      </c>
      <c r="V144" s="36">
        <v>0</v>
      </c>
      <c r="X144" s="2" t="s">
        <v>785</v>
      </c>
      <c r="Y144" s="1">
        <v>0</v>
      </c>
      <c r="Z144" s="1">
        <v>0</v>
      </c>
      <c r="AA144" s="1">
        <v>0</v>
      </c>
      <c r="AB144" s="1">
        <v>0</v>
      </c>
      <c r="AC144" s="1">
        <v>0</v>
      </c>
      <c r="AD144" s="1">
        <v>0</v>
      </c>
      <c r="AE144" s="1">
        <v>0</v>
      </c>
      <c r="AF144" s="1">
        <v>0</v>
      </c>
      <c r="AG144" s="1">
        <v>0</v>
      </c>
      <c r="AH144" s="1">
        <v>0</v>
      </c>
      <c r="AI144" s="1">
        <v>0</v>
      </c>
      <c r="AJ144" s="1" t="e">
        <f>VLOOKUP(ItemData!A144,Sheet8!N:O,2,FALSE)</f>
        <v>#N/A</v>
      </c>
    </row>
    <row r="145" spans="1:36" x14ac:dyDescent="0.15">
      <c r="A145" s="5" t="s">
        <v>51</v>
      </c>
      <c r="B145" s="3">
        <v>1023</v>
      </c>
      <c r="C145" s="3" t="str">
        <f t="shared" si="5"/>
        <v>菠萝_01</v>
      </c>
      <c r="D145" s="1">
        <v>12</v>
      </c>
      <c r="E145" s="1">
        <v>8023</v>
      </c>
      <c r="F145" s="1">
        <v>0</v>
      </c>
      <c r="G145" s="1">
        <v>5002</v>
      </c>
      <c r="H145" s="1" t="s">
        <v>1554</v>
      </c>
      <c r="I145" s="1">
        <v>1</v>
      </c>
      <c r="J145" s="1">
        <v>0</v>
      </c>
      <c r="K145" s="1">
        <v>0</v>
      </c>
      <c r="L145" s="1">
        <v>0</v>
      </c>
      <c r="M145" s="3">
        <v>29</v>
      </c>
      <c r="N145" s="1">
        <v>1</v>
      </c>
      <c r="O145" s="39">
        <f t="shared" si="6"/>
        <v>3018</v>
      </c>
      <c r="P145" s="38">
        <v>754.4</v>
      </c>
      <c r="Q145" s="38"/>
      <c r="T145" s="36" t="s">
        <v>803</v>
      </c>
      <c r="U145" s="36" t="s">
        <v>802</v>
      </c>
      <c r="V145" s="36">
        <v>0</v>
      </c>
      <c r="X145" s="2" t="s">
        <v>785</v>
      </c>
      <c r="Y145" s="1">
        <v>0</v>
      </c>
      <c r="Z145" s="1">
        <v>0</v>
      </c>
      <c r="AA145" s="1">
        <v>0</v>
      </c>
      <c r="AB145" s="1">
        <v>0</v>
      </c>
      <c r="AC145" s="1">
        <v>0</v>
      </c>
      <c r="AD145" s="1">
        <v>0</v>
      </c>
      <c r="AE145" s="1">
        <v>0</v>
      </c>
      <c r="AF145" s="1">
        <v>0</v>
      </c>
      <c r="AG145" s="1">
        <v>0</v>
      </c>
      <c r="AH145" s="1">
        <v>0</v>
      </c>
      <c r="AI145" s="1">
        <v>0</v>
      </c>
      <c r="AJ145" s="1" t="s">
        <v>1099</v>
      </c>
    </row>
    <row r="146" spans="1:36" x14ac:dyDescent="0.15">
      <c r="A146" s="5" t="s">
        <v>52</v>
      </c>
      <c r="B146" s="3">
        <v>1024</v>
      </c>
      <c r="C146" s="3" t="str">
        <f t="shared" si="5"/>
        <v>咖啡_01</v>
      </c>
      <c r="D146" s="1">
        <v>12</v>
      </c>
      <c r="E146" s="1">
        <v>8024</v>
      </c>
      <c r="F146" s="1">
        <v>0</v>
      </c>
      <c r="G146" s="1">
        <v>5009</v>
      </c>
      <c r="H146" s="1" t="s">
        <v>1554</v>
      </c>
      <c r="I146" s="1">
        <v>1</v>
      </c>
      <c r="J146" s="1">
        <v>0</v>
      </c>
      <c r="K146" s="1">
        <v>0</v>
      </c>
      <c r="L146" s="1">
        <v>0</v>
      </c>
      <c r="M146" s="3">
        <v>29</v>
      </c>
      <c r="N146" s="1">
        <v>1</v>
      </c>
      <c r="O146" s="39">
        <f t="shared" si="6"/>
        <v>2358</v>
      </c>
      <c r="P146" s="38">
        <v>589.37499999999989</v>
      </c>
      <c r="Q146" s="38"/>
      <c r="T146" s="36" t="s">
        <v>803</v>
      </c>
      <c r="U146" s="36" t="s">
        <v>802</v>
      </c>
      <c r="V146" s="36">
        <v>0</v>
      </c>
      <c r="X146" s="2" t="s">
        <v>785</v>
      </c>
      <c r="Y146" s="1">
        <v>0</v>
      </c>
      <c r="Z146" s="1">
        <v>0</v>
      </c>
      <c r="AA146" s="1">
        <v>0</v>
      </c>
      <c r="AB146" s="1">
        <v>0</v>
      </c>
      <c r="AC146" s="1">
        <v>0</v>
      </c>
      <c r="AD146" s="1">
        <v>0</v>
      </c>
      <c r="AE146" s="1">
        <v>0</v>
      </c>
      <c r="AF146" s="1">
        <v>0</v>
      </c>
      <c r="AG146" s="1">
        <v>0</v>
      </c>
      <c r="AH146" s="1">
        <v>0</v>
      </c>
      <c r="AI146" s="1">
        <v>0</v>
      </c>
      <c r="AJ146" s="1" t="s">
        <v>1101</v>
      </c>
    </row>
    <row r="147" spans="1:36" x14ac:dyDescent="0.15">
      <c r="A147" s="5" t="s">
        <v>46</v>
      </c>
      <c r="B147" s="3">
        <v>1025</v>
      </c>
      <c r="C147" s="3" t="str">
        <f t="shared" si="5"/>
        <v>草莓_01</v>
      </c>
      <c r="D147" s="1">
        <v>12</v>
      </c>
      <c r="E147" s="1">
        <v>8025</v>
      </c>
      <c r="F147" s="1">
        <v>0</v>
      </c>
      <c r="G147" s="1">
        <v>5002</v>
      </c>
      <c r="H147" s="1" t="s">
        <v>1554</v>
      </c>
      <c r="I147" s="1">
        <v>1</v>
      </c>
      <c r="J147" s="1">
        <v>0</v>
      </c>
      <c r="K147" s="1">
        <v>0</v>
      </c>
      <c r="L147" s="1">
        <v>0</v>
      </c>
      <c r="M147" s="3">
        <v>29</v>
      </c>
      <c r="N147" s="1">
        <v>1</v>
      </c>
      <c r="O147" s="39">
        <f t="shared" si="6"/>
        <v>2640</v>
      </c>
      <c r="P147" s="38">
        <v>660.09999999999991</v>
      </c>
      <c r="Q147" s="38"/>
      <c r="T147" s="36" t="s">
        <v>803</v>
      </c>
      <c r="U147" s="36" t="s">
        <v>802</v>
      </c>
      <c r="V147" s="36">
        <v>0</v>
      </c>
      <c r="X147" s="2" t="s">
        <v>785</v>
      </c>
      <c r="Y147" s="1">
        <v>0</v>
      </c>
      <c r="Z147" s="1">
        <v>0</v>
      </c>
      <c r="AA147" s="1">
        <v>0</v>
      </c>
      <c r="AB147" s="1">
        <v>0</v>
      </c>
      <c r="AC147" s="1">
        <v>0</v>
      </c>
      <c r="AD147" s="1">
        <v>0</v>
      </c>
      <c r="AE147" s="1">
        <v>0</v>
      </c>
      <c r="AF147" s="1">
        <v>0</v>
      </c>
      <c r="AG147" s="1">
        <v>0</v>
      </c>
      <c r="AH147" s="1">
        <v>0</v>
      </c>
      <c r="AI147" s="1">
        <v>0</v>
      </c>
      <c r="AJ147" s="1" t="e">
        <f>VLOOKUP(ItemData!A147,Sheet8!N:O,2,FALSE)</f>
        <v>#N/A</v>
      </c>
    </row>
    <row r="148" spans="1:36" x14ac:dyDescent="0.15">
      <c r="A148" s="5" t="s">
        <v>47</v>
      </c>
      <c r="B148" s="3">
        <v>1026</v>
      </c>
      <c r="C148" s="3" t="str">
        <f t="shared" si="5"/>
        <v>蓝莓_01</v>
      </c>
      <c r="D148" s="1">
        <v>12</v>
      </c>
      <c r="E148" s="1">
        <v>8026</v>
      </c>
      <c r="F148" s="1">
        <v>0</v>
      </c>
      <c r="G148" s="1">
        <v>5002</v>
      </c>
      <c r="H148" s="1" t="s">
        <v>1554</v>
      </c>
      <c r="I148" s="1">
        <v>1</v>
      </c>
      <c r="J148" s="1">
        <v>0</v>
      </c>
      <c r="K148" s="1">
        <v>0</v>
      </c>
      <c r="L148" s="1">
        <v>0</v>
      </c>
      <c r="M148" s="3">
        <v>29</v>
      </c>
      <c r="N148" s="1">
        <v>1</v>
      </c>
      <c r="O148" s="39">
        <f t="shared" si="6"/>
        <v>3047</v>
      </c>
      <c r="P148" s="38">
        <v>761.69999999999993</v>
      </c>
      <c r="Q148" s="38"/>
      <c r="T148" s="36" t="s">
        <v>803</v>
      </c>
      <c r="U148" s="36" t="s">
        <v>802</v>
      </c>
      <c r="V148" s="36">
        <v>0</v>
      </c>
      <c r="X148" s="2" t="s">
        <v>785</v>
      </c>
      <c r="Y148" s="1">
        <v>0</v>
      </c>
      <c r="Z148" s="1">
        <v>0</v>
      </c>
      <c r="AA148" s="1">
        <v>0</v>
      </c>
      <c r="AB148" s="1">
        <v>0</v>
      </c>
      <c r="AC148" s="1">
        <v>0</v>
      </c>
      <c r="AD148" s="1">
        <v>0</v>
      </c>
      <c r="AE148" s="1">
        <v>0</v>
      </c>
      <c r="AF148" s="1">
        <v>0</v>
      </c>
      <c r="AG148" s="1">
        <v>0</v>
      </c>
      <c r="AH148" s="1">
        <v>0</v>
      </c>
      <c r="AI148" s="1">
        <v>0</v>
      </c>
      <c r="AJ148" s="1" t="e">
        <f>VLOOKUP(ItemData!A148,Sheet8!N:O,2,FALSE)</f>
        <v>#N/A</v>
      </c>
    </row>
    <row r="149" spans="1:36" x14ac:dyDescent="0.15">
      <c r="A149" s="5" t="s">
        <v>48</v>
      </c>
      <c r="B149" s="3">
        <v>1027</v>
      </c>
      <c r="C149" s="3" t="str">
        <f t="shared" si="5"/>
        <v>红薯_01</v>
      </c>
      <c r="D149" s="1">
        <v>12</v>
      </c>
      <c r="E149" s="1">
        <v>8027</v>
      </c>
      <c r="F149" s="1">
        <v>0</v>
      </c>
      <c r="G149" s="1" t="s">
        <v>1838</v>
      </c>
      <c r="H149" s="1" t="s">
        <v>1545</v>
      </c>
      <c r="I149" s="1">
        <v>1</v>
      </c>
      <c r="J149" s="1">
        <v>0</v>
      </c>
      <c r="K149" s="1">
        <v>0</v>
      </c>
      <c r="L149" s="1">
        <v>0</v>
      </c>
      <c r="M149" s="3">
        <v>29</v>
      </c>
      <c r="N149" s="1">
        <v>1</v>
      </c>
      <c r="O149" s="39">
        <f t="shared" si="6"/>
        <v>3047</v>
      </c>
      <c r="P149" s="38">
        <v>761.7</v>
      </c>
      <c r="Q149" s="38"/>
      <c r="T149" s="36" t="s">
        <v>803</v>
      </c>
      <c r="U149" s="36" t="s">
        <v>802</v>
      </c>
      <c r="V149" s="36">
        <v>0</v>
      </c>
      <c r="X149" s="2" t="s">
        <v>785</v>
      </c>
      <c r="Y149" s="1">
        <v>0</v>
      </c>
      <c r="Z149" s="1">
        <v>0</v>
      </c>
      <c r="AA149" s="1">
        <v>0</v>
      </c>
      <c r="AB149" s="1">
        <v>0</v>
      </c>
      <c r="AC149" s="1">
        <v>0</v>
      </c>
      <c r="AD149" s="1">
        <v>0</v>
      </c>
      <c r="AE149" s="1">
        <v>0</v>
      </c>
      <c r="AF149" s="1">
        <v>0</v>
      </c>
      <c r="AG149" s="1">
        <v>0</v>
      </c>
      <c r="AH149" s="1">
        <v>0</v>
      </c>
      <c r="AI149" s="1">
        <v>0</v>
      </c>
      <c r="AJ149" s="1" t="s">
        <v>1103</v>
      </c>
    </row>
    <row r="150" spans="1:36" x14ac:dyDescent="0.15">
      <c r="A150" s="5" t="s">
        <v>49</v>
      </c>
      <c r="B150" s="3">
        <v>1028</v>
      </c>
      <c r="C150" s="3" t="str">
        <f t="shared" si="5"/>
        <v>甜菜_01</v>
      </c>
      <c r="D150" s="1">
        <v>12</v>
      </c>
      <c r="E150" s="1">
        <v>8028</v>
      </c>
      <c r="F150" s="1">
        <v>0</v>
      </c>
      <c r="G150" s="1" t="s">
        <v>1845</v>
      </c>
      <c r="H150" s="1" t="s">
        <v>1553</v>
      </c>
      <c r="I150" s="1">
        <v>1</v>
      </c>
      <c r="J150" s="1">
        <v>0</v>
      </c>
      <c r="K150" s="1">
        <v>0</v>
      </c>
      <c r="L150" s="1">
        <v>0</v>
      </c>
      <c r="M150" s="3">
        <v>29</v>
      </c>
      <c r="N150" s="1">
        <v>1</v>
      </c>
      <c r="O150" s="39">
        <f t="shared" si="6"/>
        <v>3047</v>
      </c>
      <c r="P150" s="38">
        <v>761.7</v>
      </c>
      <c r="Q150" s="38"/>
      <c r="T150" s="36" t="s">
        <v>803</v>
      </c>
      <c r="U150" s="36" t="s">
        <v>802</v>
      </c>
      <c r="V150" s="36">
        <v>0</v>
      </c>
      <c r="X150" s="2" t="s">
        <v>785</v>
      </c>
      <c r="Y150" s="1">
        <v>0</v>
      </c>
      <c r="Z150" s="1">
        <v>0</v>
      </c>
      <c r="AA150" s="1">
        <v>0</v>
      </c>
      <c r="AB150" s="1">
        <v>0</v>
      </c>
      <c r="AC150" s="1">
        <v>0</v>
      </c>
      <c r="AD150" s="1">
        <v>0</v>
      </c>
      <c r="AE150" s="1">
        <v>0</v>
      </c>
      <c r="AF150" s="1">
        <v>0</v>
      </c>
      <c r="AG150" s="1">
        <v>0</v>
      </c>
      <c r="AH150" s="1">
        <v>0</v>
      </c>
      <c r="AI150" s="1">
        <v>0</v>
      </c>
      <c r="AJ150" s="1" t="s">
        <v>1105</v>
      </c>
    </row>
    <row r="151" spans="1:36" x14ac:dyDescent="0.15">
      <c r="A151" s="5" t="s">
        <v>55</v>
      </c>
      <c r="B151" s="3">
        <f>B123+100</f>
        <v>1101</v>
      </c>
      <c r="C151" s="3" t="s">
        <v>55</v>
      </c>
      <c r="D151" s="1">
        <v>0</v>
      </c>
      <c r="E151" s="1">
        <v>8001</v>
      </c>
      <c r="F151" s="1">
        <v>0</v>
      </c>
      <c r="H151" s="1">
        <v>0</v>
      </c>
      <c r="I151" s="1">
        <v>0</v>
      </c>
      <c r="J151" s="1">
        <v>0</v>
      </c>
      <c r="K151" s="1">
        <v>0</v>
      </c>
      <c r="L151" s="1">
        <v>0</v>
      </c>
      <c r="M151" s="3">
        <v>29</v>
      </c>
      <c r="N151" s="1">
        <v>1</v>
      </c>
      <c r="O151" s="39">
        <v>25</v>
      </c>
      <c r="P151" s="39">
        <f>ROUND(O151*0.5,0)</f>
        <v>13</v>
      </c>
      <c r="T151" s="36" t="s">
        <v>803</v>
      </c>
      <c r="U151" s="36" t="s">
        <v>802</v>
      </c>
      <c r="V151" s="36">
        <v>0</v>
      </c>
      <c r="X151" s="2" t="s">
        <v>785</v>
      </c>
      <c r="Y151" s="1">
        <v>0</v>
      </c>
      <c r="Z151" s="1">
        <v>0</v>
      </c>
      <c r="AA151" s="1">
        <v>0</v>
      </c>
      <c r="AB151" s="1">
        <v>0</v>
      </c>
      <c r="AC151" s="1">
        <v>0</v>
      </c>
      <c r="AD151" s="1">
        <v>0</v>
      </c>
      <c r="AE151" s="1">
        <v>0</v>
      </c>
      <c r="AF151" s="1">
        <v>0</v>
      </c>
      <c r="AG151" s="1">
        <v>0</v>
      </c>
      <c r="AH151" s="1">
        <v>0</v>
      </c>
      <c r="AI151" s="1">
        <v>0</v>
      </c>
      <c r="AJ151" s="1" t="s">
        <v>986</v>
      </c>
    </row>
    <row r="152" spans="1:36" x14ac:dyDescent="0.15">
      <c r="A152" s="9" t="s">
        <v>56</v>
      </c>
      <c r="B152" s="3">
        <f t="shared" ref="B152:B178" si="7">B124+100</f>
        <v>1102</v>
      </c>
      <c r="C152" s="3" t="s">
        <v>56</v>
      </c>
      <c r="D152" s="1">
        <v>0</v>
      </c>
      <c r="E152" s="1">
        <v>8002</v>
      </c>
      <c r="F152" s="1">
        <v>0</v>
      </c>
      <c r="H152" s="1">
        <v>0</v>
      </c>
      <c r="I152" s="1">
        <v>0</v>
      </c>
      <c r="J152" s="1">
        <v>0</v>
      </c>
      <c r="K152" s="1">
        <v>0</v>
      </c>
      <c r="L152" s="1">
        <v>0</v>
      </c>
      <c r="M152" s="3">
        <v>29</v>
      </c>
      <c r="N152" s="1">
        <v>1</v>
      </c>
      <c r="O152" s="39">
        <v>25</v>
      </c>
      <c r="P152" s="39">
        <f t="shared" ref="P152:P178" si="8">ROUND(O152*0.5,0)</f>
        <v>13</v>
      </c>
      <c r="T152" s="36" t="s">
        <v>803</v>
      </c>
      <c r="U152" s="36" t="s">
        <v>802</v>
      </c>
      <c r="V152" s="36">
        <v>0</v>
      </c>
      <c r="X152" s="2" t="s">
        <v>785</v>
      </c>
      <c r="Y152" s="1">
        <v>0</v>
      </c>
      <c r="Z152" s="1">
        <v>0</v>
      </c>
      <c r="AA152" s="1">
        <v>0</v>
      </c>
      <c r="AB152" s="1">
        <v>0</v>
      </c>
      <c r="AC152" s="1">
        <v>0</v>
      </c>
      <c r="AD152" s="1">
        <v>0</v>
      </c>
      <c r="AE152" s="1">
        <v>0</v>
      </c>
      <c r="AF152" s="1">
        <v>0</v>
      </c>
      <c r="AG152" s="1">
        <v>0</v>
      </c>
      <c r="AH152" s="1">
        <v>0</v>
      </c>
      <c r="AI152" s="1">
        <v>0</v>
      </c>
      <c r="AJ152" s="1" t="s">
        <v>979</v>
      </c>
    </row>
    <row r="153" spans="1:36" x14ac:dyDescent="0.15">
      <c r="A153" s="5" t="s">
        <v>153</v>
      </c>
      <c r="B153" s="3">
        <f t="shared" si="7"/>
        <v>1103</v>
      </c>
      <c r="C153" s="3" t="s">
        <v>153</v>
      </c>
      <c r="D153" s="1">
        <v>0</v>
      </c>
      <c r="E153" s="1">
        <v>8003</v>
      </c>
      <c r="F153" s="1">
        <v>0</v>
      </c>
      <c r="H153" s="1">
        <v>0</v>
      </c>
      <c r="I153" s="1">
        <v>0</v>
      </c>
      <c r="J153" s="1">
        <v>0</v>
      </c>
      <c r="K153" s="1">
        <v>0</v>
      </c>
      <c r="L153" s="1">
        <v>0</v>
      </c>
      <c r="M153" s="3">
        <v>29</v>
      </c>
      <c r="N153" s="1">
        <v>1</v>
      </c>
      <c r="O153" s="39">
        <v>35</v>
      </c>
      <c r="P153" s="39">
        <f t="shared" si="8"/>
        <v>18</v>
      </c>
      <c r="T153" s="36" t="s">
        <v>803</v>
      </c>
      <c r="U153" s="36" t="s">
        <v>802</v>
      </c>
      <c r="V153" s="36">
        <v>0</v>
      </c>
      <c r="X153" s="2" t="s">
        <v>785</v>
      </c>
      <c r="Y153" s="1">
        <v>0</v>
      </c>
      <c r="Z153" s="1">
        <v>0</v>
      </c>
      <c r="AA153" s="1">
        <v>0</v>
      </c>
      <c r="AB153" s="1">
        <v>0</v>
      </c>
      <c r="AC153" s="1">
        <v>0</v>
      </c>
      <c r="AD153" s="1">
        <v>0</v>
      </c>
      <c r="AE153" s="1">
        <v>0</v>
      </c>
      <c r="AF153" s="1">
        <v>0</v>
      </c>
      <c r="AG153" s="1">
        <v>0</v>
      </c>
      <c r="AH153" s="1">
        <v>0</v>
      </c>
      <c r="AI153" s="1">
        <v>0</v>
      </c>
      <c r="AJ153" s="1" t="s">
        <v>1080</v>
      </c>
    </row>
    <row r="154" spans="1:36" x14ac:dyDescent="0.15">
      <c r="A154" s="9" t="s">
        <v>57</v>
      </c>
      <c r="B154" s="3">
        <f t="shared" si="7"/>
        <v>1104</v>
      </c>
      <c r="C154" s="3" t="s">
        <v>57</v>
      </c>
      <c r="D154" s="1">
        <v>0</v>
      </c>
      <c r="E154" s="1">
        <v>8004</v>
      </c>
      <c r="F154" s="1">
        <v>0</v>
      </c>
      <c r="H154" s="1">
        <v>0</v>
      </c>
      <c r="I154" s="1">
        <v>0</v>
      </c>
      <c r="J154" s="1">
        <v>0</v>
      </c>
      <c r="K154" s="1">
        <v>0</v>
      </c>
      <c r="L154" s="1">
        <v>0</v>
      </c>
      <c r="M154" s="3">
        <v>29</v>
      </c>
      <c r="N154" s="1">
        <v>1</v>
      </c>
      <c r="O154" s="39">
        <v>35</v>
      </c>
      <c r="P154" s="39">
        <f t="shared" si="8"/>
        <v>18</v>
      </c>
      <c r="T154" s="36" t="s">
        <v>803</v>
      </c>
      <c r="U154" s="36" t="s">
        <v>802</v>
      </c>
      <c r="V154" s="36">
        <v>0</v>
      </c>
      <c r="X154" s="2" t="s">
        <v>785</v>
      </c>
      <c r="Y154" s="1">
        <v>0</v>
      </c>
      <c r="Z154" s="1">
        <v>0</v>
      </c>
      <c r="AA154" s="1">
        <v>0</v>
      </c>
      <c r="AB154" s="1">
        <v>0</v>
      </c>
      <c r="AC154" s="1">
        <v>0</v>
      </c>
      <c r="AD154" s="1">
        <v>0</v>
      </c>
      <c r="AE154" s="1">
        <v>0</v>
      </c>
      <c r="AF154" s="1">
        <v>0</v>
      </c>
      <c r="AG154" s="1">
        <v>0</v>
      </c>
      <c r="AH154" s="1">
        <v>0</v>
      </c>
      <c r="AI154" s="1">
        <v>0</v>
      </c>
      <c r="AJ154" s="1" t="s">
        <v>987</v>
      </c>
    </row>
    <row r="155" spans="1:36" x14ac:dyDescent="0.15">
      <c r="A155" s="5" t="s">
        <v>58</v>
      </c>
      <c r="B155" s="3">
        <f t="shared" si="7"/>
        <v>1105</v>
      </c>
      <c r="C155" s="3" t="s">
        <v>58</v>
      </c>
      <c r="D155" s="1">
        <v>0</v>
      </c>
      <c r="E155" s="1">
        <v>8005</v>
      </c>
      <c r="F155" s="1">
        <v>0</v>
      </c>
      <c r="H155" s="1">
        <v>0</v>
      </c>
      <c r="I155" s="1">
        <v>0</v>
      </c>
      <c r="J155" s="1">
        <v>0</v>
      </c>
      <c r="K155" s="1">
        <v>0</v>
      </c>
      <c r="L155" s="1">
        <v>0</v>
      </c>
      <c r="M155" s="3">
        <v>29</v>
      </c>
      <c r="N155" s="1">
        <v>1</v>
      </c>
      <c r="O155" s="39">
        <v>52</v>
      </c>
      <c r="P155" s="39">
        <f t="shared" si="8"/>
        <v>26</v>
      </c>
      <c r="T155" s="36" t="s">
        <v>803</v>
      </c>
      <c r="U155" s="36" t="s">
        <v>802</v>
      </c>
      <c r="V155" s="36">
        <v>0</v>
      </c>
      <c r="X155" s="2" t="s">
        <v>785</v>
      </c>
      <c r="Y155" s="1">
        <v>0</v>
      </c>
      <c r="Z155" s="1">
        <v>0</v>
      </c>
      <c r="AA155" s="1">
        <v>0</v>
      </c>
      <c r="AB155" s="1">
        <v>0</v>
      </c>
      <c r="AC155" s="1">
        <v>0</v>
      </c>
      <c r="AD155" s="1">
        <v>0</v>
      </c>
      <c r="AE155" s="1">
        <v>0</v>
      </c>
      <c r="AF155" s="1">
        <v>0</v>
      </c>
      <c r="AG155" s="1">
        <v>0</v>
      </c>
      <c r="AH155" s="1">
        <v>0</v>
      </c>
      <c r="AI155" s="1">
        <v>0</v>
      </c>
      <c r="AJ155" s="1" t="s">
        <v>988</v>
      </c>
    </row>
    <row r="156" spans="1:36" x14ac:dyDescent="0.15">
      <c r="A156" s="9" t="s">
        <v>59</v>
      </c>
      <c r="B156" s="3">
        <f t="shared" si="7"/>
        <v>1106</v>
      </c>
      <c r="C156" s="3" t="s">
        <v>59</v>
      </c>
      <c r="D156" s="1">
        <v>0</v>
      </c>
      <c r="E156" s="1">
        <v>8006</v>
      </c>
      <c r="F156" s="1">
        <v>0</v>
      </c>
      <c r="H156" s="1">
        <v>0</v>
      </c>
      <c r="I156" s="1">
        <v>0</v>
      </c>
      <c r="J156" s="1">
        <v>0</v>
      </c>
      <c r="K156" s="1">
        <v>0</v>
      </c>
      <c r="L156" s="1">
        <v>0</v>
      </c>
      <c r="M156" s="3">
        <v>29</v>
      </c>
      <c r="N156" s="1">
        <v>1</v>
      </c>
      <c r="O156" s="39">
        <v>52</v>
      </c>
      <c r="P156" s="39">
        <f t="shared" si="8"/>
        <v>26</v>
      </c>
      <c r="T156" s="36" t="s">
        <v>803</v>
      </c>
      <c r="U156" s="36" t="s">
        <v>802</v>
      </c>
      <c r="V156" s="36">
        <v>0</v>
      </c>
      <c r="X156" s="2" t="s">
        <v>785</v>
      </c>
      <c r="Y156" s="1">
        <v>0</v>
      </c>
      <c r="Z156" s="1">
        <v>0</v>
      </c>
      <c r="AA156" s="1">
        <v>0</v>
      </c>
      <c r="AB156" s="1">
        <v>0</v>
      </c>
      <c r="AC156" s="1">
        <v>0</v>
      </c>
      <c r="AD156" s="1">
        <v>0</v>
      </c>
      <c r="AE156" s="1">
        <v>0</v>
      </c>
      <c r="AF156" s="1">
        <v>0</v>
      </c>
      <c r="AG156" s="1">
        <v>0</v>
      </c>
      <c r="AH156" s="1">
        <v>0</v>
      </c>
      <c r="AI156" s="1">
        <v>0</v>
      </c>
      <c r="AJ156" s="1" t="s">
        <v>981</v>
      </c>
    </row>
    <row r="157" spans="1:36" x14ac:dyDescent="0.15">
      <c r="A157" s="9" t="s">
        <v>60</v>
      </c>
      <c r="B157" s="3">
        <f t="shared" si="7"/>
        <v>1107</v>
      </c>
      <c r="C157" s="3" t="s">
        <v>60</v>
      </c>
      <c r="D157" s="1">
        <v>0</v>
      </c>
      <c r="E157" s="1">
        <v>8007</v>
      </c>
      <c r="F157" s="1">
        <v>0</v>
      </c>
      <c r="H157" s="1">
        <v>0</v>
      </c>
      <c r="I157" s="1">
        <v>0</v>
      </c>
      <c r="J157" s="1">
        <v>0</v>
      </c>
      <c r="K157" s="1">
        <v>0</v>
      </c>
      <c r="L157" s="1">
        <v>0</v>
      </c>
      <c r="M157" s="3">
        <v>29</v>
      </c>
      <c r="N157" s="1">
        <v>1</v>
      </c>
      <c r="O157" s="39">
        <v>52</v>
      </c>
      <c r="P157" s="39">
        <f t="shared" si="8"/>
        <v>26</v>
      </c>
      <c r="T157" s="36" t="s">
        <v>803</v>
      </c>
      <c r="U157" s="36" t="s">
        <v>802</v>
      </c>
      <c r="V157" s="36">
        <v>0</v>
      </c>
      <c r="X157" s="2" t="s">
        <v>785</v>
      </c>
      <c r="Y157" s="1">
        <v>0</v>
      </c>
      <c r="Z157" s="1">
        <v>0</v>
      </c>
      <c r="AA157" s="1">
        <v>0</v>
      </c>
      <c r="AB157" s="1">
        <v>0</v>
      </c>
      <c r="AC157" s="1">
        <v>0</v>
      </c>
      <c r="AD157" s="1">
        <v>0</v>
      </c>
      <c r="AE157" s="1">
        <v>0</v>
      </c>
      <c r="AF157" s="1">
        <v>0</v>
      </c>
      <c r="AG157" s="1">
        <v>0</v>
      </c>
      <c r="AH157" s="1">
        <v>0</v>
      </c>
      <c r="AI157" s="1">
        <v>0</v>
      </c>
      <c r="AJ157" s="1" t="s">
        <v>1083</v>
      </c>
    </row>
    <row r="158" spans="1:36" x14ac:dyDescent="0.15">
      <c r="A158" s="9" t="s">
        <v>61</v>
      </c>
      <c r="B158" s="3">
        <f t="shared" si="7"/>
        <v>1108</v>
      </c>
      <c r="C158" s="3" t="s">
        <v>61</v>
      </c>
      <c r="D158" s="1">
        <v>0</v>
      </c>
      <c r="E158" s="1">
        <v>8008</v>
      </c>
      <c r="F158" s="1">
        <v>0</v>
      </c>
      <c r="H158" s="1">
        <v>0</v>
      </c>
      <c r="I158" s="1">
        <v>0</v>
      </c>
      <c r="J158" s="1">
        <v>0</v>
      </c>
      <c r="K158" s="1">
        <v>0</v>
      </c>
      <c r="L158" s="1">
        <v>0</v>
      </c>
      <c r="M158" s="3">
        <v>29</v>
      </c>
      <c r="N158" s="1">
        <v>1</v>
      </c>
      <c r="O158" s="39">
        <v>81</v>
      </c>
      <c r="P158" s="39">
        <f t="shared" si="8"/>
        <v>41</v>
      </c>
      <c r="T158" s="36" t="s">
        <v>803</v>
      </c>
      <c r="U158" s="36" t="s">
        <v>802</v>
      </c>
      <c r="V158" s="36">
        <v>0</v>
      </c>
      <c r="X158" s="2" t="s">
        <v>785</v>
      </c>
      <c r="Y158" s="1">
        <v>0</v>
      </c>
      <c r="Z158" s="1">
        <v>0</v>
      </c>
      <c r="AA158" s="1">
        <v>0</v>
      </c>
      <c r="AB158" s="1">
        <v>0</v>
      </c>
      <c r="AC158" s="1">
        <v>0</v>
      </c>
      <c r="AD158" s="1">
        <v>0</v>
      </c>
      <c r="AE158" s="1">
        <v>0</v>
      </c>
      <c r="AF158" s="1">
        <v>0</v>
      </c>
      <c r="AG158" s="1">
        <v>0</v>
      </c>
      <c r="AH158" s="1">
        <v>0</v>
      </c>
      <c r="AI158" s="1">
        <v>0</v>
      </c>
      <c r="AJ158" s="1" t="s">
        <v>982</v>
      </c>
    </row>
    <row r="159" spans="1:36" x14ac:dyDescent="0.15">
      <c r="A159" s="9" t="s">
        <v>62</v>
      </c>
      <c r="B159" s="3">
        <f t="shared" si="7"/>
        <v>1109</v>
      </c>
      <c r="C159" s="3" t="s">
        <v>62</v>
      </c>
      <c r="D159" s="1">
        <v>0</v>
      </c>
      <c r="E159" s="1">
        <v>8009</v>
      </c>
      <c r="F159" s="1">
        <v>0</v>
      </c>
      <c r="H159" s="1">
        <v>0</v>
      </c>
      <c r="I159" s="1">
        <v>0</v>
      </c>
      <c r="J159" s="1">
        <v>0</v>
      </c>
      <c r="K159" s="1">
        <v>0</v>
      </c>
      <c r="L159" s="1">
        <v>0</v>
      </c>
      <c r="M159" s="3">
        <v>29</v>
      </c>
      <c r="N159" s="1">
        <v>1</v>
      </c>
      <c r="O159" s="39">
        <v>81</v>
      </c>
      <c r="P159" s="39">
        <f t="shared" si="8"/>
        <v>41</v>
      </c>
      <c r="T159" s="36" t="s">
        <v>803</v>
      </c>
      <c r="U159" s="36" t="s">
        <v>802</v>
      </c>
      <c r="V159" s="36">
        <v>0</v>
      </c>
      <c r="X159" s="2" t="s">
        <v>785</v>
      </c>
      <c r="Y159" s="1">
        <v>0</v>
      </c>
      <c r="Z159" s="1">
        <v>0</v>
      </c>
      <c r="AA159" s="1">
        <v>0</v>
      </c>
      <c r="AB159" s="1">
        <v>0</v>
      </c>
      <c r="AC159" s="1">
        <v>0</v>
      </c>
      <c r="AD159" s="1">
        <v>0</v>
      </c>
      <c r="AE159" s="1">
        <v>0</v>
      </c>
      <c r="AF159" s="1">
        <v>0</v>
      </c>
      <c r="AG159" s="1">
        <v>0</v>
      </c>
      <c r="AH159" s="1">
        <v>0</v>
      </c>
      <c r="AI159" s="1">
        <v>0</v>
      </c>
      <c r="AJ159" s="1" t="s">
        <v>985</v>
      </c>
    </row>
    <row r="160" spans="1:36" x14ac:dyDescent="0.15">
      <c r="A160" s="9" t="s">
        <v>63</v>
      </c>
      <c r="B160" s="3">
        <f t="shared" si="7"/>
        <v>1110</v>
      </c>
      <c r="C160" s="3" t="s">
        <v>63</v>
      </c>
      <c r="D160" s="1">
        <v>0</v>
      </c>
      <c r="E160" s="1">
        <v>8010</v>
      </c>
      <c r="F160" s="1">
        <v>0</v>
      </c>
      <c r="H160" s="1">
        <v>0</v>
      </c>
      <c r="I160" s="1">
        <v>0</v>
      </c>
      <c r="J160" s="1">
        <v>0</v>
      </c>
      <c r="K160" s="1">
        <v>0</v>
      </c>
      <c r="L160" s="1">
        <v>0</v>
      </c>
      <c r="M160" s="3">
        <v>29</v>
      </c>
      <c r="N160" s="1">
        <v>1</v>
      </c>
      <c r="O160" s="39">
        <v>81</v>
      </c>
      <c r="P160" s="39">
        <f t="shared" si="8"/>
        <v>41</v>
      </c>
      <c r="T160" s="36" t="s">
        <v>803</v>
      </c>
      <c r="U160" s="36" t="s">
        <v>802</v>
      </c>
      <c r="V160" s="36">
        <v>0</v>
      </c>
      <c r="X160" s="2" t="s">
        <v>785</v>
      </c>
      <c r="Y160" s="1">
        <v>0</v>
      </c>
      <c r="Z160" s="1">
        <v>0</v>
      </c>
      <c r="AA160" s="1">
        <v>0</v>
      </c>
      <c r="AB160" s="1">
        <v>0</v>
      </c>
      <c r="AC160" s="1">
        <v>0</v>
      </c>
      <c r="AD160" s="1">
        <v>0</v>
      </c>
      <c r="AE160" s="1">
        <v>0</v>
      </c>
      <c r="AF160" s="1">
        <v>0</v>
      </c>
      <c r="AG160" s="1">
        <v>0</v>
      </c>
      <c r="AH160" s="1">
        <v>0</v>
      </c>
      <c r="AI160" s="1">
        <v>0</v>
      </c>
      <c r="AJ160" s="1" t="s">
        <v>1085</v>
      </c>
    </row>
    <row r="161" spans="1:36" x14ac:dyDescent="0.15">
      <c r="A161" s="9" t="s">
        <v>64</v>
      </c>
      <c r="B161" s="3">
        <f t="shared" si="7"/>
        <v>1111</v>
      </c>
      <c r="C161" s="3" t="s">
        <v>64</v>
      </c>
      <c r="D161" s="1">
        <v>0</v>
      </c>
      <c r="E161" s="1">
        <v>8011</v>
      </c>
      <c r="F161" s="1">
        <v>0</v>
      </c>
      <c r="H161" s="1">
        <v>0</v>
      </c>
      <c r="I161" s="1">
        <v>0</v>
      </c>
      <c r="J161" s="1">
        <v>0</v>
      </c>
      <c r="K161" s="1">
        <v>0</v>
      </c>
      <c r="L161" s="1">
        <v>0</v>
      </c>
      <c r="M161" s="3">
        <v>29</v>
      </c>
      <c r="N161" s="1">
        <v>1</v>
      </c>
      <c r="O161" s="39">
        <v>127</v>
      </c>
      <c r="P161" s="39">
        <f t="shared" si="8"/>
        <v>64</v>
      </c>
      <c r="T161" s="36" t="s">
        <v>803</v>
      </c>
      <c r="U161" s="36" t="s">
        <v>802</v>
      </c>
      <c r="V161" s="36">
        <v>0</v>
      </c>
      <c r="X161" s="2" t="s">
        <v>785</v>
      </c>
      <c r="Y161" s="1">
        <v>0</v>
      </c>
      <c r="Z161" s="1">
        <v>0</v>
      </c>
      <c r="AA161" s="1">
        <v>0</v>
      </c>
      <c r="AB161" s="1">
        <v>0</v>
      </c>
      <c r="AC161" s="1">
        <v>0</v>
      </c>
      <c r="AD161" s="1">
        <v>0</v>
      </c>
      <c r="AE161" s="1">
        <v>0</v>
      </c>
      <c r="AF161" s="1">
        <v>0</v>
      </c>
      <c r="AG161" s="1">
        <v>0</v>
      </c>
      <c r="AH161" s="1">
        <v>0</v>
      </c>
      <c r="AI161" s="1">
        <v>0</v>
      </c>
      <c r="AJ161" s="1" t="s">
        <v>991</v>
      </c>
    </row>
    <row r="162" spans="1:36" x14ac:dyDescent="0.15">
      <c r="A162" s="5" t="s">
        <v>65</v>
      </c>
      <c r="B162" s="3">
        <f t="shared" si="7"/>
        <v>1112</v>
      </c>
      <c r="C162" s="3" t="s">
        <v>65</v>
      </c>
      <c r="D162" s="1">
        <v>0</v>
      </c>
      <c r="E162" s="1">
        <v>8012</v>
      </c>
      <c r="F162" s="1">
        <v>0</v>
      </c>
      <c r="H162" s="1">
        <v>0</v>
      </c>
      <c r="I162" s="1">
        <v>0</v>
      </c>
      <c r="J162" s="1">
        <v>0</v>
      </c>
      <c r="K162" s="1">
        <v>0</v>
      </c>
      <c r="L162" s="1">
        <v>0</v>
      </c>
      <c r="M162" s="3">
        <v>29</v>
      </c>
      <c r="N162" s="1">
        <v>1</v>
      </c>
      <c r="O162" s="39">
        <v>127</v>
      </c>
      <c r="P162" s="39">
        <f t="shared" si="8"/>
        <v>64</v>
      </c>
      <c r="T162" s="36" t="s">
        <v>803</v>
      </c>
      <c r="U162" s="36" t="s">
        <v>802</v>
      </c>
      <c r="V162" s="36">
        <v>0</v>
      </c>
      <c r="X162" s="2" t="s">
        <v>785</v>
      </c>
      <c r="Y162" s="1">
        <v>0</v>
      </c>
      <c r="Z162" s="1">
        <v>0</v>
      </c>
      <c r="AA162" s="1">
        <v>0</v>
      </c>
      <c r="AB162" s="1">
        <v>0</v>
      </c>
      <c r="AC162" s="1">
        <v>0</v>
      </c>
      <c r="AD162" s="1">
        <v>0</v>
      </c>
      <c r="AE162" s="1">
        <v>0</v>
      </c>
      <c r="AF162" s="1">
        <v>0</v>
      </c>
      <c r="AG162" s="1">
        <v>0</v>
      </c>
      <c r="AH162" s="1">
        <v>0</v>
      </c>
      <c r="AI162" s="1">
        <v>0</v>
      </c>
      <c r="AJ162" s="1" t="s">
        <v>1087</v>
      </c>
    </row>
    <row r="163" spans="1:36" x14ac:dyDescent="0.15">
      <c r="A163" s="9" t="s">
        <v>66</v>
      </c>
      <c r="B163" s="3">
        <f t="shared" si="7"/>
        <v>1113</v>
      </c>
      <c r="C163" s="3" t="s">
        <v>66</v>
      </c>
      <c r="D163" s="1">
        <v>0</v>
      </c>
      <c r="E163" s="1">
        <v>8013</v>
      </c>
      <c r="F163" s="1">
        <v>0</v>
      </c>
      <c r="H163" s="1">
        <v>0</v>
      </c>
      <c r="I163" s="1">
        <v>0</v>
      </c>
      <c r="J163" s="1">
        <v>0</v>
      </c>
      <c r="K163" s="1">
        <v>0</v>
      </c>
      <c r="L163" s="1">
        <v>0</v>
      </c>
      <c r="M163" s="3">
        <v>29</v>
      </c>
      <c r="N163" s="1">
        <v>1</v>
      </c>
      <c r="O163" s="39">
        <v>127</v>
      </c>
      <c r="P163" s="39">
        <f t="shared" si="8"/>
        <v>64</v>
      </c>
      <c r="T163" s="36" t="s">
        <v>803</v>
      </c>
      <c r="U163" s="36" t="s">
        <v>802</v>
      </c>
      <c r="V163" s="36">
        <v>0</v>
      </c>
      <c r="X163" s="2" t="s">
        <v>785</v>
      </c>
      <c r="Y163" s="1">
        <v>0</v>
      </c>
      <c r="Z163" s="1">
        <v>0</v>
      </c>
      <c r="AA163" s="1">
        <v>0</v>
      </c>
      <c r="AB163" s="1">
        <v>0</v>
      </c>
      <c r="AC163" s="1">
        <v>0</v>
      </c>
      <c r="AD163" s="1">
        <v>0</v>
      </c>
      <c r="AE163" s="1">
        <v>0</v>
      </c>
      <c r="AF163" s="1">
        <v>0</v>
      </c>
      <c r="AG163" s="1">
        <v>0</v>
      </c>
      <c r="AH163" s="1">
        <v>0</v>
      </c>
      <c r="AI163" s="1">
        <v>0</v>
      </c>
      <c r="AJ163" s="1" t="s">
        <v>983</v>
      </c>
    </row>
    <row r="164" spans="1:36" x14ac:dyDescent="0.15">
      <c r="A164" s="5" t="s">
        <v>67</v>
      </c>
      <c r="B164" s="3">
        <f t="shared" si="7"/>
        <v>1114</v>
      </c>
      <c r="C164" s="3" t="s">
        <v>67</v>
      </c>
      <c r="D164" s="1">
        <v>0</v>
      </c>
      <c r="E164" s="1">
        <v>8014</v>
      </c>
      <c r="F164" s="1">
        <v>0</v>
      </c>
      <c r="H164" s="1">
        <v>0</v>
      </c>
      <c r="I164" s="1">
        <v>0</v>
      </c>
      <c r="J164" s="1">
        <v>0</v>
      </c>
      <c r="K164" s="1">
        <v>0</v>
      </c>
      <c r="L164" s="1">
        <v>0</v>
      </c>
      <c r="M164" s="3">
        <v>29</v>
      </c>
      <c r="N164" s="1">
        <v>1</v>
      </c>
      <c r="O164" s="39">
        <v>194</v>
      </c>
      <c r="P164" s="39">
        <f t="shared" si="8"/>
        <v>97</v>
      </c>
      <c r="T164" s="36" t="s">
        <v>803</v>
      </c>
      <c r="U164" s="36" t="s">
        <v>802</v>
      </c>
      <c r="V164" s="36">
        <v>0</v>
      </c>
      <c r="X164" s="2" t="s">
        <v>785</v>
      </c>
      <c r="Y164" s="1">
        <v>0</v>
      </c>
      <c r="Z164" s="1">
        <v>0</v>
      </c>
      <c r="AA164" s="1">
        <v>0</v>
      </c>
      <c r="AB164" s="1">
        <v>0</v>
      </c>
      <c r="AC164" s="1">
        <v>0</v>
      </c>
      <c r="AD164" s="1">
        <v>0</v>
      </c>
      <c r="AE164" s="1">
        <v>0</v>
      </c>
      <c r="AF164" s="1">
        <v>0</v>
      </c>
      <c r="AG164" s="1">
        <v>0</v>
      </c>
      <c r="AH164" s="1">
        <v>0</v>
      </c>
      <c r="AI164" s="1">
        <v>0</v>
      </c>
      <c r="AJ164" s="1" t="s">
        <v>1089</v>
      </c>
    </row>
    <row r="165" spans="1:36" x14ac:dyDescent="0.15">
      <c r="A165" s="9" t="s">
        <v>68</v>
      </c>
      <c r="B165" s="3">
        <f t="shared" si="7"/>
        <v>1115</v>
      </c>
      <c r="C165" s="3" t="s">
        <v>68</v>
      </c>
      <c r="D165" s="1">
        <v>0</v>
      </c>
      <c r="E165" s="1">
        <v>8015</v>
      </c>
      <c r="F165" s="1">
        <v>0</v>
      </c>
      <c r="H165" s="1">
        <v>0</v>
      </c>
      <c r="I165" s="1">
        <v>0</v>
      </c>
      <c r="J165" s="1">
        <v>0</v>
      </c>
      <c r="K165" s="1">
        <v>0</v>
      </c>
      <c r="L165" s="1">
        <v>0</v>
      </c>
      <c r="M165" s="3">
        <v>29</v>
      </c>
      <c r="N165" s="1">
        <v>1</v>
      </c>
      <c r="O165" s="39">
        <v>194</v>
      </c>
      <c r="P165" s="39">
        <f t="shared" si="8"/>
        <v>97</v>
      </c>
      <c r="T165" s="36" t="s">
        <v>803</v>
      </c>
      <c r="U165" s="36" t="s">
        <v>802</v>
      </c>
      <c r="V165" s="36">
        <v>0</v>
      </c>
      <c r="X165" s="2" t="s">
        <v>785</v>
      </c>
      <c r="Y165" s="1">
        <v>0</v>
      </c>
      <c r="Z165" s="1">
        <v>0</v>
      </c>
      <c r="AA165" s="1">
        <v>0</v>
      </c>
      <c r="AB165" s="1">
        <v>0</v>
      </c>
      <c r="AC165" s="1">
        <v>0</v>
      </c>
      <c r="AD165" s="1">
        <v>0</v>
      </c>
      <c r="AE165" s="1">
        <v>0</v>
      </c>
      <c r="AF165" s="1">
        <v>0</v>
      </c>
      <c r="AG165" s="1">
        <v>0</v>
      </c>
      <c r="AH165" s="1">
        <v>0</v>
      </c>
      <c r="AI165" s="1">
        <v>0</v>
      </c>
      <c r="AJ165" s="1" t="s">
        <v>984</v>
      </c>
    </row>
    <row r="166" spans="1:36" x14ac:dyDescent="0.15">
      <c r="A166" s="9" t="s">
        <v>69</v>
      </c>
      <c r="B166" s="3">
        <f t="shared" si="7"/>
        <v>1116</v>
      </c>
      <c r="C166" s="3" t="s">
        <v>69</v>
      </c>
      <c r="D166" s="1">
        <v>0</v>
      </c>
      <c r="E166" s="1">
        <v>8016</v>
      </c>
      <c r="F166" s="1">
        <v>0</v>
      </c>
      <c r="H166" s="1">
        <v>0</v>
      </c>
      <c r="I166" s="1">
        <v>0</v>
      </c>
      <c r="J166" s="1">
        <v>0</v>
      </c>
      <c r="K166" s="1">
        <v>0</v>
      </c>
      <c r="L166" s="1">
        <v>0</v>
      </c>
      <c r="M166" s="3">
        <v>29</v>
      </c>
      <c r="N166" s="1">
        <v>1</v>
      </c>
      <c r="O166" s="39">
        <v>194</v>
      </c>
      <c r="P166" s="39">
        <f t="shared" si="8"/>
        <v>97</v>
      </c>
      <c r="T166" s="36" t="s">
        <v>803</v>
      </c>
      <c r="U166" s="36" t="s">
        <v>802</v>
      </c>
      <c r="V166" s="36">
        <v>0</v>
      </c>
      <c r="X166" s="2" t="s">
        <v>785</v>
      </c>
      <c r="Y166" s="1">
        <v>0</v>
      </c>
      <c r="Z166" s="1">
        <v>0</v>
      </c>
      <c r="AA166" s="1">
        <v>0</v>
      </c>
      <c r="AB166" s="1">
        <v>0</v>
      </c>
      <c r="AC166" s="1">
        <v>0</v>
      </c>
      <c r="AD166" s="1">
        <v>0</v>
      </c>
      <c r="AE166" s="1">
        <v>0</v>
      </c>
      <c r="AF166" s="1">
        <v>0</v>
      </c>
      <c r="AG166" s="1">
        <v>0</v>
      </c>
      <c r="AH166" s="1">
        <v>0</v>
      </c>
      <c r="AI166" s="1">
        <v>0</v>
      </c>
      <c r="AJ166" s="1" t="s">
        <v>992</v>
      </c>
    </row>
    <row r="167" spans="1:36" x14ac:dyDescent="0.15">
      <c r="A167" s="5" t="s">
        <v>70</v>
      </c>
      <c r="B167" s="3">
        <f t="shared" si="7"/>
        <v>1117</v>
      </c>
      <c r="C167" s="3" t="s">
        <v>70</v>
      </c>
      <c r="D167" s="1">
        <v>0</v>
      </c>
      <c r="E167" s="1">
        <v>8017</v>
      </c>
      <c r="F167" s="1">
        <v>0</v>
      </c>
      <c r="H167" s="1">
        <v>0</v>
      </c>
      <c r="I167" s="1">
        <v>0</v>
      </c>
      <c r="J167" s="1">
        <v>0</v>
      </c>
      <c r="K167" s="1">
        <v>0</v>
      </c>
      <c r="L167" s="1">
        <v>0</v>
      </c>
      <c r="M167" s="3">
        <v>29</v>
      </c>
      <c r="N167" s="1">
        <v>1</v>
      </c>
      <c r="O167" s="39">
        <v>287</v>
      </c>
      <c r="P167" s="39">
        <f t="shared" si="8"/>
        <v>144</v>
      </c>
      <c r="T167" s="36" t="s">
        <v>803</v>
      </c>
      <c r="U167" s="36" t="s">
        <v>802</v>
      </c>
      <c r="V167" s="36">
        <v>0</v>
      </c>
      <c r="X167" s="2" t="s">
        <v>785</v>
      </c>
      <c r="Y167" s="1">
        <v>0</v>
      </c>
      <c r="Z167" s="1">
        <v>0</v>
      </c>
      <c r="AA167" s="1">
        <v>0</v>
      </c>
      <c r="AB167" s="1">
        <v>0</v>
      </c>
      <c r="AC167" s="1">
        <v>0</v>
      </c>
      <c r="AD167" s="1">
        <v>0</v>
      </c>
      <c r="AE167" s="1">
        <v>0</v>
      </c>
      <c r="AF167" s="1">
        <v>0</v>
      </c>
      <c r="AG167" s="1">
        <v>0</v>
      </c>
      <c r="AH167" s="1">
        <v>0</v>
      </c>
      <c r="AI167" s="1">
        <v>0</v>
      </c>
      <c r="AJ167" s="1" t="s">
        <v>1092</v>
      </c>
    </row>
    <row r="168" spans="1:36" x14ac:dyDescent="0.15">
      <c r="A168" s="9" t="s">
        <v>71</v>
      </c>
      <c r="B168" s="3">
        <f t="shared" si="7"/>
        <v>1118</v>
      </c>
      <c r="C168" s="3" t="s">
        <v>71</v>
      </c>
      <c r="D168" s="1">
        <v>0</v>
      </c>
      <c r="E168" s="1">
        <v>8018</v>
      </c>
      <c r="F168" s="1">
        <v>0</v>
      </c>
      <c r="H168" s="1">
        <v>0</v>
      </c>
      <c r="I168" s="1">
        <v>0</v>
      </c>
      <c r="J168" s="1">
        <v>0</v>
      </c>
      <c r="K168" s="1">
        <v>0</v>
      </c>
      <c r="L168" s="1">
        <v>0</v>
      </c>
      <c r="M168" s="3">
        <v>29</v>
      </c>
      <c r="N168" s="1">
        <v>1</v>
      </c>
      <c r="O168" s="39">
        <v>287</v>
      </c>
      <c r="P168" s="39">
        <f t="shared" si="8"/>
        <v>144</v>
      </c>
      <c r="T168" s="36" t="s">
        <v>803</v>
      </c>
      <c r="U168" s="36" t="s">
        <v>802</v>
      </c>
      <c r="V168" s="36">
        <v>0</v>
      </c>
      <c r="X168" s="2" t="s">
        <v>785</v>
      </c>
      <c r="Y168" s="1">
        <v>0</v>
      </c>
      <c r="Z168" s="1">
        <v>0</v>
      </c>
      <c r="AA168" s="1">
        <v>0</v>
      </c>
      <c r="AB168" s="1">
        <v>0</v>
      </c>
      <c r="AC168" s="1">
        <v>0</v>
      </c>
      <c r="AD168" s="1">
        <v>0</v>
      </c>
      <c r="AE168" s="1">
        <v>0</v>
      </c>
      <c r="AF168" s="1">
        <v>0</v>
      </c>
      <c r="AG168" s="1">
        <v>0</v>
      </c>
      <c r="AH168" s="1">
        <v>0</v>
      </c>
      <c r="AI168" s="1">
        <v>0</v>
      </c>
      <c r="AJ168" s="1" t="s">
        <v>980</v>
      </c>
    </row>
    <row r="169" spans="1:36" x14ac:dyDescent="0.15">
      <c r="A169" s="9" t="s">
        <v>72</v>
      </c>
      <c r="B169" s="3">
        <f t="shared" si="7"/>
        <v>1119</v>
      </c>
      <c r="C169" s="3" t="s">
        <v>72</v>
      </c>
      <c r="D169" s="1">
        <v>0</v>
      </c>
      <c r="E169" s="1">
        <v>8019</v>
      </c>
      <c r="F169" s="1">
        <v>0</v>
      </c>
      <c r="H169" s="1">
        <v>0</v>
      </c>
      <c r="I169" s="1">
        <v>0</v>
      </c>
      <c r="J169" s="1">
        <v>0</v>
      </c>
      <c r="K169" s="1">
        <v>0</v>
      </c>
      <c r="L169" s="1">
        <v>0</v>
      </c>
      <c r="M169" s="3">
        <v>29</v>
      </c>
      <c r="N169" s="1">
        <v>1</v>
      </c>
      <c r="O169" s="39">
        <v>287</v>
      </c>
      <c r="P169" s="39">
        <f t="shared" si="8"/>
        <v>144</v>
      </c>
      <c r="T169" s="36" t="s">
        <v>803</v>
      </c>
      <c r="U169" s="36" t="s">
        <v>802</v>
      </c>
      <c r="V169" s="36">
        <v>0</v>
      </c>
      <c r="X169" s="2" t="s">
        <v>785</v>
      </c>
      <c r="Y169" s="1">
        <v>0</v>
      </c>
      <c r="Z169" s="1">
        <v>0</v>
      </c>
      <c r="AA169" s="1">
        <v>0</v>
      </c>
      <c r="AB169" s="1">
        <v>0</v>
      </c>
      <c r="AC169" s="1">
        <v>0</v>
      </c>
      <c r="AD169" s="1">
        <v>0</v>
      </c>
      <c r="AE169" s="1">
        <v>0</v>
      </c>
      <c r="AF169" s="1">
        <v>0</v>
      </c>
      <c r="AG169" s="1">
        <v>0</v>
      </c>
      <c r="AH169" s="1">
        <v>0</v>
      </c>
      <c r="AI169" s="1">
        <v>0</v>
      </c>
      <c r="AJ169" s="1" t="s">
        <v>1106</v>
      </c>
    </row>
    <row r="170" spans="1:36" x14ac:dyDescent="0.15">
      <c r="A170" s="9" t="s">
        <v>73</v>
      </c>
      <c r="B170" s="3">
        <f t="shared" si="7"/>
        <v>1120</v>
      </c>
      <c r="C170" s="3" t="s">
        <v>73</v>
      </c>
      <c r="D170" s="1">
        <v>0</v>
      </c>
      <c r="E170" s="1">
        <v>8020</v>
      </c>
      <c r="F170" s="1">
        <v>0</v>
      </c>
      <c r="H170" s="1">
        <v>0</v>
      </c>
      <c r="I170" s="1">
        <v>0</v>
      </c>
      <c r="J170" s="1">
        <v>0</v>
      </c>
      <c r="K170" s="1">
        <v>0</v>
      </c>
      <c r="L170" s="1">
        <v>0</v>
      </c>
      <c r="M170" s="3">
        <v>29</v>
      </c>
      <c r="N170" s="1">
        <v>1</v>
      </c>
      <c r="O170" s="39">
        <v>409</v>
      </c>
      <c r="P170" s="39">
        <f t="shared" si="8"/>
        <v>205</v>
      </c>
      <c r="T170" s="36" t="s">
        <v>803</v>
      </c>
      <c r="U170" s="36" t="s">
        <v>802</v>
      </c>
      <c r="V170" s="36">
        <v>0</v>
      </c>
      <c r="X170" s="2" t="s">
        <v>785</v>
      </c>
      <c r="Y170" s="1">
        <v>0</v>
      </c>
      <c r="Z170" s="1">
        <v>0</v>
      </c>
      <c r="AA170" s="1">
        <v>0</v>
      </c>
      <c r="AB170" s="1">
        <v>0</v>
      </c>
      <c r="AC170" s="1">
        <v>0</v>
      </c>
      <c r="AD170" s="1">
        <v>0</v>
      </c>
      <c r="AE170" s="1">
        <v>0</v>
      </c>
      <c r="AF170" s="1">
        <v>0</v>
      </c>
      <c r="AG170" s="1">
        <v>0</v>
      </c>
      <c r="AH170" s="1">
        <v>0</v>
      </c>
      <c r="AI170" s="1">
        <v>0</v>
      </c>
      <c r="AJ170" s="1" t="s">
        <v>1094</v>
      </c>
    </row>
    <row r="171" spans="1:36" x14ac:dyDescent="0.15">
      <c r="A171" s="5" t="s">
        <v>74</v>
      </c>
      <c r="B171" s="3">
        <f t="shared" si="7"/>
        <v>1121</v>
      </c>
      <c r="C171" s="3" t="s">
        <v>74</v>
      </c>
      <c r="D171" s="1">
        <v>0</v>
      </c>
      <c r="E171" s="1">
        <v>8021</v>
      </c>
      <c r="F171" s="1">
        <v>0</v>
      </c>
      <c r="H171" s="1">
        <v>0</v>
      </c>
      <c r="I171" s="1">
        <v>0</v>
      </c>
      <c r="J171" s="1">
        <v>0</v>
      </c>
      <c r="K171" s="1">
        <v>0</v>
      </c>
      <c r="L171" s="1">
        <v>0</v>
      </c>
      <c r="M171" s="3">
        <v>29</v>
      </c>
      <c r="N171" s="1">
        <v>1</v>
      </c>
      <c r="O171" s="39">
        <v>409</v>
      </c>
      <c r="P171" s="39">
        <f t="shared" si="8"/>
        <v>205</v>
      </c>
      <c r="T171" s="36" t="s">
        <v>803</v>
      </c>
      <c r="U171" s="36" t="s">
        <v>802</v>
      </c>
      <c r="V171" s="36">
        <v>0</v>
      </c>
      <c r="X171" s="2" t="s">
        <v>785</v>
      </c>
      <c r="Y171" s="1">
        <v>0</v>
      </c>
      <c r="Z171" s="1">
        <v>0</v>
      </c>
      <c r="AA171" s="1">
        <v>0</v>
      </c>
      <c r="AB171" s="1">
        <v>0</v>
      </c>
      <c r="AC171" s="1">
        <v>0</v>
      </c>
      <c r="AD171" s="1">
        <v>0</v>
      </c>
      <c r="AE171" s="1">
        <v>0</v>
      </c>
      <c r="AF171" s="1">
        <v>0</v>
      </c>
      <c r="AG171" s="1">
        <v>0</v>
      </c>
      <c r="AH171" s="1">
        <v>0</v>
      </c>
      <c r="AI171" s="1">
        <v>0</v>
      </c>
      <c r="AJ171" s="1" t="s">
        <v>1096</v>
      </c>
    </row>
    <row r="172" spans="1:36" x14ac:dyDescent="0.15">
      <c r="A172" s="9" t="s">
        <v>75</v>
      </c>
      <c r="B172" s="3">
        <f t="shared" si="7"/>
        <v>1122</v>
      </c>
      <c r="C172" s="3" t="s">
        <v>75</v>
      </c>
      <c r="D172" s="1">
        <v>0</v>
      </c>
      <c r="E172" s="1">
        <v>8022</v>
      </c>
      <c r="F172" s="1">
        <v>0</v>
      </c>
      <c r="H172" s="1">
        <v>0</v>
      </c>
      <c r="I172" s="1">
        <v>0</v>
      </c>
      <c r="J172" s="1">
        <v>0</v>
      </c>
      <c r="K172" s="1">
        <v>0</v>
      </c>
      <c r="L172" s="1">
        <v>0</v>
      </c>
      <c r="M172" s="3">
        <v>29</v>
      </c>
      <c r="N172" s="1">
        <v>1</v>
      </c>
      <c r="O172" s="39">
        <v>409</v>
      </c>
      <c r="P172" s="39">
        <f t="shared" si="8"/>
        <v>205</v>
      </c>
      <c r="T172" s="36" t="s">
        <v>803</v>
      </c>
      <c r="U172" s="36" t="s">
        <v>802</v>
      </c>
      <c r="V172" s="36">
        <v>0</v>
      </c>
      <c r="X172" s="2" t="s">
        <v>785</v>
      </c>
      <c r="Y172" s="1">
        <v>0</v>
      </c>
      <c r="Z172" s="1">
        <v>0</v>
      </c>
      <c r="AA172" s="1">
        <v>0</v>
      </c>
      <c r="AB172" s="1">
        <v>0</v>
      </c>
      <c r="AC172" s="1">
        <v>0</v>
      </c>
      <c r="AD172" s="1">
        <v>0</v>
      </c>
      <c r="AE172" s="1">
        <v>0</v>
      </c>
      <c r="AF172" s="1">
        <v>0</v>
      </c>
      <c r="AG172" s="1">
        <v>0</v>
      </c>
      <c r="AH172" s="1">
        <v>0</v>
      </c>
      <c r="AI172" s="1">
        <v>0</v>
      </c>
      <c r="AJ172" s="1" t="s">
        <v>989</v>
      </c>
    </row>
    <row r="173" spans="1:36" x14ac:dyDescent="0.15">
      <c r="A173" s="5" t="s">
        <v>76</v>
      </c>
      <c r="B173" s="3">
        <f t="shared" si="7"/>
        <v>1123</v>
      </c>
      <c r="C173" s="3" t="s">
        <v>76</v>
      </c>
      <c r="D173" s="1">
        <v>0</v>
      </c>
      <c r="E173" s="1">
        <v>8023</v>
      </c>
      <c r="F173" s="1">
        <v>0</v>
      </c>
      <c r="H173" s="1">
        <v>0</v>
      </c>
      <c r="I173" s="1">
        <v>0</v>
      </c>
      <c r="J173" s="1">
        <v>0</v>
      </c>
      <c r="K173" s="1">
        <v>0</v>
      </c>
      <c r="L173" s="1">
        <v>0</v>
      </c>
      <c r="M173" s="3">
        <v>29</v>
      </c>
      <c r="N173" s="1">
        <v>1</v>
      </c>
      <c r="O173" s="39">
        <v>566</v>
      </c>
      <c r="P173" s="39">
        <f t="shared" si="8"/>
        <v>283</v>
      </c>
      <c r="T173" s="36" t="s">
        <v>803</v>
      </c>
      <c r="U173" s="36" t="s">
        <v>802</v>
      </c>
      <c r="V173" s="36">
        <v>0</v>
      </c>
      <c r="X173" s="2" t="s">
        <v>785</v>
      </c>
      <c r="Y173" s="1">
        <v>0</v>
      </c>
      <c r="Z173" s="1">
        <v>0</v>
      </c>
      <c r="AA173" s="1">
        <v>0</v>
      </c>
      <c r="AB173" s="1">
        <v>0</v>
      </c>
      <c r="AC173" s="1">
        <v>0</v>
      </c>
      <c r="AD173" s="1">
        <v>0</v>
      </c>
      <c r="AE173" s="1">
        <v>0</v>
      </c>
      <c r="AF173" s="1">
        <v>0</v>
      </c>
      <c r="AG173" s="1">
        <v>0</v>
      </c>
      <c r="AH173" s="1">
        <v>0</v>
      </c>
      <c r="AI173" s="1">
        <v>0</v>
      </c>
      <c r="AJ173" s="1" t="s">
        <v>1098</v>
      </c>
    </row>
    <row r="174" spans="1:36" x14ac:dyDescent="0.15">
      <c r="A174" s="5" t="s">
        <v>77</v>
      </c>
      <c r="B174" s="3">
        <f t="shared" si="7"/>
        <v>1124</v>
      </c>
      <c r="C174" s="3" t="s">
        <v>77</v>
      </c>
      <c r="D174" s="1">
        <v>0</v>
      </c>
      <c r="E174" s="1">
        <v>8024</v>
      </c>
      <c r="F174" s="1">
        <v>0</v>
      </c>
      <c r="H174" s="1">
        <v>0</v>
      </c>
      <c r="I174" s="1">
        <v>0</v>
      </c>
      <c r="J174" s="1">
        <v>0</v>
      </c>
      <c r="K174" s="1">
        <v>0</v>
      </c>
      <c r="L174" s="1">
        <v>0</v>
      </c>
      <c r="M174" s="3">
        <v>29</v>
      </c>
      <c r="N174" s="1">
        <v>1</v>
      </c>
      <c r="O174" s="39">
        <v>566</v>
      </c>
      <c r="P174" s="39">
        <f t="shared" si="8"/>
        <v>283</v>
      </c>
      <c r="T174" s="36" t="s">
        <v>803</v>
      </c>
      <c r="U174" s="36" t="s">
        <v>802</v>
      </c>
      <c r="V174" s="36">
        <v>0</v>
      </c>
      <c r="X174" s="2" t="s">
        <v>785</v>
      </c>
      <c r="Y174" s="1">
        <v>0</v>
      </c>
      <c r="Z174" s="1">
        <v>0</v>
      </c>
      <c r="AA174" s="1">
        <v>0</v>
      </c>
      <c r="AB174" s="1">
        <v>0</v>
      </c>
      <c r="AC174" s="1">
        <v>0</v>
      </c>
      <c r="AD174" s="1">
        <v>0</v>
      </c>
      <c r="AE174" s="1">
        <v>0</v>
      </c>
      <c r="AF174" s="1">
        <v>0</v>
      </c>
      <c r="AG174" s="1">
        <v>0</v>
      </c>
      <c r="AH174" s="1">
        <v>0</v>
      </c>
      <c r="AI174" s="1">
        <v>0</v>
      </c>
      <c r="AJ174" s="1" t="s">
        <v>1100</v>
      </c>
    </row>
    <row r="175" spans="1:36" x14ac:dyDescent="0.15">
      <c r="A175" s="9" t="s">
        <v>78</v>
      </c>
      <c r="B175" s="3">
        <f t="shared" si="7"/>
        <v>1125</v>
      </c>
      <c r="C175" s="3" t="s">
        <v>78</v>
      </c>
      <c r="D175" s="1">
        <v>0</v>
      </c>
      <c r="E175" s="1">
        <v>8025</v>
      </c>
      <c r="F175" s="1">
        <v>0</v>
      </c>
      <c r="H175" s="1">
        <v>0</v>
      </c>
      <c r="I175" s="1">
        <v>0</v>
      </c>
      <c r="J175" s="1">
        <v>0</v>
      </c>
      <c r="K175" s="1">
        <v>0</v>
      </c>
      <c r="L175" s="1">
        <v>0</v>
      </c>
      <c r="M175" s="3">
        <v>29</v>
      </c>
      <c r="N175" s="1">
        <v>1</v>
      </c>
      <c r="O175" s="39">
        <v>566</v>
      </c>
      <c r="P175" s="39">
        <f t="shared" si="8"/>
        <v>283</v>
      </c>
      <c r="T175" s="36" t="s">
        <v>803</v>
      </c>
      <c r="U175" s="36" t="s">
        <v>802</v>
      </c>
      <c r="V175" s="36">
        <v>0</v>
      </c>
      <c r="X175" s="2" t="s">
        <v>785</v>
      </c>
      <c r="Y175" s="1">
        <v>0</v>
      </c>
      <c r="Z175" s="1">
        <v>0</v>
      </c>
      <c r="AA175" s="1">
        <v>0</v>
      </c>
      <c r="AB175" s="1">
        <v>0</v>
      </c>
      <c r="AC175" s="1">
        <v>0</v>
      </c>
      <c r="AD175" s="1">
        <v>0</v>
      </c>
      <c r="AE175" s="1">
        <v>0</v>
      </c>
      <c r="AF175" s="1">
        <v>0</v>
      </c>
      <c r="AG175" s="1">
        <v>0</v>
      </c>
      <c r="AH175" s="1">
        <v>0</v>
      </c>
      <c r="AI175" s="1">
        <v>0</v>
      </c>
      <c r="AJ175" s="1" t="s">
        <v>993</v>
      </c>
    </row>
    <row r="176" spans="1:36" x14ac:dyDescent="0.15">
      <c r="A176" s="9" t="s">
        <v>79</v>
      </c>
      <c r="B176" s="3">
        <f t="shared" si="7"/>
        <v>1126</v>
      </c>
      <c r="C176" s="3" t="s">
        <v>79</v>
      </c>
      <c r="D176" s="1">
        <v>0</v>
      </c>
      <c r="E176" s="1">
        <v>8026</v>
      </c>
      <c r="F176" s="1">
        <v>0</v>
      </c>
      <c r="H176" s="1">
        <v>0</v>
      </c>
      <c r="I176" s="1">
        <v>0</v>
      </c>
      <c r="J176" s="1">
        <v>0</v>
      </c>
      <c r="K176" s="1">
        <v>0</v>
      </c>
      <c r="L176" s="1">
        <v>0</v>
      </c>
      <c r="M176" s="3">
        <v>29</v>
      </c>
      <c r="N176" s="1">
        <v>1</v>
      </c>
      <c r="O176" s="39">
        <v>762</v>
      </c>
      <c r="P176" s="39">
        <f t="shared" si="8"/>
        <v>381</v>
      </c>
      <c r="T176" s="36" t="s">
        <v>803</v>
      </c>
      <c r="U176" s="36" t="s">
        <v>802</v>
      </c>
      <c r="V176" s="36">
        <v>0</v>
      </c>
      <c r="X176" s="2" t="s">
        <v>785</v>
      </c>
      <c r="Y176" s="1">
        <v>0</v>
      </c>
      <c r="Z176" s="1">
        <v>0</v>
      </c>
      <c r="AA176" s="1">
        <v>0</v>
      </c>
      <c r="AB176" s="1">
        <v>0</v>
      </c>
      <c r="AC176" s="1">
        <v>0</v>
      </c>
      <c r="AD176" s="1">
        <v>0</v>
      </c>
      <c r="AE176" s="1">
        <v>0</v>
      </c>
      <c r="AF176" s="1">
        <v>0</v>
      </c>
      <c r="AG176" s="1">
        <v>0</v>
      </c>
      <c r="AH176" s="1">
        <v>0</v>
      </c>
      <c r="AI176" s="1">
        <v>0</v>
      </c>
      <c r="AJ176" s="1" t="s">
        <v>990</v>
      </c>
    </row>
    <row r="177" spans="1:36" x14ac:dyDescent="0.15">
      <c r="A177" s="9" t="s">
        <v>80</v>
      </c>
      <c r="B177" s="3">
        <f t="shared" si="7"/>
        <v>1127</v>
      </c>
      <c r="C177" s="3" t="s">
        <v>80</v>
      </c>
      <c r="D177" s="1">
        <v>0</v>
      </c>
      <c r="E177" s="1">
        <v>8027</v>
      </c>
      <c r="F177" s="1">
        <v>0</v>
      </c>
      <c r="H177" s="1">
        <v>0</v>
      </c>
      <c r="I177" s="1">
        <v>0</v>
      </c>
      <c r="J177" s="1">
        <v>0</v>
      </c>
      <c r="K177" s="1">
        <v>0</v>
      </c>
      <c r="L177" s="1">
        <v>0</v>
      </c>
      <c r="M177" s="3">
        <v>29</v>
      </c>
      <c r="N177" s="1">
        <v>1</v>
      </c>
      <c r="O177" s="39">
        <v>762</v>
      </c>
      <c r="P177" s="39">
        <f t="shared" si="8"/>
        <v>381</v>
      </c>
      <c r="T177" s="36" t="s">
        <v>803</v>
      </c>
      <c r="U177" s="36" t="s">
        <v>802</v>
      </c>
      <c r="V177" s="36">
        <v>0</v>
      </c>
      <c r="X177" s="2" t="s">
        <v>785</v>
      </c>
      <c r="Y177" s="1">
        <v>0</v>
      </c>
      <c r="Z177" s="1">
        <v>0</v>
      </c>
      <c r="AA177" s="1">
        <v>0</v>
      </c>
      <c r="AB177" s="1">
        <v>0</v>
      </c>
      <c r="AC177" s="1">
        <v>0</v>
      </c>
      <c r="AD177" s="1">
        <v>0</v>
      </c>
      <c r="AE177" s="1">
        <v>0</v>
      </c>
      <c r="AF177" s="1">
        <v>0</v>
      </c>
      <c r="AG177" s="1">
        <v>0</v>
      </c>
      <c r="AH177" s="1">
        <v>0</v>
      </c>
      <c r="AI177" s="1">
        <v>0</v>
      </c>
      <c r="AJ177" s="1" t="s">
        <v>1102</v>
      </c>
    </row>
    <row r="178" spans="1:36" x14ac:dyDescent="0.15">
      <c r="A178" s="9" t="s">
        <v>81</v>
      </c>
      <c r="B178" s="3">
        <f t="shared" si="7"/>
        <v>1128</v>
      </c>
      <c r="C178" s="3" t="s">
        <v>81</v>
      </c>
      <c r="D178" s="1">
        <v>0</v>
      </c>
      <c r="E178" s="1">
        <v>8028</v>
      </c>
      <c r="F178" s="1">
        <v>0</v>
      </c>
      <c r="H178" s="1">
        <v>0</v>
      </c>
      <c r="I178" s="1">
        <v>0</v>
      </c>
      <c r="J178" s="1">
        <v>0</v>
      </c>
      <c r="K178" s="1">
        <v>0</v>
      </c>
      <c r="L178" s="1">
        <v>0</v>
      </c>
      <c r="M178" s="3">
        <v>29</v>
      </c>
      <c r="N178" s="1">
        <v>1</v>
      </c>
      <c r="O178" s="39">
        <v>762</v>
      </c>
      <c r="P178" s="39">
        <f t="shared" si="8"/>
        <v>381</v>
      </c>
      <c r="T178" s="36" t="s">
        <v>803</v>
      </c>
      <c r="U178" s="36" t="s">
        <v>802</v>
      </c>
      <c r="V178" s="36">
        <v>0</v>
      </c>
      <c r="X178" s="2" t="s">
        <v>785</v>
      </c>
      <c r="Y178" s="1">
        <v>0</v>
      </c>
      <c r="Z178" s="1">
        <v>0</v>
      </c>
      <c r="AA178" s="1">
        <v>0</v>
      </c>
      <c r="AB178" s="1">
        <v>0</v>
      </c>
      <c r="AC178" s="1">
        <v>0</v>
      </c>
      <c r="AD178" s="1">
        <v>0</v>
      </c>
      <c r="AE178" s="1">
        <v>0</v>
      </c>
      <c r="AF178" s="1">
        <v>0</v>
      </c>
      <c r="AG178" s="1">
        <v>0</v>
      </c>
      <c r="AH178" s="1">
        <v>0</v>
      </c>
      <c r="AI178" s="1">
        <v>0</v>
      </c>
      <c r="AJ178" s="1" t="s">
        <v>1104</v>
      </c>
    </row>
    <row r="179" spans="1:36" x14ac:dyDescent="0.15">
      <c r="A179" s="1" t="s">
        <v>330</v>
      </c>
      <c r="B179" s="3">
        <v>1600</v>
      </c>
      <c r="C179" s="28" t="s">
        <v>330</v>
      </c>
      <c r="D179" s="1">
        <v>1</v>
      </c>
      <c r="E179" s="1">
        <v>0</v>
      </c>
      <c r="F179" s="1">
        <v>1</v>
      </c>
      <c r="G179" s="1">
        <v>5008</v>
      </c>
      <c r="H179" s="1" t="s">
        <v>1440</v>
      </c>
      <c r="I179" s="1">
        <v>0</v>
      </c>
      <c r="J179" s="1">
        <v>0</v>
      </c>
      <c r="K179" s="1">
        <v>0</v>
      </c>
      <c r="L179" s="1">
        <v>0</v>
      </c>
      <c r="M179" s="3">
        <v>1</v>
      </c>
      <c r="N179" s="1">
        <v>1</v>
      </c>
      <c r="O179" s="39">
        <v>522.90000000000009</v>
      </c>
      <c r="P179" s="39">
        <f>O179/2</f>
        <v>261.45000000000005</v>
      </c>
      <c r="T179" s="36" t="s">
        <v>803</v>
      </c>
      <c r="U179" s="36" t="s">
        <v>802</v>
      </c>
      <c r="V179" s="36">
        <v>0</v>
      </c>
      <c r="X179" s="2" t="s">
        <v>786</v>
      </c>
      <c r="Y179" s="1">
        <v>0</v>
      </c>
      <c r="Z179" s="1">
        <v>0</v>
      </c>
      <c r="AA179" s="1">
        <v>0</v>
      </c>
      <c r="AB179" s="1">
        <v>0</v>
      </c>
      <c r="AC179" s="1">
        <v>0</v>
      </c>
      <c r="AD179" s="1">
        <v>0</v>
      </c>
      <c r="AE179" s="1">
        <v>10</v>
      </c>
      <c r="AF179" s="1">
        <v>0</v>
      </c>
      <c r="AG179" s="1">
        <v>0</v>
      </c>
      <c r="AH179" s="1">
        <v>0</v>
      </c>
      <c r="AI179" s="1">
        <v>0</v>
      </c>
      <c r="AJ179" s="1" t="e">
        <f>VLOOKUP(ItemData!A179,Sheet8!N:O,2,FALSE)</f>
        <v>#N/A</v>
      </c>
    </row>
    <row r="180" spans="1:36" x14ac:dyDescent="0.15">
      <c r="A180" s="1" t="s">
        <v>331</v>
      </c>
      <c r="B180" s="3">
        <v>1601</v>
      </c>
      <c r="C180" s="1" t="s">
        <v>331</v>
      </c>
      <c r="D180" s="1">
        <v>1</v>
      </c>
      <c r="E180" s="1">
        <v>1009</v>
      </c>
      <c r="F180" s="1">
        <v>1</v>
      </c>
      <c r="H180" s="1" t="s">
        <v>1441</v>
      </c>
      <c r="I180" s="1">
        <v>0</v>
      </c>
      <c r="J180" s="1">
        <v>0</v>
      </c>
      <c r="K180" s="1">
        <v>0</v>
      </c>
      <c r="L180" s="1">
        <v>0</v>
      </c>
      <c r="M180" s="3">
        <v>1</v>
      </c>
      <c r="N180" s="1">
        <v>1</v>
      </c>
      <c r="O180" s="39">
        <v>2832.0515999999998</v>
      </c>
      <c r="P180" s="39">
        <f t="shared" ref="P180:P236" si="9">O180/2</f>
        <v>1416.0257999999999</v>
      </c>
      <c r="T180" s="36" t="s">
        <v>803</v>
      </c>
      <c r="U180" s="36" t="s">
        <v>802</v>
      </c>
      <c r="V180" s="36">
        <v>0</v>
      </c>
      <c r="X180" s="2" t="s">
        <v>786</v>
      </c>
      <c r="Y180" s="1">
        <v>0</v>
      </c>
      <c r="Z180" s="1">
        <v>0</v>
      </c>
      <c r="AA180" s="1">
        <v>0</v>
      </c>
      <c r="AB180" s="1">
        <v>0</v>
      </c>
      <c r="AC180" s="1">
        <v>0</v>
      </c>
      <c r="AD180" s="1">
        <v>0</v>
      </c>
      <c r="AE180" s="1">
        <v>32</v>
      </c>
      <c r="AF180" s="1">
        <v>0</v>
      </c>
      <c r="AG180" s="1">
        <v>-10</v>
      </c>
      <c r="AH180" s="1">
        <v>0</v>
      </c>
      <c r="AI180" s="1">
        <v>0</v>
      </c>
      <c r="AJ180" s="1" t="s">
        <v>1108</v>
      </c>
    </row>
    <row r="181" spans="1:36" x14ac:dyDescent="0.15">
      <c r="A181" s="1" t="s">
        <v>391</v>
      </c>
      <c r="B181" s="3">
        <v>1602</v>
      </c>
      <c r="C181" s="30" t="s">
        <v>391</v>
      </c>
      <c r="D181" s="1">
        <v>1</v>
      </c>
      <c r="E181" s="1">
        <v>1191</v>
      </c>
      <c r="F181" s="1">
        <v>1</v>
      </c>
      <c r="H181" s="1" t="s">
        <v>1442</v>
      </c>
      <c r="I181" s="1">
        <v>0</v>
      </c>
      <c r="J181" s="1">
        <v>0</v>
      </c>
      <c r="K181" s="1">
        <v>2</v>
      </c>
      <c r="L181" s="1">
        <v>0</v>
      </c>
      <c r="M181" s="3">
        <v>1</v>
      </c>
      <c r="N181" s="1">
        <v>1</v>
      </c>
      <c r="O181" s="39">
        <v>34070.400000000009</v>
      </c>
      <c r="P181" s="39">
        <f t="shared" si="9"/>
        <v>17035.200000000004</v>
      </c>
      <c r="T181" s="36" t="s">
        <v>803</v>
      </c>
      <c r="U181" s="36" t="s">
        <v>802</v>
      </c>
      <c r="V181" s="36">
        <v>0</v>
      </c>
      <c r="X181" s="2" t="s">
        <v>786</v>
      </c>
      <c r="Y181" s="1">
        <v>0</v>
      </c>
      <c r="Z181" s="1">
        <v>0</v>
      </c>
      <c r="AA181" s="1">
        <v>0</v>
      </c>
      <c r="AB181" s="1">
        <v>0</v>
      </c>
      <c r="AC181" s="1">
        <v>0</v>
      </c>
      <c r="AD181" s="1">
        <v>0</v>
      </c>
      <c r="AE181" s="1">
        <v>70</v>
      </c>
      <c r="AF181" s="1">
        <v>0</v>
      </c>
      <c r="AG181" s="1">
        <v>0</v>
      </c>
      <c r="AH181" s="1">
        <v>0</v>
      </c>
      <c r="AI181" s="1">
        <v>0</v>
      </c>
      <c r="AJ181" s="1" t="s">
        <v>1109</v>
      </c>
    </row>
    <row r="182" spans="1:36" x14ac:dyDescent="0.15">
      <c r="A182" s="1" t="s">
        <v>332</v>
      </c>
      <c r="B182" s="3">
        <v>1603</v>
      </c>
      <c r="C182" s="31" t="s">
        <v>332</v>
      </c>
      <c r="D182" s="1">
        <v>1</v>
      </c>
      <c r="E182" s="1">
        <v>1282</v>
      </c>
      <c r="F182" s="1">
        <v>1</v>
      </c>
      <c r="H182" s="1" t="s">
        <v>1442</v>
      </c>
      <c r="I182" s="1">
        <v>0</v>
      </c>
      <c r="J182" s="1">
        <v>0</v>
      </c>
      <c r="K182" s="1">
        <v>5</v>
      </c>
      <c r="L182" s="1">
        <v>0</v>
      </c>
      <c r="M182" s="3">
        <v>1</v>
      </c>
      <c r="N182" s="1">
        <v>1</v>
      </c>
      <c r="O182" s="39">
        <v>25841.289600000011</v>
      </c>
      <c r="P182" s="39">
        <f t="shared" si="9"/>
        <v>12920.644800000005</v>
      </c>
      <c r="T182" s="36" t="s">
        <v>803</v>
      </c>
      <c r="U182" s="36" t="s">
        <v>802</v>
      </c>
      <c r="V182" s="36">
        <v>0</v>
      </c>
      <c r="X182" s="2" t="s">
        <v>786</v>
      </c>
      <c r="Y182" s="1">
        <v>0</v>
      </c>
      <c r="Z182" s="1">
        <v>0</v>
      </c>
      <c r="AA182" s="1">
        <v>0</v>
      </c>
      <c r="AB182" s="1">
        <v>0</v>
      </c>
      <c r="AC182" s="1">
        <v>0</v>
      </c>
      <c r="AD182" s="1">
        <v>0</v>
      </c>
      <c r="AE182" s="1">
        <v>53</v>
      </c>
      <c r="AF182" s="1">
        <v>10</v>
      </c>
      <c r="AG182" s="1">
        <v>0</v>
      </c>
      <c r="AH182" s="1">
        <v>0</v>
      </c>
      <c r="AI182" s="1">
        <v>0</v>
      </c>
      <c r="AJ182" s="1" t="s">
        <v>1110</v>
      </c>
    </row>
    <row r="183" spans="1:36" x14ac:dyDescent="0.15">
      <c r="A183" s="1" t="s">
        <v>392</v>
      </c>
      <c r="B183" s="3">
        <v>1604</v>
      </c>
      <c r="C183" s="29" t="s">
        <v>392</v>
      </c>
      <c r="D183" s="1">
        <v>1</v>
      </c>
      <c r="E183" s="1">
        <v>1100</v>
      </c>
      <c r="F183" s="1">
        <v>1</v>
      </c>
      <c r="H183" s="1" t="s">
        <v>1442</v>
      </c>
      <c r="I183" s="1">
        <v>0</v>
      </c>
      <c r="J183" s="1">
        <v>0</v>
      </c>
      <c r="K183" s="1">
        <v>3</v>
      </c>
      <c r="L183" s="1">
        <v>0</v>
      </c>
      <c r="M183" s="3">
        <v>1</v>
      </c>
      <c r="N183" s="1">
        <v>1</v>
      </c>
      <c r="O183" s="39">
        <v>36717.926400000011</v>
      </c>
      <c r="P183" s="39">
        <f t="shared" si="9"/>
        <v>18358.963200000006</v>
      </c>
      <c r="T183" s="36" t="s">
        <v>803</v>
      </c>
      <c r="U183" s="36" t="s">
        <v>802</v>
      </c>
      <c r="V183" s="36">
        <v>0</v>
      </c>
      <c r="X183" s="2" t="s">
        <v>786</v>
      </c>
      <c r="Y183" s="1">
        <v>0</v>
      </c>
      <c r="Z183" s="1">
        <v>0</v>
      </c>
      <c r="AA183" s="1">
        <v>0</v>
      </c>
      <c r="AB183" s="1">
        <v>0</v>
      </c>
      <c r="AC183" s="1">
        <v>0</v>
      </c>
      <c r="AD183" s="1">
        <v>0</v>
      </c>
      <c r="AE183" s="1">
        <v>73</v>
      </c>
      <c r="AF183" s="1">
        <v>0</v>
      </c>
      <c r="AG183" s="1">
        <v>0</v>
      </c>
      <c r="AH183" s="1">
        <v>-5</v>
      </c>
      <c r="AI183" s="1">
        <v>0</v>
      </c>
      <c r="AJ183" s="1" t="s">
        <v>1111</v>
      </c>
    </row>
    <row r="184" spans="1:36" x14ac:dyDescent="0.15">
      <c r="A184" s="1" t="s">
        <v>333</v>
      </c>
      <c r="B184" s="3">
        <v>1605</v>
      </c>
      <c r="C184" s="1" t="s">
        <v>333</v>
      </c>
      <c r="D184" s="1">
        <v>1</v>
      </c>
      <c r="E184" s="1">
        <v>0</v>
      </c>
      <c r="F184" s="1">
        <v>2</v>
      </c>
      <c r="G184" s="1">
        <v>5008</v>
      </c>
      <c r="H184" s="1" t="s">
        <v>1443</v>
      </c>
      <c r="I184" s="1">
        <v>0</v>
      </c>
      <c r="J184" s="1">
        <v>0</v>
      </c>
      <c r="K184" s="1">
        <v>0</v>
      </c>
      <c r="L184" s="1">
        <v>0</v>
      </c>
      <c r="M184" s="3">
        <v>1</v>
      </c>
      <c r="N184" s="1">
        <v>1</v>
      </c>
      <c r="O184" s="39">
        <v>587.12940000000003</v>
      </c>
      <c r="P184" s="39">
        <f t="shared" si="9"/>
        <v>293.56470000000002</v>
      </c>
      <c r="T184" s="36" t="s">
        <v>803</v>
      </c>
      <c r="U184" s="36" t="s">
        <v>802</v>
      </c>
      <c r="V184" s="36">
        <v>0</v>
      </c>
      <c r="X184" s="2" t="s">
        <v>786</v>
      </c>
      <c r="Y184" s="1">
        <v>0</v>
      </c>
      <c r="Z184" s="1">
        <v>0</v>
      </c>
      <c r="AA184" s="1">
        <v>0</v>
      </c>
      <c r="AB184" s="1">
        <v>0</v>
      </c>
      <c r="AC184" s="1">
        <v>0</v>
      </c>
      <c r="AD184" s="1">
        <v>0</v>
      </c>
      <c r="AE184" s="1">
        <v>12</v>
      </c>
      <c r="AF184" s="1">
        <v>0</v>
      </c>
      <c r="AG184" s="1">
        <v>0</v>
      </c>
      <c r="AH184" s="1">
        <v>-5</v>
      </c>
      <c r="AI184" s="1">
        <v>0</v>
      </c>
      <c r="AJ184" s="1" t="e">
        <f>VLOOKUP(ItemData!A184,Sheet8!N:O,2,FALSE)</f>
        <v>#N/A</v>
      </c>
    </row>
    <row r="185" spans="1:36" x14ac:dyDescent="0.15">
      <c r="A185" s="1" t="s">
        <v>334</v>
      </c>
      <c r="B185" s="3">
        <v>1606</v>
      </c>
      <c r="C185" s="1" t="s">
        <v>334</v>
      </c>
      <c r="D185" s="1">
        <v>1</v>
      </c>
      <c r="E185" s="1">
        <v>1555</v>
      </c>
      <c r="F185" s="1">
        <v>2</v>
      </c>
      <c r="H185" s="1" t="s">
        <v>1444</v>
      </c>
      <c r="I185" s="1">
        <v>0</v>
      </c>
      <c r="J185" s="1">
        <v>0</v>
      </c>
      <c r="K185" s="1">
        <v>0</v>
      </c>
      <c r="L185" s="1">
        <v>0</v>
      </c>
      <c r="M185" s="3">
        <v>1</v>
      </c>
      <c r="N185" s="1">
        <v>1</v>
      </c>
      <c r="O185" s="39">
        <v>5614.1694000000007</v>
      </c>
      <c r="P185" s="39">
        <f t="shared" si="9"/>
        <v>2807.0847000000003</v>
      </c>
      <c r="T185" s="36" t="s">
        <v>803</v>
      </c>
      <c r="U185" s="36" t="s">
        <v>802</v>
      </c>
      <c r="V185" s="36">
        <v>0</v>
      </c>
      <c r="X185" s="2" t="s">
        <v>786</v>
      </c>
      <c r="Y185" s="1">
        <v>0</v>
      </c>
      <c r="Z185" s="1">
        <v>0</v>
      </c>
      <c r="AA185" s="1">
        <v>0</v>
      </c>
      <c r="AB185" s="1">
        <v>0</v>
      </c>
      <c r="AC185" s="1">
        <v>0</v>
      </c>
      <c r="AD185" s="1">
        <v>0</v>
      </c>
      <c r="AE185" s="1">
        <v>34</v>
      </c>
      <c r="AF185" s="1">
        <v>5</v>
      </c>
      <c r="AG185" s="1">
        <v>0</v>
      </c>
      <c r="AH185" s="1">
        <v>-5</v>
      </c>
      <c r="AI185" s="1">
        <v>0</v>
      </c>
      <c r="AJ185" s="1" t="s">
        <v>1113</v>
      </c>
    </row>
    <row r="186" spans="1:36" x14ac:dyDescent="0.15">
      <c r="A186" s="1" t="s">
        <v>775</v>
      </c>
      <c r="B186" s="3">
        <v>1607</v>
      </c>
      <c r="C186" s="31" t="s">
        <v>776</v>
      </c>
      <c r="D186" s="1">
        <v>1</v>
      </c>
      <c r="E186" s="1">
        <v>1464</v>
      </c>
      <c r="F186" s="1">
        <v>2</v>
      </c>
      <c r="H186" s="1" t="s">
        <v>1441</v>
      </c>
      <c r="I186" s="1">
        <v>0</v>
      </c>
      <c r="J186" s="1">
        <v>0</v>
      </c>
      <c r="K186" s="1">
        <v>5</v>
      </c>
      <c r="L186" s="1">
        <v>0</v>
      </c>
      <c r="M186" s="3">
        <v>1</v>
      </c>
      <c r="N186" s="1">
        <v>1</v>
      </c>
      <c r="O186" s="39">
        <v>7176.5367187499978</v>
      </c>
      <c r="P186" s="39">
        <f t="shared" si="9"/>
        <v>3588.2683593749989</v>
      </c>
      <c r="T186" s="36" t="s">
        <v>803</v>
      </c>
      <c r="U186" s="36" t="s">
        <v>802</v>
      </c>
      <c r="V186" s="36">
        <v>0</v>
      </c>
      <c r="X186" s="2" t="s">
        <v>786</v>
      </c>
      <c r="Y186" s="1">
        <v>0</v>
      </c>
      <c r="Z186" s="1">
        <v>0</v>
      </c>
      <c r="AA186" s="1">
        <v>0</v>
      </c>
      <c r="AB186" s="1">
        <v>0</v>
      </c>
      <c r="AC186" s="1">
        <v>0</v>
      </c>
      <c r="AD186" s="1">
        <v>0</v>
      </c>
      <c r="AE186" s="1">
        <v>46</v>
      </c>
      <c r="AF186" s="1">
        <v>0</v>
      </c>
      <c r="AG186" s="1">
        <v>-5</v>
      </c>
      <c r="AH186" s="1">
        <v>-5</v>
      </c>
      <c r="AI186" s="1">
        <v>0</v>
      </c>
      <c r="AJ186" s="1" t="s">
        <v>1112</v>
      </c>
    </row>
    <row r="187" spans="1:36" x14ac:dyDescent="0.15">
      <c r="A187" s="1" t="s">
        <v>335</v>
      </c>
      <c r="B187" s="3">
        <v>1608</v>
      </c>
      <c r="C187" s="32" t="s">
        <v>335</v>
      </c>
      <c r="D187" s="1">
        <v>1</v>
      </c>
      <c r="E187" s="1">
        <v>1646</v>
      </c>
      <c r="F187" s="1">
        <v>2</v>
      </c>
      <c r="H187" s="1" t="s">
        <v>1440</v>
      </c>
      <c r="I187" s="1">
        <v>0</v>
      </c>
      <c r="J187" s="1">
        <v>0</v>
      </c>
      <c r="K187" s="1">
        <v>1</v>
      </c>
      <c r="L187" s="1">
        <v>0</v>
      </c>
      <c r="M187" s="3">
        <v>1</v>
      </c>
      <c r="N187" s="1">
        <v>1</v>
      </c>
      <c r="O187" s="39">
        <v>21819.427200000009</v>
      </c>
      <c r="P187" s="39">
        <f t="shared" si="9"/>
        <v>10909.713600000005</v>
      </c>
      <c r="T187" s="36" t="s">
        <v>803</v>
      </c>
      <c r="U187" s="36" t="s">
        <v>802</v>
      </c>
      <c r="V187" s="36">
        <v>0</v>
      </c>
      <c r="X187" s="2" t="s">
        <v>786</v>
      </c>
      <c r="Y187" s="1">
        <v>0</v>
      </c>
      <c r="Z187" s="1">
        <v>0</v>
      </c>
      <c r="AA187" s="1">
        <v>0</v>
      </c>
      <c r="AB187" s="1">
        <v>0</v>
      </c>
      <c r="AC187" s="1">
        <v>0</v>
      </c>
      <c r="AD187" s="1">
        <v>0</v>
      </c>
      <c r="AE187" s="1">
        <v>60</v>
      </c>
      <c r="AF187" s="1">
        <v>0</v>
      </c>
      <c r="AG187" s="1">
        <v>0</v>
      </c>
      <c r="AH187" s="1">
        <v>-5</v>
      </c>
      <c r="AI187" s="1">
        <v>0</v>
      </c>
      <c r="AJ187" s="1" t="s">
        <v>1114</v>
      </c>
    </row>
    <row r="188" spans="1:36" x14ac:dyDescent="0.15">
      <c r="A188" s="1" t="s">
        <v>336</v>
      </c>
      <c r="B188" s="3">
        <v>1609</v>
      </c>
      <c r="C188" s="1" t="s">
        <v>336</v>
      </c>
      <c r="D188" s="1">
        <v>1</v>
      </c>
      <c r="E188" s="1">
        <v>0</v>
      </c>
      <c r="F188" s="1">
        <v>3</v>
      </c>
      <c r="G188" s="1">
        <v>5008</v>
      </c>
      <c r="H188" s="1" t="s">
        <v>1440</v>
      </c>
      <c r="I188" s="1">
        <v>0</v>
      </c>
      <c r="J188" s="1">
        <v>0</v>
      </c>
      <c r="K188" s="1">
        <v>0</v>
      </c>
      <c r="L188" s="1">
        <v>0</v>
      </c>
      <c r="M188" s="3">
        <v>1</v>
      </c>
      <c r="N188" s="1">
        <v>1</v>
      </c>
      <c r="O188" s="39">
        <v>2125.1034</v>
      </c>
      <c r="P188" s="39">
        <f t="shared" si="9"/>
        <v>1062.5517</v>
      </c>
      <c r="T188" s="36" t="s">
        <v>803</v>
      </c>
      <c r="U188" s="36" t="s">
        <v>802</v>
      </c>
      <c r="V188" s="36">
        <v>0</v>
      </c>
      <c r="X188" s="2" t="s">
        <v>786</v>
      </c>
      <c r="Y188" s="1">
        <v>0</v>
      </c>
      <c r="Z188" s="1">
        <v>0</v>
      </c>
      <c r="AA188" s="1">
        <v>0</v>
      </c>
      <c r="AB188" s="1">
        <v>0</v>
      </c>
      <c r="AC188" s="1">
        <v>0</v>
      </c>
      <c r="AD188" s="1">
        <v>0</v>
      </c>
      <c r="AE188" s="1">
        <v>25</v>
      </c>
      <c r="AF188" s="1">
        <v>0</v>
      </c>
      <c r="AG188" s="1">
        <v>0</v>
      </c>
      <c r="AH188" s="1">
        <v>-10</v>
      </c>
      <c r="AI188" s="1">
        <v>0</v>
      </c>
      <c r="AJ188" s="1" t="s">
        <v>1115</v>
      </c>
    </row>
    <row r="189" spans="1:36" x14ac:dyDescent="0.15">
      <c r="A189" s="1" t="s">
        <v>337</v>
      </c>
      <c r="B189" s="3">
        <v>1610</v>
      </c>
      <c r="C189" s="32" t="s">
        <v>337</v>
      </c>
      <c r="D189" s="1">
        <v>1</v>
      </c>
      <c r="E189" s="1">
        <v>1919</v>
      </c>
      <c r="F189" s="1">
        <v>3</v>
      </c>
      <c r="H189" s="1" t="s">
        <v>1445</v>
      </c>
      <c r="I189" s="1">
        <v>0</v>
      </c>
      <c r="J189" s="1">
        <v>0</v>
      </c>
      <c r="K189" s="1">
        <v>1</v>
      </c>
      <c r="L189" s="1">
        <v>0</v>
      </c>
      <c r="M189" s="3">
        <v>1</v>
      </c>
      <c r="N189" s="1">
        <v>1</v>
      </c>
      <c r="O189" s="39">
        <v>6676.3008000000027</v>
      </c>
      <c r="P189" s="39">
        <f t="shared" si="9"/>
        <v>3338.1504000000014</v>
      </c>
      <c r="T189" s="36" t="s">
        <v>803</v>
      </c>
      <c r="U189" s="36" t="s">
        <v>802</v>
      </c>
      <c r="V189" s="36">
        <v>0</v>
      </c>
      <c r="X189" s="2" t="s">
        <v>786</v>
      </c>
      <c r="Y189" s="1">
        <v>0</v>
      </c>
      <c r="Z189" s="1">
        <v>0</v>
      </c>
      <c r="AA189" s="1">
        <v>0</v>
      </c>
      <c r="AB189" s="1">
        <v>0</v>
      </c>
      <c r="AC189" s="1">
        <v>0</v>
      </c>
      <c r="AD189" s="1">
        <v>0</v>
      </c>
      <c r="AE189" s="1">
        <v>38</v>
      </c>
      <c r="AF189" s="1">
        <v>0</v>
      </c>
      <c r="AG189" s="1">
        <v>0</v>
      </c>
      <c r="AH189" s="1">
        <v>-10</v>
      </c>
      <c r="AI189" s="1">
        <v>0</v>
      </c>
      <c r="AJ189" s="1" t="s">
        <v>1116</v>
      </c>
    </row>
    <row r="190" spans="1:36" x14ac:dyDescent="0.15">
      <c r="A190" s="1" t="s">
        <v>338</v>
      </c>
      <c r="B190" s="3">
        <v>1611</v>
      </c>
      <c r="C190" s="31" t="s">
        <v>338</v>
      </c>
      <c r="D190" s="1">
        <v>1</v>
      </c>
      <c r="E190" s="1">
        <v>2010</v>
      </c>
      <c r="F190" s="1">
        <v>3</v>
      </c>
      <c r="H190" s="1" t="s">
        <v>1446</v>
      </c>
      <c r="I190" s="1">
        <v>0</v>
      </c>
      <c r="J190" s="1">
        <v>0</v>
      </c>
      <c r="K190" s="1">
        <v>5</v>
      </c>
      <c r="L190" s="1">
        <v>0</v>
      </c>
      <c r="M190" s="3">
        <v>1</v>
      </c>
      <c r="N190" s="1">
        <v>1</v>
      </c>
      <c r="O190" s="39">
        <v>24791.270400000009</v>
      </c>
      <c r="P190" s="39">
        <f t="shared" si="9"/>
        <v>12395.635200000004</v>
      </c>
      <c r="T190" s="36" t="s">
        <v>803</v>
      </c>
      <c r="U190" s="36" t="s">
        <v>802</v>
      </c>
      <c r="V190" s="36">
        <v>0</v>
      </c>
      <c r="X190" s="2" t="s">
        <v>786</v>
      </c>
      <c r="Y190" s="1">
        <v>0</v>
      </c>
      <c r="Z190" s="1">
        <v>0</v>
      </c>
      <c r="AA190" s="1">
        <v>0</v>
      </c>
      <c r="AB190" s="1">
        <v>0</v>
      </c>
      <c r="AC190" s="1">
        <v>0</v>
      </c>
      <c r="AD190" s="1">
        <v>0</v>
      </c>
      <c r="AE190" s="1">
        <v>64</v>
      </c>
      <c r="AF190" s="1">
        <v>0</v>
      </c>
      <c r="AG190" s="1">
        <v>0</v>
      </c>
      <c r="AH190" s="1">
        <v>-10</v>
      </c>
      <c r="AI190" s="1">
        <v>0</v>
      </c>
      <c r="AJ190" s="1" t="s">
        <v>1117</v>
      </c>
    </row>
    <row r="191" spans="1:36" x14ac:dyDescent="0.15">
      <c r="A191" s="1" t="s">
        <v>339</v>
      </c>
      <c r="B191" s="3">
        <v>1612</v>
      </c>
      <c r="C191" s="1" t="s">
        <v>339</v>
      </c>
      <c r="D191" s="1">
        <v>1</v>
      </c>
      <c r="E191" s="1">
        <v>0</v>
      </c>
      <c r="F191" s="1">
        <v>6</v>
      </c>
      <c r="G191" s="1">
        <v>5007</v>
      </c>
      <c r="H191" s="1" t="s">
        <v>1447</v>
      </c>
      <c r="I191" s="1">
        <v>0</v>
      </c>
      <c r="J191" s="1">
        <v>0</v>
      </c>
      <c r="K191" s="1">
        <v>0</v>
      </c>
      <c r="L191" s="1">
        <v>0</v>
      </c>
      <c r="M191" s="3">
        <v>1</v>
      </c>
      <c r="N191" s="1">
        <v>1</v>
      </c>
      <c r="O191" s="39">
        <v>1531.0152</v>
      </c>
      <c r="P191" s="39">
        <f t="shared" si="9"/>
        <v>765.50760000000002</v>
      </c>
      <c r="T191" s="36" t="s">
        <v>803</v>
      </c>
      <c r="U191" s="36" t="s">
        <v>802</v>
      </c>
      <c r="V191" s="36">
        <v>0</v>
      </c>
      <c r="X191" s="2" t="s">
        <v>786</v>
      </c>
      <c r="Y191" s="1">
        <v>0</v>
      </c>
      <c r="Z191" s="1">
        <v>0</v>
      </c>
      <c r="AA191" s="1">
        <v>0</v>
      </c>
      <c r="AB191" s="1">
        <v>0</v>
      </c>
      <c r="AC191" s="1">
        <v>0</v>
      </c>
      <c r="AD191" s="1">
        <v>0</v>
      </c>
      <c r="AE191" s="1">
        <v>20</v>
      </c>
      <c r="AF191" s="1">
        <v>0</v>
      </c>
      <c r="AG191" s="1">
        <v>0</v>
      </c>
      <c r="AH191" s="1">
        <v>10</v>
      </c>
      <c r="AI191" s="1">
        <v>0</v>
      </c>
      <c r="AJ191" s="1" t="s">
        <v>994</v>
      </c>
    </row>
    <row r="192" spans="1:36" x14ac:dyDescent="0.15">
      <c r="A192" s="1" t="s">
        <v>773</v>
      </c>
      <c r="B192" s="3">
        <v>1613</v>
      </c>
      <c r="C192" s="1" t="s">
        <v>772</v>
      </c>
      <c r="D192" s="1">
        <v>1</v>
      </c>
      <c r="E192" s="1">
        <v>0</v>
      </c>
      <c r="F192" s="1">
        <v>6</v>
      </c>
      <c r="G192" s="1">
        <v>5007</v>
      </c>
      <c r="H192" s="1" t="s">
        <v>1448</v>
      </c>
      <c r="I192" s="1">
        <v>0</v>
      </c>
      <c r="J192" s="1">
        <v>0</v>
      </c>
      <c r="K192" s="1">
        <v>0</v>
      </c>
      <c r="L192" s="1">
        <v>0</v>
      </c>
      <c r="M192" s="3">
        <v>1</v>
      </c>
      <c r="N192" s="1">
        <v>1</v>
      </c>
      <c r="O192" s="39">
        <v>1130.1767999999997</v>
      </c>
      <c r="P192" s="39">
        <f t="shared" si="9"/>
        <v>565.08839999999987</v>
      </c>
      <c r="T192" s="36" t="s">
        <v>803</v>
      </c>
      <c r="U192" s="36" t="s">
        <v>802</v>
      </c>
      <c r="V192" s="36">
        <v>0</v>
      </c>
      <c r="X192" s="2" t="s">
        <v>786</v>
      </c>
      <c r="Y192" s="1">
        <v>0</v>
      </c>
      <c r="Z192" s="1">
        <v>0</v>
      </c>
      <c r="AA192" s="1">
        <v>0</v>
      </c>
      <c r="AB192" s="1">
        <v>0</v>
      </c>
      <c r="AC192" s="1">
        <v>0</v>
      </c>
      <c r="AD192" s="1">
        <v>0</v>
      </c>
      <c r="AE192" s="1">
        <v>16</v>
      </c>
      <c r="AF192" s="1">
        <v>0</v>
      </c>
      <c r="AG192" s="1">
        <v>0</v>
      </c>
      <c r="AH192" s="1">
        <v>10</v>
      </c>
      <c r="AI192" s="1">
        <v>0</v>
      </c>
      <c r="AJ192" s="1" t="s">
        <v>995</v>
      </c>
    </row>
    <row r="193" spans="1:36" x14ac:dyDescent="0.15">
      <c r="A193" s="1" t="s">
        <v>774</v>
      </c>
      <c r="B193" s="3">
        <v>1614</v>
      </c>
      <c r="C193" s="1" t="s">
        <v>774</v>
      </c>
      <c r="D193" s="1">
        <v>1</v>
      </c>
      <c r="E193" s="1">
        <v>2192</v>
      </c>
      <c r="F193" s="1">
        <v>6</v>
      </c>
      <c r="G193" s="1">
        <v>5008</v>
      </c>
      <c r="H193" s="1" t="s">
        <v>1444</v>
      </c>
      <c r="I193" s="1">
        <v>0</v>
      </c>
      <c r="J193" s="1">
        <v>0</v>
      </c>
      <c r="K193" s="1">
        <v>4</v>
      </c>
      <c r="L193" s="1">
        <v>0</v>
      </c>
      <c r="M193" s="3">
        <v>1</v>
      </c>
      <c r="N193" s="1">
        <v>1</v>
      </c>
      <c r="O193" s="39">
        <v>20657.914199999999</v>
      </c>
      <c r="P193" s="39">
        <f t="shared" si="9"/>
        <v>10328.9571</v>
      </c>
      <c r="T193" s="36" t="s">
        <v>803</v>
      </c>
      <c r="U193" s="36" t="s">
        <v>802</v>
      </c>
      <c r="V193" s="36">
        <v>0</v>
      </c>
      <c r="X193" s="2" t="s">
        <v>786</v>
      </c>
      <c r="Y193" s="1">
        <v>0</v>
      </c>
      <c r="Z193" s="1">
        <v>0</v>
      </c>
      <c r="AA193" s="1">
        <v>0</v>
      </c>
      <c r="AB193" s="1">
        <v>0</v>
      </c>
      <c r="AC193" s="1">
        <v>0</v>
      </c>
      <c r="AD193" s="1">
        <v>0</v>
      </c>
      <c r="AE193" s="1">
        <v>64</v>
      </c>
      <c r="AF193" s="1">
        <v>0</v>
      </c>
      <c r="AG193" s="1">
        <v>0</v>
      </c>
      <c r="AH193" s="1">
        <v>10</v>
      </c>
      <c r="AI193" s="1">
        <v>0</v>
      </c>
      <c r="AJ193" s="1" t="s">
        <v>1118</v>
      </c>
    </row>
    <row r="194" spans="1:36" x14ac:dyDescent="0.15">
      <c r="A194" s="1" t="s">
        <v>341</v>
      </c>
      <c r="B194" s="3">
        <v>1615</v>
      </c>
      <c r="C194" s="30" t="s">
        <v>341</v>
      </c>
      <c r="D194" s="1">
        <v>1</v>
      </c>
      <c r="E194" s="1">
        <v>2283</v>
      </c>
      <c r="F194" s="1">
        <v>6</v>
      </c>
      <c r="G194" s="1">
        <v>5008</v>
      </c>
      <c r="H194" s="1" t="s">
        <v>1449</v>
      </c>
      <c r="I194" s="1">
        <v>0</v>
      </c>
      <c r="J194" s="1">
        <v>0</v>
      </c>
      <c r="K194" s="1">
        <v>2</v>
      </c>
      <c r="L194" s="1">
        <v>0</v>
      </c>
      <c r="M194" s="3">
        <v>1</v>
      </c>
      <c r="N194" s="1">
        <v>1</v>
      </c>
      <c r="O194" s="39">
        <v>14937.917399999998</v>
      </c>
      <c r="P194" s="39">
        <f t="shared" si="9"/>
        <v>7468.9586999999992</v>
      </c>
      <c r="T194" s="36" t="s">
        <v>803</v>
      </c>
      <c r="U194" s="36" t="s">
        <v>802</v>
      </c>
      <c r="V194" s="36">
        <v>0</v>
      </c>
      <c r="X194" s="2" t="s">
        <v>786</v>
      </c>
      <c r="Y194" s="1">
        <v>0</v>
      </c>
      <c r="Z194" s="1">
        <v>0</v>
      </c>
      <c r="AA194" s="1">
        <v>0</v>
      </c>
      <c r="AB194" s="1">
        <v>0</v>
      </c>
      <c r="AC194" s="1">
        <v>0</v>
      </c>
      <c r="AD194" s="1">
        <v>0</v>
      </c>
      <c r="AE194" s="1">
        <v>56</v>
      </c>
      <c r="AF194" s="1">
        <v>0</v>
      </c>
      <c r="AG194" s="1">
        <v>0</v>
      </c>
      <c r="AH194" s="1">
        <v>10</v>
      </c>
      <c r="AI194" s="1">
        <v>0</v>
      </c>
      <c r="AJ194" s="1" t="s">
        <v>1623</v>
      </c>
    </row>
    <row r="195" spans="1:36" x14ac:dyDescent="0.15">
      <c r="A195" s="1" t="s">
        <v>342</v>
      </c>
      <c r="B195" s="3">
        <v>1616</v>
      </c>
      <c r="C195" s="29" t="s">
        <v>342</v>
      </c>
      <c r="D195" s="1">
        <v>1</v>
      </c>
      <c r="E195" s="1">
        <v>2101</v>
      </c>
      <c r="F195" s="1">
        <v>3</v>
      </c>
      <c r="H195" s="1" t="s">
        <v>1442</v>
      </c>
      <c r="I195" s="1">
        <v>0</v>
      </c>
      <c r="J195" s="1">
        <v>0</v>
      </c>
      <c r="K195" s="1">
        <v>3</v>
      </c>
      <c r="L195" s="1">
        <v>0</v>
      </c>
      <c r="M195" s="3">
        <v>1</v>
      </c>
      <c r="N195" s="1">
        <v>1</v>
      </c>
      <c r="O195" s="39">
        <v>85078.425600000017</v>
      </c>
      <c r="P195" s="39">
        <f t="shared" si="9"/>
        <v>42539.212800000008</v>
      </c>
      <c r="T195" s="36" t="s">
        <v>803</v>
      </c>
      <c r="U195" s="36" t="s">
        <v>802</v>
      </c>
      <c r="V195" s="36">
        <v>0</v>
      </c>
      <c r="X195" s="2" t="s">
        <v>786</v>
      </c>
      <c r="Y195" s="1">
        <v>0</v>
      </c>
      <c r="Z195" s="1">
        <v>0</v>
      </c>
      <c r="AA195" s="1">
        <v>0</v>
      </c>
      <c r="AB195" s="1">
        <v>0</v>
      </c>
      <c r="AC195" s="1">
        <v>0</v>
      </c>
      <c r="AD195" s="1">
        <v>0</v>
      </c>
      <c r="AE195" s="1">
        <v>100</v>
      </c>
      <c r="AF195" s="1">
        <v>0</v>
      </c>
      <c r="AG195" s="1">
        <v>0</v>
      </c>
      <c r="AH195" s="1">
        <v>-10</v>
      </c>
      <c r="AI195" s="1">
        <v>0</v>
      </c>
      <c r="AJ195" s="1" t="s">
        <v>1119</v>
      </c>
    </row>
    <row r="196" spans="1:36" x14ac:dyDescent="0.15">
      <c r="A196" s="1" t="s">
        <v>616</v>
      </c>
      <c r="B196" s="3">
        <v>1617</v>
      </c>
      <c r="C196" s="1" t="s">
        <v>616</v>
      </c>
      <c r="D196" s="1">
        <v>1</v>
      </c>
      <c r="E196" s="1">
        <v>1373</v>
      </c>
      <c r="F196" s="1">
        <v>1</v>
      </c>
      <c r="H196" s="1" t="s">
        <v>1443</v>
      </c>
      <c r="I196" s="1">
        <v>0</v>
      </c>
      <c r="J196" s="1">
        <v>0</v>
      </c>
      <c r="K196" s="1">
        <v>0</v>
      </c>
      <c r="L196" s="1">
        <v>0</v>
      </c>
      <c r="M196" s="3">
        <v>1</v>
      </c>
      <c r="N196" s="1">
        <v>1</v>
      </c>
      <c r="O196" s="39">
        <v>74405.00970000001</v>
      </c>
      <c r="P196" s="39">
        <f t="shared" si="9"/>
        <v>37202.504850000005</v>
      </c>
      <c r="T196" s="36" t="s">
        <v>803</v>
      </c>
      <c r="U196" s="36" t="s">
        <v>802</v>
      </c>
      <c r="V196" s="36">
        <v>0</v>
      </c>
      <c r="X196" s="2" t="s">
        <v>786</v>
      </c>
      <c r="Y196" s="1">
        <v>0</v>
      </c>
      <c r="Z196" s="1">
        <v>0</v>
      </c>
      <c r="AA196" s="1">
        <v>0</v>
      </c>
      <c r="AB196" s="1">
        <v>0</v>
      </c>
      <c r="AC196" s="1">
        <v>0</v>
      </c>
      <c r="AD196" s="1">
        <v>0</v>
      </c>
      <c r="AE196" s="1">
        <v>78</v>
      </c>
      <c r="AF196" s="1">
        <v>0</v>
      </c>
      <c r="AG196" s="1">
        <v>10</v>
      </c>
      <c r="AH196" s="1">
        <v>0</v>
      </c>
      <c r="AI196" s="1">
        <v>0</v>
      </c>
      <c r="AJ196" s="1" t="s">
        <v>1120</v>
      </c>
    </row>
    <row r="197" spans="1:36" x14ac:dyDescent="0.15">
      <c r="A197" s="1" t="s">
        <v>617</v>
      </c>
      <c r="B197" s="3">
        <v>1618</v>
      </c>
      <c r="C197" s="14" t="s">
        <v>617</v>
      </c>
      <c r="D197" s="1">
        <v>1</v>
      </c>
      <c r="E197" s="1">
        <v>1828</v>
      </c>
      <c r="F197" s="1">
        <v>2</v>
      </c>
      <c r="H197" s="1" t="s">
        <v>1442</v>
      </c>
      <c r="I197" s="1">
        <v>0</v>
      </c>
      <c r="J197" s="1">
        <v>0</v>
      </c>
      <c r="K197" s="1">
        <v>4</v>
      </c>
      <c r="L197" s="1">
        <v>0</v>
      </c>
      <c r="M197" s="3">
        <v>1</v>
      </c>
      <c r="N197" s="1">
        <v>1</v>
      </c>
      <c r="O197" s="39">
        <v>105221.16540000004</v>
      </c>
      <c r="P197" s="39">
        <f t="shared" si="9"/>
        <v>52610.582700000021</v>
      </c>
      <c r="T197" s="36" t="s">
        <v>803</v>
      </c>
      <c r="U197" s="36" t="s">
        <v>802</v>
      </c>
      <c r="V197" s="36">
        <v>0</v>
      </c>
      <c r="X197" s="2" t="s">
        <v>786</v>
      </c>
      <c r="Y197" s="1">
        <v>0</v>
      </c>
      <c r="Z197" s="1">
        <v>0</v>
      </c>
      <c r="AA197" s="1">
        <v>0</v>
      </c>
      <c r="AB197" s="1">
        <v>0</v>
      </c>
      <c r="AC197" s="1">
        <v>0</v>
      </c>
      <c r="AD197" s="1">
        <v>0</v>
      </c>
      <c r="AE197" s="1">
        <v>95</v>
      </c>
      <c r="AF197" s="1">
        <v>0</v>
      </c>
      <c r="AG197" s="1">
        <v>0</v>
      </c>
      <c r="AH197" s="1">
        <v>-5</v>
      </c>
      <c r="AI197" s="1">
        <v>0</v>
      </c>
      <c r="AJ197" s="1" t="s">
        <v>1121</v>
      </c>
    </row>
    <row r="198" spans="1:36" x14ac:dyDescent="0.15">
      <c r="A198" s="1" t="s">
        <v>618</v>
      </c>
      <c r="B198" s="3">
        <v>1619</v>
      </c>
      <c r="C198" s="14" t="s">
        <v>618</v>
      </c>
      <c r="D198" s="1">
        <v>1</v>
      </c>
      <c r="E198" s="1">
        <v>2374</v>
      </c>
      <c r="F198" s="1">
        <v>6</v>
      </c>
      <c r="H198" s="1" t="s">
        <v>1442</v>
      </c>
      <c r="I198" s="1">
        <v>0</v>
      </c>
      <c r="J198" s="1">
        <v>0</v>
      </c>
      <c r="K198" s="1">
        <v>4</v>
      </c>
      <c r="L198" s="1">
        <v>0</v>
      </c>
      <c r="M198" s="3">
        <v>1</v>
      </c>
      <c r="N198" s="1">
        <v>1</v>
      </c>
      <c r="O198" s="39">
        <v>82097.328600000023</v>
      </c>
      <c r="P198" s="39">
        <f t="shared" si="9"/>
        <v>41048.664300000011</v>
      </c>
      <c r="T198" s="36" t="s">
        <v>803</v>
      </c>
      <c r="U198" s="36" t="s">
        <v>802</v>
      </c>
      <c r="V198" s="36">
        <v>0</v>
      </c>
      <c r="X198" s="2" t="s">
        <v>786</v>
      </c>
      <c r="Y198" s="1">
        <v>0</v>
      </c>
      <c r="Z198" s="1">
        <v>0</v>
      </c>
      <c r="AA198" s="1">
        <v>0</v>
      </c>
      <c r="AB198" s="1">
        <v>0</v>
      </c>
      <c r="AC198" s="1">
        <v>0</v>
      </c>
      <c r="AD198" s="1">
        <v>0</v>
      </c>
      <c r="AE198" s="1">
        <v>84</v>
      </c>
      <c r="AF198" s="1">
        <v>0</v>
      </c>
      <c r="AG198" s="1">
        <v>0</v>
      </c>
      <c r="AH198" s="1">
        <v>10</v>
      </c>
      <c r="AI198" s="1">
        <v>0</v>
      </c>
      <c r="AJ198" s="1" t="s">
        <v>1122</v>
      </c>
    </row>
    <row r="199" spans="1:36" x14ac:dyDescent="0.15">
      <c r="A199" s="1" t="s">
        <v>619</v>
      </c>
      <c r="B199" s="3">
        <v>1620</v>
      </c>
      <c r="C199" s="29" t="s">
        <v>619</v>
      </c>
      <c r="D199" s="1">
        <v>1</v>
      </c>
      <c r="E199" s="1">
        <v>2465</v>
      </c>
      <c r="F199" s="1">
        <v>6</v>
      </c>
      <c r="H199" s="1" t="s">
        <v>1450</v>
      </c>
      <c r="I199" s="1">
        <v>0</v>
      </c>
      <c r="J199" s="1">
        <v>0</v>
      </c>
      <c r="K199" s="1">
        <v>3</v>
      </c>
      <c r="L199" s="1">
        <v>0</v>
      </c>
      <c r="M199" s="3">
        <v>1</v>
      </c>
      <c r="N199" s="1">
        <v>1</v>
      </c>
      <c r="O199" s="39">
        <v>99072.352799999979</v>
      </c>
      <c r="P199" s="39">
        <f t="shared" si="9"/>
        <v>49536.176399999989</v>
      </c>
      <c r="T199" s="36" t="s">
        <v>803</v>
      </c>
      <c r="U199" s="36" t="s">
        <v>802</v>
      </c>
      <c r="V199" s="36">
        <v>0</v>
      </c>
      <c r="X199" s="2" t="s">
        <v>786</v>
      </c>
      <c r="Y199" s="1">
        <v>0</v>
      </c>
      <c r="Z199" s="1">
        <v>0</v>
      </c>
      <c r="AA199" s="1">
        <v>0</v>
      </c>
      <c r="AB199" s="1">
        <v>0</v>
      </c>
      <c r="AC199" s="1">
        <v>0</v>
      </c>
      <c r="AD199" s="1">
        <v>0</v>
      </c>
      <c r="AE199" s="1">
        <v>90</v>
      </c>
      <c r="AF199" s="1">
        <v>0</v>
      </c>
      <c r="AG199" s="1">
        <v>0</v>
      </c>
      <c r="AH199" s="1">
        <v>10</v>
      </c>
      <c r="AI199" s="1">
        <v>0</v>
      </c>
      <c r="AJ199" s="1" t="s">
        <v>1123</v>
      </c>
    </row>
    <row r="200" spans="1:36" x14ac:dyDescent="0.15">
      <c r="A200" s="1" t="s">
        <v>351</v>
      </c>
      <c r="B200" s="3">
        <v>1650</v>
      </c>
      <c r="C200" s="1" t="s">
        <v>351</v>
      </c>
      <c r="D200" s="1">
        <v>2</v>
      </c>
      <c r="E200" s="1">
        <v>0</v>
      </c>
      <c r="F200" s="1">
        <v>0</v>
      </c>
      <c r="G200" s="1">
        <v>5007</v>
      </c>
      <c r="H200" s="1" t="s">
        <v>1451</v>
      </c>
      <c r="I200" s="1">
        <v>0</v>
      </c>
      <c r="J200" s="1">
        <v>0</v>
      </c>
      <c r="K200" s="1">
        <v>0</v>
      </c>
      <c r="L200" s="1">
        <v>0</v>
      </c>
      <c r="M200" s="3">
        <v>1</v>
      </c>
      <c r="N200" s="1">
        <v>1</v>
      </c>
      <c r="O200" s="39">
        <v>239.17500000000004</v>
      </c>
      <c r="P200" s="39">
        <f t="shared" si="9"/>
        <v>119.58750000000002</v>
      </c>
      <c r="T200" s="36" t="s">
        <v>803</v>
      </c>
      <c r="U200" s="36" t="s">
        <v>802</v>
      </c>
      <c r="V200" s="36">
        <v>0</v>
      </c>
      <c r="X200" s="2" t="s">
        <v>786</v>
      </c>
      <c r="Y200" s="1">
        <v>0</v>
      </c>
      <c r="Z200" s="1">
        <v>0</v>
      </c>
      <c r="AA200" s="1">
        <v>0</v>
      </c>
      <c r="AB200" s="1">
        <v>0</v>
      </c>
      <c r="AC200" s="1">
        <v>0</v>
      </c>
      <c r="AD200" s="1">
        <v>0</v>
      </c>
      <c r="AE200" s="1">
        <v>0</v>
      </c>
      <c r="AF200" s="1">
        <v>5</v>
      </c>
      <c r="AG200" s="1">
        <v>0</v>
      </c>
      <c r="AH200" s="1">
        <v>0</v>
      </c>
      <c r="AI200" s="1">
        <v>0</v>
      </c>
      <c r="AJ200" s="1" t="s">
        <v>996</v>
      </c>
    </row>
    <row r="201" spans="1:36" x14ac:dyDescent="0.15">
      <c r="A201" s="1" t="s">
        <v>349</v>
      </c>
      <c r="B201" s="3">
        <v>1651</v>
      </c>
      <c r="C201" s="1" t="s">
        <v>349</v>
      </c>
      <c r="D201" s="1">
        <v>2</v>
      </c>
      <c r="E201" s="1">
        <v>0</v>
      </c>
      <c r="F201" s="1">
        <v>0</v>
      </c>
      <c r="G201" s="1">
        <v>5007</v>
      </c>
      <c r="H201" s="1" t="s">
        <v>1452</v>
      </c>
      <c r="I201" s="1">
        <v>0</v>
      </c>
      <c r="J201" s="1">
        <v>0</v>
      </c>
      <c r="K201" s="1">
        <v>0</v>
      </c>
      <c r="L201" s="1">
        <v>0</v>
      </c>
      <c r="M201" s="3">
        <v>1</v>
      </c>
      <c r="N201" s="1">
        <v>1</v>
      </c>
      <c r="O201" s="39">
        <v>522.90000000000009</v>
      </c>
      <c r="P201" s="39">
        <f t="shared" si="9"/>
        <v>261.45000000000005</v>
      </c>
      <c r="T201" s="36" t="s">
        <v>803</v>
      </c>
      <c r="U201" s="36" t="s">
        <v>802</v>
      </c>
      <c r="V201" s="36">
        <v>0</v>
      </c>
      <c r="X201" s="2" t="s">
        <v>786</v>
      </c>
      <c r="Y201" s="1">
        <v>0</v>
      </c>
      <c r="Z201" s="1">
        <v>0</v>
      </c>
      <c r="AA201" s="1">
        <v>0</v>
      </c>
      <c r="AB201" s="1">
        <v>0</v>
      </c>
      <c r="AC201" s="1">
        <v>0</v>
      </c>
      <c r="AD201" s="1">
        <v>0</v>
      </c>
      <c r="AE201" s="1">
        <v>0</v>
      </c>
      <c r="AF201" s="1">
        <v>10</v>
      </c>
      <c r="AG201" s="1">
        <v>0</v>
      </c>
      <c r="AH201" s="1">
        <v>0</v>
      </c>
      <c r="AI201" s="1">
        <v>0</v>
      </c>
      <c r="AJ201" s="1" t="s">
        <v>997</v>
      </c>
    </row>
    <row r="202" spans="1:36" x14ac:dyDescent="0.15">
      <c r="A202" s="1" t="s">
        <v>394</v>
      </c>
      <c r="B202" s="3">
        <v>1652</v>
      </c>
      <c r="C202" s="1" t="s">
        <v>394</v>
      </c>
      <c r="D202" s="1">
        <v>2</v>
      </c>
      <c r="E202" s="1">
        <v>0</v>
      </c>
      <c r="F202" s="1">
        <v>0</v>
      </c>
      <c r="H202" s="1" t="s">
        <v>1453</v>
      </c>
      <c r="I202" s="1">
        <v>0</v>
      </c>
      <c r="J202" s="1">
        <v>0</v>
      </c>
      <c r="K202" s="1">
        <v>0</v>
      </c>
      <c r="L202" s="1">
        <v>0</v>
      </c>
      <c r="M202" s="3">
        <v>1</v>
      </c>
      <c r="N202" s="1">
        <v>1</v>
      </c>
      <c r="O202" s="39">
        <v>1549.3968</v>
      </c>
      <c r="P202" s="39">
        <f t="shared" si="9"/>
        <v>774.69839999999999</v>
      </c>
      <c r="T202" s="36" t="s">
        <v>803</v>
      </c>
      <c r="U202" s="36" t="s">
        <v>802</v>
      </c>
      <c r="V202" s="36">
        <v>0</v>
      </c>
      <c r="X202" s="2" t="s">
        <v>786</v>
      </c>
      <c r="Y202" s="1">
        <v>0</v>
      </c>
      <c r="Z202" s="1">
        <v>0</v>
      </c>
      <c r="AA202" s="1">
        <v>0</v>
      </c>
      <c r="AB202" s="1">
        <v>0</v>
      </c>
      <c r="AC202" s="1">
        <v>0</v>
      </c>
      <c r="AD202" s="1">
        <v>0</v>
      </c>
      <c r="AE202" s="1">
        <v>0</v>
      </c>
      <c r="AF202" s="1">
        <v>20</v>
      </c>
      <c r="AG202" s="1">
        <v>0</v>
      </c>
      <c r="AH202" s="1">
        <v>-5</v>
      </c>
      <c r="AI202" s="1">
        <v>0</v>
      </c>
      <c r="AJ202" s="1" t="s">
        <v>998</v>
      </c>
    </row>
    <row r="203" spans="1:36" x14ac:dyDescent="0.15">
      <c r="A203" s="1" t="s">
        <v>395</v>
      </c>
      <c r="B203" s="3">
        <v>1653</v>
      </c>
      <c r="C203" s="1" t="s">
        <v>395</v>
      </c>
      <c r="D203" s="1">
        <v>2</v>
      </c>
      <c r="E203" s="1">
        <v>0</v>
      </c>
      <c r="F203" s="1">
        <v>0</v>
      </c>
      <c r="H203" s="1" t="s">
        <v>1454</v>
      </c>
      <c r="I203" s="1">
        <v>0</v>
      </c>
      <c r="J203" s="1">
        <v>0</v>
      </c>
      <c r="K203" s="1">
        <v>5</v>
      </c>
      <c r="L203" s="1">
        <v>0</v>
      </c>
      <c r="M203" s="3">
        <v>1</v>
      </c>
      <c r="N203" s="1">
        <v>1</v>
      </c>
      <c r="O203" s="39">
        <v>3460.2750000000001</v>
      </c>
      <c r="P203" s="39">
        <f t="shared" si="9"/>
        <v>1730.1375</v>
      </c>
      <c r="T203" s="36" t="s">
        <v>803</v>
      </c>
      <c r="U203" s="36" t="s">
        <v>802</v>
      </c>
      <c r="V203" s="36">
        <v>0</v>
      </c>
      <c r="X203" s="2" t="s">
        <v>786</v>
      </c>
      <c r="Y203" s="1">
        <v>0</v>
      </c>
      <c r="Z203" s="1">
        <v>0</v>
      </c>
      <c r="AA203" s="1">
        <v>0</v>
      </c>
      <c r="AB203" s="1">
        <v>0</v>
      </c>
      <c r="AC203" s="1">
        <v>0</v>
      </c>
      <c r="AD203" s="1">
        <v>0</v>
      </c>
      <c r="AE203" s="1">
        <v>0</v>
      </c>
      <c r="AF203" s="1">
        <v>30</v>
      </c>
      <c r="AG203" s="1">
        <v>0</v>
      </c>
      <c r="AH203" s="1">
        <v>0</v>
      </c>
      <c r="AI203" s="1">
        <v>0</v>
      </c>
      <c r="AJ203" s="1" t="s">
        <v>999</v>
      </c>
    </row>
    <row r="204" spans="1:36" x14ac:dyDescent="0.15">
      <c r="A204" s="1" t="s">
        <v>353</v>
      </c>
      <c r="B204" s="3">
        <v>1654</v>
      </c>
      <c r="C204" s="1" t="s">
        <v>353</v>
      </c>
      <c r="D204" s="1">
        <v>2</v>
      </c>
      <c r="E204" s="1">
        <v>0</v>
      </c>
      <c r="F204" s="1">
        <v>0</v>
      </c>
      <c r="G204" s="1">
        <v>5008</v>
      </c>
      <c r="H204" s="1" t="s">
        <v>1453</v>
      </c>
      <c r="I204" s="1">
        <v>0</v>
      </c>
      <c r="J204" s="1">
        <v>0</v>
      </c>
      <c r="K204" s="1">
        <v>0</v>
      </c>
      <c r="L204" s="1">
        <v>0</v>
      </c>
      <c r="M204" s="3">
        <v>1</v>
      </c>
      <c r="N204" s="1">
        <v>1</v>
      </c>
      <c r="O204" s="39">
        <v>4072.6728000000012</v>
      </c>
      <c r="P204" s="39">
        <f t="shared" si="9"/>
        <v>2036.3364000000006</v>
      </c>
      <c r="T204" s="36" t="s">
        <v>803</v>
      </c>
      <c r="U204" s="36" t="s">
        <v>802</v>
      </c>
      <c r="V204" s="36">
        <v>0</v>
      </c>
      <c r="X204" s="2" t="s">
        <v>786</v>
      </c>
      <c r="Y204" s="1">
        <v>0</v>
      </c>
      <c r="Z204" s="1">
        <v>0</v>
      </c>
      <c r="AA204" s="1">
        <v>0</v>
      </c>
      <c r="AB204" s="1">
        <v>0</v>
      </c>
      <c r="AC204" s="1">
        <v>0</v>
      </c>
      <c r="AD204" s="1">
        <v>0</v>
      </c>
      <c r="AE204" s="1">
        <v>0</v>
      </c>
      <c r="AF204" s="1">
        <v>40</v>
      </c>
      <c r="AG204" s="1">
        <v>0</v>
      </c>
      <c r="AH204" s="1">
        <v>-10</v>
      </c>
      <c r="AI204" s="1">
        <v>0</v>
      </c>
      <c r="AJ204" s="1" t="s">
        <v>1000</v>
      </c>
    </row>
    <row r="205" spans="1:36" x14ac:dyDescent="0.15">
      <c r="A205" s="1" t="s">
        <v>396</v>
      </c>
      <c r="B205" s="3">
        <v>1655</v>
      </c>
      <c r="C205" s="1" t="s">
        <v>396</v>
      </c>
      <c r="D205" s="1">
        <v>2</v>
      </c>
      <c r="E205" s="1">
        <v>0</v>
      </c>
      <c r="F205" s="1">
        <v>0</v>
      </c>
      <c r="H205" s="1" t="s">
        <v>1455</v>
      </c>
      <c r="I205" s="1">
        <v>0</v>
      </c>
      <c r="J205" s="1">
        <v>0</v>
      </c>
      <c r="K205" s="1">
        <v>2</v>
      </c>
      <c r="L205" s="1">
        <v>0</v>
      </c>
      <c r="M205" s="3">
        <v>1</v>
      </c>
      <c r="N205" s="1">
        <v>1</v>
      </c>
      <c r="O205" s="39">
        <v>13032.345600000006</v>
      </c>
      <c r="P205" s="39">
        <f t="shared" si="9"/>
        <v>6516.172800000003</v>
      </c>
      <c r="T205" s="36" t="s">
        <v>803</v>
      </c>
      <c r="U205" s="36" t="s">
        <v>802</v>
      </c>
      <c r="V205" s="36">
        <v>0</v>
      </c>
      <c r="X205" s="2" t="s">
        <v>786</v>
      </c>
      <c r="Y205" s="1">
        <v>0</v>
      </c>
      <c r="Z205" s="1">
        <v>0</v>
      </c>
      <c r="AA205" s="1">
        <v>0</v>
      </c>
      <c r="AB205" s="1">
        <v>0</v>
      </c>
      <c r="AC205" s="1">
        <v>0</v>
      </c>
      <c r="AD205" s="1">
        <v>0</v>
      </c>
      <c r="AE205" s="1">
        <v>10</v>
      </c>
      <c r="AF205" s="1">
        <v>40</v>
      </c>
      <c r="AG205" s="1">
        <v>0</v>
      </c>
      <c r="AH205" s="1">
        <v>-10</v>
      </c>
      <c r="AI205" s="1">
        <v>0</v>
      </c>
      <c r="AJ205" s="1" t="s">
        <v>1001</v>
      </c>
    </row>
    <row r="206" spans="1:36" x14ac:dyDescent="0.15">
      <c r="A206" s="1" t="s">
        <v>667</v>
      </c>
      <c r="B206" s="3">
        <v>1656</v>
      </c>
      <c r="C206" s="1" t="s">
        <v>669</v>
      </c>
      <c r="D206" s="1">
        <v>2</v>
      </c>
      <c r="E206" s="1">
        <v>0</v>
      </c>
      <c r="F206" s="1">
        <v>0</v>
      </c>
      <c r="G206" s="1">
        <v>5007</v>
      </c>
      <c r="H206" s="1" t="s">
        <v>1453</v>
      </c>
      <c r="I206" s="1">
        <v>0</v>
      </c>
      <c r="J206" s="1">
        <v>0</v>
      </c>
      <c r="K206" s="1">
        <v>5</v>
      </c>
      <c r="L206" s="1">
        <v>0</v>
      </c>
      <c r="M206" s="3">
        <v>1</v>
      </c>
      <c r="N206" s="1">
        <v>1</v>
      </c>
      <c r="O206" s="39">
        <v>8589.3821999999982</v>
      </c>
      <c r="P206" s="39">
        <f t="shared" si="9"/>
        <v>4294.6910999999991</v>
      </c>
      <c r="T206" s="36" t="s">
        <v>803</v>
      </c>
      <c r="U206" s="36" t="s">
        <v>802</v>
      </c>
      <c r="V206" s="36">
        <v>0</v>
      </c>
      <c r="X206" s="2" t="s">
        <v>786</v>
      </c>
      <c r="Y206" s="1">
        <v>0</v>
      </c>
      <c r="Z206" s="1">
        <v>0</v>
      </c>
      <c r="AA206" s="1">
        <v>0</v>
      </c>
      <c r="AB206" s="1">
        <v>0</v>
      </c>
      <c r="AC206" s="1">
        <v>0</v>
      </c>
      <c r="AD206" s="1">
        <v>0</v>
      </c>
      <c r="AE206" s="1">
        <v>0</v>
      </c>
      <c r="AF206" s="1">
        <v>50</v>
      </c>
      <c r="AG206" s="1">
        <v>0</v>
      </c>
      <c r="AH206" s="1">
        <v>-20</v>
      </c>
      <c r="AI206" s="1">
        <v>0</v>
      </c>
      <c r="AJ206" s="1" t="s">
        <v>1124</v>
      </c>
    </row>
    <row r="207" spans="1:36" x14ac:dyDescent="0.15">
      <c r="A207" s="1" t="s">
        <v>355</v>
      </c>
      <c r="B207" s="3">
        <v>1657</v>
      </c>
      <c r="C207" s="1" t="s">
        <v>355</v>
      </c>
      <c r="D207" s="1">
        <v>2</v>
      </c>
      <c r="E207" s="1">
        <v>0</v>
      </c>
      <c r="F207" s="1">
        <v>0</v>
      </c>
      <c r="H207" s="1" t="s">
        <v>1456</v>
      </c>
      <c r="I207" s="1">
        <v>0</v>
      </c>
      <c r="J207" s="1">
        <v>0</v>
      </c>
      <c r="K207" s="1">
        <v>0</v>
      </c>
      <c r="L207" s="1">
        <v>0</v>
      </c>
      <c r="M207" s="3">
        <v>1</v>
      </c>
      <c r="N207" s="1">
        <v>1</v>
      </c>
      <c r="O207" s="39">
        <v>9480.0384000000013</v>
      </c>
      <c r="P207" s="39">
        <f t="shared" si="9"/>
        <v>4740.0192000000006</v>
      </c>
      <c r="T207" s="36" t="s">
        <v>803</v>
      </c>
      <c r="U207" s="36" t="s">
        <v>802</v>
      </c>
      <c r="V207" s="36">
        <v>0</v>
      </c>
      <c r="X207" s="2" t="s">
        <v>786</v>
      </c>
      <c r="Y207" s="1">
        <v>0</v>
      </c>
      <c r="Z207" s="1">
        <v>0</v>
      </c>
      <c r="AA207" s="1">
        <v>0</v>
      </c>
      <c r="AB207" s="1">
        <v>0</v>
      </c>
      <c r="AC207" s="1">
        <v>0</v>
      </c>
      <c r="AD207" s="1">
        <v>0</v>
      </c>
      <c r="AE207" s="1">
        <v>0</v>
      </c>
      <c r="AF207" s="1">
        <v>30</v>
      </c>
      <c r="AG207" s="1">
        <v>20</v>
      </c>
      <c r="AH207" s="1">
        <v>10</v>
      </c>
      <c r="AI207" s="1">
        <v>0</v>
      </c>
      <c r="AJ207" s="1" t="s">
        <v>1002</v>
      </c>
    </row>
    <row r="208" spans="1:36" x14ac:dyDescent="0.15">
      <c r="A208" s="1" t="s">
        <v>397</v>
      </c>
      <c r="B208" s="3">
        <v>1658</v>
      </c>
      <c r="C208" s="1" t="s">
        <v>397</v>
      </c>
      <c r="D208" s="1">
        <v>2</v>
      </c>
      <c r="E208" s="1">
        <v>0</v>
      </c>
      <c r="F208" s="1">
        <v>0</v>
      </c>
      <c r="H208" s="1" t="s">
        <v>1454</v>
      </c>
      <c r="I208" s="1">
        <v>0</v>
      </c>
      <c r="J208" s="1">
        <v>0</v>
      </c>
      <c r="K208" s="1">
        <v>1</v>
      </c>
      <c r="L208" s="1">
        <v>0</v>
      </c>
      <c r="M208" s="3">
        <v>1</v>
      </c>
      <c r="N208" s="1">
        <v>1</v>
      </c>
      <c r="O208" s="39">
        <v>9480.0383999999958</v>
      </c>
      <c r="P208" s="39">
        <f t="shared" si="9"/>
        <v>4740.0191999999979</v>
      </c>
      <c r="T208" s="36" t="s">
        <v>803</v>
      </c>
      <c r="U208" s="36" t="s">
        <v>802</v>
      </c>
      <c r="V208" s="36">
        <v>0</v>
      </c>
      <c r="X208" s="2" t="s">
        <v>786</v>
      </c>
      <c r="Y208" s="1">
        <v>0</v>
      </c>
      <c r="Z208" s="1">
        <v>0</v>
      </c>
      <c r="AA208" s="1">
        <v>0</v>
      </c>
      <c r="AB208" s="1">
        <v>0</v>
      </c>
      <c r="AC208" s="1">
        <v>0</v>
      </c>
      <c r="AD208" s="1">
        <v>0</v>
      </c>
      <c r="AE208" s="1">
        <v>0</v>
      </c>
      <c r="AF208" s="1">
        <v>50</v>
      </c>
      <c r="AG208" s="1">
        <v>0</v>
      </c>
      <c r="AH208" s="1">
        <v>-10</v>
      </c>
      <c r="AI208" s="1">
        <v>0</v>
      </c>
      <c r="AJ208" s="1" t="s">
        <v>1003</v>
      </c>
    </row>
    <row r="209" spans="1:36" x14ac:dyDescent="0.15">
      <c r="A209" s="1" t="s">
        <v>398</v>
      </c>
      <c r="B209" s="3">
        <v>1659</v>
      </c>
      <c r="C209" s="1" t="s">
        <v>398</v>
      </c>
      <c r="D209" s="1">
        <v>2</v>
      </c>
      <c r="E209" s="1">
        <v>0</v>
      </c>
      <c r="F209" s="1">
        <v>0</v>
      </c>
      <c r="H209" s="1" t="s">
        <v>1457</v>
      </c>
      <c r="I209" s="1">
        <v>0</v>
      </c>
      <c r="J209" s="1">
        <v>0</v>
      </c>
      <c r="K209" s="1">
        <v>3</v>
      </c>
      <c r="L209" s="1">
        <v>0</v>
      </c>
      <c r="M209" s="3">
        <v>1</v>
      </c>
      <c r="N209" s="1">
        <v>1</v>
      </c>
      <c r="O209" s="39">
        <v>9480.0384000000013</v>
      </c>
      <c r="P209" s="39">
        <f t="shared" si="9"/>
        <v>4740.0192000000006</v>
      </c>
      <c r="T209" s="36" t="s">
        <v>803</v>
      </c>
      <c r="U209" s="36" t="s">
        <v>802</v>
      </c>
      <c r="V209" s="36">
        <v>0</v>
      </c>
      <c r="X209" s="2" t="s">
        <v>786</v>
      </c>
      <c r="Y209" s="1">
        <v>0</v>
      </c>
      <c r="Z209" s="1">
        <v>0</v>
      </c>
      <c r="AA209" s="1">
        <v>0</v>
      </c>
      <c r="AB209" s="1">
        <v>0</v>
      </c>
      <c r="AC209" s="1">
        <v>20</v>
      </c>
      <c r="AD209" s="1">
        <v>0</v>
      </c>
      <c r="AE209" s="1">
        <v>0</v>
      </c>
      <c r="AF209" s="1">
        <v>40</v>
      </c>
      <c r="AG209" s="1">
        <v>-20</v>
      </c>
      <c r="AH209" s="1">
        <v>10</v>
      </c>
      <c r="AI209" s="1">
        <v>0</v>
      </c>
      <c r="AJ209" s="1" t="s">
        <v>1004</v>
      </c>
    </row>
    <row r="210" spans="1:36" x14ac:dyDescent="0.15">
      <c r="A210" s="1" t="s">
        <v>399</v>
      </c>
      <c r="B210" s="3">
        <v>1660</v>
      </c>
      <c r="C210" s="1" t="s">
        <v>399</v>
      </c>
      <c r="D210" s="1">
        <v>2</v>
      </c>
      <c r="E210" s="1">
        <v>0</v>
      </c>
      <c r="F210" s="1">
        <v>0</v>
      </c>
      <c r="H210" s="1" t="s">
        <v>1451</v>
      </c>
      <c r="I210" s="1">
        <v>0</v>
      </c>
      <c r="J210" s="1">
        <v>0</v>
      </c>
      <c r="K210" s="1">
        <v>4</v>
      </c>
      <c r="L210" s="1">
        <v>0</v>
      </c>
      <c r="M210" s="3">
        <v>1</v>
      </c>
      <c r="N210" s="1">
        <v>1</v>
      </c>
      <c r="O210" s="39">
        <v>13704.163200000001</v>
      </c>
      <c r="P210" s="39">
        <f t="shared" si="9"/>
        <v>6852.0816000000004</v>
      </c>
      <c r="T210" s="36" t="s">
        <v>803</v>
      </c>
      <c r="U210" s="36" t="s">
        <v>802</v>
      </c>
      <c r="V210" s="36">
        <v>0</v>
      </c>
      <c r="X210" s="2" t="s">
        <v>786</v>
      </c>
      <c r="Y210" s="1">
        <v>0</v>
      </c>
      <c r="Z210" s="1">
        <v>0</v>
      </c>
      <c r="AA210" s="1">
        <v>0</v>
      </c>
      <c r="AB210" s="1">
        <v>0</v>
      </c>
      <c r="AC210" s="1">
        <v>0</v>
      </c>
      <c r="AD210" s="1">
        <v>0</v>
      </c>
      <c r="AE210" s="1">
        <v>0</v>
      </c>
      <c r="AF210" s="1">
        <v>40</v>
      </c>
      <c r="AG210" s="1">
        <v>10</v>
      </c>
      <c r="AH210" s="1">
        <v>20</v>
      </c>
      <c r="AI210" s="1">
        <v>0</v>
      </c>
      <c r="AJ210" s="1" t="s">
        <v>1005</v>
      </c>
    </row>
    <row r="211" spans="1:36" x14ac:dyDescent="0.15">
      <c r="A211" s="1" t="s">
        <v>400</v>
      </c>
      <c r="B211" s="3">
        <v>1661</v>
      </c>
      <c r="C211" s="1" t="s">
        <v>400</v>
      </c>
      <c r="D211" s="1">
        <v>2</v>
      </c>
      <c r="E211" s="1">
        <v>0</v>
      </c>
      <c r="F211" s="1">
        <v>0</v>
      </c>
      <c r="H211" s="1" t="s">
        <v>1458</v>
      </c>
      <c r="I211" s="1">
        <v>0</v>
      </c>
      <c r="J211" s="1">
        <v>0</v>
      </c>
      <c r="K211" s="1">
        <v>2</v>
      </c>
      <c r="L211" s="1">
        <v>0</v>
      </c>
      <c r="M211" s="3">
        <v>1</v>
      </c>
      <c r="N211" s="1">
        <v>1</v>
      </c>
      <c r="O211" s="39">
        <v>48523.679100000016</v>
      </c>
      <c r="P211" s="39">
        <f t="shared" si="9"/>
        <v>24261.839550000008</v>
      </c>
      <c r="T211" s="36" t="s">
        <v>803</v>
      </c>
      <c r="U211" s="36" t="s">
        <v>802</v>
      </c>
      <c r="V211" s="36">
        <v>0</v>
      </c>
      <c r="X211" s="2" t="s">
        <v>786</v>
      </c>
      <c r="Y211" s="1">
        <v>0</v>
      </c>
      <c r="Z211" s="1">
        <v>0</v>
      </c>
      <c r="AA211" s="1">
        <v>0</v>
      </c>
      <c r="AB211" s="1">
        <v>0</v>
      </c>
      <c r="AC211" s="1">
        <v>40</v>
      </c>
      <c r="AD211" s="1">
        <v>0</v>
      </c>
      <c r="AE211" s="1">
        <v>0</v>
      </c>
      <c r="AF211" s="1">
        <v>60</v>
      </c>
      <c r="AG211" s="1">
        <v>-10</v>
      </c>
      <c r="AH211" s="1">
        <v>-20</v>
      </c>
      <c r="AI211" s="1">
        <v>0</v>
      </c>
      <c r="AJ211" s="1" t="s">
        <v>1006</v>
      </c>
    </row>
    <row r="212" spans="1:36" x14ac:dyDescent="0.15">
      <c r="A212" s="1" t="s">
        <v>401</v>
      </c>
      <c r="B212" s="3">
        <v>1662</v>
      </c>
      <c r="C212" s="1" t="s">
        <v>401</v>
      </c>
      <c r="D212" s="1">
        <v>2</v>
      </c>
      <c r="E212" s="1">
        <v>0</v>
      </c>
      <c r="F212" s="1">
        <v>0</v>
      </c>
      <c r="H212" s="1" t="s">
        <v>1453</v>
      </c>
      <c r="I212" s="1">
        <v>0</v>
      </c>
      <c r="J212" s="1">
        <v>0</v>
      </c>
      <c r="K212" s="1">
        <v>0</v>
      </c>
      <c r="L212" s="1">
        <v>0</v>
      </c>
      <c r="M212" s="3">
        <v>1</v>
      </c>
      <c r="N212" s="1">
        <v>1</v>
      </c>
      <c r="O212" s="39">
        <v>58395.405600000013</v>
      </c>
      <c r="P212" s="39">
        <f t="shared" si="9"/>
        <v>29197.702800000006</v>
      </c>
      <c r="T212" s="36" t="s">
        <v>803</v>
      </c>
      <c r="U212" s="36" t="s">
        <v>802</v>
      </c>
      <c r="V212" s="36">
        <v>0</v>
      </c>
      <c r="X212" s="2" t="s">
        <v>786</v>
      </c>
      <c r="Y212" s="1">
        <v>0</v>
      </c>
      <c r="Z212" s="1">
        <v>0</v>
      </c>
      <c r="AA212" s="1">
        <v>0</v>
      </c>
      <c r="AB212" s="1">
        <v>0</v>
      </c>
      <c r="AC212" s="1">
        <v>0</v>
      </c>
      <c r="AD212" s="1">
        <v>0</v>
      </c>
      <c r="AE212" s="1">
        <v>20</v>
      </c>
      <c r="AF212" s="1">
        <v>60</v>
      </c>
      <c r="AG212" s="1">
        <v>0</v>
      </c>
      <c r="AH212" s="1">
        <v>-20</v>
      </c>
      <c r="AI212" s="1">
        <v>0</v>
      </c>
      <c r="AJ212" s="1" t="s">
        <v>1125</v>
      </c>
    </row>
    <row r="213" spans="1:36" x14ac:dyDescent="0.15">
      <c r="A213" s="1" t="s">
        <v>402</v>
      </c>
      <c r="B213" s="3">
        <v>1663</v>
      </c>
      <c r="C213" s="1" t="s">
        <v>402</v>
      </c>
      <c r="D213" s="1">
        <v>2</v>
      </c>
      <c r="E213" s="1">
        <v>0</v>
      </c>
      <c r="F213" s="1">
        <v>0</v>
      </c>
      <c r="H213" s="1" t="s">
        <v>1456</v>
      </c>
      <c r="I213" s="1">
        <v>0</v>
      </c>
      <c r="J213" s="1">
        <v>0</v>
      </c>
      <c r="K213" s="1">
        <v>3</v>
      </c>
      <c r="L213" s="1">
        <v>0</v>
      </c>
      <c r="M213" s="3">
        <v>1</v>
      </c>
      <c r="N213" s="1">
        <v>1</v>
      </c>
      <c r="O213" s="39">
        <v>27059.005800000014</v>
      </c>
      <c r="P213" s="39">
        <f t="shared" si="9"/>
        <v>13529.502900000007</v>
      </c>
      <c r="T213" s="36" t="s">
        <v>803</v>
      </c>
      <c r="U213" s="36" t="s">
        <v>802</v>
      </c>
      <c r="V213" s="36">
        <v>0</v>
      </c>
      <c r="X213" s="2" t="s">
        <v>786</v>
      </c>
      <c r="Y213" s="1">
        <v>0</v>
      </c>
      <c r="Z213" s="1">
        <v>0</v>
      </c>
      <c r="AA213" s="1">
        <v>0</v>
      </c>
      <c r="AB213" s="1">
        <v>0</v>
      </c>
      <c r="AC213" s="1">
        <v>20</v>
      </c>
      <c r="AD213" s="1">
        <v>0</v>
      </c>
      <c r="AE213" s="1">
        <v>0</v>
      </c>
      <c r="AF213" s="1">
        <v>40</v>
      </c>
      <c r="AG213" s="1">
        <v>10</v>
      </c>
      <c r="AH213" s="1">
        <v>10</v>
      </c>
      <c r="AI213" s="1">
        <v>0</v>
      </c>
      <c r="AJ213" s="1" t="s">
        <v>1007</v>
      </c>
    </row>
    <row r="214" spans="1:36" x14ac:dyDescent="0.15">
      <c r="A214" s="1" t="s">
        <v>403</v>
      </c>
      <c r="B214" s="3">
        <v>1664</v>
      </c>
      <c r="C214" s="1" t="s">
        <v>403</v>
      </c>
      <c r="D214" s="1">
        <v>2</v>
      </c>
      <c r="E214" s="1">
        <v>0</v>
      </c>
      <c r="F214" s="1">
        <v>0</v>
      </c>
      <c r="H214" s="1" t="s">
        <v>1459</v>
      </c>
      <c r="I214" s="1">
        <v>0</v>
      </c>
      <c r="J214" s="1">
        <v>0</v>
      </c>
      <c r="K214" s="1">
        <v>1</v>
      </c>
      <c r="L214" s="1">
        <v>0</v>
      </c>
      <c r="M214" s="3">
        <v>1</v>
      </c>
      <c r="N214" s="1">
        <v>1</v>
      </c>
      <c r="O214" s="39">
        <v>27059.005800000014</v>
      </c>
      <c r="P214" s="39">
        <f t="shared" si="9"/>
        <v>13529.502900000007</v>
      </c>
      <c r="T214" s="36" t="s">
        <v>803</v>
      </c>
      <c r="U214" s="36" t="s">
        <v>802</v>
      </c>
      <c r="V214" s="36">
        <v>0</v>
      </c>
      <c r="X214" s="2" t="s">
        <v>786</v>
      </c>
      <c r="Y214" s="1">
        <v>0</v>
      </c>
      <c r="Z214" s="1">
        <v>0</v>
      </c>
      <c r="AA214" s="1">
        <v>0</v>
      </c>
      <c r="AB214" s="1">
        <v>0</v>
      </c>
      <c r="AC214" s="1">
        <v>30</v>
      </c>
      <c r="AD214" s="1">
        <v>0</v>
      </c>
      <c r="AE214" s="1">
        <v>0</v>
      </c>
      <c r="AF214" s="1">
        <v>40</v>
      </c>
      <c r="AG214" s="1">
        <v>0</v>
      </c>
      <c r="AH214" s="1">
        <v>10</v>
      </c>
      <c r="AI214" s="1">
        <v>0</v>
      </c>
      <c r="AJ214" s="1" t="s">
        <v>1008</v>
      </c>
    </row>
    <row r="215" spans="1:36" x14ac:dyDescent="0.15">
      <c r="A215" s="1" t="s">
        <v>390</v>
      </c>
      <c r="B215" s="3">
        <v>1665</v>
      </c>
      <c r="C215" s="1" t="s">
        <v>390</v>
      </c>
      <c r="D215" s="1">
        <v>2</v>
      </c>
      <c r="E215" s="1">
        <v>0</v>
      </c>
      <c r="F215" s="1">
        <v>0</v>
      </c>
      <c r="H215" s="1" t="s">
        <v>1456</v>
      </c>
      <c r="I215" s="1">
        <v>0</v>
      </c>
      <c r="J215" s="1">
        <v>0</v>
      </c>
      <c r="K215" s="1">
        <v>0</v>
      </c>
      <c r="L215" s="1">
        <v>0</v>
      </c>
      <c r="M215" s="3">
        <v>1</v>
      </c>
      <c r="N215" s="1">
        <v>1</v>
      </c>
      <c r="O215" s="39">
        <v>24662.137500000001</v>
      </c>
      <c r="P215" s="39">
        <f t="shared" si="9"/>
        <v>12331.06875</v>
      </c>
      <c r="T215" s="36" t="s">
        <v>803</v>
      </c>
      <c r="U215" s="36" t="s">
        <v>802</v>
      </c>
      <c r="V215" s="36">
        <v>0</v>
      </c>
      <c r="X215" s="2" t="s">
        <v>786</v>
      </c>
      <c r="Y215" s="1">
        <v>0</v>
      </c>
      <c r="Z215" s="1">
        <v>0</v>
      </c>
      <c r="AA215" s="1">
        <v>0</v>
      </c>
      <c r="AB215" s="1">
        <v>0</v>
      </c>
      <c r="AC215" s="1">
        <v>20</v>
      </c>
      <c r="AD215" s="1">
        <v>0</v>
      </c>
      <c r="AE215" s="1">
        <v>0</v>
      </c>
      <c r="AF215" s="1">
        <v>40</v>
      </c>
      <c r="AG215" s="1">
        <v>10</v>
      </c>
      <c r="AH215" s="1">
        <v>0</v>
      </c>
      <c r="AI215" s="1">
        <v>0</v>
      </c>
      <c r="AJ215" s="1" t="s">
        <v>1126</v>
      </c>
    </row>
    <row r="216" spans="1:36" x14ac:dyDescent="0.15">
      <c r="A216" s="1" t="s">
        <v>620</v>
      </c>
      <c r="B216" s="3">
        <v>1666</v>
      </c>
      <c r="C216" s="1" t="s">
        <v>620</v>
      </c>
      <c r="D216" s="1">
        <v>2</v>
      </c>
      <c r="E216" s="1">
        <v>0</v>
      </c>
      <c r="F216" s="1">
        <v>0</v>
      </c>
      <c r="H216" s="1" t="s">
        <v>1460</v>
      </c>
      <c r="I216" s="1">
        <v>0</v>
      </c>
      <c r="J216" s="1">
        <v>0</v>
      </c>
      <c r="K216" s="1">
        <v>4</v>
      </c>
      <c r="L216" s="1">
        <v>0</v>
      </c>
      <c r="M216" s="3">
        <v>1</v>
      </c>
      <c r="N216" s="1">
        <v>1</v>
      </c>
      <c r="O216" s="39">
        <v>24662.137500000001</v>
      </c>
      <c r="P216" s="39">
        <f t="shared" si="9"/>
        <v>12331.06875</v>
      </c>
      <c r="T216" s="36" t="s">
        <v>803</v>
      </c>
      <c r="U216" s="36" t="s">
        <v>802</v>
      </c>
      <c r="V216" s="36">
        <v>0</v>
      </c>
      <c r="X216" s="2" t="s">
        <v>786</v>
      </c>
      <c r="Y216" s="1">
        <v>0</v>
      </c>
      <c r="Z216" s="1">
        <v>0</v>
      </c>
      <c r="AA216" s="1">
        <v>0</v>
      </c>
      <c r="AB216" s="1">
        <v>0</v>
      </c>
      <c r="AC216" s="1">
        <v>0</v>
      </c>
      <c r="AD216" s="1">
        <v>0</v>
      </c>
      <c r="AE216" s="1">
        <v>0</v>
      </c>
      <c r="AF216" s="1">
        <v>40</v>
      </c>
      <c r="AG216" s="1">
        <v>30</v>
      </c>
      <c r="AH216" s="1">
        <v>0</v>
      </c>
      <c r="AI216" s="1">
        <v>0</v>
      </c>
      <c r="AJ216" s="1" t="s">
        <v>1127</v>
      </c>
    </row>
    <row r="217" spans="1:36" s="9" customFormat="1" x14ac:dyDescent="0.15">
      <c r="A217" s="9" t="s">
        <v>425</v>
      </c>
      <c r="B217" s="24">
        <v>1700</v>
      </c>
      <c r="C217" s="9" t="s">
        <v>425</v>
      </c>
      <c r="D217" s="9">
        <v>7</v>
      </c>
      <c r="E217" s="9">
        <v>0</v>
      </c>
      <c r="F217" s="9">
        <v>0</v>
      </c>
      <c r="G217" s="1">
        <v>5007</v>
      </c>
      <c r="H217" s="1" t="s">
        <v>1461</v>
      </c>
      <c r="I217" s="9">
        <v>0</v>
      </c>
      <c r="J217" s="9">
        <v>0</v>
      </c>
      <c r="K217" s="9">
        <v>0</v>
      </c>
      <c r="L217" s="9">
        <v>0</v>
      </c>
      <c r="M217" s="24">
        <v>1</v>
      </c>
      <c r="N217" s="9">
        <v>1</v>
      </c>
      <c r="O217" s="41">
        <v>188.55359999999999</v>
      </c>
      <c r="P217" s="39">
        <f t="shared" si="9"/>
        <v>94.276799999999994</v>
      </c>
      <c r="Q217" s="39"/>
      <c r="R217" s="33"/>
      <c r="S217" s="33"/>
      <c r="T217" s="36" t="s">
        <v>803</v>
      </c>
      <c r="U217" s="36" t="s">
        <v>802</v>
      </c>
      <c r="V217" s="36">
        <v>0</v>
      </c>
      <c r="W217" s="33"/>
      <c r="X217" s="2" t="s">
        <v>786</v>
      </c>
      <c r="Y217" s="9">
        <v>0</v>
      </c>
      <c r="Z217" s="9">
        <v>0</v>
      </c>
      <c r="AA217" s="9">
        <v>0</v>
      </c>
      <c r="AB217" s="9">
        <v>0</v>
      </c>
      <c r="AC217" s="9">
        <v>0</v>
      </c>
      <c r="AD217" s="9">
        <v>0</v>
      </c>
      <c r="AE217" s="9">
        <v>0</v>
      </c>
      <c r="AF217" s="9">
        <v>0</v>
      </c>
      <c r="AG217" s="9">
        <v>0</v>
      </c>
      <c r="AH217" s="9">
        <v>20</v>
      </c>
      <c r="AI217" s="9">
        <v>0</v>
      </c>
      <c r="AJ217" s="1" t="s">
        <v>1128</v>
      </c>
    </row>
    <row r="218" spans="1:36" s="9" customFormat="1" x14ac:dyDescent="0.15">
      <c r="A218" s="9" t="s">
        <v>422</v>
      </c>
      <c r="B218" s="24">
        <v>1701</v>
      </c>
      <c r="C218" s="9" t="s">
        <v>422</v>
      </c>
      <c r="D218" s="9">
        <v>7</v>
      </c>
      <c r="E218" s="9">
        <v>0</v>
      </c>
      <c r="F218" s="9">
        <v>0</v>
      </c>
      <c r="G218" s="1">
        <v>5007</v>
      </c>
      <c r="H218" s="1" t="s">
        <v>1462</v>
      </c>
      <c r="I218" s="9">
        <v>0</v>
      </c>
      <c r="J218" s="9">
        <v>0</v>
      </c>
      <c r="K218" s="9">
        <v>0</v>
      </c>
      <c r="L218" s="9">
        <v>0</v>
      </c>
      <c r="M218" s="24">
        <v>1</v>
      </c>
      <c r="N218" s="9">
        <v>1</v>
      </c>
      <c r="O218" s="41">
        <v>654.30719999999997</v>
      </c>
      <c r="P218" s="39">
        <f t="shared" si="9"/>
        <v>327.15359999999998</v>
      </c>
      <c r="Q218" s="39"/>
      <c r="R218" s="33"/>
      <c r="S218" s="33"/>
      <c r="T218" s="36" t="s">
        <v>803</v>
      </c>
      <c r="U218" s="36" t="s">
        <v>802</v>
      </c>
      <c r="V218" s="36">
        <v>0</v>
      </c>
      <c r="W218" s="33"/>
      <c r="X218" s="2" t="s">
        <v>786</v>
      </c>
      <c r="Y218" s="9">
        <v>0</v>
      </c>
      <c r="Z218" s="9">
        <v>0</v>
      </c>
      <c r="AA218" s="9">
        <v>0</v>
      </c>
      <c r="AB218" s="9">
        <v>0</v>
      </c>
      <c r="AC218" s="9">
        <v>0</v>
      </c>
      <c r="AD218" s="9">
        <v>0</v>
      </c>
      <c r="AE218" s="9">
        <v>0</v>
      </c>
      <c r="AF218" s="9">
        <v>10</v>
      </c>
      <c r="AG218" s="9">
        <v>0</v>
      </c>
      <c r="AH218" s="9">
        <v>10</v>
      </c>
      <c r="AI218" s="9">
        <v>0</v>
      </c>
      <c r="AJ218" s="1" t="s">
        <v>1129</v>
      </c>
    </row>
    <row r="219" spans="1:36" s="9" customFormat="1" x14ac:dyDescent="0.15">
      <c r="A219" s="9" t="s">
        <v>423</v>
      </c>
      <c r="B219" s="24">
        <v>1702</v>
      </c>
      <c r="C219" s="9" t="s">
        <v>423</v>
      </c>
      <c r="D219" s="9">
        <v>7</v>
      </c>
      <c r="E219" s="9">
        <v>0</v>
      </c>
      <c r="F219" s="9">
        <v>0</v>
      </c>
      <c r="G219" s="1">
        <v>5008</v>
      </c>
      <c r="H219" s="1" t="s">
        <v>1463</v>
      </c>
      <c r="I219" s="9">
        <v>0</v>
      </c>
      <c r="J219" s="9">
        <v>0</v>
      </c>
      <c r="K219" s="9">
        <v>0</v>
      </c>
      <c r="L219" s="9">
        <v>0</v>
      </c>
      <c r="M219" s="24">
        <v>1</v>
      </c>
      <c r="N219" s="9">
        <v>1</v>
      </c>
      <c r="O219" s="41">
        <v>1549.3968</v>
      </c>
      <c r="P219" s="39">
        <f t="shared" si="9"/>
        <v>774.69839999999999</v>
      </c>
      <c r="Q219" s="39"/>
      <c r="R219" s="33"/>
      <c r="S219" s="33"/>
      <c r="T219" s="36" t="s">
        <v>803</v>
      </c>
      <c r="U219" s="36" t="s">
        <v>802</v>
      </c>
      <c r="V219" s="36">
        <v>0</v>
      </c>
      <c r="W219" s="33"/>
      <c r="X219" s="2" t="s">
        <v>786</v>
      </c>
      <c r="Y219" s="9">
        <v>0</v>
      </c>
      <c r="Z219" s="9">
        <v>0</v>
      </c>
      <c r="AA219" s="9">
        <v>0</v>
      </c>
      <c r="AB219" s="9">
        <v>0</v>
      </c>
      <c r="AC219" s="9">
        <v>0</v>
      </c>
      <c r="AD219" s="9">
        <v>0</v>
      </c>
      <c r="AE219" s="9">
        <v>0</v>
      </c>
      <c r="AF219" s="9">
        <v>15</v>
      </c>
      <c r="AG219" s="9">
        <v>0</v>
      </c>
      <c r="AH219" s="9">
        <v>20</v>
      </c>
      <c r="AI219" s="9">
        <v>0</v>
      </c>
      <c r="AJ219" s="1" t="s">
        <v>1130</v>
      </c>
    </row>
    <row r="220" spans="1:36" s="9" customFormat="1" x14ac:dyDescent="0.15">
      <c r="A220" s="9" t="s">
        <v>424</v>
      </c>
      <c r="B220" s="24">
        <v>1703</v>
      </c>
      <c r="C220" s="9" t="s">
        <v>424</v>
      </c>
      <c r="D220" s="9">
        <v>7</v>
      </c>
      <c r="E220" s="9">
        <v>0</v>
      </c>
      <c r="F220" s="9">
        <v>0</v>
      </c>
      <c r="G220" s="1">
        <v>5007</v>
      </c>
      <c r="H220" s="1" t="s">
        <v>1464</v>
      </c>
      <c r="I220" s="9">
        <v>0</v>
      </c>
      <c r="J220" s="9">
        <v>0</v>
      </c>
      <c r="K220" s="9">
        <v>0</v>
      </c>
      <c r="L220" s="9">
        <v>0</v>
      </c>
      <c r="M220" s="24">
        <v>1</v>
      </c>
      <c r="N220" s="9">
        <v>1</v>
      </c>
      <c r="O220" s="41">
        <v>849.34080000000017</v>
      </c>
      <c r="P220" s="39">
        <f t="shared" si="9"/>
        <v>424.67040000000009</v>
      </c>
      <c r="Q220" s="39"/>
      <c r="R220" s="33"/>
      <c r="S220" s="33"/>
      <c r="T220" s="36" t="s">
        <v>803</v>
      </c>
      <c r="U220" s="36" t="s">
        <v>802</v>
      </c>
      <c r="V220" s="36">
        <v>0</v>
      </c>
      <c r="W220" s="33"/>
      <c r="X220" s="2" t="s">
        <v>786</v>
      </c>
      <c r="Y220" s="9">
        <v>0</v>
      </c>
      <c r="Z220" s="9">
        <v>0</v>
      </c>
      <c r="AA220" s="9">
        <v>0</v>
      </c>
      <c r="AB220" s="9">
        <v>0</v>
      </c>
      <c r="AC220" s="9">
        <v>0</v>
      </c>
      <c r="AD220" s="9">
        <v>0</v>
      </c>
      <c r="AE220" s="9">
        <v>0</v>
      </c>
      <c r="AF220" s="9">
        <v>5</v>
      </c>
      <c r="AG220" s="9">
        <v>0</v>
      </c>
      <c r="AH220" s="9">
        <v>30</v>
      </c>
      <c r="AI220" s="9">
        <v>0</v>
      </c>
      <c r="AJ220" s="1" t="s">
        <v>1131</v>
      </c>
    </row>
    <row r="221" spans="1:36" s="9" customFormat="1" x14ac:dyDescent="0.15">
      <c r="A221" s="9" t="s">
        <v>427</v>
      </c>
      <c r="B221" s="24">
        <v>1704</v>
      </c>
      <c r="C221" s="9" t="s">
        <v>427</v>
      </c>
      <c r="D221" s="9">
        <v>7</v>
      </c>
      <c r="E221" s="9">
        <v>0</v>
      </c>
      <c r="F221" s="9">
        <v>0</v>
      </c>
      <c r="G221" s="1">
        <v>5007</v>
      </c>
      <c r="H221" s="1" t="s">
        <v>1465</v>
      </c>
      <c r="I221" s="9">
        <v>0</v>
      </c>
      <c r="J221" s="9">
        <v>0</v>
      </c>
      <c r="K221" s="9">
        <v>0</v>
      </c>
      <c r="L221" s="9">
        <v>0</v>
      </c>
      <c r="M221" s="24">
        <v>1</v>
      </c>
      <c r="N221" s="9">
        <v>1</v>
      </c>
      <c r="O221" s="41">
        <v>1682.1000000000001</v>
      </c>
      <c r="P221" s="39">
        <f t="shared" si="9"/>
        <v>841.05000000000007</v>
      </c>
      <c r="Q221" s="39"/>
      <c r="R221" s="33"/>
      <c r="S221" s="33"/>
      <c r="T221" s="36" t="s">
        <v>803</v>
      </c>
      <c r="U221" s="36" t="s">
        <v>802</v>
      </c>
      <c r="V221" s="36">
        <v>0</v>
      </c>
      <c r="W221" s="33"/>
      <c r="X221" s="2" t="s">
        <v>786</v>
      </c>
      <c r="Y221" s="9">
        <v>0</v>
      </c>
      <c r="Z221" s="9">
        <v>0</v>
      </c>
      <c r="AA221" s="9">
        <v>0</v>
      </c>
      <c r="AB221" s="9">
        <v>0</v>
      </c>
      <c r="AC221" s="9">
        <v>0</v>
      </c>
      <c r="AD221" s="9">
        <v>0</v>
      </c>
      <c r="AE221" s="9">
        <v>0</v>
      </c>
      <c r="AF221" s="9">
        <v>10</v>
      </c>
      <c r="AG221" s="9">
        <v>0</v>
      </c>
      <c r="AH221" s="9">
        <v>50</v>
      </c>
      <c r="AI221" s="9">
        <v>0</v>
      </c>
      <c r="AJ221" s="1" t="s">
        <v>1132</v>
      </c>
    </row>
    <row r="222" spans="1:36" s="9" customFormat="1" x14ac:dyDescent="0.15">
      <c r="A222" s="9" t="s">
        <v>431</v>
      </c>
      <c r="B222" s="24">
        <v>1705</v>
      </c>
      <c r="C222" s="9" t="s">
        <v>431</v>
      </c>
      <c r="D222" s="9">
        <v>7</v>
      </c>
      <c r="E222" s="9">
        <v>0</v>
      </c>
      <c r="F222" s="9">
        <v>0</v>
      </c>
      <c r="G222" s="1"/>
      <c r="H222" s="1" t="s">
        <v>1466</v>
      </c>
      <c r="I222" s="9">
        <v>0</v>
      </c>
      <c r="J222" s="9">
        <v>0</v>
      </c>
      <c r="K222" s="9">
        <v>0</v>
      </c>
      <c r="L222" s="9">
        <v>0</v>
      </c>
      <c r="M222" s="24">
        <v>1</v>
      </c>
      <c r="N222" s="9">
        <v>1</v>
      </c>
      <c r="O222" s="41">
        <v>4839.8688000000011</v>
      </c>
      <c r="P222" s="39">
        <f t="shared" si="9"/>
        <v>2419.9344000000006</v>
      </c>
      <c r="Q222" s="39"/>
      <c r="R222" s="33"/>
      <c r="S222" s="33"/>
      <c r="T222" s="36" t="s">
        <v>803</v>
      </c>
      <c r="U222" s="36" t="s">
        <v>802</v>
      </c>
      <c r="V222" s="36">
        <v>0</v>
      </c>
      <c r="W222" s="33"/>
      <c r="X222" s="2" t="s">
        <v>786</v>
      </c>
      <c r="Y222" s="9">
        <v>0</v>
      </c>
      <c r="Z222" s="9">
        <v>0</v>
      </c>
      <c r="AA222" s="9">
        <v>0</v>
      </c>
      <c r="AB222" s="9">
        <v>0</v>
      </c>
      <c r="AC222" s="9">
        <v>0</v>
      </c>
      <c r="AD222" s="9">
        <v>0</v>
      </c>
      <c r="AE222" s="9">
        <v>0</v>
      </c>
      <c r="AF222" s="9">
        <v>20</v>
      </c>
      <c r="AG222" s="9">
        <v>10</v>
      </c>
      <c r="AH222" s="9">
        <v>30</v>
      </c>
      <c r="AI222" s="9">
        <v>0</v>
      </c>
      <c r="AJ222" s="1" t="s">
        <v>1133</v>
      </c>
    </row>
    <row r="223" spans="1:36" s="9" customFormat="1" x14ac:dyDescent="0.15">
      <c r="A223" s="9" t="s">
        <v>430</v>
      </c>
      <c r="B223" s="24">
        <v>1706</v>
      </c>
      <c r="C223" s="9" t="s">
        <v>430</v>
      </c>
      <c r="D223" s="9">
        <v>7</v>
      </c>
      <c r="E223" s="9">
        <v>0</v>
      </c>
      <c r="F223" s="9">
        <v>0</v>
      </c>
      <c r="G223" s="1"/>
      <c r="H223" s="1" t="s">
        <v>1467</v>
      </c>
      <c r="I223" s="9">
        <v>0</v>
      </c>
      <c r="J223" s="9">
        <v>0</v>
      </c>
      <c r="K223" s="9">
        <v>0</v>
      </c>
      <c r="L223" s="9">
        <v>0</v>
      </c>
      <c r="M223" s="24">
        <v>1</v>
      </c>
      <c r="N223" s="9">
        <v>1</v>
      </c>
      <c r="O223" s="41">
        <v>4521.6000000000013</v>
      </c>
      <c r="P223" s="39">
        <f t="shared" si="9"/>
        <v>2260.8000000000006</v>
      </c>
      <c r="Q223" s="39"/>
      <c r="R223" s="33"/>
      <c r="S223" s="33"/>
      <c r="T223" s="36" t="s">
        <v>803</v>
      </c>
      <c r="U223" s="36" t="s">
        <v>802</v>
      </c>
      <c r="V223" s="36">
        <v>0</v>
      </c>
      <c r="W223" s="33"/>
      <c r="X223" s="2" t="s">
        <v>786</v>
      </c>
      <c r="Y223" s="9">
        <v>0</v>
      </c>
      <c r="Z223" s="9">
        <v>0</v>
      </c>
      <c r="AA223" s="9">
        <v>0</v>
      </c>
      <c r="AB223" s="9">
        <v>0</v>
      </c>
      <c r="AC223" s="9">
        <v>0</v>
      </c>
      <c r="AD223" s="9">
        <v>0</v>
      </c>
      <c r="AE223" s="9">
        <v>10</v>
      </c>
      <c r="AF223" s="9">
        <v>0</v>
      </c>
      <c r="AG223" s="9">
        <v>0</v>
      </c>
      <c r="AH223" s="9">
        <v>100</v>
      </c>
      <c r="AI223" s="9">
        <v>0</v>
      </c>
      <c r="AJ223" s="1" t="s">
        <v>1134</v>
      </c>
    </row>
    <row r="224" spans="1:36" s="9" customFormat="1" x14ac:dyDescent="0.15">
      <c r="A224" s="9" t="s">
        <v>429</v>
      </c>
      <c r="B224" s="24">
        <v>1707</v>
      </c>
      <c r="C224" s="9" t="s">
        <v>429</v>
      </c>
      <c r="D224" s="9">
        <v>7</v>
      </c>
      <c r="E224" s="9">
        <v>0</v>
      </c>
      <c r="F224" s="9">
        <v>0</v>
      </c>
      <c r="G224" s="1"/>
      <c r="H224" s="1" t="s">
        <v>1468</v>
      </c>
      <c r="I224" s="9">
        <v>0</v>
      </c>
      <c r="J224" s="9">
        <v>0</v>
      </c>
      <c r="K224" s="9">
        <v>0</v>
      </c>
      <c r="L224" s="9">
        <v>0</v>
      </c>
      <c r="M224" s="24">
        <v>1</v>
      </c>
      <c r="N224" s="9">
        <v>1</v>
      </c>
      <c r="O224" s="41">
        <v>15676.896599999998</v>
      </c>
      <c r="P224" s="39">
        <f t="shared" si="9"/>
        <v>7838.4482999999991</v>
      </c>
      <c r="Q224" s="39"/>
      <c r="R224" s="33"/>
      <c r="S224" s="33"/>
      <c r="T224" s="36" t="s">
        <v>803</v>
      </c>
      <c r="U224" s="36" t="s">
        <v>802</v>
      </c>
      <c r="V224" s="36">
        <v>0</v>
      </c>
      <c r="W224" s="33"/>
      <c r="X224" s="2" t="s">
        <v>786</v>
      </c>
      <c r="Y224" s="9">
        <v>0</v>
      </c>
      <c r="Z224" s="9">
        <v>0</v>
      </c>
      <c r="AA224" s="9">
        <v>0</v>
      </c>
      <c r="AB224" s="9">
        <v>0</v>
      </c>
      <c r="AC224" s="9">
        <v>0</v>
      </c>
      <c r="AD224" s="9">
        <v>0</v>
      </c>
      <c r="AE224" s="9">
        <v>0</v>
      </c>
      <c r="AF224" s="9">
        <v>30</v>
      </c>
      <c r="AG224" s="9">
        <v>0</v>
      </c>
      <c r="AH224" s="9">
        <v>80</v>
      </c>
      <c r="AI224" s="9">
        <v>0</v>
      </c>
      <c r="AJ224" s="1" t="s">
        <v>1135</v>
      </c>
    </row>
    <row r="225" spans="1:36" s="9" customFormat="1" x14ac:dyDescent="0.15">
      <c r="A225" s="9" t="s">
        <v>433</v>
      </c>
      <c r="B225" s="24">
        <v>1708</v>
      </c>
      <c r="C225" s="9" t="s">
        <v>433</v>
      </c>
      <c r="D225" s="9">
        <v>7</v>
      </c>
      <c r="E225" s="9">
        <v>0</v>
      </c>
      <c r="F225" s="9">
        <v>0</v>
      </c>
      <c r="G225" s="1"/>
      <c r="H225" s="1" t="s">
        <v>1469</v>
      </c>
      <c r="I225" s="9">
        <v>0</v>
      </c>
      <c r="J225" s="9">
        <v>0</v>
      </c>
      <c r="K225" s="9">
        <v>0</v>
      </c>
      <c r="L225" s="9">
        <v>0</v>
      </c>
      <c r="M225" s="24">
        <v>1</v>
      </c>
      <c r="N225" s="9">
        <v>1</v>
      </c>
      <c r="O225" s="41">
        <v>11156.400000000001</v>
      </c>
      <c r="P225" s="39">
        <f t="shared" si="9"/>
        <v>5578.2000000000007</v>
      </c>
      <c r="Q225" s="39"/>
      <c r="R225" s="33"/>
      <c r="S225" s="33"/>
      <c r="T225" s="36" t="s">
        <v>803</v>
      </c>
      <c r="U225" s="36" t="s">
        <v>802</v>
      </c>
      <c r="V225" s="36">
        <v>0</v>
      </c>
      <c r="W225" s="33"/>
      <c r="X225" s="2" t="s">
        <v>786</v>
      </c>
      <c r="Y225" s="9">
        <v>0</v>
      </c>
      <c r="Z225" s="9">
        <v>0</v>
      </c>
      <c r="AA225" s="9">
        <v>0</v>
      </c>
      <c r="AB225" s="9">
        <v>0</v>
      </c>
      <c r="AC225" s="9">
        <v>0</v>
      </c>
      <c r="AD225" s="9">
        <v>0</v>
      </c>
      <c r="AE225" s="9">
        <v>0</v>
      </c>
      <c r="AF225" s="9">
        <v>0</v>
      </c>
      <c r="AG225" s="9">
        <v>20</v>
      </c>
      <c r="AH225" s="9">
        <v>150</v>
      </c>
      <c r="AI225" s="9">
        <v>0</v>
      </c>
      <c r="AJ225" s="1" t="s">
        <v>1136</v>
      </c>
    </row>
    <row r="226" spans="1:36" s="9" customFormat="1" x14ac:dyDescent="0.15">
      <c r="A226" s="9" t="s">
        <v>428</v>
      </c>
      <c r="B226" s="24">
        <v>1709</v>
      </c>
      <c r="C226" s="9" t="s">
        <v>428</v>
      </c>
      <c r="D226" s="9">
        <v>7</v>
      </c>
      <c r="E226" s="9">
        <v>0</v>
      </c>
      <c r="F226" s="9">
        <v>0</v>
      </c>
      <c r="G226" s="1"/>
      <c r="H226" s="1" t="s">
        <v>1470</v>
      </c>
      <c r="I226" s="9">
        <v>0</v>
      </c>
      <c r="J226" s="9">
        <v>0</v>
      </c>
      <c r="K226" s="9">
        <v>0</v>
      </c>
      <c r="L226" s="9">
        <v>0</v>
      </c>
      <c r="M226" s="24">
        <v>1</v>
      </c>
      <c r="N226" s="9">
        <v>1</v>
      </c>
      <c r="O226" s="41">
        <v>11156.400000000001</v>
      </c>
      <c r="P226" s="39">
        <f t="shared" si="9"/>
        <v>5578.2000000000007</v>
      </c>
      <c r="Q226" s="39"/>
      <c r="R226" s="33"/>
      <c r="S226" s="33"/>
      <c r="T226" s="36" t="s">
        <v>803</v>
      </c>
      <c r="U226" s="36" t="s">
        <v>802</v>
      </c>
      <c r="V226" s="36">
        <v>0</v>
      </c>
      <c r="W226" s="33"/>
      <c r="X226" s="2" t="s">
        <v>786</v>
      </c>
      <c r="Y226" s="9">
        <v>0</v>
      </c>
      <c r="Z226" s="9">
        <v>0</v>
      </c>
      <c r="AA226" s="9">
        <v>0</v>
      </c>
      <c r="AB226" s="9">
        <v>0</v>
      </c>
      <c r="AC226" s="9">
        <v>0</v>
      </c>
      <c r="AD226" s="9">
        <v>0</v>
      </c>
      <c r="AE226" s="9">
        <v>0</v>
      </c>
      <c r="AF226" s="9">
        <v>0</v>
      </c>
      <c r="AG226" s="9">
        <v>0</v>
      </c>
      <c r="AH226" s="9">
        <v>200</v>
      </c>
      <c r="AI226" s="9">
        <v>0</v>
      </c>
      <c r="AJ226" s="1" t="s">
        <v>1137</v>
      </c>
    </row>
    <row r="227" spans="1:36" s="9" customFormat="1" x14ac:dyDescent="0.15">
      <c r="A227" s="9" t="s">
        <v>621</v>
      </c>
      <c r="B227" s="24">
        <v>1710</v>
      </c>
      <c r="C227" s="9" t="s">
        <v>621</v>
      </c>
      <c r="D227" s="9">
        <v>7</v>
      </c>
      <c r="E227" s="9">
        <v>0</v>
      </c>
      <c r="F227" s="9">
        <v>0</v>
      </c>
      <c r="G227" s="1"/>
      <c r="H227" s="1" t="s">
        <v>1470</v>
      </c>
      <c r="I227" s="9">
        <v>0</v>
      </c>
      <c r="J227" s="9">
        <v>0</v>
      </c>
      <c r="K227" s="9">
        <v>0</v>
      </c>
      <c r="L227" s="9">
        <v>0</v>
      </c>
      <c r="M227" s="24">
        <v>1</v>
      </c>
      <c r="N227" s="9">
        <v>1</v>
      </c>
      <c r="O227" s="41">
        <v>19321.875</v>
      </c>
      <c r="P227" s="39">
        <f t="shared" si="9"/>
        <v>9660.9375</v>
      </c>
      <c r="Q227" s="39"/>
      <c r="R227" s="33"/>
      <c r="S227" s="33"/>
      <c r="T227" s="36" t="s">
        <v>803</v>
      </c>
      <c r="U227" s="36" t="s">
        <v>802</v>
      </c>
      <c r="V227" s="36">
        <v>0</v>
      </c>
      <c r="W227" s="33"/>
      <c r="X227" s="2" t="s">
        <v>786</v>
      </c>
      <c r="Y227" s="9">
        <v>0</v>
      </c>
      <c r="Z227" s="9">
        <v>0</v>
      </c>
      <c r="AA227" s="9">
        <v>0</v>
      </c>
      <c r="AB227" s="9">
        <v>0</v>
      </c>
      <c r="AC227" s="9">
        <v>0</v>
      </c>
      <c r="AD227" s="9">
        <v>0</v>
      </c>
      <c r="AE227" s="9">
        <v>0</v>
      </c>
      <c r="AF227" s="9">
        <v>20</v>
      </c>
      <c r="AG227" s="9">
        <v>0</v>
      </c>
      <c r="AH227" s="9">
        <v>150</v>
      </c>
      <c r="AI227" s="9">
        <v>0</v>
      </c>
      <c r="AJ227" s="1" t="s">
        <v>1138</v>
      </c>
    </row>
    <row r="228" spans="1:36" x14ac:dyDescent="0.15">
      <c r="A228" s="1" t="s">
        <v>717</v>
      </c>
      <c r="B228" s="3">
        <v>1800</v>
      </c>
      <c r="C228" s="1" t="s">
        <v>717</v>
      </c>
      <c r="D228" s="1">
        <v>8</v>
      </c>
      <c r="E228" s="1">
        <v>0</v>
      </c>
      <c r="F228" s="1">
        <v>0</v>
      </c>
      <c r="G228" s="1">
        <v>5007</v>
      </c>
      <c r="H228" s="1" t="s">
        <v>1471</v>
      </c>
      <c r="I228" s="1">
        <v>0</v>
      </c>
      <c r="J228" s="1">
        <v>0</v>
      </c>
      <c r="K228" s="1">
        <v>0</v>
      </c>
      <c r="L228" s="1">
        <v>0</v>
      </c>
      <c r="M228" s="3">
        <v>1</v>
      </c>
      <c r="N228" s="1">
        <v>1</v>
      </c>
      <c r="O228" s="39">
        <v>522.90000000000009</v>
      </c>
      <c r="P228" s="39">
        <f t="shared" si="9"/>
        <v>261.45000000000005</v>
      </c>
      <c r="T228" s="36" t="s">
        <v>803</v>
      </c>
      <c r="U228" s="36" t="s">
        <v>802</v>
      </c>
      <c r="V228" s="36">
        <v>0</v>
      </c>
      <c r="X228" s="2" t="s">
        <v>786</v>
      </c>
      <c r="Y228" s="1">
        <v>0</v>
      </c>
      <c r="Z228" s="1">
        <v>0</v>
      </c>
      <c r="AA228" s="1">
        <v>0</v>
      </c>
      <c r="AB228" s="1">
        <v>0</v>
      </c>
      <c r="AC228" s="1">
        <v>20</v>
      </c>
      <c r="AD228" s="1">
        <v>0</v>
      </c>
      <c r="AE228" s="1">
        <v>0</v>
      </c>
      <c r="AF228" s="1">
        <v>0</v>
      </c>
      <c r="AG228" s="1">
        <v>0</v>
      </c>
      <c r="AH228" s="1">
        <v>0</v>
      </c>
      <c r="AI228" s="1">
        <v>0</v>
      </c>
      <c r="AJ228" s="1" t="s">
        <v>1139</v>
      </c>
    </row>
    <row r="229" spans="1:36" x14ac:dyDescent="0.15">
      <c r="A229" s="1" t="s">
        <v>778</v>
      </c>
      <c r="B229" s="3">
        <v>1801</v>
      </c>
      <c r="C229" s="1" t="s">
        <v>777</v>
      </c>
      <c r="D229" s="1">
        <v>8</v>
      </c>
      <c r="E229" s="1">
        <v>0</v>
      </c>
      <c r="F229" s="1">
        <v>0</v>
      </c>
      <c r="H229" s="1" t="s">
        <v>1471</v>
      </c>
      <c r="I229" s="1">
        <v>0</v>
      </c>
      <c r="J229" s="1">
        <v>0</v>
      </c>
      <c r="K229" s="1">
        <v>0</v>
      </c>
      <c r="L229" s="1">
        <v>0</v>
      </c>
      <c r="M229" s="3">
        <v>1</v>
      </c>
      <c r="N229" s="1">
        <v>1</v>
      </c>
      <c r="O229" s="39">
        <v>1682.1000000000001</v>
      </c>
      <c r="P229" s="39">
        <f t="shared" si="9"/>
        <v>841.05000000000007</v>
      </c>
      <c r="T229" s="36" t="s">
        <v>803</v>
      </c>
      <c r="U229" s="36" t="s">
        <v>802</v>
      </c>
      <c r="V229" s="36">
        <v>0</v>
      </c>
      <c r="X229" s="2" t="s">
        <v>786</v>
      </c>
      <c r="Y229" s="1">
        <v>0</v>
      </c>
      <c r="Z229" s="1">
        <v>0</v>
      </c>
      <c r="AA229" s="1">
        <v>0</v>
      </c>
      <c r="AB229" s="1">
        <v>0</v>
      </c>
      <c r="AC229" s="1">
        <v>20</v>
      </c>
      <c r="AD229" s="1">
        <v>20</v>
      </c>
      <c r="AE229" s="1">
        <v>0</v>
      </c>
      <c r="AF229" s="1">
        <v>0</v>
      </c>
      <c r="AG229" s="1">
        <v>0</v>
      </c>
      <c r="AH229" s="1">
        <v>0</v>
      </c>
      <c r="AI229" s="1">
        <v>0</v>
      </c>
      <c r="AJ229" s="1" t="s">
        <v>1140</v>
      </c>
    </row>
    <row r="230" spans="1:36" x14ac:dyDescent="0.15">
      <c r="A230" s="1" t="s">
        <v>724</v>
      </c>
      <c r="B230" s="3">
        <v>1802</v>
      </c>
      <c r="C230" s="1" t="s">
        <v>724</v>
      </c>
      <c r="D230" s="1">
        <v>8</v>
      </c>
      <c r="E230" s="1">
        <v>0</v>
      </c>
      <c r="F230" s="1">
        <v>0</v>
      </c>
      <c r="H230" s="1" t="s">
        <v>1472</v>
      </c>
      <c r="I230" s="1">
        <v>0</v>
      </c>
      <c r="J230" s="1">
        <v>0</v>
      </c>
      <c r="K230" s="1">
        <v>0</v>
      </c>
      <c r="L230" s="1">
        <v>0</v>
      </c>
      <c r="M230" s="3">
        <v>1</v>
      </c>
      <c r="N230" s="1">
        <v>1</v>
      </c>
      <c r="O230" s="39">
        <v>1682.1000000000001</v>
      </c>
      <c r="P230" s="39">
        <f t="shared" si="9"/>
        <v>841.05000000000007</v>
      </c>
      <c r="T230" s="36" t="s">
        <v>803</v>
      </c>
      <c r="U230" s="36" t="s">
        <v>802</v>
      </c>
      <c r="V230" s="36">
        <v>0</v>
      </c>
      <c r="X230" s="2" t="s">
        <v>786</v>
      </c>
      <c r="Y230" s="1">
        <v>0</v>
      </c>
      <c r="Z230" s="1">
        <v>0</v>
      </c>
      <c r="AA230" s="1">
        <v>0</v>
      </c>
      <c r="AB230" s="1">
        <v>0</v>
      </c>
      <c r="AC230" s="1">
        <v>40</v>
      </c>
      <c r="AD230" s="1">
        <v>0</v>
      </c>
      <c r="AE230" s="1">
        <v>0</v>
      </c>
      <c r="AF230" s="1">
        <v>0</v>
      </c>
      <c r="AG230" s="1">
        <v>0</v>
      </c>
      <c r="AH230" s="1">
        <v>0</v>
      </c>
      <c r="AI230" s="1">
        <v>0</v>
      </c>
      <c r="AJ230" s="1" t="s">
        <v>1141</v>
      </c>
    </row>
    <row r="231" spans="1:36" x14ac:dyDescent="0.15">
      <c r="A231" s="1" t="s">
        <v>725</v>
      </c>
      <c r="B231" s="3">
        <v>1803</v>
      </c>
      <c r="C231" s="1" t="s">
        <v>725</v>
      </c>
      <c r="D231" s="1">
        <v>8</v>
      </c>
      <c r="E231" s="1">
        <v>0</v>
      </c>
      <c r="F231" s="1">
        <v>0</v>
      </c>
      <c r="G231" s="1">
        <v>5008</v>
      </c>
      <c r="H231" s="1" t="s">
        <v>1473</v>
      </c>
      <c r="I231" s="1">
        <v>0</v>
      </c>
      <c r="J231" s="1">
        <v>0</v>
      </c>
      <c r="K231" s="1">
        <v>0</v>
      </c>
      <c r="L231" s="1">
        <v>0</v>
      </c>
      <c r="M231" s="3">
        <v>1</v>
      </c>
      <c r="N231" s="1">
        <v>1</v>
      </c>
      <c r="O231" s="39">
        <v>1884.375</v>
      </c>
      <c r="P231" s="39">
        <f t="shared" si="9"/>
        <v>942.1875</v>
      </c>
      <c r="T231" s="36" t="s">
        <v>803</v>
      </c>
      <c r="U231" s="36" t="s">
        <v>802</v>
      </c>
      <c r="V231" s="36">
        <v>0</v>
      </c>
      <c r="X231" s="2" t="s">
        <v>786</v>
      </c>
      <c r="Y231" s="1">
        <v>0</v>
      </c>
      <c r="Z231" s="1">
        <v>0</v>
      </c>
      <c r="AA231" s="1">
        <v>0</v>
      </c>
      <c r="AB231" s="1">
        <v>0</v>
      </c>
      <c r="AC231" s="1">
        <v>30</v>
      </c>
      <c r="AD231" s="1">
        <v>0</v>
      </c>
      <c r="AE231" s="1">
        <v>5</v>
      </c>
      <c r="AF231" s="1">
        <v>5</v>
      </c>
      <c r="AG231" s="1">
        <v>0</v>
      </c>
      <c r="AH231" s="1">
        <v>0</v>
      </c>
      <c r="AI231" s="1">
        <v>0</v>
      </c>
      <c r="AJ231" s="1" t="s">
        <v>1142</v>
      </c>
    </row>
    <row r="232" spans="1:36" x14ac:dyDescent="0.15">
      <c r="A232" s="1" t="s">
        <v>732</v>
      </c>
      <c r="B232" s="3">
        <v>1804</v>
      </c>
      <c r="C232" s="1" t="s">
        <v>732</v>
      </c>
      <c r="D232" s="1">
        <v>8</v>
      </c>
      <c r="E232" s="1">
        <v>0</v>
      </c>
      <c r="F232" s="1">
        <v>0</v>
      </c>
      <c r="G232" s="1">
        <v>5008</v>
      </c>
      <c r="H232" s="1" t="s">
        <v>1474</v>
      </c>
      <c r="I232" s="1">
        <v>0</v>
      </c>
      <c r="J232" s="1">
        <v>0</v>
      </c>
      <c r="K232" s="1">
        <v>0</v>
      </c>
      <c r="L232" s="1">
        <v>0</v>
      </c>
      <c r="M232" s="3">
        <v>1</v>
      </c>
      <c r="N232" s="1">
        <v>1</v>
      </c>
      <c r="O232" s="39">
        <v>4718.7000000000007</v>
      </c>
      <c r="P232" s="39">
        <f t="shared" si="9"/>
        <v>2359.3500000000004</v>
      </c>
      <c r="T232" s="36" t="s">
        <v>803</v>
      </c>
      <c r="U232" s="36" t="s">
        <v>802</v>
      </c>
      <c r="V232" s="36">
        <v>0</v>
      </c>
      <c r="X232" s="2" t="s">
        <v>786</v>
      </c>
      <c r="Y232" s="1">
        <v>0</v>
      </c>
      <c r="Z232" s="1">
        <v>0</v>
      </c>
      <c r="AA232" s="1">
        <v>0</v>
      </c>
      <c r="AB232" s="1">
        <v>0</v>
      </c>
      <c r="AC232" s="1">
        <v>50</v>
      </c>
      <c r="AD232" s="1">
        <v>0</v>
      </c>
      <c r="AE232" s="1">
        <v>10</v>
      </c>
      <c r="AF232" s="1">
        <v>0</v>
      </c>
      <c r="AG232" s="1">
        <v>0</v>
      </c>
      <c r="AH232" s="1">
        <v>0</v>
      </c>
      <c r="AI232" s="1">
        <v>0</v>
      </c>
      <c r="AJ232" s="1" t="s">
        <v>1143</v>
      </c>
    </row>
    <row r="233" spans="1:36" x14ac:dyDescent="0.15">
      <c r="A233" s="1" t="s">
        <v>728</v>
      </c>
      <c r="B233" s="3">
        <v>1805</v>
      </c>
      <c r="C233" s="1" t="s">
        <v>728</v>
      </c>
      <c r="D233" s="1">
        <v>8</v>
      </c>
      <c r="E233" s="1">
        <v>0</v>
      </c>
      <c r="F233" s="1">
        <v>0</v>
      </c>
      <c r="H233" s="1" t="s">
        <v>1475</v>
      </c>
      <c r="I233" s="1">
        <v>0</v>
      </c>
      <c r="J233" s="1">
        <v>0</v>
      </c>
      <c r="K233" s="1">
        <v>0</v>
      </c>
      <c r="L233" s="1">
        <v>0</v>
      </c>
      <c r="M233" s="3">
        <v>1</v>
      </c>
      <c r="N233" s="1">
        <v>1</v>
      </c>
      <c r="O233" s="39">
        <v>4521.6000000000013</v>
      </c>
      <c r="P233" s="39">
        <f t="shared" si="9"/>
        <v>2260.8000000000006</v>
      </c>
      <c r="T233" s="36" t="s">
        <v>803</v>
      </c>
      <c r="U233" s="36" t="s">
        <v>802</v>
      </c>
      <c r="V233" s="36">
        <v>0</v>
      </c>
      <c r="X233" s="2" t="s">
        <v>786</v>
      </c>
      <c r="Y233" s="1">
        <v>0</v>
      </c>
      <c r="Z233" s="1">
        <v>0</v>
      </c>
      <c r="AA233" s="1">
        <v>0</v>
      </c>
      <c r="AB233" s="1">
        <v>0</v>
      </c>
      <c r="AC233" s="1">
        <v>40</v>
      </c>
      <c r="AD233" s="1">
        <v>0</v>
      </c>
      <c r="AE233" s="1">
        <v>0</v>
      </c>
      <c r="AF233" s="1">
        <v>0</v>
      </c>
      <c r="AG233" s="1">
        <v>20</v>
      </c>
      <c r="AH233" s="1">
        <v>0</v>
      </c>
      <c r="AI233" s="1">
        <v>0</v>
      </c>
      <c r="AJ233" s="1" t="s">
        <v>1144</v>
      </c>
    </row>
    <row r="234" spans="1:36" x14ac:dyDescent="0.15">
      <c r="A234" s="1" t="s">
        <v>727</v>
      </c>
      <c r="B234" s="3">
        <v>1806</v>
      </c>
      <c r="C234" s="1" t="s">
        <v>727</v>
      </c>
      <c r="D234" s="1">
        <v>8</v>
      </c>
      <c r="E234" s="1">
        <v>0</v>
      </c>
      <c r="F234" s="1">
        <v>0</v>
      </c>
      <c r="H234" s="1" t="s">
        <v>1476</v>
      </c>
      <c r="I234" s="1">
        <v>0</v>
      </c>
      <c r="J234" s="1">
        <v>0</v>
      </c>
      <c r="K234" s="1">
        <v>0</v>
      </c>
      <c r="L234" s="1">
        <v>0</v>
      </c>
      <c r="M234" s="3">
        <v>1</v>
      </c>
      <c r="N234" s="1">
        <v>1</v>
      </c>
      <c r="O234" s="39">
        <v>4521.6000000000013</v>
      </c>
      <c r="P234" s="39">
        <f t="shared" si="9"/>
        <v>2260.8000000000006</v>
      </c>
      <c r="T234" s="36" t="s">
        <v>803</v>
      </c>
      <c r="U234" s="36" t="s">
        <v>802</v>
      </c>
      <c r="V234" s="36">
        <v>0</v>
      </c>
      <c r="X234" s="2" t="s">
        <v>786</v>
      </c>
      <c r="Y234" s="1">
        <v>0</v>
      </c>
      <c r="Z234" s="1">
        <v>0</v>
      </c>
      <c r="AA234" s="1">
        <v>0</v>
      </c>
      <c r="AB234" s="1">
        <v>0</v>
      </c>
      <c r="AC234" s="1">
        <v>60</v>
      </c>
      <c r="AD234" s="1">
        <v>0</v>
      </c>
      <c r="AE234" s="1">
        <v>0</v>
      </c>
      <c r="AF234" s="1">
        <v>0</v>
      </c>
      <c r="AG234" s="1">
        <v>0</v>
      </c>
      <c r="AH234" s="1">
        <v>0</v>
      </c>
      <c r="AI234" s="1">
        <v>0</v>
      </c>
      <c r="AJ234" s="1" t="s">
        <v>1145</v>
      </c>
    </row>
    <row r="235" spans="1:36" x14ac:dyDescent="0.15">
      <c r="A235" s="1" t="s">
        <v>736</v>
      </c>
      <c r="B235" s="3">
        <v>1807</v>
      </c>
      <c r="C235" s="1" t="s">
        <v>736</v>
      </c>
      <c r="D235" s="1">
        <v>8</v>
      </c>
      <c r="E235" s="1">
        <v>0</v>
      </c>
      <c r="F235" s="1">
        <v>0</v>
      </c>
      <c r="H235" s="1" t="s">
        <v>1476</v>
      </c>
      <c r="I235" s="1">
        <v>0</v>
      </c>
      <c r="J235" s="1">
        <v>0</v>
      </c>
      <c r="K235" s="1">
        <v>0</v>
      </c>
      <c r="L235" s="1">
        <v>0</v>
      </c>
      <c r="M235" s="3">
        <v>1</v>
      </c>
      <c r="N235" s="1">
        <v>1</v>
      </c>
      <c r="O235" s="39">
        <v>8467.2000000000007</v>
      </c>
      <c r="P235" s="39">
        <f t="shared" si="9"/>
        <v>4233.6000000000004</v>
      </c>
      <c r="T235" s="36" t="s">
        <v>803</v>
      </c>
      <c r="U235" s="36" t="s">
        <v>802</v>
      </c>
      <c r="V235" s="36">
        <v>0</v>
      </c>
      <c r="X235" s="2" t="s">
        <v>786</v>
      </c>
      <c r="Y235" s="1">
        <v>0</v>
      </c>
      <c r="Z235" s="1">
        <v>0</v>
      </c>
      <c r="AA235" s="1">
        <v>0</v>
      </c>
      <c r="AB235" s="1">
        <v>0</v>
      </c>
      <c r="AC235" s="1">
        <v>80</v>
      </c>
      <c r="AD235" s="1">
        <v>0</v>
      </c>
      <c r="AE235" s="1">
        <v>0</v>
      </c>
      <c r="AF235" s="1">
        <v>0</v>
      </c>
      <c r="AG235" s="1">
        <v>0</v>
      </c>
      <c r="AH235" s="1">
        <v>0</v>
      </c>
      <c r="AI235" s="1">
        <v>0</v>
      </c>
      <c r="AJ235" s="1" t="s">
        <v>1146</v>
      </c>
    </row>
    <row r="236" spans="1:36" x14ac:dyDescent="0.15">
      <c r="A236" s="1" t="s">
        <v>729</v>
      </c>
      <c r="B236" s="3">
        <v>1808</v>
      </c>
      <c r="C236" s="1" t="s">
        <v>729</v>
      </c>
      <c r="D236" s="1">
        <v>8</v>
      </c>
      <c r="E236" s="1">
        <v>0</v>
      </c>
      <c r="F236" s="1">
        <v>0</v>
      </c>
      <c r="H236" s="1" t="s">
        <v>1473</v>
      </c>
      <c r="I236" s="1">
        <v>0</v>
      </c>
      <c r="J236" s="1">
        <v>0</v>
      </c>
      <c r="K236" s="1">
        <v>0</v>
      </c>
      <c r="L236" s="1">
        <v>0</v>
      </c>
      <c r="M236" s="3">
        <v>1</v>
      </c>
      <c r="N236" s="1">
        <v>1</v>
      </c>
      <c r="O236" s="39">
        <v>24662.137500000001</v>
      </c>
      <c r="P236" s="39">
        <f t="shared" si="9"/>
        <v>12331.06875</v>
      </c>
      <c r="T236" s="36" t="s">
        <v>803</v>
      </c>
      <c r="U236" s="36" t="s">
        <v>802</v>
      </c>
      <c r="V236" s="36">
        <v>0</v>
      </c>
      <c r="X236" s="2" t="s">
        <v>786</v>
      </c>
      <c r="Y236" s="1">
        <v>0</v>
      </c>
      <c r="Z236" s="1">
        <v>0</v>
      </c>
      <c r="AA236" s="1">
        <v>0</v>
      </c>
      <c r="AB236" s="1">
        <v>0</v>
      </c>
      <c r="AC236" s="1">
        <v>50</v>
      </c>
      <c r="AD236" s="1">
        <v>0</v>
      </c>
      <c r="AE236" s="1">
        <v>20</v>
      </c>
      <c r="AF236" s="1">
        <v>10</v>
      </c>
      <c r="AG236" s="1">
        <v>0</v>
      </c>
      <c r="AH236" s="1">
        <v>0</v>
      </c>
      <c r="AI236" s="1">
        <v>0</v>
      </c>
      <c r="AJ236" s="1" t="s">
        <v>1147</v>
      </c>
    </row>
    <row r="237" spans="1:36" x14ac:dyDescent="0.15">
      <c r="A237" s="1" t="s">
        <v>27</v>
      </c>
      <c r="B237" s="1">
        <v>2000</v>
      </c>
      <c r="C237" s="1" t="s">
        <v>1379</v>
      </c>
      <c r="D237" s="1">
        <v>6</v>
      </c>
      <c r="E237" s="1">
        <v>1</v>
      </c>
      <c r="F237" s="1">
        <v>0</v>
      </c>
      <c r="H237" s="1" t="s">
        <v>1477</v>
      </c>
      <c r="I237" s="1">
        <v>0</v>
      </c>
      <c r="J237" s="1">
        <v>0</v>
      </c>
      <c r="K237" s="1">
        <v>0</v>
      </c>
      <c r="L237" s="1">
        <v>0</v>
      </c>
      <c r="M237" s="1">
        <v>1</v>
      </c>
      <c r="N237" s="1">
        <v>1</v>
      </c>
      <c r="O237" s="39">
        <v>523</v>
      </c>
      <c r="P237" s="39">
        <f>O237/2</f>
        <v>261.5</v>
      </c>
      <c r="Q237" s="39" t="s">
        <v>1596</v>
      </c>
      <c r="T237" s="36" t="s">
        <v>803</v>
      </c>
      <c r="U237" s="36" t="s">
        <v>802</v>
      </c>
      <c r="V237" s="36">
        <v>0</v>
      </c>
      <c r="X237" s="2" t="s">
        <v>785</v>
      </c>
      <c r="Y237" s="1">
        <v>0</v>
      </c>
      <c r="Z237" s="1">
        <v>0</v>
      </c>
      <c r="AA237" s="1">
        <v>0</v>
      </c>
      <c r="AB237" s="1">
        <v>0</v>
      </c>
      <c r="AC237" s="1">
        <v>0</v>
      </c>
      <c r="AD237" s="1">
        <v>0</v>
      </c>
      <c r="AE237" s="1">
        <v>0</v>
      </c>
      <c r="AF237" s="1">
        <v>0</v>
      </c>
      <c r="AG237" s="1">
        <v>0</v>
      </c>
      <c r="AH237" s="1">
        <v>0</v>
      </c>
      <c r="AI237" s="1">
        <v>0</v>
      </c>
      <c r="AJ237" s="1" t="s">
        <v>29</v>
      </c>
    </row>
    <row r="238" spans="1:36" x14ac:dyDescent="0.15">
      <c r="A238" s="1" t="s">
        <v>1330</v>
      </c>
      <c r="B238" s="1">
        <v>2001</v>
      </c>
      <c r="C238" s="1" t="s">
        <v>1380</v>
      </c>
      <c r="D238" s="1">
        <v>6</v>
      </c>
      <c r="E238" s="1">
        <v>1</v>
      </c>
      <c r="F238" s="1">
        <v>0</v>
      </c>
      <c r="H238" s="1" t="s">
        <v>1477</v>
      </c>
      <c r="I238" s="1">
        <v>0</v>
      </c>
      <c r="J238" s="1">
        <v>1</v>
      </c>
      <c r="K238" s="1">
        <v>0</v>
      </c>
      <c r="L238" s="1">
        <v>0</v>
      </c>
      <c r="M238" s="1">
        <v>1</v>
      </c>
      <c r="N238" s="1">
        <v>1</v>
      </c>
      <c r="O238" s="39">
        <v>360</v>
      </c>
      <c r="P238" s="39">
        <f t="shared" ref="P238:P259" si="10">O238/2</f>
        <v>180</v>
      </c>
      <c r="Q238" s="39" t="s">
        <v>1596</v>
      </c>
      <c r="T238" s="36" t="s">
        <v>803</v>
      </c>
      <c r="U238" s="36" t="s">
        <v>802</v>
      </c>
      <c r="V238" s="36">
        <v>0</v>
      </c>
      <c r="X238" s="2" t="s">
        <v>785</v>
      </c>
      <c r="Y238" s="1">
        <v>0</v>
      </c>
      <c r="Z238" s="1">
        <v>0</v>
      </c>
      <c r="AA238" s="1">
        <v>0</v>
      </c>
      <c r="AB238" s="1">
        <v>0</v>
      </c>
      <c r="AC238" s="1">
        <v>0</v>
      </c>
      <c r="AD238" s="1">
        <v>0</v>
      </c>
      <c r="AE238" s="1">
        <v>0</v>
      </c>
      <c r="AF238" s="1">
        <v>0</v>
      </c>
      <c r="AG238" s="1">
        <v>0</v>
      </c>
      <c r="AH238" s="1">
        <v>0</v>
      </c>
      <c r="AI238" s="1">
        <v>100</v>
      </c>
      <c r="AJ238" s="1" t="s">
        <v>1333</v>
      </c>
    </row>
    <row r="239" spans="1:36" x14ac:dyDescent="0.15">
      <c r="A239" s="1" t="s">
        <v>327</v>
      </c>
      <c r="B239" s="1">
        <v>2002</v>
      </c>
      <c r="C239" s="1" t="s">
        <v>1381</v>
      </c>
      <c r="D239" s="1">
        <v>6</v>
      </c>
      <c r="E239" s="1">
        <v>1</v>
      </c>
      <c r="F239" s="1">
        <v>0</v>
      </c>
      <c r="H239" s="1" t="s">
        <v>1478</v>
      </c>
      <c r="I239" s="1">
        <v>0</v>
      </c>
      <c r="J239" s="1">
        <v>0</v>
      </c>
      <c r="K239" s="1">
        <v>0</v>
      </c>
      <c r="L239" s="1">
        <v>0</v>
      </c>
      <c r="M239" s="1">
        <v>1</v>
      </c>
      <c r="N239" s="1">
        <v>1</v>
      </c>
      <c r="O239" s="39">
        <v>523</v>
      </c>
      <c r="P239" s="39">
        <f t="shared" si="10"/>
        <v>261.5</v>
      </c>
      <c r="T239" s="36" t="s">
        <v>803</v>
      </c>
      <c r="U239" s="36" t="s">
        <v>802</v>
      </c>
      <c r="V239" s="36">
        <v>0</v>
      </c>
      <c r="X239" s="2" t="s">
        <v>785</v>
      </c>
      <c r="Y239" s="1">
        <v>0</v>
      </c>
      <c r="Z239" s="1">
        <v>0</v>
      </c>
      <c r="AA239" s="1">
        <v>0</v>
      </c>
      <c r="AB239" s="1">
        <v>0</v>
      </c>
      <c r="AC239" s="1">
        <v>0</v>
      </c>
      <c r="AD239" s="1">
        <v>0</v>
      </c>
      <c r="AE239" s="1">
        <v>0</v>
      </c>
      <c r="AF239" s="1">
        <v>0</v>
      </c>
      <c r="AG239" s="1">
        <v>0</v>
      </c>
      <c r="AH239" s="1">
        <v>0</v>
      </c>
      <c r="AI239" s="1">
        <v>0</v>
      </c>
      <c r="AJ239" s="1" t="s">
        <v>30</v>
      </c>
    </row>
    <row r="240" spans="1:36" x14ac:dyDescent="0.15">
      <c r="A240" s="1" t="s">
        <v>28</v>
      </c>
      <c r="B240" s="1">
        <v>2003</v>
      </c>
      <c r="C240" s="1" t="s">
        <v>1382</v>
      </c>
      <c r="D240" s="1">
        <v>6</v>
      </c>
      <c r="E240" s="1">
        <v>1</v>
      </c>
      <c r="F240" s="1">
        <v>0</v>
      </c>
      <c r="H240" s="1" t="s">
        <v>1478</v>
      </c>
      <c r="I240" s="1">
        <v>0</v>
      </c>
      <c r="J240" s="1">
        <v>0</v>
      </c>
      <c r="K240" s="1">
        <v>0</v>
      </c>
      <c r="L240" s="1">
        <v>0</v>
      </c>
      <c r="M240" s="1">
        <v>1</v>
      </c>
      <c r="N240" s="1">
        <v>1</v>
      </c>
      <c r="O240" s="39">
        <v>420</v>
      </c>
      <c r="P240" s="39">
        <f t="shared" si="10"/>
        <v>210</v>
      </c>
      <c r="Q240" s="39" t="s">
        <v>1596</v>
      </c>
      <c r="T240" s="36" t="s">
        <v>803</v>
      </c>
      <c r="U240" s="36" t="s">
        <v>802</v>
      </c>
      <c r="V240" s="36">
        <v>0</v>
      </c>
      <c r="X240" s="2" t="s">
        <v>785</v>
      </c>
      <c r="Y240" s="1">
        <v>0</v>
      </c>
      <c r="Z240" s="1">
        <v>0</v>
      </c>
      <c r="AA240" s="1">
        <v>0</v>
      </c>
      <c r="AB240" s="1">
        <v>0</v>
      </c>
      <c r="AC240" s="1">
        <v>0</v>
      </c>
      <c r="AD240" s="1">
        <v>0</v>
      </c>
      <c r="AE240" s="1">
        <v>0</v>
      </c>
      <c r="AF240" s="1">
        <v>0</v>
      </c>
      <c r="AG240" s="1">
        <v>0</v>
      </c>
      <c r="AH240" s="1">
        <v>0</v>
      </c>
      <c r="AI240" s="1">
        <v>0</v>
      </c>
      <c r="AJ240" s="1" t="s">
        <v>31</v>
      </c>
    </row>
    <row r="241" spans="1:36" x14ac:dyDescent="0.15">
      <c r="A241" s="1" t="s">
        <v>155</v>
      </c>
      <c r="B241" s="1">
        <v>2004</v>
      </c>
      <c r="C241" s="1" t="s">
        <v>155</v>
      </c>
      <c r="D241" s="1">
        <v>6</v>
      </c>
      <c r="E241" s="1">
        <v>1</v>
      </c>
      <c r="F241" s="1">
        <v>0</v>
      </c>
      <c r="H241" s="1" t="s">
        <v>1477</v>
      </c>
      <c r="I241" s="1">
        <v>0</v>
      </c>
      <c r="J241" s="1">
        <v>0</v>
      </c>
      <c r="K241" s="1">
        <v>0</v>
      </c>
      <c r="L241" s="1">
        <v>0</v>
      </c>
      <c r="M241" s="1">
        <v>1</v>
      </c>
      <c r="N241" s="1">
        <v>1</v>
      </c>
      <c r="O241" s="39">
        <v>587</v>
      </c>
      <c r="P241" s="39">
        <f t="shared" si="10"/>
        <v>293.5</v>
      </c>
      <c r="T241" s="36" t="s">
        <v>803</v>
      </c>
      <c r="U241" s="36" t="s">
        <v>802</v>
      </c>
      <c r="V241" s="36">
        <v>0</v>
      </c>
      <c r="X241" s="2" t="s">
        <v>785</v>
      </c>
      <c r="Y241" s="1">
        <v>0</v>
      </c>
      <c r="Z241" s="1">
        <v>0</v>
      </c>
      <c r="AA241" s="1">
        <v>0</v>
      </c>
      <c r="AB241" s="1">
        <v>0</v>
      </c>
      <c r="AC241" s="1">
        <v>0</v>
      </c>
      <c r="AD241" s="1">
        <v>0</v>
      </c>
      <c r="AE241" s="1">
        <v>0</v>
      </c>
      <c r="AF241" s="1">
        <v>0</v>
      </c>
      <c r="AG241" s="1">
        <v>0</v>
      </c>
      <c r="AH241" s="1">
        <v>0</v>
      </c>
      <c r="AI241" s="1">
        <v>0</v>
      </c>
      <c r="AJ241" s="1" t="s">
        <v>158</v>
      </c>
    </row>
    <row r="242" spans="1:36" x14ac:dyDescent="0.15">
      <c r="A242" s="1" t="s">
        <v>679</v>
      </c>
      <c r="B242" s="1">
        <v>2100</v>
      </c>
      <c r="C242" s="1" t="s">
        <v>679</v>
      </c>
      <c r="D242" s="1">
        <v>10</v>
      </c>
      <c r="E242" s="1">
        <v>2100</v>
      </c>
      <c r="F242" s="1">
        <v>0</v>
      </c>
      <c r="H242" s="1">
        <v>0</v>
      </c>
      <c r="I242" s="1">
        <v>0</v>
      </c>
      <c r="J242" s="1">
        <v>0</v>
      </c>
      <c r="K242" s="1">
        <v>0</v>
      </c>
      <c r="L242" s="1">
        <v>0</v>
      </c>
      <c r="M242" s="1">
        <v>1</v>
      </c>
      <c r="N242" s="1">
        <v>1</v>
      </c>
      <c r="O242" s="41">
        <v>20000</v>
      </c>
      <c r="P242" s="39">
        <f t="shared" si="10"/>
        <v>10000</v>
      </c>
      <c r="T242" s="36" t="s">
        <v>803</v>
      </c>
      <c r="U242" s="36" t="s">
        <v>802</v>
      </c>
      <c r="V242" s="36">
        <v>0</v>
      </c>
      <c r="X242" s="2" t="s">
        <v>785</v>
      </c>
      <c r="Y242" s="1">
        <v>0</v>
      </c>
      <c r="Z242" s="1">
        <v>0</v>
      </c>
      <c r="AA242" s="1">
        <v>0</v>
      </c>
      <c r="AB242" s="1">
        <v>0</v>
      </c>
      <c r="AC242" s="1">
        <v>0</v>
      </c>
      <c r="AD242" s="1">
        <v>0</v>
      </c>
      <c r="AE242" s="1">
        <v>0</v>
      </c>
      <c r="AF242" s="1">
        <v>0</v>
      </c>
      <c r="AG242" s="1">
        <v>0</v>
      </c>
      <c r="AH242" s="1">
        <v>0</v>
      </c>
      <c r="AI242" s="1">
        <v>0</v>
      </c>
      <c r="AJ242" s="1" t="s">
        <v>680</v>
      </c>
    </row>
    <row r="243" spans="1:36" x14ac:dyDescent="0.15">
      <c r="A243" s="1" t="s">
        <v>82</v>
      </c>
      <c r="B243" s="1">
        <v>2101</v>
      </c>
      <c r="C243" s="1" t="s">
        <v>82</v>
      </c>
      <c r="D243" s="1">
        <v>10</v>
      </c>
      <c r="E243" s="1">
        <v>2101</v>
      </c>
      <c r="F243" s="1">
        <v>0</v>
      </c>
      <c r="H243" s="1">
        <v>0</v>
      </c>
      <c r="I243" s="1">
        <v>0</v>
      </c>
      <c r="J243" s="1">
        <v>0</v>
      </c>
      <c r="K243" s="1">
        <v>0</v>
      </c>
      <c r="L243" s="1">
        <v>0</v>
      </c>
      <c r="M243" s="1">
        <v>1</v>
      </c>
      <c r="N243" s="1">
        <v>1</v>
      </c>
      <c r="O243" s="39">
        <v>20000</v>
      </c>
      <c r="P243" s="39">
        <f t="shared" si="10"/>
        <v>10000</v>
      </c>
      <c r="T243" s="36" t="s">
        <v>803</v>
      </c>
      <c r="U243" s="36" t="s">
        <v>802</v>
      </c>
      <c r="V243" s="36">
        <v>0</v>
      </c>
      <c r="X243" s="2" t="s">
        <v>785</v>
      </c>
      <c r="Y243" s="1">
        <v>0</v>
      </c>
      <c r="Z243" s="1">
        <v>0</v>
      </c>
      <c r="AA243" s="1">
        <v>0</v>
      </c>
      <c r="AB243" s="1">
        <v>0</v>
      </c>
      <c r="AC243" s="1">
        <v>0</v>
      </c>
      <c r="AD243" s="1">
        <v>0</v>
      </c>
      <c r="AE243" s="1">
        <v>0</v>
      </c>
      <c r="AF243" s="1">
        <v>0</v>
      </c>
      <c r="AG243" s="1">
        <v>0</v>
      </c>
      <c r="AH243" s="1">
        <v>0</v>
      </c>
      <c r="AI243" s="1">
        <v>0</v>
      </c>
      <c r="AJ243" s="1" t="s">
        <v>100</v>
      </c>
    </row>
    <row r="244" spans="1:36" x14ac:dyDescent="0.15">
      <c r="A244" s="1" t="s">
        <v>99</v>
      </c>
      <c r="B244" s="1">
        <v>2102</v>
      </c>
      <c r="C244" s="1" t="s">
        <v>98</v>
      </c>
      <c r="D244" s="1">
        <v>10</v>
      </c>
      <c r="E244" s="1">
        <v>2102</v>
      </c>
      <c r="F244" s="1">
        <v>0</v>
      </c>
      <c r="H244" s="1">
        <v>0</v>
      </c>
      <c r="I244" s="1">
        <v>0</v>
      </c>
      <c r="J244" s="1">
        <v>0</v>
      </c>
      <c r="K244" s="1">
        <v>0</v>
      </c>
      <c r="L244" s="1">
        <v>0</v>
      </c>
      <c r="M244" s="1">
        <v>1</v>
      </c>
      <c r="N244" s="1">
        <v>1</v>
      </c>
      <c r="O244" s="39">
        <v>16000</v>
      </c>
      <c r="P244" s="39">
        <f t="shared" si="10"/>
        <v>8000</v>
      </c>
      <c r="T244" s="36" t="s">
        <v>803</v>
      </c>
      <c r="U244" s="36" t="s">
        <v>802</v>
      </c>
      <c r="V244" s="36">
        <v>0</v>
      </c>
      <c r="X244" s="2" t="s">
        <v>785</v>
      </c>
      <c r="Y244" s="1">
        <v>0</v>
      </c>
      <c r="Z244" s="1">
        <v>0</v>
      </c>
      <c r="AA244" s="1">
        <v>0</v>
      </c>
      <c r="AB244" s="1">
        <v>0</v>
      </c>
      <c r="AC244" s="1">
        <v>0</v>
      </c>
      <c r="AD244" s="1">
        <v>0</v>
      </c>
      <c r="AE244" s="1">
        <v>0</v>
      </c>
      <c r="AF244" s="1">
        <v>0</v>
      </c>
      <c r="AG244" s="1">
        <v>0</v>
      </c>
      <c r="AH244" s="1">
        <v>0</v>
      </c>
      <c r="AI244" s="1">
        <v>0</v>
      </c>
      <c r="AJ244" s="1" t="s">
        <v>101</v>
      </c>
    </row>
    <row r="245" spans="1:36" x14ac:dyDescent="0.15">
      <c r="A245" s="1" t="s">
        <v>779</v>
      </c>
      <c r="B245" s="1">
        <v>2103</v>
      </c>
      <c r="C245" s="1" t="s">
        <v>780</v>
      </c>
      <c r="D245" s="1">
        <v>10</v>
      </c>
      <c r="E245" s="1">
        <v>2103</v>
      </c>
      <c r="F245" s="1">
        <v>0</v>
      </c>
      <c r="H245" s="1">
        <v>0</v>
      </c>
      <c r="I245" s="1">
        <v>0</v>
      </c>
      <c r="J245" s="1">
        <v>0</v>
      </c>
      <c r="K245" s="1">
        <v>0</v>
      </c>
      <c r="L245" s="1">
        <v>0</v>
      </c>
      <c r="M245" s="1">
        <v>1</v>
      </c>
      <c r="N245" s="1">
        <v>1</v>
      </c>
      <c r="O245" s="39">
        <v>12000</v>
      </c>
      <c r="P245" s="39">
        <f t="shared" si="10"/>
        <v>6000</v>
      </c>
      <c r="T245" s="36" t="s">
        <v>803</v>
      </c>
      <c r="U245" s="36" t="s">
        <v>802</v>
      </c>
      <c r="V245" s="36">
        <v>0</v>
      </c>
      <c r="X245" s="2" t="s">
        <v>785</v>
      </c>
      <c r="Y245" s="1">
        <v>0</v>
      </c>
      <c r="Z245" s="1">
        <v>0</v>
      </c>
      <c r="AA245" s="1">
        <v>0</v>
      </c>
      <c r="AB245" s="1">
        <v>0</v>
      </c>
      <c r="AC245" s="1">
        <v>0</v>
      </c>
      <c r="AD245" s="1">
        <v>0</v>
      </c>
      <c r="AE245" s="1">
        <v>0</v>
      </c>
      <c r="AF245" s="1">
        <v>0</v>
      </c>
      <c r="AG245" s="1">
        <v>0</v>
      </c>
      <c r="AH245" s="1">
        <v>0</v>
      </c>
      <c r="AI245" s="1">
        <v>0</v>
      </c>
      <c r="AJ245" s="1" t="s">
        <v>681</v>
      </c>
    </row>
    <row r="246" spans="1:36" x14ac:dyDescent="0.15">
      <c r="A246" s="1" t="s">
        <v>83</v>
      </c>
      <c r="B246" s="1">
        <v>2104</v>
      </c>
      <c r="C246" s="1" t="s">
        <v>83</v>
      </c>
      <c r="D246" s="1">
        <v>10</v>
      </c>
      <c r="E246" s="1">
        <v>2104</v>
      </c>
      <c r="F246" s="1">
        <v>0</v>
      </c>
      <c r="H246" s="1">
        <v>0</v>
      </c>
      <c r="I246" s="1">
        <v>0</v>
      </c>
      <c r="J246" s="1">
        <v>0</v>
      </c>
      <c r="K246" s="1">
        <v>0</v>
      </c>
      <c r="L246" s="1">
        <v>0</v>
      </c>
      <c r="M246" s="1">
        <v>1</v>
      </c>
      <c r="N246" s="1">
        <v>1</v>
      </c>
      <c r="O246" s="39">
        <v>8000</v>
      </c>
      <c r="P246" s="39">
        <f t="shared" si="10"/>
        <v>4000</v>
      </c>
      <c r="T246" s="36" t="s">
        <v>803</v>
      </c>
      <c r="U246" s="36" t="s">
        <v>802</v>
      </c>
      <c r="V246" s="36">
        <v>0</v>
      </c>
      <c r="X246" s="2" t="s">
        <v>785</v>
      </c>
      <c r="Y246" s="1">
        <v>0</v>
      </c>
      <c r="Z246" s="1">
        <v>0</v>
      </c>
      <c r="AA246" s="1">
        <v>0</v>
      </c>
      <c r="AB246" s="1">
        <v>0</v>
      </c>
      <c r="AC246" s="1">
        <v>0</v>
      </c>
      <c r="AD246" s="1">
        <v>0</v>
      </c>
      <c r="AE246" s="1">
        <v>0</v>
      </c>
      <c r="AF246" s="1">
        <v>0</v>
      </c>
      <c r="AG246" s="1">
        <v>0</v>
      </c>
      <c r="AH246" s="1">
        <v>0</v>
      </c>
      <c r="AI246" s="1">
        <v>0</v>
      </c>
      <c r="AJ246" s="1" t="s">
        <v>102</v>
      </c>
    </row>
    <row r="247" spans="1:36" x14ac:dyDescent="0.15">
      <c r="A247" s="1" t="s">
        <v>84</v>
      </c>
      <c r="B247" s="1">
        <v>2105</v>
      </c>
      <c r="C247" s="1" t="s">
        <v>84</v>
      </c>
      <c r="D247" s="1">
        <v>10</v>
      </c>
      <c r="E247" s="1">
        <v>2105</v>
      </c>
      <c r="F247" s="1">
        <v>0</v>
      </c>
      <c r="H247" s="1">
        <v>0</v>
      </c>
      <c r="I247" s="1">
        <v>0</v>
      </c>
      <c r="J247" s="1">
        <v>0</v>
      </c>
      <c r="K247" s="1">
        <v>0</v>
      </c>
      <c r="L247" s="1">
        <v>0</v>
      </c>
      <c r="M247" s="1">
        <v>1</v>
      </c>
      <c r="N247" s="1">
        <v>1</v>
      </c>
      <c r="O247" s="39">
        <v>20000</v>
      </c>
      <c r="P247" s="39">
        <f t="shared" si="10"/>
        <v>10000</v>
      </c>
      <c r="T247" s="36" t="s">
        <v>803</v>
      </c>
      <c r="U247" s="36" t="s">
        <v>802</v>
      </c>
      <c r="V247" s="36">
        <v>0</v>
      </c>
      <c r="X247" s="2" t="s">
        <v>785</v>
      </c>
      <c r="Y247" s="1">
        <v>0</v>
      </c>
      <c r="Z247" s="1">
        <v>0</v>
      </c>
      <c r="AA247" s="1">
        <v>0</v>
      </c>
      <c r="AB247" s="1">
        <v>0</v>
      </c>
      <c r="AC247" s="1">
        <v>0</v>
      </c>
      <c r="AD247" s="1">
        <v>0</v>
      </c>
      <c r="AE247" s="1">
        <v>0</v>
      </c>
      <c r="AF247" s="1">
        <v>0</v>
      </c>
      <c r="AG247" s="1">
        <v>0</v>
      </c>
      <c r="AH247" s="1">
        <v>0</v>
      </c>
      <c r="AI247" s="1">
        <v>0</v>
      </c>
      <c r="AJ247" s="1" t="s">
        <v>103</v>
      </c>
    </row>
    <row r="248" spans="1:36" x14ac:dyDescent="0.15">
      <c r="A248" s="1" t="s">
        <v>85</v>
      </c>
      <c r="B248" s="1">
        <v>2106</v>
      </c>
      <c r="C248" s="1" t="s">
        <v>85</v>
      </c>
      <c r="D248" s="1">
        <v>10</v>
      </c>
      <c r="E248" s="1">
        <v>2106</v>
      </c>
      <c r="F248" s="1">
        <v>0</v>
      </c>
      <c r="H248" s="1">
        <v>0</v>
      </c>
      <c r="I248" s="1">
        <v>0</v>
      </c>
      <c r="J248" s="1">
        <v>0</v>
      </c>
      <c r="K248" s="1">
        <v>0</v>
      </c>
      <c r="L248" s="1">
        <v>0</v>
      </c>
      <c r="M248" s="1">
        <v>1</v>
      </c>
      <c r="N248" s="1">
        <v>1</v>
      </c>
      <c r="O248" s="39">
        <v>20000</v>
      </c>
      <c r="P248" s="39">
        <f t="shared" si="10"/>
        <v>10000</v>
      </c>
      <c r="T248" s="36" t="s">
        <v>803</v>
      </c>
      <c r="U248" s="36" t="s">
        <v>802</v>
      </c>
      <c r="V248" s="36">
        <v>0</v>
      </c>
      <c r="X248" s="2" t="s">
        <v>785</v>
      </c>
      <c r="Y248" s="1">
        <v>0</v>
      </c>
      <c r="Z248" s="1">
        <v>0</v>
      </c>
      <c r="AA248" s="1">
        <v>0</v>
      </c>
      <c r="AB248" s="1">
        <v>0</v>
      </c>
      <c r="AC248" s="1">
        <v>0</v>
      </c>
      <c r="AD248" s="1">
        <v>0</v>
      </c>
      <c r="AE248" s="1">
        <v>0</v>
      </c>
      <c r="AF248" s="1">
        <v>0</v>
      </c>
      <c r="AG248" s="1">
        <v>0</v>
      </c>
      <c r="AH248" s="1">
        <v>0</v>
      </c>
      <c r="AI248" s="1">
        <v>0</v>
      </c>
      <c r="AJ248" s="1" t="s">
        <v>104</v>
      </c>
    </row>
    <row r="249" spans="1:36" x14ac:dyDescent="0.15">
      <c r="A249" s="1" t="s">
        <v>86</v>
      </c>
      <c r="B249" s="1">
        <v>2107</v>
      </c>
      <c r="C249" s="1" t="s">
        <v>86</v>
      </c>
      <c r="D249" s="1">
        <v>10</v>
      </c>
      <c r="E249" s="1">
        <v>2107</v>
      </c>
      <c r="F249" s="1">
        <v>0</v>
      </c>
      <c r="H249" s="1">
        <v>0</v>
      </c>
      <c r="I249" s="1">
        <v>0</v>
      </c>
      <c r="J249" s="1">
        <v>0</v>
      </c>
      <c r="K249" s="1">
        <v>0</v>
      </c>
      <c r="L249" s="1">
        <v>0</v>
      </c>
      <c r="M249" s="1">
        <v>1</v>
      </c>
      <c r="N249" s="1">
        <v>1</v>
      </c>
      <c r="O249" s="39">
        <v>12000</v>
      </c>
      <c r="P249" s="39">
        <f t="shared" si="10"/>
        <v>6000</v>
      </c>
      <c r="T249" s="36" t="s">
        <v>803</v>
      </c>
      <c r="U249" s="36" t="s">
        <v>802</v>
      </c>
      <c r="V249" s="36">
        <v>0</v>
      </c>
      <c r="X249" s="2" t="s">
        <v>785</v>
      </c>
      <c r="Y249" s="1">
        <v>0</v>
      </c>
      <c r="Z249" s="1">
        <v>0</v>
      </c>
      <c r="AA249" s="1">
        <v>0</v>
      </c>
      <c r="AB249" s="1">
        <v>0</v>
      </c>
      <c r="AC249" s="1">
        <v>0</v>
      </c>
      <c r="AD249" s="1">
        <v>0</v>
      </c>
      <c r="AE249" s="1">
        <v>0</v>
      </c>
      <c r="AF249" s="1">
        <v>0</v>
      </c>
      <c r="AG249" s="1">
        <v>0</v>
      </c>
      <c r="AH249" s="1">
        <v>0</v>
      </c>
      <c r="AI249" s="1">
        <v>0</v>
      </c>
      <c r="AJ249" s="1" t="s">
        <v>105</v>
      </c>
    </row>
    <row r="250" spans="1:36" x14ac:dyDescent="0.15">
      <c r="A250" s="1" t="s">
        <v>89</v>
      </c>
      <c r="B250" s="1">
        <v>2108</v>
      </c>
      <c r="C250" s="1" t="s">
        <v>92</v>
      </c>
      <c r="D250" s="1">
        <v>10</v>
      </c>
      <c r="E250" s="1">
        <v>2108</v>
      </c>
      <c r="F250" s="1">
        <v>0</v>
      </c>
      <c r="H250" s="1">
        <v>0</v>
      </c>
      <c r="I250" s="1">
        <v>0</v>
      </c>
      <c r="J250" s="1">
        <v>0</v>
      </c>
      <c r="K250" s="1">
        <v>0</v>
      </c>
      <c r="L250" s="1">
        <v>0</v>
      </c>
      <c r="M250" s="1">
        <v>1</v>
      </c>
      <c r="N250" s="1">
        <v>1</v>
      </c>
      <c r="O250" s="39">
        <v>5000</v>
      </c>
      <c r="P250" s="39">
        <f t="shared" si="10"/>
        <v>2500</v>
      </c>
      <c r="T250" s="36" t="s">
        <v>803</v>
      </c>
      <c r="U250" s="36" t="s">
        <v>802</v>
      </c>
      <c r="V250" s="36">
        <v>0</v>
      </c>
      <c r="X250" s="2" t="s">
        <v>785</v>
      </c>
      <c r="Y250" s="1">
        <v>0</v>
      </c>
      <c r="Z250" s="1">
        <v>0</v>
      </c>
      <c r="AA250" s="1">
        <v>0</v>
      </c>
      <c r="AB250" s="1">
        <v>0</v>
      </c>
      <c r="AC250" s="1">
        <v>0</v>
      </c>
      <c r="AD250" s="1">
        <v>0</v>
      </c>
      <c r="AE250" s="1">
        <v>0</v>
      </c>
      <c r="AF250" s="1">
        <v>0</v>
      </c>
      <c r="AG250" s="1">
        <v>0</v>
      </c>
      <c r="AH250" s="1">
        <v>0</v>
      </c>
      <c r="AI250" s="1">
        <v>0</v>
      </c>
      <c r="AJ250" s="1" t="s">
        <v>106</v>
      </c>
    </row>
    <row r="251" spans="1:36" x14ac:dyDescent="0.15">
      <c r="A251" s="1" t="s">
        <v>90</v>
      </c>
      <c r="B251" s="1">
        <v>2109</v>
      </c>
      <c r="C251" s="1" t="s">
        <v>93</v>
      </c>
      <c r="D251" s="1">
        <v>10</v>
      </c>
      <c r="E251" s="1">
        <v>2109</v>
      </c>
      <c r="F251" s="1">
        <v>0</v>
      </c>
      <c r="H251" s="1">
        <v>0</v>
      </c>
      <c r="I251" s="1">
        <v>0</v>
      </c>
      <c r="J251" s="1">
        <v>0</v>
      </c>
      <c r="K251" s="1">
        <v>0</v>
      </c>
      <c r="L251" s="1">
        <v>0</v>
      </c>
      <c r="M251" s="1">
        <v>1</v>
      </c>
      <c r="N251" s="1">
        <v>1</v>
      </c>
      <c r="O251" s="39">
        <v>10000</v>
      </c>
      <c r="P251" s="39">
        <f t="shared" si="10"/>
        <v>5000</v>
      </c>
      <c r="T251" s="36" t="s">
        <v>803</v>
      </c>
      <c r="U251" s="36" t="s">
        <v>802</v>
      </c>
      <c r="V251" s="36">
        <v>0</v>
      </c>
      <c r="X251" s="2" t="s">
        <v>785</v>
      </c>
      <c r="Y251" s="1">
        <v>0</v>
      </c>
      <c r="Z251" s="1">
        <v>0</v>
      </c>
      <c r="AA251" s="1">
        <v>0</v>
      </c>
      <c r="AB251" s="1">
        <v>0</v>
      </c>
      <c r="AC251" s="1">
        <v>0</v>
      </c>
      <c r="AD251" s="1">
        <v>0</v>
      </c>
      <c r="AE251" s="1">
        <v>0</v>
      </c>
      <c r="AF251" s="1">
        <v>0</v>
      </c>
      <c r="AG251" s="1">
        <v>0</v>
      </c>
      <c r="AH251" s="1">
        <v>0</v>
      </c>
      <c r="AI251" s="1">
        <v>0</v>
      </c>
      <c r="AJ251" s="1" t="s">
        <v>107</v>
      </c>
    </row>
    <row r="252" spans="1:36" x14ac:dyDescent="0.15">
      <c r="A252" s="1" t="s">
        <v>91</v>
      </c>
      <c r="B252" s="1">
        <v>2110</v>
      </c>
      <c r="C252" s="1" t="s">
        <v>94</v>
      </c>
      <c r="D252" s="1">
        <v>10</v>
      </c>
      <c r="E252" s="1">
        <v>2110</v>
      </c>
      <c r="F252" s="1">
        <v>0</v>
      </c>
      <c r="H252" s="1">
        <v>0</v>
      </c>
      <c r="I252" s="1">
        <v>0</v>
      </c>
      <c r="J252" s="1">
        <v>0</v>
      </c>
      <c r="K252" s="1">
        <v>0</v>
      </c>
      <c r="L252" s="1">
        <v>0</v>
      </c>
      <c r="M252" s="1">
        <v>1</v>
      </c>
      <c r="N252" s="1">
        <v>1</v>
      </c>
      <c r="O252" s="39">
        <v>20000</v>
      </c>
      <c r="P252" s="39">
        <f t="shared" si="10"/>
        <v>10000</v>
      </c>
      <c r="T252" s="36" t="s">
        <v>803</v>
      </c>
      <c r="U252" s="36" t="s">
        <v>802</v>
      </c>
      <c r="V252" s="36">
        <v>0</v>
      </c>
      <c r="X252" s="2" t="s">
        <v>785</v>
      </c>
      <c r="Y252" s="1">
        <v>0</v>
      </c>
      <c r="Z252" s="1">
        <v>0</v>
      </c>
      <c r="AA252" s="1">
        <v>0</v>
      </c>
      <c r="AB252" s="1">
        <v>0</v>
      </c>
      <c r="AC252" s="1">
        <v>0</v>
      </c>
      <c r="AD252" s="1">
        <v>0</v>
      </c>
      <c r="AE252" s="1">
        <v>0</v>
      </c>
      <c r="AF252" s="1">
        <v>0</v>
      </c>
      <c r="AG252" s="1">
        <v>0</v>
      </c>
      <c r="AH252" s="1">
        <v>0</v>
      </c>
      <c r="AI252" s="1">
        <v>0</v>
      </c>
      <c r="AJ252" s="1" t="s">
        <v>108</v>
      </c>
    </row>
    <row r="253" spans="1:36" x14ac:dyDescent="0.15">
      <c r="A253" s="1" t="s">
        <v>88</v>
      </c>
      <c r="B253" s="1">
        <v>2111</v>
      </c>
      <c r="C253" s="1" t="s">
        <v>95</v>
      </c>
      <c r="D253" s="1">
        <v>10</v>
      </c>
      <c r="E253" s="1">
        <v>2111</v>
      </c>
      <c r="F253" s="1">
        <v>0</v>
      </c>
      <c r="H253" s="1">
        <v>0</v>
      </c>
      <c r="I253" s="1">
        <v>0</v>
      </c>
      <c r="J253" s="1">
        <v>0</v>
      </c>
      <c r="K253" s="1">
        <v>0</v>
      </c>
      <c r="L253" s="1">
        <v>0</v>
      </c>
      <c r="M253" s="1">
        <v>1</v>
      </c>
      <c r="N253" s="1">
        <v>1</v>
      </c>
      <c r="O253" s="39">
        <v>5000</v>
      </c>
      <c r="P253" s="39">
        <f t="shared" si="10"/>
        <v>2500</v>
      </c>
      <c r="T253" s="36" t="s">
        <v>803</v>
      </c>
      <c r="U253" s="36" t="s">
        <v>802</v>
      </c>
      <c r="V253" s="36">
        <v>0</v>
      </c>
      <c r="X253" s="2" t="s">
        <v>785</v>
      </c>
      <c r="Y253" s="1">
        <v>0</v>
      </c>
      <c r="Z253" s="1">
        <v>0</v>
      </c>
      <c r="AA253" s="1">
        <v>0</v>
      </c>
      <c r="AB253" s="1">
        <v>0</v>
      </c>
      <c r="AC253" s="1">
        <v>0</v>
      </c>
      <c r="AD253" s="1">
        <v>0</v>
      </c>
      <c r="AE253" s="1">
        <v>0</v>
      </c>
      <c r="AF253" s="1">
        <v>0</v>
      </c>
      <c r="AG253" s="1">
        <v>0</v>
      </c>
      <c r="AH253" s="1">
        <v>0</v>
      </c>
      <c r="AI253" s="1">
        <v>0</v>
      </c>
      <c r="AJ253" s="1" t="s">
        <v>109</v>
      </c>
    </row>
    <row r="254" spans="1:36" x14ac:dyDescent="0.15">
      <c r="A254" s="1" t="s">
        <v>96</v>
      </c>
      <c r="B254" s="1">
        <v>2113</v>
      </c>
      <c r="C254" s="1" t="s">
        <v>97</v>
      </c>
      <c r="D254" s="1">
        <v>10</v>
      </c>
      <c r="E254" s="1">
        <v>2113</v>
      </c>
      <c r="F254" s="1">
        <v>0</v>
      </c>
      <c r="H254" s="1">
        <v>0</v>
      </c>
      <c r="I254" s="1">
        <v>0</v>
      </c>
      <c r="J254" s="1">
        <v>0</v>
      </c>
      <c r="K254" s="1">
        <v>0</v>
      </c>
      <c r="L254" s="1">
        <v>0</v>
      </c>
      <c r="M254" s="1">
        <v>1</v>
      </c>
      <c r="N254" s="1">
        <v>1</v>
      </c>
      <c r="O254" s="39">
        <v>5000</v>
      </c>
      <c r="P254" s="39">
        <f t="shared" si="10"/>
        <v>2500</v>
      </c>
      <c r="T254" s="36" t="s">
        <v>803</v>
      </c>
      <c r="U254" s="36" t="s">
        <v>802</v>
      </c>
      <c r="V254" s="36">
        <v>0</v>
      </c>
      <c r="X254" s="2" t="s">
        <v>785</v>
      </c>
      <c r="Y254" s="1">
        <v>0</v>
      </c>
      <c r="Z254" s="1">
        <v>0</v>
      </c>
      <c r="AA254" s="1">
        <v>0</v>
      </c>
      <c r="AB254" s="1">
        <v>0</v>
      </c>
      <c r="AC254" s="1">
        <v>0</v>
      </c>
      <c r="AD254" s="1">
        <v>0</v>
      </c>
      <c r="AE254" s="1">
        <v>0</v>
      </c>
      <c r="AF254" s="1">
        <v>0</v>
      </c>
      <c r="AG254" s="1">
        <v>0</v>
      </c>
      <c r="AH254" s="1">
        <v>0</v>
      </c>
      <c r="AI254" s="1">
        <v>0</v>
      </c>
      <c r="AJ254" s="1" t="s">
        <v>110</v>
      </c>
    </row>
    <row r="255" spans="1:36" x14ac:dyDescent="0.15">
      <c r="A255" s="1" t="s">
        <v>682</v>
      </c>
      <c r="B255" s="1">
        <v>2114</v>
      </c>
      <c r="C255" s="1" t="s">
        <v>682</v>
      </c>
      <c r="D255" s="1">
        <v>10</v>
      </c>
      <c r="E255" s="1">
        <v>2114</v>
      </c>
      <c r="F255" s="1">
        <v>0</v>
      </c>
      <c r="H255" s="1">
        <v>0</v>
      </c>
      <c r="I255" s="1">
        <v>0</v>
      </c>
      <c r="J255" s="1">
        <v>0</v>
      </c>
      <c r="K255" s="1">
        <v>0</v>
      </c>
      <c r="L255" s="1">
        <v>0</v>
      </c>
      <c r="M255" s="1">
        <v>1</v>
      </c>
      <c r="N255" s="1">
        <v>1</v>
      </c>
      <c r="O255" s="39">
        <v>12000</v>
      </c>
      <c r="P255" s="39">
        <f>O255/2</f>
        <v>6000</v>
      </c>
      <c r="T255" s="36" t="s">
        <v>803</v>
      </c>
      <c r="U255" s="36" t="s">
        <v>802</v>
      </c>
      <c r="V255" s="36">
        <v>0</v>
      </c>
      <c r="X255" s="2" t="s">
        <v>785</v>
      </c>
      <c r="Y255" s="1">
        <v>0</v>
      </c>
      <c r="Z255" s="1">
        <v>0</v>
      </c>
      <c r="AA255" s="1">
        <v>0</v>
      </c>
      <c r="AB255" s="1">
        <v>0</v>
      </c>
      <c r="AC255" s="1">
        <v>0</v>
      </c>
      <c r="AD255" s="1">
        <v>0</v>
      </c>
      <c r="AE255" s="1">
        <v>0</v>
      </c>
      <c r="AF255" s="1">
        <v>0</v>
      </c>
      <c r="AG255" s="1">
        <v>0</v>
      </c>
      <c r="AH255" s="1">
        <v>0</v>
      </c>
      <c r="AI255" s="1">
        <v>0</v>
      </c>
      <c r="AJ255" s="1" t="s">
        <v>252</v>
      </c>
    </row>
    <row r="256" spans="1:36" x14ac:dyDescent="0.15">
      <c r="A256" s="1" t="s">
        <v>1331</v>
      </c>
      <c r="B256" s="1">
        <v>2115</v>
      </c>
      <c r="C256" s="1" t="s">
        <v>1336</v>
      </c>
      <c r="D256" s="1">
        <v>6</v>
      </c>
      <c r="E256" s="1">
        <v>1</v>
      </c>
      <c r="F256" s="1">
        <v>0</v>
      </c>
      <c r="H256" s="1">
        <v>0</v>
      </c>
      <c r="I256" s="1">
        <v>0</v>
      </c>
      <c r="J256" s="1">
        <v>1</v>
      </c>
      <c r="K256" s="1">
        <v>0</v>
      </c>
      <c r="L256" s="1">
        <v>0</v>
      </c>
      <c r="M256" s="1">
        <v>1</v>
      </c>
      <c r="N256" s="1">
        <v>1</v>
      </c>
      <c r="O256" s="39">
        <v>1800</v>
      </c>
      <c r="P256" s="39">
        <f t="shared" ref="P256" si="11">O256/2</f>
        <v>900</v>
      </c>
      <c r="Q256" s="39" t="s">
        <v>1596</v>
      </c>
      <c r="T256" s="36" t="s">
        <v>802</v>
      </c>
      <c r="U256" s="36" t="s">
        <v>802</v>
      </c>
      <c r="V256" s="36">
        <v>0</v>
      </c>
      <c r="X256" s="2" t="s">
        <v>785</v>
      </c>
      <c r="Y256" s="1">
        <v>0</v>
      </c>
      <c r="Z256" s="1">
        <v>0</v>
      </c>
      <c r="AA256" s="1">
        <v>0</v>
      </c>
      <c r="AB256" s="1">
        <v>0</v>
      </c>
      <c r="AC256" s="1">
        <v>0</v>
      </c>
      <c r="AD256" s="1">
        <v>0</v>
      </c>
      <c r="AE256" s="1">
        <v>0</v>
      </c>
      <c r="AF256" s="1">
        <v>0</v>
      </c>
      <c r="AG256" s="1">
        <v>0</v>
      </c>
      <c r="AH256" s="1">
        <v>0</v>
      </c>
      <c r="AI256" s="1">
        <v>300</v>
      </c>
      <c r="AJ256" s="1" t="s">
        <v>1334</v>
      </c>
    </row>
    <row r="257" spans="1:36" x14ac:dyDescent="0.15">
      <c r="A257" s="1" t="s">
        <v>1332</v>
      </c>
      <c r="B257" s="1">
        <v>2116</v>
      </c>
      <c r="C257" s="1" t="s">
        <v>1337</v>
      </c>
      <c r="D257" s="1">
        <v>6</v>
      </c>
      <c r="E257" s="1">
        <v>1</v>
      </c>
      <c r="F257" s="1">
        <v>0</v>
      </c>
      <c r="H257" s="1">
        <v>0</v>
      </c>
      <c r="I257" s="1">
        <v>0</v>
      </c>
      <c r="J257" s="1">
        <v>1</v>
      </c>
      <c r="K257" s="1">
        <v>0</v>
      </c>
      <c r="L257" s="1">
        <v>0</v>
      </c>
      <c r="M257" s="1">
        <v>1</v>
      </c>
      <c r="N257" s="1">
        <v>1</v>
      </c>
      <c r="O257" s="39">
        <v>5000</v>
      </c>
      <c r="P257" s="39">
        <f t="shared" ref="P257" si="12">O257/2</f>
        <v>2500</v>
      </c>
      <c r="Q257" s="39" t="s">
        <v>1596</v>
      </c>
      <c r="T257" s="36" t="s">
        <v>802</v>
      </c>
      <c r="U257" s="36" t="s">
        <v>802</v>
      </c>
      <c r="V257" s="36">
        <v>0</v>
      </c>
      <c r="X257" s="2" t="s">
        <v>785</v>
      </c>
      <c r="Y257" s="1">
        <v>0</v>
      </c>
      <c r="Z257" s="1">
        <v>0</v>
      </c>
      <c r="AA257" s="1">
        <v>0</v>
      </c>
      <c r="AB257" s="1">
        <v>0</v>
      </c>
      <c r="AC257" s="1">
        <v>0</v>
      </c>
      <c r="AD257" s="1">
        <v>0</v>
      </c>
      <c r="AE257" s="1">
        <v>0</v>
      </c>
      <c r="AF257" s="1">
        <v>0</v>
      </c>
      <c r="AG257" s="1">
        <v>0</v>
      </c>
      <c r="AH257" s="1">
        <v>0</v>
      </c>
      <c r="AI257" s="1">
        <v>600</v>
      </c>
      <c r="AJ257" s="1" t="s">
        <v>1335</v>
      </c>
    </row>
    <row r="258" spans="1:36" x14ac:dyDescent="0.15">
      <c r="A258" s="1" t="s">
        <v>87</v>
      </c>
      <c r="B258" s="1">
        <v>2200</v>
      </c>
      <c r="C258" s="1" t="s">
        <v>87</v>
      </c>
      <c r="D258" s="1">
        <v>10</v>
      </c>
      <c r="E258" s="1">
        <v>2200</v>
      </c>
      <c r="F258" s="1">
        <v>0</v>
      </c>
      <c r="H258" s="1">
        <v>0</v>
      </c>
      <c r="I258" s="1">
        <v>0</v>
      </c>
      <c r="J258" s="1">
        <v>0</v>
      </c>
      <c r="K258" s="1">
        <v>0</v>
      </c>
      <c r="L258" s="1">
        <v>0</v>
      </c>
      <c r="M258" s="1">
        <v>1</v>
      </c>
      <c r="N258" s="1">
        <v>1</v>
      </c>
      <c r="O258" s="39">
        <v>30000</v>
      </c>
      <c r="P258" s="39">
        <f>O258/2</f>
        <v>15000</v>
      </c>
      <c r="T258" s="36" t="s">
        <v>803</v>
      </c>
      <c r="U258" s="36" t="s">
        <v>802</v>
      </c>
      <c r="V258" s="36">
        <v>0</v>
      </c>
      <c r="X258" s="2" t="s">
        <v>785</v>
      </c>
      <c r="Y258" s="1">
        <v>0</v>
      </c>
      <c r="Z258" s="1">
        <v>0</v>
      </c>
      <c r="AA258" s="1">
        <v>0</v>
      </c>
      <c r="AB258" s="1">
        <v>0</v>
      </c>
      <c r="AC258" s="1">
        <v>0</v>
      </c>
      <c r="AD258" s="1">
        <v>0</v>
      </c>
      <c r="AE258" s="1">
        <v>0</v>
      </c>
      <c r="AF258" s="1">
        <v>0</v>
      </c>
      <c r="AG258" s="1">
        <v>0</v>
      </c>
      <c r="AH258" s="1">
        <v>0</v>
      </c>
      <c r="AI258" s="1">
        <v>0</v>
      </c>
      <c r="AJ258" s="1" t="s">
        <v>111</v>
      </c>
    </row>
    <row r="259" spans="1:36" ht="12.75" customHeight="1" x14ac:dyDescent="0.15">
      <c r="A259" s="1" t="s">
        <v>1307</v>
      </c>
      <c r="B259" s="1">
        <v>2201</v>
      </c>
      <c r="C259" s="1" t="s">
        <v>1309</v>
      </c>
      <c r="D259" s="1">
        <v>10</v>
      </c>
      <c r="E259" s="1">
        <v>2201</v>
      </c>
      <c r="F259" s="1">
        <v>0</v>
      </c>
      <c r="H259" s="1">
        <v>0</v>
      </c>
      <c r="I259" s="1">
        <v>0</v>
      </c>
      <c r="J259" s="1">
        <v>0</v>
      </c>
      <c r="K259" s="1">
        <v>0</v>
      </c>
      <c r="L259" s="1">
        <v>0</v>
      </c>
      <c r="M259" s="1">
        <v>1</v>
      </c>
      <c r="N259" s="1">
        <v>1</v>
      </c>
      <c r="O259" s="39">
        <v>16000</v>
      </c>
      <c r="P259" s="39">
        <f t="shared" si="10"/>
        <v>8000</v>
      </c>
      <c r="T259" s="36" t="s">
        <v>803</v>
      </c>
      <c r="U259" s="36" t="s">
        <v>802</v>
      </c>
      <c r="V259" s="36">
        <v>0</v>
      </c>
      <c r="X259" s="2" t="s">
        <v>785</v>
      </c>
      <c r="Y259" s="1">
        <v>0</v>
      </c>
      <c r="Z259" s="1">
        <v>0</v>
      </c>
      <c r="AA259" s="1">
        <v>0</v>
      </c>
      <c r="AB259" s="1">
        <v>0</v>
      </c>
      <c r="AC259" s="1">
        <v>0</v>
      </c>
      <c r="AD259" s="1">
        <v>0</v>
      </c>
      <c r="AE259" s="1">
        <v>0</v>
      </c>
      <c r="AF259" s="1">
        <v>0</v>
      </c>
      <c r="AG259" s="1">
        <v>0</v>
      </c>
      <c r="AH259" s="1">
        <v>0</v>
      </c>
      <c r="AI259" s="1">
        <v>0</v>
      </c>
      <c r="AJ259" s="3" t="s">
        <v>1317</v>
      </c>
    </row>
    <row r="260" spans="1:36" x14ac:dyDescent="0.15">
      <c r="A260" s="1" t="s">
        <v>1308</v>
      </c>
      <c r="B260" s="1">
        <v>2202</v>
      </c>
      <c r="C260" s="1" t="s">
        <v>1308</v>
      </c>
      <c r="D260" s="1">
        <v>10</v>
      </c>
      <c r="E260" s="1">
        <v>2202</v>
      </c>
      <c r="F260" s="1">
        <v>0</v>
      </c>
      <c r="H260" s="1">
        <v>0</v>
      </c>
      <c r="I260" s="1">
        <v>0</v>
      </c>
      <c r="J260" s="1">
        <v>0</v>
      </c>
      <c r="K260" s="1">
        <v>0</v>
      </c>
      <c r="L260" s="1">
        <v>0</v>
      </c>
      <c r="M260" s="1">
        <v>1</v>
      </c>
      <c r="N260" s="1">
        <v>1</v>
      </c>
      <c r="O260" s="39">
        <v>16000</v>
      </c>
      <c r="P260" s="39">
        <f t="shared" ref="P260:P267" si="13">O260/2</f>
        <v>8000</v>
      </c>
      <c r="T260" s="36" t="s">
        <v>801</v>
      </c>
      <c r="U260" s="36" t="s">
        <v>801</v>
      </c>
      <c r="V260" s="36">
        <v>0</v>
      </c>
      <c r="X260" s="2" t="s">
        <v>785</v>
      </c>
      <c r="Y260" s="1">
        <v>0</v>
      </c>
      <c r="Z260" s="1">
        <v>0</v>
      </c>
      <c r="AA260" s="1">
        <v>0</v>
      </c>
      <c r="AB260" s="1">
        <v>0</v>
      </c>
      <c r="AC260" s="1">
        <v>0</v>
      </c>
      <c r="AD260" s="1">
        <v>0</v>
      </c>
      <c r="AE260" s="1">
        <v>0</v>
      </c>
      <c r="AF260" s="1">
        <v>0</v>
      </c>
      <c r="AG260" s="1">
        <v>0</v>
      </c>
      <c r="AH260" s="1">
        <v>0</v>
      </c>
      <c r="AI260" s="1">
        <v>0</v>
      </c>
      <c r="AJ260" s="3" t="s">
        <v>1318</v>
      </c>
    </row>
    <row r="261" spans="1:36" x14ac:dyDescent="0.15">
      <c r="A261" s="8" t="s">
        <v>1310</v>
      </c>
      <c r="B261" s="1">
        <v>2203</v>
      </c>
      <c r="C261" s="8" t="s">
        <v>1310</v>
      </c>
      <c r="D261" s="1">
        <v>10</v>
      </c>
      <c r="E261" s="1">
        <v>2203</v>
      </c>
      <c r="F261" s="1">
        <v>0</v>
      </c>
      <c r="H261" s="1">
        <v>0</v>
      </c>
      <c r="I261" s="1">
        <v>0</v>
      </c>
      <c r="J261" s="1">
        <v>0</v>
      </c>
      <c r="K261" s="1">
        <v>0</v>
      </c>
      <c r="L261" s="1">
        <v>0</v>
      </c>
      <c r="M261" s="1">
        <v>1</v>
      </c>
      <c r="N261" s="1">
        <v>1</v>
      </c>
      <c r="O261" s="39">
        <v>8000</v>
      </c>
      <c r="P261" s="39">
        <f t="shared" si="13"/>
        <v>4000</v>
      </c>
      <c r="T261" s="36" t="s">
        <v>801</v>
      </c>
      <c r="U261" s="36" t="s">
        <v>801</v>
      </c>
      <c r="V261" s="36">
        <v>0</v>
      </c>
      <c r="X261" s="2" t="s">
        <v>785</v>
      </c>
      <c r="Y261" s="1">
        <v>0</v>
      </c>
      <c r="Z261" s="1">
        <v>0</v>
      </c>
      <c r="AA261" s="1">
        <v>0</v>
      </c>
      <c r="AB261" s="1">
        <v>0</v>
      </c>
      <c r="AC261" s="1">
        <v>0</v>
      </c>
      <c r="AD261" s="1">
        <v>0</v>
      </c>
      <c r="AE261" s="1">
        <v>0</v>
      </c>
      <c r="AF261" s="1">
        <v>0</v>
      </c>
      <c r="AG261" s="1">
        <v>0</v>
      </c>
      <c r="AH261" s="1">
        <v>0</v>
      </c>
      <c r="AI261" s="1">
        <v>0</v>
      </c>
      <c r="AJ261" s="8" t="s">
        <v>1319</v>
      </c>
    </row>
    <row r="262" spans="1:36" x14ac:dyDescent="0.15">
      <c r="A262" s="8" t="s">
        <v>1311</v>
      </c>
      <c r="B262" s="1">
        <v>2204</v>
      </c>
      <c r="C262" s="8" t="s">
        <v>1311</v>
      </c>
      <c r="D262" s="1">
        <v>10</v>
      </c>
      <c r="E262" s="1">
        <v>2204</v>
      </c>
      <c r="F262" s="1">
        <v>0</v>
      </c>
      <c r="H262" s="1">
        <v>0</v>
      </c>
      <c r="I262" s="1">
        <v>0</v>
      </c>
      <c r="J262" s="1">
        <v>0</v>
      </c>
      <c r="K262" s="1">
        <v>0</v>
      </c>
      <c r="L262" s="1">
        <v>0</v>
      </c>
      <c r="M262" s="1">
        <v>1</v>
      </c>
      <c r="N262" s="1">
        <v>1</v>
      </c>
      <c r="O262" s="39">
        <v>8000</v>
      </c>
      <c r="P262" s="39">
        <f t="shared" si="13"/>
        <v>4000</v>
      </c>
      <c r="T262" s="36" t="s">
        <v>801</v>
      </c>
      <c r="U262" s="36" t="s">
        <v>801</v>
      </c>
      <c r="V262" s="36">
        <v>0</v>
      </c>
      <c r="X262" s="2" t="s">
        <v>785</v>
      </c>
      <c r="Y262" s="1">
        <v>0</v>
      </c>
      <c r="Z262" s="1">
        <v>0</v>
      </c>
      <c r="AA262" s="1">
        <v>0</v>
      </c>
      <c r="AB262" s="1">
        <v>0</v>
      </c>
      <c r="AC262" s="1">
        <v>0</v>
      </c>
      <c r="AD262" s="1">
        <v>0</v>
      </c>
      <c r="AE262" s="1">
        <v>0</v>
      </c>
      <c r="AF262" s="1">
        <v>0</v>
      </c>
      <c r="AG262" s="1">
        <v>0</v>
      </c>
      <c r="AH262" s="1">
        <v>0</v>
      </c>
      <c r="AI262" s="1">
        <v>0</v>
      </c>
      <c r="AJ262" s="8" t="s">
        <v>1319</v>
      </c>
    </row>
    <row r="263" spans="1:36" x14ac:dyDescent="0.15">
      <c r="A263" s="8" t="s">
        <v>1312</v>
      </c>
      <c r="B263" s="1">
        <v>2205</v>
      </c>
      <c r="C263" s="8" t="s">
        <v>1312</v>
      </c>
      <c r="D263" s="1">
        <v>10</v>
      </c>
      <c r="E263" s="1">
        <v>2205</v>
      </c>
      <c r="F263" s="1">
        <v>0</v>
      </c>
      <c r="H263" s="1">
        <v>0</v>
      </c>
      <c r="I263" s="1">
        <v>0</v>
      </c>
      <c r="J263" s="1">
        <v>0</v>
      </c>
      <c r="K263" s="1">
        <v>0</v>
      </c>
      <c r="L263" s="1">
        <v>0</v>
      </c>
      <c r="M263" s="1">
        <v>1</v>
      </c>
      <c r="N263" s="1">
        <v>1</v>
      </c>
      <c r="O263" s="39">
        <v>8000</v>
      </c>
      <c r="P263" s="39">
        <f t="shared" si="13"/>
        <v>4000</v>
      </c>
      <c r="T263" s="36" t="s">
        <v>801</v>
      </c>
      <c r="U263" s="36" t="s">
        <v>801</v>
      </c>
      <c r="V263" s="36">
        <v>0</v>
      </c>
      <c r="X263" s="2" t="s">
        <v>785</v>
      </c>
      <c r="Y263" s="1">
        <v>0</v>
      </c>
      <c r="Z263" s="1">
        <v>0</v>
      </c>
      <c r="AA263" s="1">
        <v>0</v>
      </c>
      <c r="AB263" s="1">
        <v>0</v>
      </c>
      <c r="AC263" s="1">
        <v>0</v>
      </c>
      <c r="AD263" s="1">
        <v>0</v>
      </c>
      <c r="AE263" s="1">
        <v>0</v>
      </c>
      <c r="AF263" s="1">
        <v>0</v>
      </c>
      <c r="AG263" s="1">
        <v>0</v>
      </c>
      <c r="AH263" s="1">
        <v>0</v>
      </c>
      <c r="AI263" s="1">
        <v>0</v>
      </c>
      <c r="AJ263" s="8" t="s">
        <v>1320</v>
      </c>
    </row>
    <row r="264" spans="1:36" x14ac:dyDescent="0.15">
      <c r="A264" s="8" t="s">
        <v>1313</v>
      </c>
      <c r="B264" s="1">
        <v>2206</v>
      </c>
      <c r="C264" s="8" t="s">
        <v>1313</v>
      </c>
      <c r="D264" s="1">
        <v>10</v>
      </c>
      <c r="E264" s="1">
        <v>2206</v>
      </c>
      <c r="F264" s="1">
        <v>0</v>
      </c>
      <c r="H264" s="1">
        <v>0</v>
      </c>
      <c r="I264" s="1">
        <v>0</v>
      </c>
      <c r="J264" s="1">
        <v>0</v>
      </c>
      <c r="K264" s="1">
        <v>0</v>
      </c>
      <c r="L264" s="1">
        <v>0</v>
      </c>
      <c r="M264" s="1">
        <v>1</v>
      </c>
      <c r="N264" s="1">
        <v>1</v>
      </c>
      <c r="O264" s="39">
        <v>8000</v>
      </c>
      <c r="P264" s="39">
        <f t="shared" si="13"/>
        <v>4000</v>
      </c>
      <c r="T264" s="36" t="s">
        <v>801</v>
      </c>
      <c r="U264" s="36" t="s">
        <v>801</v>
      </c>
      <c r="V264" s="36">
        <v>0</v>
      </c>
      <c r="X264" s="2" t="s">
        <v>785</v>
      </c>
      <c r="Y264" s="1">
        <v>0</v>
      </c>
      <c r="Z264" s="1">
        <v>0</v>
      </c>
      <c r="AA264" s="1">
        <v>0</v>
      </c>
      <c r="AB264" s="1">
        <v>0</v>
      </c>
      <c r="AC264" s="1">
        <v>0</v>
      </c>
      <c r="AD264" s="1">
        <v>0</v>
      </c>
      <c r="AE264" s="1">
        <v>0</v>
      </c>
      <c r="AF264" s="1">
        <v>0</v>
      </c>
      <c r="AG264" s="1">
        <v>0</v>
      </c>
      <c r="AH264" s="1">
        <v>0</v>
      </c>
      <c r="AI264" s="1">
        <v>0</v>
      </c>
      <c r="AJ264" s="8" t="s">
        <v>1321</v>
      </c>
    </row>
    <row r="265" spans="1:36" x14ac:dyDescent="0.15">
      <c r="A265" s="8" t="s">
        <v>1314</v>
      </c>
      <c r="B265" s="1">
        <v>2207</v>
      </c>
      <c r="C265" s="8" t="s">
        <v>1314</v>
      </c>
      <c r="D265" s="1">
        <v>10</v>
      </c>
      <c r="E265" s="1">
        <v>2207</v>
      </c>
      <c r="F265" s="1">
        <v>0</v>
      </c>
      <c r="H265" s="1">
        <v>0</v>
      </c>
      <c r="I265" s="1">
        <v>0</v>
      </c>
      <c r="J265" s="1">
        <v>0</v>
      </c>
      <c r="K265" s="1">
        <v>0</v>
      </c>
      <c r="L265" s="1">
        <v>0</v>
      </c>
      <c r="M265" s="1">
        <v>1</v>
      </c>
      <c r="N265" s="1">
        <v>1</v>
      </c>
      <c r="O265" s="39">
        <v>8000</v>
      </c>
      <c r="P265" s="39">
        <f t="shared" si="13"/>
        <v>4000</v>
      </c>
      <c r="T265" s="36" t="s">
        <v>801</v>
      </c>
      <c r="U265" s="36" t="s">
        <v>801</v>
      </c>
      <c r="V265" s="36">
        <v>0</v>
      </c>
      <c r="X265" s="2" t="s">
        <v>785</v>
      </c>
      <c r="Y265" s="1">
        <v>0</v>
      </c>
      <c r="Z265" s="1">
        <v>0</v>
      </c>
      <c r="AA265" s="1">
        <v>0</v>
      </c>
      <c r="AB265" s="1">
        <v>0</v>
      </c>
      <c r="AC265" s="1">
        <v>0</v>
      </c>
      <c r="AD265" s="1">
        <v>0</v>
      </c>
      <c r="AE265" s="1">
        <v>0</v>
      </c>
      <c r="AF265" s="1">
        <v>0</v>
      </c>
      <c r="AG265" s="1">
        <v>0</v>
      </c>
      <c r="AH265" s="1">
        <v>0</v>
      </c>
      <c r="AI265" s="1">
        <v>0</v>
      </c>
      <c r="AJ265" s="8" t="s">
        <v>1319</v>
      </c>
    </row>
    <row r="266" spans="1:36" x14ac:dyDescent="0.15">
      <c r="A266" s="8" t="s">
        <v>1315</v>
      </c>
      <c r="B266" s="1">
        <v>2208</v>
      </c>
      <c r="C266" s="8" t="s">
        <v>1315</v>
      </c>
      <c r="D266" s="1">
        <v>10</v>
      </c>
      <c r="E266" s="1">
        <v>2208</v>
      </c>
      <c r="F266" s="1">
        <v>0</v>
      </c>
      <c r="H266" s="1">
        <v>0</v>
      </c>
      <c r="I266" s="1">
        <v>0</v>
      </c>
      <c r="J266" s="1">
        <v>0</v>
      </c>
      <c r="K266" s="1">
        <v>0</v>
      </c>
      <c r="L266" s="1">
        <v>0</v>
      </c>
      <c r="M266" s="1">
        <v>1</v>
      </c>
      <c r="N266" s="1">
        <v>1</v>
      </c>
      <c r="O266" s="39">
        <v>8000</v>
      </c>
      <c r="P266" s="39">
        <f t="shared" si="13"/>
        <v>4000</v>
      </c>
      <c r="T266" s="36" t="s">
        <v>801</v>
      </c>
      <c r="U266" s="36" t="s">
        <v>801</v>
      </c>
      <c r="V266" s="36">
        <v>0</v>
      </c>
      <c r="X266" s="2" t="s">
        <v>785</v>
      </c>
      <c r="Y266" s="1">
        <v>0</v>
      </c>
      <c r="Z266" s="1">
        <v>0</v>
      </c>
      <c r="AA266" s="1">
        <v>0</v>
      </c>
      <c r="AB266" s="1">
        <v>0</v>
      </c>
      <c r="AC266" s="1">
        <v>0</v>
      </c>
      <c r="AD266" s="1">
        <v>0</v>
      </c>
      <c r="AE266" s="1">
        <v>0</v>
      </c>
      <c r="AF266" s="1">
        <v>0</v>
      </c>
      <c r="AG266" s="1">
        <v>0</v>
      </c>
      <c r="AH266" s="1">
        <v>0</v>
      </c>
      <c r="AI266" s="1">
        <v>0</v>
      </c>
      <c r="AJ266" s="8" t="s">
        <v>1320</v>
      </c>
    </row>
    <row r="267" spans="1:36" x14ac:dyDescent="0.15">
      <c r="A267" s="8" t="s">
        <v>1316</v>
      </c>
      <c r="B267" s="1">
        <v>2209</v>
      </c>
      <c r="C267" s="8" t="s">
        <v>1316</v>
      </c>
      <c r="D267" s="1">
        <v>10</v>
      </c>
      <c r="E267" s="1">
        <v>2209</v>
      </c>
      <c r="F267" s="1">
        <v>0</v>
      </c>
      <c r="H267" s="1">
        <v>0</v>
      </c>
      <c r="I267" s="1">
        <v>0</v>
      </c>
      <c r="J267" s="1">
        <v>0</v>
      </c>
      <c r="K267" s="1">
        <v>0</v>
      </c>
      <c r="L267" s="1">
        <v>0</v>
      </c>
      <c r="M267" s="1">
        <v>1</v>
      </c>
      <c r="N267" s="1">
        <v>1</v>
      </c>
      <c r="O267" s="39">
        <v>20000</v>
      </c>
      <c r="P267" s="39">
        <f t="shared" si="13"/>
        <v>10000</v>
      </c>
      <c r="T267" s="36" t="s">
        <v>801</v>
      </c>
      <c r="U267" s="36" t="s">
        <v>801</v>
      </c>
      <c r="V267" s="36">
        <v>0</v>
      </c>
      <c r="X267" s="2" t="s">
        <v>785</v>
      </c>
      <c r="Y267" s="1">
        <v>0</v>
      </c>
      <c r="Z267" s="1">
        <v>0</v>
      </c>
      <c r="AA267" s="1">
        <v>0</v>
      </c>
      <c r="AB267" s="1">
        <v>0</v>
      </c>
      <c r="AC267" s="1">
        <v>0</v>
      </c>
      <c r="AD267" s="1">
        <v>0</v>
      </c>
      <c r="AE267" s="1">
        <v>0</v>
      </c>
      <c r="AF267" s="1">
        <v>0</v>
      </c>
      <c r="AG267" s="1">
        <v>0</v>
      </c>
      <c r="AH267" s="1">
        <v>0</v>
      </c>
      <c r="AI267" s="1">
        <v>0</v>
      </c>
      <c r="AJ267" s="8" t="s">
        <v>1322</v>
      </c>
    </row>
    <row r="268" spans="1:36" ht="14.25" x14ac:dyDescent="0.15">
      <c r="A268" s="10" t="s">
        <v>191</v>
      </c>
      <c r="B268" s="1">
        <v>4000</v>
      </c>
      <c r="C268" s="10" t="s">
        <v>1383</v>
      </c>
      <c r="D268" s="1">
        <v>3</v>
      </c>
      <c r="E268" s="7">
        <v>1000</v>
      </c>
      <c r="F268" s="1">
        <v>0</v>
      </c>
      <c r="G268" s="1">
        <v>5004</v>
      </c>
      <c r="H268" s="1" t="s">
        <v>1421</v>
      </c>
      <c r="I268" s="1">
        <v>1</v>
      </c>
      <c r="J268" s="1">
        <v>0</v>
      </c>
      <c r="K268" s="1">
        <v>0</v>
      </c>
      <c r="L268" s="1">
        <v>0</v>
      </c>
      <c r="M268" s="1">
        <v>9</v>
      </c>
      <c r="N268" s="1">
        <v>1</v>
      </c>
      <c r="O268" s="39">
        <v>203</v>
      </c>
      <c r="P268" s="39">
        <f>ROUND(VLOOKUP(A268,鱼!$J$2:$K$32,2,FALSE),0)</f>
        <v>203</v>
      </c>
      <c r="T268" s="36" t="s">
        <v>803</v>
      </c>
      <c r="U268" s="36" t="s">
        <v>802</v>
      </c>
      <c r="V268" s="36">
        <v>0</v>
      </c>
      <c r="X268" s="2" t="s">
        <v>785</v>
      </c>
      <c r="Y268" s="1">
        <v>0</v>
      </c>
      <c r="Z268" s="1">
        <v>0</v>
      </c>
      <c r="AA268" s="1">
        <v>0</v>
      </c>
      <c r="AB268" s="1">
        <v>0</v>
      </c>
      <c r="AC268" s="1">
        <v>0</v>
      </c>
      <c r="AD268" s="1">
        <v>0</v>
      </c>
      <c r="AE268" s="1">
        <v>0</v>
      </c>
      <c r="AF268" s="1">
        <v>0</v>
      </c>
      <c r="AG268" s="1">
        <v>0</v>
      </c>
      <c r="AH268" s="1">
        <v>0</v>
      </c>
      <c r="AI268" s="1">
        <v>0</v>
      </c>
      <c r="AJ268" s="10" t="s">
        <v>1148</v>
      </c>
    </row>
    <row r="269" spans="1:36" x14ac:dyDescent="0.15">
      <c r="A269" s="7" t="s">
        <v>1150</v>
      </c>
      <c r="B269" s="1">
        <v>4003</v>
      </c>
      <c r="C269" s="7" t="s">
        <v>1384</v>
      </c>
      <c r="D269" s="1">
        <v>3</v>
      </c>
      <c r="E269" s="7">
        <v>1003</v>
      </c>
      <c r="F269" s="1">
        <v>0</v>
      </c>
      <c r="H269" s="1" t="s">
        <v>1421</v>
      </c>
      <c r="I269" s="1">
        <v>1</v>
      </c>
      <c r="J269" s="1">
        <v>0</v>
      </c>
      <c r="K269" s="1">
        <v>0</v>
      </c>
      <c r="L269" s="1">
        <v>0</v>
      </c>
      <c r="M269" s="1">
        <v>9</v>
      </c>
      <c r="N269" s="1">
        <v>1</v>
      </c>
      <c r="O269" s="39">
        <v>100</v>
      </c>
      <c r="P269" s="39">
        <v>100</v>
      </c>
      <c r="T269" s="36" t="s">
        <v>803</v>
      </c>
      <c r="U269" s="36" t="s">
        <v>802</v>
      </c>
      <c r="V269" s="36">
        <v>0</v>
      </c>
      <c r="X269" s="2" t="s">
        <v>785</v>
      </c>
      <c r="Y269" s="1">
        <v>0</v>
      </c>
      <c r="Z269" s="1">
        <v>0</v>
      </c>
      <c r="AA269" s="1">
        <v>0</v>
      </c>
      <c r="AB269" s="1">
        <v>0</v>
      </c>
      <c r="AC269" s="1">
        <v>0</v>
      </c>
      <c r="AD269" s="1">
        <v>0</v>
      </c>
      <c r="AE269" s="1">
        <v>0</v>
      </c>
      <c r="AF269" s="1">
        <v>0</v>
      </c>
      <c r="AG269" s="1">
        <v>0</v>
      </c>
      <c r="AH269" s="1">
        <v>0</v>
      </c>
      <c r="AI269" s="1">
        <v>0</v>
      </c>
      <c r="AJ269" s="7" t="s">
        <v>1151</v>
      </c>
    </row>
    <row r="270" spans="1:36" x14ac:dyDescent="0.15">
      <c r="A270" s="7" t="s">
        <v>121</v>
      </c>
      <c r="B270" s="1">
        <v>4004</v>
      </c>
      <c r="C270" s="7" t="s">
        <v>1385</v>
      </c>
      <c r="D270" s="1">
        <v>3</v>
      </c>
      <c r="E270" s="7">
        <v>1004</v>
      </c>
      <c r="F270" s="1">
        <v>0</v>
      </c>
      <c r="H270" s="1" t="s">
        <v>1421</v>
      </c>
      <c r="I270" s="1">
        <v>1</v>
      </c>
      <c r="J270" s="1">
        <v>0</v>
      </c>
      <c r="K270" s="1">
        <v>0</v>
      </c>
      <c r="L270" s="1">
        <v>0</v>
      </c>
      <c r="M270" s="1">
        <v>9</v>
      </c>
      <c r="N270" s="1">
        <v>1</v>
      </c>
      <c r="O270" s="39">
        <v>100</v>
      </c>
      <c r="P270" s="39">
        <v>100</v>
      </c>
      <c r="T270" s="36" t="s">
        <v>803</v>
      </c>
      <c r="U270" s="36" t="s">
        <v>802</v>
      </c>
      <c r="V270" s="36">
        <v>0</v>
      </c>
      <c r="X270" s="2" t="s">
        <v>785</v>
      </c>
      <c r="Y270" s="1">
        <v>0</v>
      </c>
      <c r="Z270" s="1">
        <v>0</v>
      </c>
      <c r="AA270" s="1">
        <v>0</v>
      </c>
      <c r="AB270" s="1">
        <v>0</v>
      </c>
      <c r="AC270" s="1">
        <v>0</v>
      </c>
      <c r="AD270" s="1">
        <v>0</v>
      </c>
      <c r="AE270" s="1">
        <v>0</v>
      </c>
      <c r="AF270" s="1">
        <v>0</v>
      </c>
      <c r="AG270" s="1">
        <v>0</v>
      </c>
      <c r="AH270" s="1">
        <v>0</v>
      </c>
      <c r="AI270" s="1">
        <v>0</v>
      </c>
      <c r="AJ270" s="7" t="s">
        <v>1152</v>
      </c>
    </row>
    <row r="271" spans="1:36" x14ac:dyDescent="0.15">
      <c r="A271" s="7" t="s">
        <v>1149</v>
      </c>
      <c r="B271" s="1">
        <v>4006</v>
      </c>
      <c r="C271" s="7" t="s">
        <v>1386</v>
      </c>
      <c r="D271" s="1">
        <v>3</v>
      </c>
      <c r="E271" s="7">
        <v>1006</v>
      </c>
      <c r="F271" s="1">
        <v>0</v>
      </c>
      <c r="G271" s="1" t="s">
        <v>1838</v>
      </c>
      <c r="H271" s="1" t="s">
        <v>1421</v>
      </c>
      <c r="I271" s="1">
        <v>1</v>
      </c>
      <c r="J271" s="1">
        <v>0</v>
      </c>
      <c r="K271" s="1">
        <v>0</v>
      </c>
      <c r="L271" s="1">
        <v>0</v>
      </c>
      <c r="M271" s="1">
        <v>9</v>
      </c>
      <c r="N271" s="1">
        <v>1</v>
      </c>
      <c r="O271" s="39">
        <v>209</v>
      </c>
      <c r="P271" s="39">
        <f>ROUND(VLOOKUP(A271,鱼!$J$2:$K$32,2,FALSE),0)</f>
        <v>209</v>
      </c>
      <c r="T271" s="36" t="s">
        <v>803</v>
      </c>
      <c r="U271" s="36" t="s">
        <v>802</v>
      </c>
      <c r="V271" s="36">
        <v>0</v>
      </c>
      <c r="X271" s="2" t="s">
        <v>785</v>
      </c>
      <c r="Y271" s="1">
        <v>0</v>
      </c>
      <c r="Z271" s="1">
        <v>0</v>
      </c>
      <c r="AA271" s="1">
        <v>0</v>
      </c>
      <c r="AB271" s="1">
        <v>0</v>
      </c>
      <c r="AC271" s="1">
        <v>0</v>
      </c>
      <c r="AD271" s="1">
        <v>0</v>
      </c>
      <c r="AE271" s="1">
        <v>0</v>
      </c>
      <c r="AF271" s="1">
        <v>0</v>
      </c>
      <c r="AG271" s="1">
        <v>0</v>
      </c>
      <c r="AH271" s="1">
        <v>0</v>
      </c>
      <c r="AI271" s="1">
        <v>0</v>
      </c>
      <c r="AJ271" s="7" t="s">
        <v>1592</v>
      </c>
    </row>
    <row r="272" spans="1:36" x14ac:dyDescent="0.15">
      <c r="A272" s="7" t="s">
        <v>1303</v>
      </c>
      <c r="B272" s="1">
        <v>4007</v>
      </c>
      <c r="C272" s="7" t="s">
        <v>1594</v>
      </c>
      <c r="D272" s="1">
        <v>3</v>
      </c>
      <c r="E272" s="7">
        <v>1007</v>
      </c>
      <c r="F272" s="1">
        <v>0</v>
      </c>
      <c r="G272" s="1">
        <v>5004</v>
      </c>
      <c r="H272" s="1" t="s">
        <v>1421</v>
      </c>
      <c r="I272" s="1">
        <v>1</v>
      </c>
      <c r="J272" s="1">
        <v>0</v>
      </c>
      <c r="K272" s="1">
        <v>0</v>
      </c>
      <c r="L272" s="1">
        <v>0</v>
      </c>
      <c r="M272" s="1">
        <v>9</v>
      </c>
      <c r="N272" s="1">
        <v>1</v>
      </c>
      <c r="O272" s="39">
        <v>230</v>
      </c>
      <c r="P272" s="39">
        <f>ROUND(VLOOKUP(A272,鱼!$J$2:$K$32,2,FALSE),0)</f>
        <v>230</v>
      </c>
      <c r="T272" s="36" t="s">
        <v>803</v>
      </c>
      <c r="U272" s="36" t="s">
        <v>802</v>
      </c>
      <c r="V272" s="36">
        <v>0</v>
      </c>
      <c r="X272" s="2" t="s">
        <v>785</v>
      </c>
      <c r="Y272" s="1">
        <v>0</v>
      </c>
      <c r="Z272" s="1">
        <v>0</v>
      </c>
      <c r="AA272" s="1">
        <v>0</v>
      </c>
      <c r="AB272" s="1">
        <v>0</v>
      </c>
      <c r="AC272" s="1">
        <v>0</v>
      </c>
      <c r="AD272" s="1">
        <v>0</v>
      </c>
      <c r="AE272" s="1">
        <v>0</v>
      </c>
      <c r="AF272" s="1">
        <v>0</v>
      </c>
      <c r="AG272" s="1">
        <v>0</v>
      </c>
      <c r="AH272" s="1">
        <v>0</v>
      </c>
      <c r="AI272" s="1">
        <v>0</v>
      </c>
      <c r="AJ272" s="50" t="s">
        <v>1591</v>
      </c>
    </row>
    <row r="273" spans="1:36" x14ac:dyDescent="0.15">
      <c r="A273" s="8" t="s">
        <v>124</v>
      </c>
      <c r="B273" s="1">
        <v>4008</v>
      </c>
      <c r="C273" s="8" t="s">
        <v>1387</v>
      </c>
      <c r="D273" s="1">
        <v>3</v>
      </c>
      <c r="E273" s="7">
        <v>1008</v>
      </c>
      <c r="F273" s="1">
        <v>0</v>
      </c>
      <c r="H273" s="1" t="s">
        <v>1421</v>
      </c>
      <c r="I273" s="1">
        <v>1</v>
      </c>
      <c r="J273" s="1">
        <v>0</v>
      </c>
      <c r="K273" s="1">
        <v>0</v>
      </c>
      <c r="L273" s="1">
        <v>0</v>
      </c>
      <c r="M273" s="1">
        <v>9</v>
      </c>
      <c r="N273" s="1">
        <v>1</v>
      </c>
      <c r="O273" s="39">
        <v>100</v>
      </c>
      <c r="P273" s="39">
        <v>100</v>
      </c>
      <c r="T273" s="36" t="s">
        <v>803</v>
      </c>
      <c r="U273" s="36" t="s">
        <v>802</v>
      </c>
      <c r="V273" s="36">
        <v>0</v>
      </c>
      <c r="X273" s="2" t="s">
        <v>785</v>
      </c>
      <c r="Y273" s="1">
        <v>0</v>
      </c>
      <c r="Z273" s="1">
        <v>0</v>
      </c>
      <c r="AA273" s="1">
        <v>0</v>
      </c>
      <c r="AB273" s="1">
        <v>0</v>
      </c>
      <c r="AC273" s="1">
        <v>0</v>
      </c>
      <c r="AD273" s="1">
        <v>0</v>
      </c>
      <c r="AE273" s="1">
        <v>0</v>
      </c>
      <c r="AF273" s="1">
        <v>0</v>
      </c>
      <c r="AG273" s="1">
        <v>0</v>
      </c>
      <c r="AH273" s="1">
        <v>0</v>
      </c>
      <c r="AI273" s="1">
        <v>0</v>
      </c>
      <c r="AJ273" s="8" t="s">
        <v>1153</v>
      </c>
    </row>
    <row r="274" spans="1:36" x14ac:dyDescent="0.15">
      <c r="A274" s="7" t="s">
        <v>125</v>
      </c>
      <c r="B274" s="1">
        <v>4009</v>
      </c>
      <c r="C274" s="7" t="s">
        <v>125</v>
      </c>
      <c r="D274" s="1">
        <v>3</v>
      </c>
      <c r="E274" s="7">
        <v>1009</v>
      </c>
      <c r="F274" s="1">
        <v>0</v>
      </c>
      <c r="G274" s="1">
        <v>5003</v>
      </c>
      <c r="H274" s="1" t="s">
        <v>1421</v>
      </c>
      <c r="I274" s="1">
        <v>1</v>
      </c>
      <c r="J274" s="1">
        <v>0</v>
      </c>
      <c r="K274" s="1">
        <v>0</v>
      </c>
      <c r="L274" s="1">
        <v>0</v>
      </c>
      <c r="M274" s="1">
        <v>9</v>
      </c>
      <c r="N274" s="1">
        <v>1</v>
      </c>
      <c r="O274" s="39">
        <v>266</v>
      </c>
      <c r="P274" s="39">
        <f>ROUND(VLOOKUP(A274,鱼!$J$2:$K$32,2,FALSE),0)</f>
        <v>266</v>
      </c>
      <c r="T274" s="36" t="s">
        <v>803</v>
      </c>
      <c r="U274" s="36" t="s">
        <v>802</v>
      </c>
      <c r="V274" s="36">
        <v>0</v>
      </c>
      <c r="X274" s="2" t="s">
        <v>785</v>
      </c>
      <c r="Y274" s="1">
        <v>0</v>
      </c>
      <c r="Z274" s="1">
        <v>0</v>
      </c>
      <c r="AA274" s="1">
        <v>0</v>
      </c>
      <c r="AB274" s="1">
        <v>0</v>
      </c>
      <c r="AC274" s="1">
        <v>0</v>
      </c>
      <c r="AD274" s="1">
        <v>0</v>
      </c>
      <c r="AE274" s="1">
        <v>0</v>
      </c>
      <c r="AF274" s="1">
        <v>0</v>
      </c>
      <c r="AG274" s="1">
        <v>0</v>
      </c>
      <c r="AH274" s="1">
        <v>0</v>
      </c>
      <c r="AI274" s="1">
        <v>0</v>
      </c>
      <c r="AJ274" s="50" t="s">
        <v>1584</v>
      </c>
    </row>
    <row r="275" spans="1:36" x14ac:dyDescent="0.15">
      <c r="A275" s="8" t="s">
        <v>126</v>
      </c>
      <c r="B275" s="1">
        <v>4010</v>
      </c>
      <c r="C275" s="8" t="s">
        <v>1388</v>
      </c>
      <c r="D275" s="1">
        <v>3</v>
      </c>
      <c r="E275" s="7">
        <v>1010</v>
      </c>
      <c r="F275" s="1">
        <v>0</v>
      </c>
      <c r="H275" s="1" t="s">
        <v>1420</v>
      </c>
      <c r="I275" s="1">
        <v>1</v>
      </c>
      <c r="J275" s="1">
        <v>0</v>
      </c>
      <c r="K275" s="1">
        <v>0</v>
      </c>
      <c r="L275" s="1">
        <v>0</v>
      </c>
      <c r="M275" s="1">
        <v>9</v>
      </c>
      <c r="N275" s="1">
        <v>1</v>
      </c>
      <c r="O275" s="39">
        <v>352</v>
      </c>
      <c r="P275" s="39">
        <f>ROUND(VLOOKUP(A275,鱼!$J$2:$K$32,2,FALSE),0)</f>
        <v>352</v>
      </c>
      <c r="T275" s="36" t="s">
        <v>803</v>
      </c>
      <c r="U275" s="36" t="s">
        <v>802</v>
      </c>
      <c r="V275" s="36">
        <v>0</v>
      </c>
      <c r="X275" s="2" t="s">
        <v>785</v>
      </c>
      <c r="Y275" s="1">
        <v>0</v>
      </c>
      <c r="Z275" s="1">
        <v>0</v>
      </c>
      <c r="AA275" s="1">
        <v>0</v>
      </c>
      <c r="AB275" s="1">
        <v>0</v>
      </c>
      <c r="AC275" s="1">
        <v>0</v>
      </c>
      <c r="AD275" s="1">
        <v>0</v>
      </c>
      <c r="AE275" s="1">
        <v>0</v>
      </c>
      <c r="AF275" s="1">
        <v>0</v>
      </c>
      <c r="AG275" s="1">
        <v>0</v>
      </c>
      <c r="AH275" s="1">
        <v>0</v>
      </c>
      <c r="AI275" s="1">
        <v>0</v>
      </c>
      <c r="AJ275" s="8" t="s">
        <v>1154</v>
      </c>
    </row>
    <row r="276" spans="1:36" x14ac:dyDescent="0.15">
      <c r="A276" s="7" t="s">
        <v>1304</v>
      </c>
      <c r="B276" s="1">
        <v>4011</v>
      </c>
      <c r="C276" s="7" t="s">
        <v>1323</v>
      </c>
      <c r="D276" s="1">
        <v>3</v>
      </c>
      <c r="E276" s="7">
        <v>1011</v>
      </c>
      <c r="F276" s="1">
        <v>0</v>
      </c>
      <c r="H276" s="1" t="s">
        <v>1421</v>
      </c>
      <c r="I276" s="1">
        <v>1</v>
      </c>
      <c r="J276" s="1">
        <v>0</v>
      </c>
      <c r="K276" s="1">
        <v>0</v>
      </c>
      <c r="L276" s="1">
        <v>0</v>
      </c>
      <c r="M276" s="1">
        <v>9</v>
      </c>
      <c r="N276" s="1">
        <v>1</v>
      </c>
      <c r="O276" s="39">
        <v>390</v>
      </c>
      <c r="P276" s="39">
        <f>ROUND(VLOOKUP(A276,鱼!$J$2:$K$32,2,FALSE),0)</f>
        <v>390</v>
      </c>
      <c r="T276" s="36" t="s">
        <v>803</v>
      </c>
      <c r="U276" s="36" t="s">
        <v>802</v>
      </c>
      <c r="V276" s="36">
        <v>0</v>
      </c>
      <c r="X276" s="2" t="s">
        <v>785</v>
      </c>
      <c r="Y276" s="1">
        <v>0</v>
      </c>
      <c r="Z276" s="1">
        <v>0</v>
      </c>
      <c r="AA276" s="1">
        <v>0</v>
      </c>
      <c r="AB276" s="1">
        <v>0</v>
      </c>
      <c r="AC276" s="1">
        <v>0</v>
      </c>
      <c r="AD276" s="1">
        <v>0</v>
      </c>
      <c r="AE276" s="1">
        <v>0</v>
      </c>
      <c r="AF276" s="1">
        <v>0</v>
      </c>
      <c r="AG276" s="1">
        <v>0</v>
      </c>
      <c r="AH276" s="1">
        <v>0</v>
      </c>
      <c r="AI276" s="1">
        <v>0</v>
      </c>
      <c r="AJ276" s="7" t="s">
        <v>1155</v>
      </c>
    </row>
    <row r="277" spans="1:36" x14ac:dyDescent="0.15">
      <c r="A277" s="7" t="s">
        <v>128</v>
      </c>
      <c r="B277" s="1">
        <v>4012</v>
      </c>
      <c r="C277" s="7" t="s">
        <v>1389</v>
      </c>
      <c r="D277" s="1">
        <v>3</v>
      </c>
      <c r="E277" s="7">
        <v>1012</v>
      </c>
      <c r="F277" s="1">
        <v>0</v>
      </c>
      <c r="H277" s="1" t="s">
        <v>1421</v>
      </c>
      <c r="I277" s="1">
        <v>1</v>
      </c>
      <c r="J277" s="1">
        <v>0</v>
      </c>
      <c r="K277" s="1">
        <v>0</v>
      </c>
      <c r="L277" s="1">
        <v>0</v>
      </c>
      <c r="M277" s="1">
        <v>9</v>
      </c>
      <c r="N277" s="1">
        <v>1</v>
      </c>
      <c r="O277" s="39">
        <v>100</v>
      </c>
      <c r="P277" s="39">
        <v>100</v>
      </c>
      <c r="T277" s="36" t="s">
        <v>803</v>
      </c>
      <c r="U277" s="36" t="s">
        <v>802</v>
      </c>
      <c r="V277" s="36">
        <v>0</v>
      </c>
      <c r="X277" s="2" t="s">
        <v>785</v>
      </c>
      <c r="Y277" s="1">
        <v>0</v>
      </c>
      <c r="Z277" s="1">
        <v>0</v>
      </c>
      <c r="AA277" s="1">
        <v>0</v>
      </c>
      <c r="AB277" s="1">
        <v>0</v>
      </c>
      <c r="AC277" s="1">
        <v>0</v>
      </c>
      <c r="AD277" s="1">
        <v>0</v>
      </c>
      <c r="AE277" s="1">
        <v>0</v>
      </c>
      <c r="AF277" s="1">
        <v>0</v>
      </c>
      <c r="AG277" s="1">
        <v>0</v>
      </c>
      <c r="AH277" s="1">
        <v>0</v>
      </c>
      <c r="AI277" s="1">
        <v>0</v>
      </c>
      <c r="AJ277" s="50" t="s">
        <v>1583</v>
      </c>
    </row>
    <row r="278" spans="1:36" x14ac:dyDescent="0.15">
      <c r="A278" s="7" t="s">
        <v>129</v>
      </c>
      <c r="B278" s="1">
        <v>4013</v>
      </c>
      <c r="C278" s="7" t="s">
        <v>1390</v>
      </c>
      <c r="D278" s="1">
        <v>3</v>
      </c>
      <c r="E278" s="7">
        <v>1013</v>
      </c>
      <c r="F278" s="1">
        <v>0</v>
      </c>
      <c r="H278" s="1" t="s">
        <v>1420</v>
      </c>
      <c r="I278" s="1">
        <v>1</v>
      </c>
      <c r="J278" s="1">
        <v>0</v>
      </c>
      <c r="K278" s="1">
        <v>0</v>
      </c>
      <c r="L278" s="1">
        <v>0</v>
      </c>
      <c r="M278" s="1">
        <v>9</v>
      </c>
      <c r="N278" s="1">
        <v>1</v>
      </c>
      <c r="O278" s="39">
        <v>600</v>
      </c>
      <c r="P278" s="39">
        <f>ROUND(VLOOKUP(A278,鱼!$J$2:$K$32,2,FALSE),0)</f>
        <v>600</v>
      </c>
      <c r="T278" s="36" t="s">
        <v>803</v>
      </c>
      <c r="U278" s="36" t="s">
        <v>802</v>
      </c>
      <c r="V278" s="36">
        <v>0</v>
      </c>
      <c r="X278" s="2" t="s">
        <v>785</v>
      </c>
      <c r="Y278" s="1">
        <v>0</v>
      </c>
      <c r="Z278" s="1">
        <v>0</v>
      </c>
      <c r="AA278" s="1">
        <v>0</v>
      </c>
      <c r="AB278" s="1">
        <v>0</v>
      </c>
      <c r="AC278" s="1">
        <v>0</v>
      </c>
      <c r="AD278" s="1">
        <v>0</v>
      </c>
      <c r="AE278" s="1">
        <v>0</v>
      </c>
      <c r="AF278" s="1">
        <v>0</v>
      </c>
      <c r="AG278" s="1">
        <v>0</v>
      </c>
      <c r="AH278" s="1">
        <v>0</v>
      </c>
      <c r="AI278" s="1">
        <v>0</v>
      </c>
      <c r="AJ278" s="7" t="s">
        <v>1156</v>
      </c>
    </row>
    <row r="279" spans="1:36" x14ac:dyDescent="0.15">
      <c r="A279" s="7" t="s">
        <v>130</v>
      </c>
      <c r="B279" s="1">
        <v>4014</v>
      </c>
      <c r="C279" s="7" t="s">
        <v>1391</v>
      </c>
      <c r="D279" s="1">
        <v>3</v>
      </c>
      <c r="E279" s="7">
        <v>1014</v>
      </c>
      <c r="F279" s="1">
        <v>0</v>
      </c>
      <c r="H279" s="1" t="s">
        <v>1421</v>
      </c>
      <c r="I279" s="1">
        <v>1</v>
      </c>
      <c r="J279" s="1">
        <v>0</v>
      </c>
      <c r="K279" s="1">
        <v>0</v>
      </c>
      <c r="L279" s="1">
        <v>0</v>
      </c>
      <c r="M279" s="1">
        <v>9</v>
      </c>
      <c r="N279" s="1">
        <v>1</v>
      </c>
      <c r="O279" s="39">
        <v>744</v>
      </c>
      <c r="P279" s="39">
        <f>ROUND(VLOOKUP(A279,鱼!$J$2:$K$32,2,FALSE),0)</f>
        <v>744</v>
      </c>
      <c r="T279" s="36" t="s">
        <v>803</v>
      </c>
      <c r="U279" s="36" t="s">
        <v>802</v>
      </c>
      <c r="V279" s="36">
        <v>0</v>
      </c>
      <c r="X279" s="2" t="s">
        <v>785</v>
      </c>
      <c r="Y279" s="1">
        <v>0</v>
      </c>
      <c r="Z279" s="1">
        <v>0</v>
      </c>
      <c r="AA279" s="1">
        <v>0</v>
      </c>
      <c r="AB279" s="1">
        <v>0</v>
      </c>
      <c r="AC279" s="1">
        <v>0</v>
      </c>
      <c r="AD279" s="1">
        <v>0</v>
      </c>
      <c r="AE279" s="1">
        <v>0</v>
      </c>
      <c r="AF279" s="1">
        <v>0</v>
      </c>
      <c r="AG279" s="1">
        <v>0</v>
      </c>
      <c r="AH279" s="1">
        <v>0</v>
      </c>
      <c r="AI279" s="1">
        <v>0</v>
      </c>
      <c r="AJ279" s="50" t="s">
        <v>1585</v>
      </c>
    </row>
    <row r="280" spans="1:36" x14ac:dyDescent="0.15">
      <c r="A280" s="7" t="s">
        <v>131</v>
      </c>
      <c r="B280" s="1">
        <v>4015</v>
      </c>
      <c r="C280" s="7" t="s">
        <v>1392</v>
      </c>
      <c r="D280" s="1">
        <v>3</v>
      </c>
      <c r="E280" s="7">
        <v>1015</v>
      </c>
      <c r="F280" s="1">
        <v>0</v>
      </c>
      <c r="G280" s="1" t="s">
        <v>1852</v>
      </c>
      <c r="H280" s="1" t="s">
        <v>1421</v>
      </c>
      <c r="I280" s="1">
        <v>1</v>
      </c>
      <c r="J280" s="1">
        <v>0</v>
      </c>
      <c r="K280" s="1">
        <v>0</v>
      </c>
      <c r="L280" s="1">
        <v>0</v>
      </c>
      <c r="M280" s="1">
        <v>9</v>
      </c>
      <c r="N280" s="1">
        <v>1</v>
      </c>
      <c r="O280" s="39">
        <v>539</v>
      </c>
      <c r="P280" s="39">
        <f>ROUND(VLOOKUP(A280,鱼!$J$2:$K$32,2,FALSE),0)</f>
        <v>539</v>
      </c>
      <c r="T280" s="36" t="s">
        <v>803</v>
      </c>
      <c r="U280" s="36" t="s">
        <v>802</v>
      </c>
      <c r="V280" s="36">
        <v>0</v>
      </c>
      <c r="X280" s="2" t="s">
        <v>785</v>
      </c>
      <c r="Y280" s="1">
        <v>0</v>
      </c>
      <c r="Z280" s="1">
        <v>0</v>
      </c>
      <c r="AA280" s="1">
        <v>0</v>
      </c>
      <c r="AB280" s="1">
        <v>0</v>
      </c>
      <c r="AC280" s="1">
        <v>0</v>
      </c>
      <c r="AD280" s="1">
        <v>0</v>
      </c>
      <c r="AE280" s="1">
        <v>0</v>
      </c>
      <c r="AF280" s="1">
        <v>0</v>
      </c>
      <c r="AG280" s="1">
        <v>0</v>
      </c>
      <c r="AH280" s="1">
        <v>0</v>
      </c>
      <c r="AI280" s="1">
        <v>0</v>
      </c>
      <c r="AJ280" s="50" t="s">
        <v>1586</v>
      </c>
    </row>
    <row r="281" spans="1:36" x14ac:dyDescent="0.15">
      <c r="A281" s="7" t="s">
        <v>132</v>
      </c>
      <c r="B281" s="1">
        <v>4016</v>
      </c>
      <c r="C281" s="7" t="s">
        <v>132</v>
      </c>
      <c r="D281" s="1">
        <v>3</v>
      </c>
      <c r="E281" s="7">
        <v>1016</v>
      </c>
      <c r="F281" s="1">
        <v>0</v>
      </c>
      <c r="G281" s="1">
        <v>5003</v>
      </c>
      <c r="H281" s="1" t="s">
        <v>1421</v>
      </c>
      <c r="I281" s="1">
        <v>1</v>
      </c>
      <c r="J281" s="1">
        <v>0</v>
      </c>
      <c r="K281" s="1">
        <v>0</v>
      </c>
      <c r="L281" s="1">
        <v>0</v>
      </c>
      <c r="M281" s="1">
        <v>9</v>
      </c>
      <c r="N281" s="1">
        <v>1</v>
      </c>
      <c r="O281" s="39">
        <v>916</v>
      </c>
      <c r="P281" s="39">
        <f>ROUND(VLOOKUP(A281,鱼!$J$2:$K$32,2,FALSE),0)</f>
        <v>916</v>
      </c>
      <c r="T281" s="36" t="s">
        <v>803</v>
      </c>
      <c r="U281" s="36" t="s">
        <v>802</v>
      </c>
      <c r="V281" s="36">
        <v>0</v>
      </c>
      <c r="X281" s="2" t="s">
        <v>785</v>
      </c>
      <c r="Y281" s="1">
        <v>0</v>
      </c>
      <c r="Z281" s="1">
        <v>0</v>
      </c>
      <c r="AA281" s="1">
        <v>0</v>
      </c>
      <c r="AB281" s="1">
        <v>0</v>
      </c>
      <c r="AC281" s="1">
        <v>0</v>
      </c>
      <c r="AD281" s="1">
        <v>0</v>
      </c>
      <c r="AE281" s="1">
        <v>0</v>
      </c>
      <c r="AF281" s="1">
        <v>0</v>
      </c>
      <c r="AG281" s="1">
        <v>0</v>
      </c>
      <c r="AH281" s="1">
        <v>0</v>
      </c>
      <c r="AI281" s="1">
        <v>0</v>
      </c>
      <c r="AJ281" s="7" t="s">
        <v>1157</v>
      </c>
    </row>
    <row r="282" spans="1:36" x14ac:dyDescent="0.15">
      <c r="A282" s="7" t="s">
        <v>133</v>
      </c>
      <c r="B282" s="1">
        <v>4017</v>
      </c>
      <c r="C282" s="7" t="s">
        <v>1393</v>
      </c>
      <c r="D282" s="1">
        <v>3</v>
      </c>
      <c r="E282" s="7">
        <v>1017</v>
      </c>
      <c r="F282" s="1">
        <v>0</v>
      </c>
      <c r="G282" s="1">
        <v>5003</v>
      </c>
      <c r="H282" s="1" t="s">
        <v>1421</v>
      </c>
      <c r="I282" s="1">
        <v>1</v>
      </c>
      <c r="J282" s="1">
        <v>0</v>
      </c>
      <c r="K282" s="1">
        <v>0</v>
      </c>
      <c r="L282" s="1">
        <v>0</v>
      </c>
      <c r="M282" s="1">
        <v>9</v>
      </c>
      <c r="N282" s="1">
        <v>1</v>
      </c>
      <c r="O282" s="39">
        <v>1120</v>
      </c>
      <c r="P282" s="39">
        <f>ROUND(VLOOKUP(A282,鱼!$J$2:$K$32,2,FALSE),0)</f>
        <v>1120</v>
      </c>
      <c r="T282" s="36" t="s">
        <v>803</v>
      </c>
      <c r="U282" s="36" t="s">
        <v>802</v>
      </c>
      <c r="V282" s="36">
        <v>0</v>
      </c>
      <c r="X282" s="2" t="s">
        <v>785</v>
      </c>
      <c r="Y282" s="1">
        <v>0</v>
      </c>
      <c r="Z282" s="1">
        <v>0</v>
      </c>
      <c r="AA282" s="1">
        <v>0</v>
      </c>
      <c r="AB282" s="1">
        <v>0</v>
      </c>
      <c r="AC282" s="1">
        <v>0</v>
      </c>
      <c r="AD282" s="1">
        <v>0</v>
      </c>
      <c r="AE282" s="1">
        <v>0</v>
      </c>
      <c r="AF282" s="1">
        <v>0</v>
      </c>
      <c r="AG282" s="1">
        <v>0</v>
      </c>
      <c r="AH282" s="1">
        <v>0</v>
      </c>
      <c r="AI282" s="1">
        <v>0</v>
      </c>
      <c r="AJ282" s="50" t="s">
        <v>1587</v>
      </c>
    </row>
    <row r="283" spans="1:36" x14ac:dyDescent="0.15">
      <c r="A283" s="7" t="s">
        <v>134</v>
      </c>
      <c r="B283" s="1">
        <v>4018</v>
      </c>
      <c r="C283" s="7" t="s">
        <v>1394</v>
      </c>
      <c r="D283" s="1">
        <v>3</v>
      </c>
      <c r="E283" s="7">
        <v>1018</v>
      </c>
      <c r="F283" s="1">
        <v>0</v>
      </c>
      <c r="H283" s="1" t="s">
        <v>1420</v>
      </c>
      <c r="I283" s="1">
        <v>1</v>
      </c>
      <c r="J283" s="1">
        <v>0</v>
      </c>
      <c r="K283" s="1">
        <v>0</v>
      </c>
      <c r="L283" s="1">
        <v>0</v>
      </c>
      <c r="M283" s="1">
        <v>9</v>
      </c>
      <c r="N283" s="1">
        <v>1</v>
      </c>
      <c r="O283" s="39">
        <v>1234</v>
      </c>
      <c r="P283" s="39">
        <f>ROUND(VLOOKUP(A283,鱼!$J$2:$K$32,2,FALSE),0)</f>
        <v>1234</v>
      </c>
      <c r="T283" s="36" t="s">
        <v>803</v>
      </c>
      <c r="U283" s="36" t="s">
        <v>802</v>
      </c>
      <c r="V283" s="36">
        <v>0</v>
      </c>
      <c r="X283" s="2" t="s">
        <v>785</v>
      </c>
      <c r="Y283" s="1">
        <v>0</v>
      </c>
      <c r="Z283" s="1">
        <v>0</v>
      </c>
      <c r="AA283" s="1">
        <v>0</v>
      </c>
      <c r="AB283" s="1">
        <v>0</v>
      </c>
      <c r="AC283" s="1">
        <v>0</v>
      </c>
      <c r="AD283" s="1">
        <v>0</v>
      </c>
      <c r="AE283" s="1">
        <v>0</v>
      </c>
      <c r="AF283" s="1">
        <v>0</v>
      </c>
      <c r="AG283" s="1">
        <v>0</v>
      </c>
      <c r="AH283" s="1">
        <v>0</v>
      </c>
      <c r="AI283" s="1">
        <v>0</v>
      </c>
      <c r="AJ283" s="7" t="s">
        <v>1158</v>
      </c>
    </row>
    <row r="284" spans="1:36" x14ac:dyDescent="0.15">
      <c r="A284" s="8" t="s">
        <v>135</v>
      </c>
      <c r="B284" s="1">
        <v>4020</v>
      </c>
      <c r="C284" s="8" t="s">
        <v>135</v>
      </c>
      <c r="D284" s="1">
        <v>3</v>
      </c>
      <c r="E284" s="7">
        <v>1020</v>
      </c>
      <c r="F284" s="1">
        <v>0</v>
      </c>
      <c r="H284" s="1" t="s">
        <v>1421</v>
      </c>
      <c r="I284" s="1">
        <v>1</v>
      </c>
      <c r="J284" s="1">
        <v>0</v>
      </c>
      <c r="K284" s="1">
        <v>0</v>
      </c>
      <c r="L284" s="1">
        <v>0</v>
      </c>
      <c r="M284" s="1">
        <v>9</v>
      </c>
      <c r="N284" s="1">
        <v>1</v>
      </c>
      <c r="O284" s="39">
        <v>1630</v>
      </c>
      <c r="P284" s="39">
        <f>ROUND(VLOOKUP(A284,鱼!$J$2:$K$32,2,FALSE),0)</f>
        <v>1630</v>
      </c>
      <c r="T284" s="36" t="s">
        <v>801</v>
      </c>
      <c r="U284" s="36" t="s">
        <v>802</v>
      </c>
      <c r="V284" s="36">
        <v>0</v>
      </c>
      <c r="X284" s="2" t="s">
        <v>785</v>
      </c>
      <c r="Y284" s="1">
        <v>0</v>
      </c>
      <c r="Z284" s="1">
        <v>0</v>
      </c>
      <c r="AA284" s="1">
        <v>0</v>
      </c>
      <c r="AB284" s="1">
        <v>0</v>
      </c>
      <c r="AC284" s="1">
        <v>0</v>
      </c>
      <c r="AD284" s="1">
        <v>0</v>
      </c>
      <c r="AE284" s="1">
        <v>0</v>
      </c>
      <c r="AF284" s="1">
        <v>0</v>
      </c>
      <c r="AG284" s="1">
        <v>0</v>
      </c>
      <c r="AH284" s="1">
        <v>0</v>
      </c>
      <c r="AI284" s="1">
        <v>0</v>
      </c>
      <c r="AJ284" s="51" t="s">
        <v>1588</v>
      </c>
    </row>
    <row r="285" spans="1:36" x14ac:dyDescent="0.15">
      <c r="A285" s="7" t="s">
        <v>136</v>
      </c>
      <c r="B285" s="1">
        <v>4021</v>
      </c>
      <c r="C285" s="7" t="s">
        <v>1395</v>
      </c>
      <c r="D285" s="1">
        <v>3</v>
      </c>
      <c r="E285" s="7">
        <v>1021</v>
      </c>
      <c r="F285" s="1">
        <v>0</v>
      </c>
      <c r="G285" s="1" t="s">
        <v>1846</v>
      </c>
      <c r="H285" s="1" t="s">
        <v>1421</v>
      </c>
      <c r="I285" s="1">
        <v>1</v>
      </c>
      <c r="J285" s="1">
        <v>0</v>
      </c>
      <c r="K285" s="1">
        <v>0</v>
      </c>
      <c r="L285" s="1">
        <v>0</v>
      </c>
      <c r="M285" s="1">
        <v>9</v>
      </c>
      <c r="N285" s="1">
        <v>1</v>
      </c>
      <c r="O285" s="39">
        <v>1781</v>
      </c>
      <c r="P285" s="39">
        <f>ROUND(VLOOKUP(A285,鱼!$J$2:$K$32,2,FALSE),0)</f>
        <v>1781</v>
      </c>
      <c r="T285" s="36" t="s">
        <v>801</v>
      </c>
      <c r="U285" s="36" t="s">
        <v>802</v>
      </c>
      <c r="V285" s="36">
        <v>0</v>
      </c>
      <c r="X285" s="2" t="s">
        <v>785</v>
      </c>
      <c r="Y285" s="1">
        <v>0</v>
      </c>
      <c r="Z285" s="1">
        <v>0</v>
      </c>
      <c r="AA285" s="1">
        <v>0</v>
      </c>
      <c r="AB285" s="1">
        <v>0</v>
      </c>
      <c r="AC285" s="1">
        <v>0</v>
      </c>
      <c r="AD285" s="1">
        <v>0</v>
      </c>
      <c r="AE285" s="1">
        <v>0</v>
      </c>
      <c r="AF285" s="1">
        <v>0</v>
      </c>
      <c r="AG285" s="1">
        <v>0</v>
      </c>
      <c r="AH285" s="1">
        <v>0</v>
      </c>
      <c r="AI285" s="1">
        <v>0</v>
      </c>
      <c r="AJ285" s="7" t="s">
        <v>1159</v>
      </c>
    </row>
    <row r="286" spans="1:36" x14ac:dyDescent="0.15">
      <c r="A286" s="7" t="s">
        <v>137</v>
      </c>
      <c r="B286" s="1">
        <v>4022</v>
      </c>
      <c r="C286" s="7" t="s">
        <v>137</v>
      </c>
      <c r="D286" s="1">
        <v>3</v>
      </c>
      <c r="E286" s="7">
        <v>1022</v>
      </c>
      <c r="F286" s="1">
        <v>0</v>
      </c>
      <c r="H286" s="1" t="s">
        <v>1420</v>
      </c>
      <c r="I286" s="1">
        <v>1</v>
      </c>
      <c r="J286" s="1">
        <v>0</v>
      </c>
      <c r="K286" s="1">
        <v>0</v>
      </c>
      <c r="L286" s="1">
        <v>0</v>
      </c>
      <c r="M286" s="1">
        <v>9</v>
      </c>
      <c r="N286" s="1">
        <v>1</v>
      </c>
      <c r="O286" s="39">
        <v>2113</v>
      </c>
      <c r="P286" s="39">
        <f>ROUND(VLOOKUP(A286,鱼!$J$2:$K$32,2,FALSE),0)</f>
        <v>2113</v>
      </c>
      <c r="T286" s="36" t="s">
        <v>801</v>
      </c>
      <c r="U286" s="36" t="s">
        <v>802</v>
      </c>
      <c r="V286" s="36">
        <v>0</v>
      </c>
      <c r="X286" s="2" t="s">
        <v>785</v>
      </c>
      <c r="Y286" s="1">
        <v>0</v>
      </c>
      <c r="Z286" s="1">
        <v>0</v>
      </c>
      <c r="AA286" s="1">
        <v>0</v>
      </c>
      <c r="AB286" s="1">
        <v>0</v>
      </c>
      <c r="AC286" s="1">
        <v>0</v>
      </c>
      <c r="AD286" s="1">
        <v>0</v>
      </c>
      <c r="AE286" s="1">
        <v>0</v>
      </c>
      <c r="AF286" s="1">
        <v>0</v>
      </c>
      <c r="AG286" s="1">
        <v>0</v>
      </c>
      <c r="AH286" s="1">
        <v>0</v>
      </c>
      <c r="AI286" s="1">
        <v>0</v>
      </c>
      <c r="AJ286" s="7" t="s">
        <v>1160</v>
      </c>
    </row>
    <row r="287" spans="1:36" x14ac:dyDescent="0.15">
      <c r="A287" s="7" t="s">
        <v>138</v>
      </c>
      <c r="B287" s="1">
        <v>4023</v>
      </c>
      <c r="C287" s="7" t="s">
        <v>138</v>
      </c>
      <c r="D287" s="1">
        <v>3</v>
      </c>
      <c r="E287" s="7">
        <v>1023</v>
      </c>
      <c r="F287" s="1">
        <v>0</v>
      </c>
      <c r="H287" s="1" t="s">
        <v>1420</v>
      </c>
      <c r="I287" s="1">
        <v>1</v>
      </c>
      <c r="J287" s="1">
        <v>0</v>
      </c>
      <c r="K287" s="1">
        <v>0</v>
      </c>
      <c r="L287" s="1">
        <v>0</v>
      </c>
      <c r="M287" s="1">
        <v>9</v>
      </c>
      <c r="N287" s="1">
        <v>1</v>
      </c>
      <c r="O287" s="39">
        <v>2294</v>
      </c>
      <c r="P287" s="39">
        <f>ROUND(VLOOKUP(A287,鱼!$J$2:$K$32,2,FALSE),0)</f>
        <v>2294</v>
      </c>
      <c r="T287" s="36" t="s">
        <v>801</v>
      </c>
      <c r="U287" s="36" t="s">
        <v>802</v>
      </c>
      <c r="V287" s="36">
        <v>0</v>
      </c>
      <c r="X287" s="2" t="s">
        <v>785</v>
      </c>
      <c r="Y287" s="1">
        <v>0</v>
      </c>
      <c r="Z287" s="1">
        <v>0</v>
      </c>
      <c r="AA287" s="1">
        <v>0</v>
      </c>
      <c r="AB287" s="1">
        <v>0</v>
      </c>
      <c r="AC287" s="1">
        <v>0</v>
      </c>
      <c r="AD287" s="1">
        <v>0</v>
      </c>
      <c r="AE287" s="1">
        <v>0</v>
      </c>
      <c r="AF287" s="1">
        <v>0</v>
      </c>
      <c r="AG287" s="1">
        <v>0</v>
      </c>
      <c r="AH287" s="1">
        <v>0</v>
      </c>
      <c r="AI287" s="1">
        <v>0</v>
      </c>
      <c r="AJ287" s="7" t="s">
        <v>1161</v>
      </c>
    </row>
    <row r="288" spans="1:36" x14ac:dyDescent="0.15">
      <c r="A288" s="7" t="s">
        <v>139</v>
      </c>
      <c r="B288" s="1">
        <v>4024</v>
      </c>
      <c r="C288" s="7" t="s">
        <v>139</v>
      </c>
      <c r="D288" s="1">
        <v>3</v>
      </c>
      <c r="E288" s="7">
        <v>1024</v>
      </c>
      <c r="F288" s="1">
        <v>0</v>
      </c>
      <c r="H288" s="1" t="s">
        <v>1420</v>
      </c>
      <c r="I288" s="1">
        <v>1</v>
      </c>
      <c r="J288" s="1">
        <v>0</v>
      </c>
      <c r="K288" s="1">
        <v>0</v>
      </c>
      <c r="L288" s="1">
        <v>0</v>
      </c>
      <c r="M288" s="1">
        <v>9</v>
      </c>
      <c r="N288" s="1">
        <v>1</v>
      </c>
      <c r="O288" s="39">
        <v>2905</v>
      </c>
      <c r="P288" s="39">
        <f>ROUND(VLOOKUP(A288,鱼!$J$2:$K$32,2,FALSE),0)</f>
        <v>2905</v>
      </c>
      <c r="T288" s="36" t="s">
        <v>801</v>
      </c>
      <c r="U288" s="36" t="s">
        <v>802</v>
      </c>
      <c r="V288" s="36">
        <v>0</v>
      </c>
      <c r="X288" s="2" t="s">
        <v>785</v>
      </c>
      <c r="Y288" s="1">
        <v>0</v>
      </c>
      <c r="Z288" s="1">
        <v>0</v>
      </c>
      <c r="AA288" s="1">
        <v>0</v>
      </c>
      <c r="AB288" s="1">
        <v>0</v>
      </c>
      <c r="AC288" s="1">
        <v>0</v>
      </c>
      <c r="AD288" s="1">
        <v>0</v>
      </c>
      <c r="AE288" s="1">
        <v>0</v>
      </c>
      <c r="AF288" s="1">
        <v>0</v>
      </c>
      <c r="AG288" s="1">
        <v>0</v>
      </c>
      <c r="AH288" s="1">
        <v>0</v>
      </c>
      <c r="AI288" s="1">
        <v>0</v>
      </c>
      <c r="AJ288" s="50" t="s">
        <v>1589</v>
      </c>
    </row>
    <row r="289" spans="1:36" x14ac:dyDescent="0.15">
      <c r="A289" s="8" t="s">
        <v>140</v>
      </c>
      <c r="B289" s="1">
        <v>4100</v>
      </c>
      <c r="C289" s="8" t="s">
        <v>1396</v>
      </c>
      <c r="D289" s="1">
        <v>3</v>
      </c>
      <c r="E289" s="7">
        <v>1100</v>
      </c>
      <c r="F289" s="1">
        <v>0</v>
      </c>
      <c r="G289" s="1" t="s">
        <v>1838</v>
      </c>
      <c r="H289" s="1" t="s">
        <v>1421</v>
      </c>
      <c r="I289" s="1">
        <v>1</v>
      </c>
      <c r="J289" s="1">
        <v>0</v>
      </c>
      <c r="K289" s="1">
        <v>0</v>
      </c>
      <c r="L289" s="1">
        <v>0</v>
      </c>
      <c r="M289" s="1">
        <v>9</v>
      </c>
      <c r="N289" s="1">
        <v>1</v>
      </c>
      <c r="O289" s="39">
        <v>218</v>
      </c>
      <c r="P289" s="39">
        <f>ROUND(VLOOKUP(A289,鱼!$J$2:$K$32,2,FALSE),0)</f>
        <v>218</v>
      </c>
      <c r="T289" s="36" t="s">
        <v>801</v>
      </c>
      <c r="U289" s="36" t="s">
        <v>802</v>
      </c>
      <c r="V289" s="36">
        <v>0</v>
      </c>
      <c r="X289" s="2" t="s">
        <v>785</v>
      </c>
      <c r="Y289" s="1">
        <v>0</v>
      </c>
      <c r="Z289" s="1">
        <v>0</v>
      </c>
      <c r="AA289" s="1">
        <v>0</v>
      </c>
      <c r="AB289" s="1">
        <v>0</v>
      </c>
      <c r="AC289" s="1">
        <v>0</v>
      </c>
      <c r="AD289" s="1">
        <v>0</v>
      </c>
      <c r="AE289" s="1">
        <v>0</v>
      </c>
      <c r="AF289" s="1">
        <v>0</v>
      </c>
      <c r="AG289" s="1">
        <v>0</v>
      </c>
      <c r="AH289" s="1">
        <v>0</v>
      </c>
      <c r="AI289" s="1">
        <v>0</v>
      </c>
      <c r="AJ289" s="8" t="s">
        <v>1162</v>
      </c>
    </row>
    <row r="290" spans="1:36" x14ac:dyDescent="0.15">
      <c r="A290" s="8" t="s">
        <v>141</v>
      </c>
      <c r="B290" s="1">
        <v>4101</v>
      </c>
      <c r="C290" s="8" t="s">
        <v>141</v>
      </c>
      <c r="D290" s="1">
        <v>3</v>
      </c>
      <c r="E290" s="7">
        <v>1101</v>
      </c>
      <c r="F290" s="1">
        <v>0</v>
      </c>
      <c r="G290" s="1">
        <v>5003</v>
      </c>
      <c r="H290" s="1" t="s">
        <v>1421</v>
      </c>
      <c r="I290" s="1">
        <v>1</v>
      </c>
      <c r="J290" s="1">
        <v>0</v>
      </c>
      <c r="K290" s="1">
        <v>0</v>
      </c>
      <c r="L290" s="1">
        <v>0</v>
      </c>
      <c r="M290" s="1">
        <v>9</v>
      </c>
      <c r="N290" s="1">
        <v>1</v>
      </c>
      <c r="O290" s="39">
        <v>246</v>
      </c>
      <c r="P290" s="39">
        <f>ROUND(VLOOKUP(A290,鱼!$J$2:$K$32,2,FALSE),0)</f>
        <v>246</v>
      </c>
      <c r="T290" s="36" t="s">
        <v>801</v>
      </c>
      <c r="U290" s="36" t="s">
        <v>802</v>
      </c>
      <c r="V290" s="36">
        <v>0</v>
      </c>
      <c r="X290" s="2" t="s">
        <v>785</v>
      </c>
      <c r="Y290" s="1">
        <v>0</v>
      </c>
      <c r="Z290" s="1">
        <v>0</v>
      </c>
      <c r="AA290" s="1">
        <v>0</v>
      </c>
      <c r="AB290" s="1">
        <v>0</v>
      </c>
      <c r="AC290" s="1">
        <v>0</v>
      </c>
      <c r="AD290" s="1">
        <v>0</v>
      </c>
      <c r="AE290" s="1">
        <v>0</v>
      </c>
      <c r="AF290" s="1">
        <v>0</v>
      </c>
      <c r="AG290" s="1">
        <v>0</v>
      </c>
      <c r="AH290" s="1">
        <v>0</v>
      </c>
      <c r="AI290" s="1">
        <v>0</v>
      </c>
      <c r="AJ290" s="8" t="s">
        <v>1163</v>
      </c>
    </row>
    <row r="291" spans="1:36" x14ac:dyDescent="0.15">
      <c r="A291" s="8" t="s">
        <v>142</v>
      </c>
      <c r="B291" s="1">
        <v>4103</v>
      </c>
      <c r="C291" s="8" t="s">
        <v>1397</v>
      </c>
      <c r="D291" s="1">
        <v>3</v>
      </c>
      <c r="E291" s="7">
        <v>1103</v>
      </c>
      <c r="F291" s="1">
        <v>0</v>
      </c>
      <c r="G291" s="1">
        <v>5003</v>
      </c>
      <c r="H291" s="1" t="s">
        <v>1421</v>
      </c>
      <c r="I291" s="1">
        <v>1</v>
      </c>
      <c r="J291" s="1">
        <v>0</v>
      </c>
      <c r="K291" s="1">
        <v>0</v>
      </c>
      <c r="L291" s="1">
        <v>0</v>
      </c>
      <c r="M291" s="1">
        <v>9</v>
      </c>
      <c r="N291" s="1">
        <v>1</v>
      </c>
      <c r="O291" s="39">
        <v>290</v>
      </c>
      <c r="P291" s="39">
        <f>ROUND(VLOOKUP(A291,鱼!$J$2:$K$32,2,FALSE),0)</f>
        <v>290</v>
      </c>
      <c r="T291" s="36" t="s">
        <v>801</v>
      </c>
      <c r="U291" s="36" t="s">
        <v>802</v>
      </c>
      <c r="V291" s="36">
        <v>0</v>
      </c>
      <c r="X291" s="2" t="s">
        <v>785</v>
      </c>
      <c r="Y291" s="1">
        <v>0</v>
      </c>
      <c r="Z291" s="1">
        <v>0</v>
      </c>
      <c r="AA291" s="1">
        <v>0</v>
      </c>
      <c r="AB291" s="1">
        <v>0</v>
      </c>
      <c r="AC291" s="1">
        <v>0</v>
      </c>
      <c r="AD291" s="1">
        <v>0</v>
      </c>
      <c r="AE291" s="1">
        <v>0</v>
      </c>
      <c r="AF291" s="1">
        <v>0</v>
      </c>
      <c r="AG291" s="1">
        <v>0</v>
      </c>
      <c r="AH291" s="1">
        <v>0</v>
      </c>
      <c r="AI291" s="1">
        <v>0</v>
      </c>
      <c r="AJ291" s="8" t="s">
        <v>1164</v>
      </c>
    </row>
    <row r="292" spans="1:36" x14ac:dyDescent="0.15">
      <c r="A292" s="8" t="s">
        <v>192</v>
      </c>
      <c r="B292" s="1">
        <v>4105</v>
      </c>
      <c r="C292" s="8" t="s">
        <v>1398</v>
      </c>
      <c r="D292" s="1">
        <v>3</v>
      </c>
      <c r="E292" s="7">
        <v>1105</v>
      </c>
      <c r="F292" s="1">
        <v>0</v>
      </c>
      <c r="G292" s="1">
        <v>5004</v>
      </c>
      <c r="H292" s="1" t="s">
        <v>1421</v>
      </c>
      <c r="I292" s="1">
        <v>1</v>
      </c>
      <c r="J292" s="1">
        <v>0</v>
      </c>
      <c r="K292" s="1">
        <v>0</v>
      </c>
      <c r="L292" s="1">
        <v>0</v>
      </c>
      <c r="M292" s="1">
        <v>9</v>
      </c>
      <c r="N292" s="1">
        <v>1</v>
      </c>
      <c r="O292" s="39">
        <v>318</v>
      </c>
      <c r="P292" s="39">
        <f>ROUND(VLOOKUP(A292,鱼!$J$2:$K$32,2,FALSE),0)</f>
        <v>318</v>
      </c>
      <c r="T292" s="36" t="s">
        <v>801</v>
      </c>
      <c r="U292" s="36" t="s">
        <v>802</v>
      </c>
      <c r="V292" s="36">
        <v>0</v>
      </c>
      <c r="X292" s="2" t="s">
        <v>785</v>
      </c>
      <c r="Y292" s="1">
        <v>0</v>
      </c>
      <c r="Z292" s="1">
        <v>0</v>
      </c>
      <c r="AA292" s="1">
        <v>0</v>
      </c>
      <c r="AB292" s="1">
        <v>0</v>
      </c>
      <c r="AC292" s="1">
        <v>0</v>
      </c>
      <c r="AD292" s="1">
        <v>0</v>
      </c>
      <c r="AE292" s="1">
        <v>0</v>
      </c>
      <c r="AF292" s="1">
        <v>0</v>
      </c>
      <c r="AG292" s="1">
        <v>0</v>
      </c>
      <c r="AH292" s="1">
        <v>0</v>
      </c>
      <c r="AI292" s="1">
        <v>0</v>
      </c>
      <c r="AJ292" s="8" t="s">
        <v>1165</v>
      </c>
    </row>
    <row r="293" spans="1:36" x14ac:dyDescent="0.15">
      <c r="A293" s="8" t="s">
        <v>143</v>
      </c>
      <c r="B293" s="1">
        <v>4106</v>
      </c>
      <c r="C293" s="8" t="s">
        <v>1399</v>
      </c>
      <c r="D293" s="1">
        <v>3</v>
      </c>
      <c r="E293" s="7">
        <v>1106</v>
      </c>
      <c r="F293" s="1">
        <v>0</v>
      </c>
      <c r="G293" s="1">
        <v>5003</v>
      </c>
      <c r="H293" s="1" t="s">
        <v>1421</v>
      </c>
      <c r="I293" s="1">
        <v>1</v>
      </c>
      <c r="J293" s="1">
        <v>0</v>
      </c>
      <c r="K293" s="1">
        <v>0</v>
      </c>
      <c r="L293" s="1">
        <v>0</v>
      </c>
      <c r="M293" s="1">
        <v>9</v>
      </c>
      <c r="N293" s="1">
        <v>1</v>
      </c>
      <c r="O293" s="39">
        <v>483</v>
      </c>
      <c r="P293" s="39">
        <f>ROUND(VLOOKUP(A293,鱼!$J$2:$K$32,2,FALSE),0)</f>
        <v>483</v>
      </c>
      <c r="T293" s="36" t="s">
        <v>801</v>
      </c>
      <c r="U293" s="36" t="s">
        <v>802</v>
      </c>
      <c r="V293" s="36">
        <v>0</v>
      </c>
      <c r="X293" s="2" t="s">
        <v>785</v>
      </c>
      <c r="Y293" s="1">
        <v>0</v>
      </c>
      <c r="Z293" s="1">
        <v>0</v>
      </c>
      <c r="AA293" s="1">
        <v>0</v>
      </c>
      <c r="AB293" s="1">
        <v>0</v>
      </c>
      <c r="AC293" s="1">
        <v>0</v>
      </c>
      <c r="AD293" s="1">
        <v>0</v>
      </c>
      <c r="AE293" s="1">
        <v>0</v>
      </c>
      <c r="AF293" s="1">
        <v>0</v>
      </c>
      <c r="AG293" s="1">
        <v>0</v>
      </c>
      <c r="AH293" s="1">
        <v>0</v>
      </c>
      <c r="AI293" s="1">
        <v>0</v>
      </c>
      <c r="AJ293" s="8" t="s">
        <v>1166</v>
      </c>
    </row>
    <row r="294" spans="1:36" x14ac:dyDescent="0.15">
      <c r="A294" s="8" t="s">
        <v>251</v>
      </c>
      <c r="B294" s="1">
        <v>4109</v>
      </c>
      <c r="C294" s="8" t="s">
        <v>1400</v>
      </c>
      <c r="D294" s="1">
        <v>3</v>
      </c>
      <c r="E294" s="7">
        <v>1109</v>
      </c>
      <c r="F294" s="1">
        <v>0</v>
      </c>
      <c r="G294" s="1" t="s">
        <v>1846</v>
      </c>
      <c r="H294" s="1" t="s">
        <v>1421</v>
      </c>
      <c r="I294" s="1">
        <v>1</v>
      </c>
      <c r="J294" s="1">
        <v>0</v>
      </c>
      <c r="K294" s="1">
        <v>0</v>
      </c>
      <c r="L294" s="1">
        <v>0</v>
      </c>
      <c r="M294" s="1">
        <v>9</v>
      </c>
      <c r="N294" s="1">
        <v>1</v>
      </c>
      <c r="O294" s="39">
        <v>100</v>
      </c>
      <c r="P294" s="39">
        <v>100</v>
      </c>
      <c r="T294" s="36" t="s">
        <v>801</v>
      </c>
      <c r="U294" s="36" t="s">
        <v>802</v>
      </c>
      <c r="V294" s="36">
        <v>0</v>
      </c>
      <c r="X294" s="2" t="s">
        <v>785</v>
      </c>
      <c r="Y294" s="1">
        <v>0</v>
      </c>
      <c r="Z294" s="1">
        <v>0</v>
      </c>
      <c r="AA294" s="1">
        <v>0</v>
      </c>
      <c r="AB294" s="1">
        <v>0</v>
      </c>
      <c r="AC294" s="1">
        <v>0</v>
      </c>
      <c r="AD294" s="1">
        <v>0</v>
      </c>
      <c r="AE294" s="1">
        <v>0</v>
      </c>
      <c r="AF294" s="1">
        <v>0</v>
      </c>
      <c r="AG294" s="1">
        <v>0</v>
      </c>
      <c r="AH294" s="1">
        <v>0</v>
      </c>
      <c r="AI294" s="1">
        <v>0</v>
      </c>
      <c r="AJ294" s="8" t="s">
        <v>1167</v>
      </c>
    </row>
    <row r="295" spans="1:36" x14ac:dyDescent="0.15">
      <c r="A295" s="8" t="s">
        <v>190</v>
      </c>
      <c r="B295" s="1">
        <v>4110</v>
      </c>
      <c r="C295" s="8" t="s">
        <v>1401</v>
      </c>
      <c r="D295" s="1">
        <v>3</v>
      </c>
      <c r="E295" s="7">
        <v>1110</v>
      </c>
      <c r="F295" s="1">
        <v>0</v>
      </c>
      <c r="H295" s="1" t="s">
        <v>1420</v>
      </c>
      <c r="I295" s="1">
        <v>1</v>
      </c>
      <c r="J295" s="1">
        <v>0</v>
      </c>
      <c r="K295" s="1">
        <v>0</v>
      </c>
      <c r="L295" s="1">
        <v>0</v>
      </c>
      <c r="M295" s="1">
        <v>9</v>
      </c>
      <c r="N295" s="1">
        <v>1</v>
      </c>
      <c r="O295" s="39">
        <v>669</v>
      </c>
      <c r="P295" s="39">
        <f>ROUND(VLOOKUP(A295,鱼!$J$2:$K$32,2,FALSE),0)</f>
        <v>669</v>
      </c>
      <c r="T295" s="36" t="s">
        <v>801</v>
      </c>
      <c r="U295" s="36" t="s">
        <v>802</v>
      </c>
      <c r="V295" s="36">
        <v>0</v>
      </c>
      <c r="X295" s="2" t="s">
        <v>785</v>
      </c>
      <c r="Y295" s="1">
        <v>0</v>
      </c>
      <c r="Z295" s="1">
        <v>0</v>
      </c>
      <c r="AA295" s="1">
        <v>0</v>
      </c>
      <c r="AB295" s="1">
        <v>0</v>
      </c>
      <c r="AC295" s="1">
        <v>0</v>
      </c>
      <c r="AD295" s="1">
        <v>0</v>
      </c>
      <c r="AE295" s="1">
        <v>0</v>
      </c>
      <c r="AF295" s="1">
        <v>0</v>
      </c>
      <c r="AG295" s="1">
        <v>0</v>
      </c>
      <c r="AH295" s="1">
        <v>0</v>
      </c>
      <c r="AI295" s="1">
        <v>0</v>
      </c>
      <c r="AJ295" s="8" t="s">
        <v>1408</v>
      </c>
    </row>
    <row r="296" spans="1:36" x14ac:dyDescent="0.15">
      <c r="A296" s="8" t="s">
        <v>146</v>
      </c>
      <c r="B296" s="1">
        <v>4111</v>
      </c>
      <c r="C296" s="8" t="s">
        <v>1402</v>
      </c>
      <c r="D296" s="1">
        <v>3</v>
      </c>
      <c r="E296" s="7">
        <v>1111</v>
      </c>
      <c r="F296" s="1">
        <v>0</v>
      </c>
      <c r="G296" s="1" t="s">
        <v>1838</v>
      </c>
      <c r="H296" s="1" t="s">
        <v>1421</v>
      </c>
      <c r="I296" s="1">
        <v>1</v>
      </c>
      <c r="J296" s="1">
        <v>0</v>
      </c>
      <c r="K296" s="1">
        <v>0</v>
      </c>
      <c r="L296" s="1">
        <v>0</v>
      </c>
      <c r="M296" s="1">
        <v>9</v>
      </c>
      <c r="N296" s="1">
        <v>1</v>
      </c>
      <c r="O296" s="39">
        <v>826</v>
      </c>
      <c r="P296" s="39">
        <f>ROUND(VLOOKUP(A296,鱼!$J$2:$K$32,2,FALSE),0)</f>
        <v>826</v>
      </c>
      <c r="T296" s="36" t="s">
        <v>801</v>
      </c>
      <c r="U296" s="36" t="s">
        <v>802</v>
      </c>
      <c r="V296" s="36">
        <v>0</v>
      </c>
      <c r="X296" s="2" t="s">
        <v>785</v>
      </c>
      <c r="Y296" s="1">
        <v>0</v>
      </c>
      <c r="Z296" s="1">
        <v>0</v>
      </c>
      <c r="AA296" s="1">
        <v>0</v>
      </c>
      <c r="AB296" s="1">
        <v>0</v>
      </c>
      <c r="AC296" s="1">
        <v>0</v>
      </c>
      <c r="AD296" s="1">
        <v>0</v>
      </c>
      <c r="AE296" s="1">
        <v>0</v>
      </c>
      <c r="AF296" s="1">
        <v>0</v>
      </c>
      <c r="AG296" s="1">
        <v>0</v>
      </c>
      <c r="AH296" s="1">
        <v>0</v>
      </c>
      <c r="AI296" s="1">
        <v>0</v>
      </c>
      <c r="AJ296" s="8" t="s">
        <v>1168</v>
      </c>
    </row>
    <row r="297" spans="1:36" x14ac:dyDescent="0.15">
      <c r="A297" s="8" t="s">
        <v>147</v>
      </c>
      <c r="B297" s="1">
        <v>4112</v>
      </c>
      <c r="C297" s="8" t="s">
        <v>1403</v>
      </c>
      <c r="D297" s="1">
        <v>3</v>
      </c>
      <c r="E297" s="7">
        <v>1112</v>
      </c>
      <c r="F297" s="1">
        <v>0</v>
      </c>
      <c r="G297" s="1" t="s">
        <v>1846</v>
      </c>
      <c r="H297" s="1" t="s">
        <v>1421</v>
      </c>
      <c r="I297" s="1">
        <v>1</v>
      </c>
      <c r="J297" s="1">
        <v>0</v>
      </c>
      <c r="K297" s="1">
        <v>0</v>
      </c>
      <c r="L297" s="1">
        <v>0</v>
      </c>
      <c r="M297" s="1">
        <v>9</v>
      </c>
      <c r="N297" s="1">
        <v>1</v>
      </c>
      <c r="O297" s="39">
        <v>1014</v>
      </c>
      <c r="P297" s="39">
        <f>ROUND(VLOOKUP(A297,鱼!$J$2:$K$32,2,FALSE),0)</f>
        <v>1014</v>
      </c>
      <c r="T297" s="36" t="s">
        <v>801</v>
      </c>
      <c r="U297" s="36" t="s">
        <v>802</v>
      </c>
      <c r="V297" s="36">
        <v>0</v>
      </c>
      <c r="X297" s="2" t="s">
        <v>785</v>
      </c>
      <c r="Y297" s="1">
        <v>0</v>
      </c>
      <c r="Z297" s="1">
        <v>0</v>
      </c>
      <c r="AA297" s="1">
        <v>0</v>
      </c>
      <c r="AB297" s="1">
        <v>0</v>
      </c>
      <c r="AC297" s="1">
        <v>0</v>
      </c>
      <c r="AD297" s="1">
        <v>0</v>
      </c>
      <c r="AE297" s="1">
        <v>0</v>
      </c>
      <c r="AF297" s="1">
        <v>0</v>
      </c>
      <c r="AG297" s="1">
        <v>0</v>
      </c>
      <c r="AH297" s="1">
        <v>0</v>
      </c>
      <c r="AI297" s="1">
        <v>0</v>
      </c>
      <c r="AJ297" s="8" t="s">
        <v>1169</v>
      </c>
    </row>
    <row r="298" spans="1:36" x14ac:dyDescent="0.15">
      <c r="A298" s="8" t="s">
        <v>148</v>
      </c>
      <c r="B298" s="1">
        <v>4113</v>
      </c>
      <c r="C298" s="8" t="s">
        <v>1404</v>
      </c>
      <c r="D298" s="1">
        <v>3</v>
      </c>
      <c r="E298" s="7">
        <v>1113</v>
      </c>
      <c r="F298" s="1">
        <v>0</v>
      </c>
      <c r="G298" s="1" t="s">
        <v>1838</v>
      </c>
      <c r="H298" s="1" t="s">
        <v>1421</v>
      </c>
      <c r="I298" s="1">
        <v>1</v>
      </c>
      <c r="J298" s="1">
        <v>0</v>
      </c>
      <c r="K298" s="1">
        <v>0</v>
      </c>
      <c r="L298" s="1">
        <v>0</v>
      </c>
      <c r="M298" s="1">
        <v>9</v>
      </c>
      <c r="N298" s="1">
        <v>1</v>
      </c>
      <c r="O298" s="39">
        <v>1357</v>
      </c>
      <c r="P298" s="39">
        <f>ROUND(VLOOKUP(A298,鱼!$J$2:$K$32,2,FALSE),0)</f>
        <v>1357</v>
      </c>
      <c r="T298" s="36" t="s">
        <v>801</v>
      </c>
      <c r="U298" s="36" t="s">
        <v>802</v>
      </c>
      <c r="V298" s="36">
        <v>0</v>
      </c>
      <c r="X298" s="2" t="s">
        <v>785</v>
      </c>
      <c r="Y298" s="1">
        <v>0</v>
      </c>
      <c r="Z298" s="1">
        <v>0</v>
      </c>
      <c r="AA298" s="1">
        <v>0</v>
      </c>
      <c r="AB298" s="1">
        <v>0</v>
      </c>
      <c r="AC298" s="1">
        <v>0</v>
      </c>
      <c r="AD298" s="1">
        <v>0</v>
      </c>
      <c r="AE298" s="1">
        <v>0</v>
      </c>
      <c r="AF298" s="1">
        <v>0</v>
      </c>
      <c r="AG298" s="1">
        <v>0</v>
      </c>
      <c r="AH298" s="1">
        <v>0</v>
      </c>
      <c r="AI298" s="1">
        <v>0</v>
      </c>
      <c r="AJ298" s="8" t="s">
        <v>1170</v>
      </c>
    </row>
    <row r="299" spans="1:36" x14ac:dyDescent="0.15">
      <c r="A299" s="8" t="s">
        <v>149</v>
      </c>
      <c r="B299" s="1">
        <v>4114</v>
      </c>
      <c r="C299" s="8" t="s">
        <v>149</v>
      </c>
      <c r="D299" s="1">
        <v>3</v>
      </c>
      <c r="E299" s="7">
        <v>1114</v>
      </c>
      <c r="F299" s="1">
        <v>0</v>
      </c>
      <c r="H299" s="1" t="s">
        <v>1421</v>
      </c>
      <c r="I299" s="1">
        <v>1</v>
      </c>
      <c r="J299" s="1">
        <v>0</v>
      </c>
      <c r="K299" s="1">
        <v>0</v>
      </c>
      <c r="L299" s="1">
        <v>0</v>
      </c>
      <c r="M299" s="1">
        <v>9</v>
      </c>
      <c r="N299" s="1">
        <v>1</v>
      </c>
      <c r="O299" s="39">
        <v>1489</v>
      </c>
      <c r="P299" s="39">
        <f>ROUND(VLOOKUP(A299,鱼!$J$2:$K$32,2,FALSE),0)</f>
        <v>1489</v>
      </c>
      <c r="T299" s="36" t="s">
        <v>801</v>
      </c>
      <c r="U299" s="36" t="s">
        <v>802</v>
      </c>
      <c r="V299" s="36">
        <v>0</v>
      </c>
      <c r="X299" s="2" t="s">
        <v>785</v>
      </c>
      <c r="Y299" s="1">
        <v>0</v>
      </c>
      <c r="Z299" s="1">
        <v>0</v>
      </c>
      <c r="AA299" s="1">
        <v>0</v>
      </c>
      <c r="AB299" s="1">
        <v>0</v>
      </c>
      <c r="AC299" s="1">
        <v>0</v>
      </c>
      <c r="AD299" s="1">
        <v>0</v>
      </c>
      <c r="AE299" s="1">
        <v>0</v>
      </c>
      <c r="AF299" s="1">
        <v>0</v>
      </c>
      <c r="AG299" s="1">
        <v>0</v>
      </c>
      <c r="AH299" s="1">
        <v>0</v>
      </c>
      <c r="AI299" s="1">
        <v>0</v>
      </c>
      <c r="AJ299" s="8" t="s">
        <v>1171</v>
      </c>
    </row>
    <row r="300" spans="1:36" x14ac:dyDescent="0.15">
      <c r="A300" s="8" t="s">
        <v>150</v>
      </c>
      <c r="B300" s="1">
        <v>4115</v>
      </c>
      <c r="C300" s="8" t="s">
        <v>1405</v>
      </c>
      <c r="D300" s="1">
        <v>3</v>
      </c>
      <c r="E300" s="7">
        <v>1115</v>
      </c>
      <c r="F300" s="1">
        <v>0</v>
      </c>
      <c r="G300" s="1" t="s">
        <v>1838</v>
      </c>
      <c r="H300" s="1" t="s">
        <v>1421</v>
      </c>
      <c r="I300" s="1">
        <v>1</v>
      </c>
      <c r="J300" s="1">
        <v>0</v>
      </c>
      <c r="K300" s="1">
        <v>0</v>
      </c>
      <c r="L300" s="1">
        <v>0</v>
      </c>
      <c r="M300" s="1">
        <v>9</v>
      </c>
      <c r="N300" s="1">
        <v>1</v>
      </c>
      <c r="O300" s="39">
        <v>1942</v>
      </c>
      <c r="P300" s="39">
        <f>ROUND(VLOOKUP(A300,鱼!$J$2:$K$32,2,FALSE),0)</f>
        <v>1942</v>
      </c>
      <c r="T300" s="36" t="s">
        <v>801</v>
      </c>
      <c r="U300" s="36" t="s">
        <v>802</v>
      </c>
      <c r="V300" s="36">
        <v>0</v>
      </c>
      <c r="X300" s="2" t="s">
        <v>785</v>
      </c>
      <c r="Y300" s="1">
        <v>0</v>
      </c>
      <c r="Z300" s="1">
        <v>0</v>
      </c>
      <c r="AA300" s="1">
        <v>0</v>
      </c>
      <c r="AB300" s="1">
        <v>0</v>
      </c>
      <c r="AC300" s="1">
        <v>0</v>
      </c>
      <c r="AD300" s="1">
        <v>0</v>
      </c>
      <c r="AE300" s="1">
        <v>0</v>
      </c>
      <c r="AF300" s="1">
        <v>0</v>
      </c>
      <c r="AG300" s="1">
        <v>0</v>
      </c>
      <c r="AH300" s="1">
        <v>0</v>
      </c>
      <c r="AI300" s="1">
        <v>0</v>
      </c>
      <c r="AJ300" s="8" t="s">
        <v>1172</v>
      </c>
    </row>
    <row r="301" spans="1:36" x14ac:dyDescent="0.15">
      <c r="A301" s="8" t="s">
        <v>151</v>
      </c>
      <c r="B301" s="1">
        <v>4116</v>
      </c>
      <c r="C301" s="8" t="s">
        <v>1406</v>
      </c>
      <c r="D301" s="1">
        <v>3</v>
      </c>
      <c r="E301" s="7">
        <v>1116</v>
      </c>
      <c r="F301" s="1">
        <v>0</v>
      </c>
      <c r="G301" s="1" t="s">
        <v>1837</v>
      </c>
      <c r="H301" s="1" t="s">
        <v>1421</v>
      </c>
      <c r="I301" s="1">
        <v>1</v>
      </c>
      <c r="J301" s="1">
        <v>0</v>
      </c>
      <c r="K301" s="1">
        <v>0</v>
      </c>
      <c r="L301" s="1">
        <v>0</v>
      </c>
      <c r="M301" s="1">
        <v>9</v>
      </c>
      <c r="N301" s="1">
        <v>1</v>
      </c>
      <c r="O301" s="39">
        <v>2487</v>
      </c>
      <c r="P301" s="39">
        <f>ROUND(VLOOKUP(A301,鱼!$J$2:$K$32,2,FALSE),0)</f>
        <v>2487</v>
      </c>
      <c r="T301" s="36" t="s">
        <v>801</v>
      </c>
      <c r="U301" s="36" t="s">
        <v>802</v>
      </c>
      <c r="V301" s="36">
        <v>0</v>
      </c>
      <c r="X301" s="2" t="s">
        <v>785</v>
      </c>
      <c r="Y301" s="1">
        <v>0</v>
      </c>
      <c r="Z301" s="1">
        <v>0</v>
      </c>
      <c r="AA301" s="1">
        <v>0</v>
      </c>
      <c r="AB301" s="1">
        <v>0</v>
      </c>
      <c r="AC301" s="1">
        <v>0</v>
      </c>
      <c r="AD301" s="1">
        <v>0</v>
      </c>
      <c r="AE301" s="1">
        <v>0</v>
      </c>
      <c r="AF301" s="1">
        <v>0</v>
      </c>
      <c r="AG301" s="1">
        <v>0</v>
      </c>
      <c r="AH301" s="1">
        <v>0</v>
      </c>
      <c r="AI301" s="1">
        <v>0</v>
      </c>
      <c r="AJ301" s="8" t="s">
        <v>1173</v>
      </c>
    </row>
    <row r="302" spans="1:36" x14ac:dyDescent="0.15">
      <c r="A302" s="8" t="s">
        <v>152</v>
      </c>
      <c r="B302" s="1">
        <v>4117</v>
      </c>
      <c r="C302" s="8" t="s">
        <v>152</v>
      </c>
      <c r="D302" s="1">
        <v>3</v>
      </c>
      <c r="E302" s="7">
        <v>1117</v>
      </c>
      <c r="F302" s="1">
        <v>0</v>
      </c>
      <c r="H302" s="1" t="s">
        <v>1420</v>
      </c>
      <c r="I302" s="1">
        <v>1</v>
      </c>
      <c r="J302" s="1">
        <v>0</v>
      </c>
      <c r="K302" s="1">
        <v>0</v>
      </c>
      <c r="L302" s="1">
        <v>0</v>
      </c>
      <c r="M302" s="1">
        <v>9</v>
      </c>
      <c r="N302" s="1">
        <v>1</v>
      </c>
      <c r="O302" s="39">
        <v>2690</v>
      </c>
      <c r="P302" s="39">
        <f>ROUND(VLOOKUP(A302,鱼!$J$2:$K$32,2,FALSE),0)</f>
        <v>2690</v>
      </c>
      <c r="T302" s="36" t="s">
        <v>801</v>
      </c>
      <c r="U302" s="36" t="s">
        <v>802</v>
      </c>
      <c r="V302" s="36">
        <v>0</v>
      </c>
      <c r="X302" s="2" t="s">
        <v>785</v>
      </c>
      <c r="Y302" s="1">
        <v>0</v>
      </c>
      <c r="Z302" s="1">
        <v>0</v>
      </c>
      <c r="AA302" s="1">
        <v>0</v>
      </c>
      <c r="AB302" s="1">
        <v>0</v>
      </c>
      <c r="AC302" s="1">
        <v>0</v>
      </c>
      <c r="AD302" s="1">
        <v>0</v>
      </c>
      <c r="AE302" s="1">
        <v>0</v>
      </c>
      <c r="AF302" s="1">
        <v>0</v>
      </c>
      <c r="AG302" s="1">
        <v>0</v>
      </c>
      <c r="AH302" s="1">
        <v>0</v>
      </c>
      <c r="AI302" s="1">
        <v>0</v>
      </c>
      <c r="AJ302" s="8" t="s">
        <v>1174</v>
      </c>
    </row>
    <row r="303" spans="1:36" x14ac:dyDescent="0.15">
      <c r="A303" s="11" t="s">
        <v>187</v>
      </c>
      <c r="B303" s="1">
        <v>3000</v>
      </c>
      <c r="C303" s="14" t="s">
        <v>187</v>
      </c>
      <c r="D303" s="1">
        <v>3</v>
      </c>
      <c r="E303" s="1">
        <v>0</v>
      </c>
      <c r="F303" s="1">
        <v>0</v>
      </c>
      <c r="G303" s="1" t="s">
        <v>1837</v>
      </c>
      <c r="H303" s="1" t="s">
        <v>1422</v>
      </c>
      <c r="I303" s="1">
        <v>1</v>
      </c>
      <c r="J303" s="1">
        <v>0</v>
      </c>
      <c r="K303" s="1">
        <v>0</v>
      </c>
      <c r="L303" s="1">
        <v>0</v>
      </c>
      <c r="M303" s="1">
        <v>9</v>
      </c>
      <c r="N303" s="1">
        <v>1</v>
      </c>
      <c r="O303" s="38">
        <v>30</v>
      </c>
      <c r="P303" s="38">
        <v>30</v>
      </c>
      <c r="Q303" s="38"/>
      <c r="T303" s="36" t="s">
        <v>801</v>
      </c>
      <c r="U303" s="36" t="s">
        <v>802</v>
      </c>
      <c r="V303" s="36">
        <v>0</v>
      </c>
      <c r="X303" s="2" t="s">
        <v>785</v>
      </c>
      <c r="Y303" s="1">
        <v>0</v>
      </c>
      <c r="Z303" s="1">
        <v>0</v>
      </c>
      <c r="AA303" s="1">
        <v>0</v>
      </c>
      <c r="AB303" s="1">
        <v>0</v>
      </c>
      <c r="AC303" s="1">
        <v>0</v>
      </c>
      <c r="AD303" s="1">
        <v>0</v>
      </c>
      <c r="AE303" s="1">
        <v>0</v>
      </c>
      <c r="AF303" s="1">
        <v>0</v>
      </c>
      <c r="AG303" s="1">
        <v>0</v>
      </c>
      <c r="AH303" s="1">
        <v>0</v>
      </c>
      <c r="AI303" s="1">
        <v>0</v>
      </c>
      <c r="AJ303" s="34" t="s">
        <v>1175</v>
      </c>
    </row>
    <row r="304" spans="1:36" x14ac:dyDescent="0.15">
      <c r="A304" s="11" t="s">
        <v>188</v>
      </c>
      <c r="B304" s="1">
        <v>3001</v>
      </c>
      <c r="C304" s="14" t="s">
        <v>188</v>
      </c>
      <c r="D304" s="1">
        <v>3</v>
      </c>
      <c r="E304" s="1">
        <v>0</v>
      </c>
      <c r="F304" s="1">
        <v>0</v>
      </c>
      <c r="G304" s="1">
        <v>5005</v>
      </c>
      <c r="H304" s="1" t="s">
        <v>1422</v>
      </c>
      <c r="I304" s="1">
        <v>0</v>
      </c>
      <c r="J304" s="1">
        <v>0</v>
      </c>
      <c r="K304" s="1">
        <v>0</v>
      </c>
      <c r="L304" s="1">
        <v>0</v>
      </c>
      <c r="M304" s="1">
        <v>29</v>
      </c>
      <c r="N304" s="1">
        <v>1</v>
      </c>
      <c r="O304" s="38">
        <v>86.5</v>
      </c>
      <c r="P304" s="38">
        <v>86.5</v>
      </c>
      <c r="Q304" s="38"/>
      <c r="T304" s="36" t="s">
        <v>801</v>
      </c>
      <c r="U304" s="36" t="s">
        <v>802</v>
      </c>
      <c r="V304" s="36">
        <v>0</v>
      </c>
      <c r="X304" s="2" t="s">
        <v>785</v>
      </c>
      <c r="Y304" s="1">
        <v>0</v>
      </c>
      <c r="Z304" s="1">
        <v>0</v>
      </c>
      <c r="AA304" s="1">
        <v>0</v>
      </c>
      <c r="AB304" s="1">
        <v>0</v>
      </c>
      <c r="AC304" s="1">
        <v>0</v>
      </c>
      <c r="AD304" s="1">
        <v>0</v>
      </c>
      <c r="AE304" s="1">
        <v>0</v>
      </c>
      <c r="AF304" s="1">
        <v>0</v>
      </c>
      <c r="AG304" s="1">
        <v>0</v>
      </c>
      <c r="AH304" s="1">
        <v>0</v>
      </c>
      <c r="AI304" s="1">
        <v>0</v>
      </c>
      <c r="AJ304" s="34" t="s">
        <v>1176</v>
      </c>
    </row>
    <row r="305" spans="1:37" x14ac:dyDescent="0.15">
      <c r="A305" s="11" t="s">
        <v>666</v>
      </c>
      <c r="B305" s="1">
        <v>3002</v>
      </c>
      <c r="C305" s="14" t="s">
        <v>189</v>
      </c>
      <c r="D305" s="1">
        <v>3</v>
      </c>
      <c r="E305" s="1">
        <v>0</v>
      </c>
      <c r="F305" s="1">
        <v>0</v>
      </c>
      <c r="G305" s="1" t="s">
        <v>1846</v>
      </c>
      <c r="H305" s="1" t="s">
        <v>1422</v>
      </c>
      <c r="I305" s="1">
        <v>0</v>
      </c>
      <c r="J305" s="1">
        <v>0</v>
      </c>
      <c r="K305" s="1">
        <v>0</v>
      </c>
      <c r="L305" s="1">
        <v>0</v>
      </c>
      <c r="M305" s="1">
        <v>29</v>
      </c>
      <c r="N305" s="1">
        <v>1</v>
      </c>
      <c r="O305" s="38">
        <v>25</v>
      </c>
      <c r="P305" s="38">
        <v>25</v>
      </c>
      <c r="Q305" s="38"/>
      <c r="T305" s="36" t="s">
        <v>801</v>
      </c>
      <c r="U305" s="36" t="s">
        <v>802</v>
      </c>
      <c r="V305" s="36">
        <v>0</v>
      </c>
      <c r="X305" s="2" t="s">
        <v>785</v>
      </c>
      <c r="Y305" s="1">
        <v>0</v>
      </c>
      <c r="Z305" s="1">
        <v>0</v>
      </c>
      <c r="AA305" s="1">
        <v>0</v>
      </c>
      <c r="AB305" s="1">
        <v>0</v>
      </c>
      <c r="AC305" s="1">
        <v>0</v>
      </c>
      <c r="AD305" s="1">
        <v>0</v>
      </c>
      <c r="AE305" s="1">
        <v>0</v>
      </c>
      <c r="AF305" s="1">
        <v>0</v>
      </c>
      <c r="AG305" s="1">
        <v>0</v>
      </c>
      <c r="AH305" s="1">
        <v>0</v>
      </c>
      <c r="AI305" s="1">
        <v>0</v>
      </c>
      <c r="AJ305" s="34" t="s">
        <v>1177</v>
      </c>
    </row>
    <row r="306" spans="1:37" x14ac:dyDescent="0.15">
      <c r="A306" s="11" t="s">
        <v>441</v>
      </c>
      <c r="B306" s="1">
        <v>3003</v>
      </c>
      <c r="C306" s="14" t="s">
        <v>256</v>
      </c>
      <c r="D306" s="1">
        <v>3</v>
      </c>
      <c r="E306" s="1">
        <v>0</v>
      </c>
      <c r="F306" s="1">
        <v>0</v>
      </c>
      <c r="G306" s="1" t="s">
        <v>1838</v>
      </c>
      <c r="H306" s="1" t="s">
        <v>1422</v>
      </c>
      <c r="I306" s="1">
        <v>0</v>
      </c>
      <c r="J306" s="1">
        <v>0</v>
      </c>
      <c r="K306" s="1">
        <v>0</v>
      </c>
      <c r="L306" s="1">
        <v>0</v>
      </c>
      <c r="M306" s="1">
        <v>29</v>
      </c>
      <c r="N306" s="1">
        <v>1</v>
      </c>
      <c r="O306" s="38">
        <v>51.9</v>
      </c>
      <c r="P306" s="38">
        <v>51.9</v>
      </c>
      <c r="Q306" s="38"/>
      <c r="T306" s="36" t="s">
        <v>801</v>
      </c>
      <c r="U306" s="36" t="s">
        <v>802</v>
      </c>
      <c r="V306" s="36">
        <v>0</v>
      </c>
      <c r="X306" s="2" t="s">
        <v>785</v>
      </c>
      <c r="Y306" s="1">
        <v>0</v>
      </c>
      <c r="Z306" s="1">
        <v>0</v>
      </c>
      <c r="AA306" s="1">
        <v>0</v>
      </c>
      <c r="AB306" s="1">
        <v>0</v>
      </c>
      <c r="AC306" s="1">
        <v>0</v>
      </c>
      <c r="AD306" s="1">
        <v>0</v>
      </c>
      <c r="AE306" s="1">
        <v>0</v>
      </c>
      <c r="AF306" s="1">
        <v>0</v>
      </c>
      <c r="AG306" s="1">
        <v>0</v>
      </c>
      <c r="AH306" s="1">
        <v>0</v>
      </c>
      <c r="AI306" s="1">
        <v>0</v>
      </c>
      <c r="AJ306" s="34" t="s">
        <v>1178</v>
      </c>
    </row>
    <row r="307" spans="1:37" x14ac:dyDescent="0.15">
      <c r="A307" s="12" t="s">
        <v>442</v>
      </c>
      <c r="B307" s="1">
        <v>3005</v>
      </c>
      <c r="C307" s="14" t="s">
        <v>193</v>
      </c>
      <c r="D307" s="1">
        <v>3</v>
      </c>
      <c r="E307" s="1">
        <v>0</v>
      </c>
      <c r="F307" s="1">
        <v>0</v>
      </c>
      <c r="G307" s="1" t="s">
        <v>1848</v>
      </c>
      <c r="H307" s="1" t="s">
        <v>1423</v>
      </c>
      <c r="I307" s="1">
        <v>0</v>
      </c>
      <c r="J307" s="1">
        <v>0</v>
      </c>
      <c r="K307" s="1">
        <v>0</v>
      </c>
      <c r="L307" s="1">
        <v>0</v>
      </c>
      <c r="M307" s="1">
        <v>29</v>
      </c>
      <c r="N307" s="1">
        <v>1</v>
      </c>
      <c r="O307" s="34">
        <v>179</v>
      </c>
      <c r="P307" s="34">
        <v>179</v>
      </c>
      <c r="Q307" s="34"/>
      <c r="T307" s="36" t="s">
        <v>801</v>
      </c>
      <c r="U307" s="36" t="s">
        <v>802</v>
      </c>
      <c r="V307" s="36">
        <v>0</v>
      </c>
      <c r="X307" s="2" t="s">
        <v>785</v>
      </c>
      <c r="Y307" s="1">
        <v>0</v>
      </c>
      <c r="Z307" s="1">
        <v>0</v>
      </c>
      <c r="AA307" s="1">
        <v>0</v>
      </c>
      <c r="AB307" s="1">
        <v>0</v>
      </c>
      <c r="AC307" s="1">
        <v>0</v>
      </c>
      <c r="AD307" s="1">
        <v>0</v>
      </c>
      <c r="AE307" s="1">
        <v>0</v>
      </c>
      <c r="AF307" s="1">
        <v>0</v>
      </c>
      <c r="AG307" s="1">
        <v>0</v>
      </c>
      <c r="AH307" s="1">
        <v>0</v>
      </c>
      <c r="AI307" s="1">
        <v>0</v>
      </c>
      <c r="AJ307" s="34" t="s">
        <v>1179</v>
      </c>
    </row>
    <row r="308" spans="1:37" x14ac:dyDescent="0.15">
      <c r="A308" s="12" t="s">
        <v>162</v>
      </c>
      <c r="B308" s="1">
        <v>3006</v>
      </c>
      <c r="C308" s="14" t="s">
        <v>162</v>
      </c>
      <c r="D308" s="1">
        <v>3</v>
      </c>
      <c r="E308" s="1">
        <v>0</v>
      </c>
      <c r="F308" s="1">
        <v>0</v>
      </c>
      <c r="G308" s="1" t="s">
        <v>1849</v>
      </c>
      <c r="H308" s="1" t="s">
        <v>1422</v>
      </c>
      <c r="I308" s="1">
        <v>1</v>
      </c>
      <c r="J308" s="1">
        <v>0</v>
      </c>
      <c r="K308" s="1">
        <v>0</v>
      </c>
      <c r="L308" s="1">
        <v>0</v>
      </c>
      <c r="M308" s="1">
        <v>29</v>
      </c>
      <c r="N308" s="1">
        <v>1</v>
      </c>
      <c r="O308" s="38">
        <v>360</v>
      </c>
      <c r="P308" s="38">
        <v>360</v>
      </c>
      <c r="Q308" s="38"/>
      <c r="T308" s="36" t="s">
        <v>801</v>
      </c>
      <c r="U308" s="36" t="s">
        <v>802</v>
      </c>
      <c r="V308" s="36">
        <v>0</v>
      </c>
      <c r="X308" s="2" t="s">
        <v>785</v>
      </c>
      <c r="Y308" s="1">
        <v>0</v>
      </c>
      <c r="Z308" s="1">
        <v>0</v>
      </c>
      <c r="AA308" s="1">
        <v>0</v>
      </c>
      <c r="AB308" s="1">
        <v>0</v>
      </c>
      <c r="AC308" s="1">
        <v>0</v>
      </c>
      <c r="AD308" s="1">
        <v>0</v>
      </c>
      <c r="AE308" s="1">
        <v>0</v>
      </c>
      <c r="AF308" s="1">
        <v>0</v>
      </c>
      <c r="AG308" s="1">
        <v>0</v>
      </c>
      <c r="AH308" s="1">
        <v>0</v>
      </c>
      <c r="AI308" s="1">
        <v>0</v>
      </c>
      <c r="AJ308" s="34" t="s">
        <v>1180</v>
      </c>
    </row>
    <row r="309" spans="1:37" x14ac:dyDescent="0.15">
      <c r="A309" s="12" t="s">
        <v>159</v>
      </c>
      <c r="B309" s="1">
        <v>3007</v>
      </c>
      <c r="C309" s="14" t="s">
        <v>159</v>
      </c>
      <c r="D309" s="1">
        <v>3</v>
      </c>
      <c r="E309" s="1">
        <v>0</v>
      </c>
      <c r="F309" s="1">
        <v>0</v>
      </c>
      <c r="G309" s="1" t="s">
        <v>1850</v>
      </c>
      <c r="H309" s="1" t="s">
        <v>1424</v>
      </c>
      <c r="I309" s="1">
        <v>1</v>
      </c>
      <c r="J309" s="1">
        <v>0</v>
      </c>
      <c r="K309" s="1">
        <v>0</v>
      </c>
      <c r="L309" s="1">
        <v>0</v>
      </c>
      <c r="M309" s="1">
        <v>9</v>
      </c>
      <c r="N309" s="1">
        <v>1</v>
      </c>
      <c r="O309" s="38">
        <v>180</v>
      </c>
      <c r="P309" s="38">
        <v>180</v>
      </c>
      <c r="Q309" s="38"/>
      <c r="T309" s="36" t="s">
        <v>801</v>
      </c>
      <c r="U309" s="36" t="s">
        <v>802</v>
      </c>
      <c r="V309" s="36">
        <v>0</v>
      </c>
      <c r="X309" s="2" t="s">
        <v>785</v>
      </c>
      <c r="Y309" s="1">
        <v>0</v>
      </c>
      <c r="Z309" s="1">
        <v>0</v>
      </c>
      <c r="AA309" s="1">
        <v>0</v>
      </c>
      <c r="AB309" s="1">
        <v>0</v>
      </c>
      <c r="AC309" s="1">
        <v>0</v>
      </c>
      <c r="AD309" s="1">
        <v>0</v>
      </c>
      <c r="AE309" s="1">
        <v>0</v>
      </c>
      <c r="AF309" s="1">
        <v>0</v>
      </c>
      <c r="AG309" s="1">
        <v>0</v>
      </c>
      <c r="AH309" s="1">
        <v>0</v>
      </c>
      <c r="AI309" s="1">
        <v>0</v>
      </c>
      <c r="AJ309" s="34" t="s">
        <v>1181</v>
      </c>
    </row>
    <row r="310" spans="1:37" x14ac:dyDescent="0.15">
      <c r="A310" s="12" t="s">
        <v>161</v>
      </c>
      <c r="B310" s="1">
        <v>3008</v>
      </c>
      <c r="C310" s="14" t="s">
        <v>161</v>
      </c>
      <c r="D310" s="1">
        <v>3</v>
      </c>
      <c r="E310" s="1">
        <v>0</v>
      </c>
      <c r="F310" s="1">
        <v>0</v>
      </c>
      <c r="G310" s="1" t="s">
        <v>1838</v>
      </c>
      <c r="H310" s="1" t="s">
        <v>1424</v>
      </c>
      <c r="I310" s="1">
        <v>1</v>
      </c>
      <c r="J310" s="1">
        <v>0</v>
      </c>
      <c r="K310" s="1">
        <v>0</v>
      </c>
      <c r="L310" s="1">
        <v>0</v>
      </c>
      <c r="M310" s="1">
        <v>9</v>
      </c>
      <c r="N310" s="1">
        <v>1</v>
      </c>
      <c r="O310" s="38">
        <v>405</v>
      </c>
      <c r="P310" s="38">
        <v>405</v>
      </c>
      <c r="Q310" s="38"/>
      <c r="T310" s="36" t="s">
        <v>801</v>
      </c>
      <c r="U310" s="36" t="s">
        <v>802</v>
      </c>
      <c r="V310" s="36">
        <v>0</v>
      </c>
      <c r="X310" s="2" t="s">
        <v>785</v>
      </c>
      <c r="Y310" s="1">
        <v>0</v>
      </c>
      <c r="Z310" s="1">
        <v>0</v>
      </c>
      <c r="AA310" s="1">
        <v>0</v>
      </c>
      <c r="AB310" s="1">
        <v>0</v>
      </c>
      <c r="AC310" s="1">
        <v>0</v>
      </c>
      <c r="AD310" s="1">
        <v>0</v>
      </c>
      <c r="AE310" s="1">
        <v>0</v>
      </c>
      <c r="AF310" s="1">
        <v>0</v>
      </c>
      <c r="AG310" s="1">
        <v>0</v>
      </c>
      <c r="AH310" s="1">
        <v>0</v>
      </c>
      <c r="AI310" s="1">
        <v>0</v>
      </c>
      <c r="AJ310" s="34" t="s">
        <v>1182</v>
      </c>
    </row>
    <row r="311" spans="1:37" x14ac:dyDescent="0.15">
      <c r="A311" s="1" t="s">
        <v>174</v>
      </c>
      <c r="B311" s="1">
        <v>3009</v>
      </c>
      <c r="C311" s="14" t="s">
        <v>174</v>
      </c>
      <c r="D311" s="1">
        <v>3</v>
      </c>
      <c r="E311" s="1">
        <v>0</v>
      </c>
      <c r="F311" s="1">
        <v>0</v>
      </c>
      <c r="G311" s="1" t="s">
        <v>1838</v>
      </c>
      <c r="H311" s="1" t="s">
        <v>1422</v>
      </c>
      <c r="I311" s="1">
        <v>0</v>
      </c>
      <c r="J311" s="1">
        <v>0</v>
      </c>
      <c r="K311" s="1">
        <v>0</v>
      </c>
      <c r="L311" s="1">
        <v>0</v>
      </c>
      <c r="M311" s="1">
        <v>29</v>
      </c>
      <c r="N311" s="1">
        <v>1</v>
      </c>
      <c r="O311" s="38">
        <v>319.45312499999994</v>
      </c>
      <c r="P311" s="38">
        <v>319.45312499999994</v>
      </c>
      <c r="Q311" s="38"/>
      <c r="T311" s="36" t="s">
        <v>801</v>
      </c>
      <c r="U311" s="36" t="s">
        <v>802</v>
      </c>
      <c r="V311" s="36">
        <v>0</v>
      </c>
      <c r="X311" s="2" t="s">
        <v>785</v>
      </c>
      <c r="Y311" s="1">
        <v>0</v>
      </c>
      <c r="Z311" s="1">
        <v>0</v>
      </c>
      <c r="AA311" s="1">
        <v>0</v>
      </c>
      <c r="AB311" s="1">
        <v>0</v>
      </c>
      <c r="AC311" s="1">
        <v>0</v>
      </c>
      <c r="AD311" s="1">
        <v>0</v>
      </c>
      <c r="AE311" s="1">
        <v>0</v>
      </c>
      <c r="AF311" s="1">
        <v>0</v>
      </c>
      <c r="AG311" s="1">
        <v>0</v>
      </c>
      <c r="AH311" s="1">
        <v>0</v>
      </c>
      <c r="AI311" s="1">
        <v>0</v>
      </c>
      <c r="AJ311" s="35" t="s">
        <v>1577</v>
      </c>
    </row>
    <row r="312" spans="1:37" x14ac:dyDescent="0.15">
      <c r="A312" s="1" t="s">
        <v>178</v>
      </c>
      <c r="B312" s="1">
        <v>3010</v>
      </c>
      <c r="C312" s="14" t="s">
        <v>178</v>
      </c>
      <c r="D312" s="1">
        <v>3</v>
      </c>
      <c r="E312" s="1">
        <v>0</v>
      </c>
      <c r="F312" s="1">
        <v>0</v>
      </c>
      <c r="G312" s="1">
        <v>5002</v>
      </c>
      <c r="H312" s="1" t="s">
        <v>1423</v>
      </c>
      <c r="I312" s="1">
        <v>0</v>
      </c>
      <c r="J312" s="1">
        <v>0</v>
      </c>
      <c r="K312" s="1">
        <v>0</v>
      </c>
      <c r="L312" s="1">
        <v>0</v>
      </c>
      <c r="M312" s="1">
        <v>29</v>
      </c>
      <c r="N312" s="1">
        <v>1</v>
      </c>
      <c r="O312" s="38">
        <v>660.09999999999991</v>
      </c>
      <c r="P312" s="38">
        <v>660.09999999999991</v>
      </c>
      <c r="Q312" s="38"/>
      <c r="T312" s="36" t="s">
        <v>801</v>
      </c>
      <c r="U312" s="36" t="s">
        <v>802</v>
      </c>
      <c r="V312" s="36">
        <v>0</v>
      </c>
      <c r="X312" s="2" t="s">
        <v>785</v>
      </c>
      <c r="Y312" s="1">
        <v>0</v>
      </c>
      <c r="Z312" s="1">
        <v>0</v>
      </c>
      <c r="AA312" s="1">
        <v>0</v>
      </c>
      <c r="AB312" s="1">
        <v>0</v>
      </c>
      <c r="AC312" s="1">
        <v>0</v>
      </c>
      <c r="AD312" s="1">
        <v>0</v>
      </c>
      <c r="AE312" s="1">
        <v>0</v>
      </c>
      <c r="AF312" s="1">
        <v>0</v>
      </c>
      <c r="AG312" s="1">
        <v>0</v>
      </c>
      <c r="AH312" s="1">
        <v>0</v>
      </c>
      <c r="AI312" s="1">
        <v>0</v>
      </c>
      <c r="AJ312" s="34" t="s">
        <v>1184</v>
      </c>
    </row>
    <row r="313" spans="1:37" x14ac:dyDescent="0.15">
      <c r="A313" s="1" t="s">
        <v>253</v>
      </c>
      <c r="B313" s="1">
        <v>3011</v>
      </c>
      <c r="C313" s="14" t="s">
        <v>250</v>
      </c>
      <c r="D313" s="1">
        <v>3</v>
      </c>
      <c r="E313" s="1">
        <v>0</v>
      </c>
      <c r="F313" s="1">
        <v>0</v>
      </c>
      <c r="G313" s="1" t="s">
        <v>1838</v>
      </c>
      <c r="H313" s="1" t="s">
        <v>1422</v>
      </c>
      <c r="I313" s="1">
        <v>0</v>
      </c>
      <c r="J313" s="1">
        <v>0</v>
      </c>
      <c r="K313" s="1">
        <v>0</v>
      </c>
      <c r="L313" s="1">
        <v>0</v>
      </c>
      <c r="M313" s="1">
        <v>29</v>
      </c>
      <c r="N313" s="1">
        <v>1</v>
      </c>
      <c r="O313" s="38">
        <v>121.94999999999997</v>
      </c>
      <c r="P313" s="38">
        <v>121.94999999999997</v>
      </c>
      <c r="Q313" s="38"/>
      <c r="T313" s="36" t="s">
        <v>801</v>
      </c>
      <c r="U313" s="36" t="s">
        <v>802</v>
      </c>
      <c r="V313" s="36">
        <v>0</v>
      </c>
      <c r="X313" s="2" t="s">
        <v>785</v>
      </c>
      <c r="Y313" s="1">
        <v>0</v>
      </c>
      <c r="Z313" s="1">
        <v>0</v>
      </c>
      <c r="AA313" s="1">
        <v>0</v>
      </c>
      <c r="AB313" s="1">
        <v>0</v>
      </c>
      <c r="AC313" s="1">
        <v>0</v>
      </c>
      <c r="AD313" s="1">
        <v>0</v>
      </c>
      <c r="AE313" s="1">
        <v>0</v>
      </c>
      <c r="AF313" s="1">
        <v>0</v>
      </c>
      <c r="AG313" s="1">
        <v>0</v>
      </c>
      <c r="AH313" s="1">
        <v>0</v>
      </c>
      <c r="AI313" s="1">
        <v>0</v>
      </c>
      <c r="AJ313" s="34" t="s">
        <v>1185</v>
      </c>
    </row>
    <row r="314" spans="1:37" x14ac:dyDescent="0.15">
      <c r="A314" s="13" t="s">
        <v>964</v>
      </c>
      <c r="B314" s="1">
        <v>3011</v>
      </c>
      <c r="C314" s="14" t="s">
        <v>205</v>
      </c>
      <c r="D314" s="1">
        <v>3</v>
      </c>
      <c r="E314" s="1">
        <v>0</v>
      </c>
      <c r="F314" s="1">
        <v>0</v>
      </c>
      <c r="G314" s="1" t="s">
        <v>1838</v>
      </c>
      <c r="H314" s="1" t="s">
        <v>1424</v>
      </c>
      <c r="I314" s="1">
        <v>1</v>
      </c>
      <c r="J314" s="1">
        <v>0</v>
      </c>
      <c r="K314" s="1">
        <v>0</v>
      </c>
      <c r="L314" s="1">
        <v>0</v>
      </c>
      <c r="M314" s="1">
        <v>29</v>
      </c>
      <c r="N314" s="1">
        <v>1</v>
      </c>
      <c r="O314" s="38">
        <v>360</v>
      </c>
      <c r="P314" s="38">
        <v>360</v>
      </c>
      <c r="Q314" s="38"/>
      <c r="T314" s="36" t="s">
        <v>801</v>
      </c>
      <c r="U314" s="36" t="s">
        <v>802</v>
      </c>
      <c r="V314" s="36">
        <v>0</v>
      </c>
      <c r="X314" s="2" t="s">
        <v>785</v>
      </c>
      <c r="Y314" s="1">
        <v>0</v>
      </c>
      <c r="Z314" s="1">
        <v>0</v>
      </c>
      <c r="AA314" s="1">
        <v>0</v>
      </c>
      <c r="AB314" s="1">
        <v>0</v>
      </c>
      <c r="AC314" s="1">
        <v>0</v>
      </c>
      <c r="AD314" s="1">
        <v>0</v>
      </c>
      <c r="AE314" s="1">
        <v>0</v>
      </c>
      <c r="AF314" s="1">
        <v>0</v>
      </c>
      <c r="AG314" s="1">
        <v>0</v>
      </c>
      <c r="AH314" s="1">
        <v>0</v>
      </c>
      <c r="AI314" s="1">
        <v>0</v>
      </c>
      <c r="AJ314" s="34" t="s">
        <v>1186</v>
      </c>
    </row>
    <row r="315" spans="1:37" x14ac:dyDescent="0.15">
      <c r="A315" s="13" t="s">
        <v>254</v>
      </c>
      <c r="B315" s="1">
        <v>3100</v>
      </c>
      <c r="C315" s="14" t="s">
        <v>316</v>
      </c>
      <c r="D315" s="1">
        <v>4</v>
      </c>
      <c r="E315" s="1">
        <v>0</v>
      </c>
      <c r="F315" s="1">
        <v>0</v>
      </c>
      <c r="H315" s="1" t="s">
        <v>1559</v>
      </c>
      <c r="I315" s="1">
        <v>1</v>
      </c>
      <c r="J315" s="1">
        <v>0</v>
      </c>
      <c r="K315" s="1">
        <v>0</v>
      </c>
      <c r="L315" s="1">
        <v>0</v>
      </c>
      <c r="M315" s="1">
        <v>1</v>
      </c>
      <c r="N315" s="1">
        <v>1</v>
      </c>
      <c r="O315" s="39">
        <f>P315*2</f>
        <v>306.76799999999997</v>
      </c>
      <c r="P315" s="39">
        <v>153.38399999999999</v>
      </c>
      <c r="T315" s="36" t="s">
        <v>801</v>
      </c>
      <c r="U315" s="36" t="s">
        <v>798</v>
      </c>
      <c r="V315" s="36">
        <v>900</v>
      </c>
      <c r="X315" s="2" t="s">
        <v>785</v>
      </c>
      <c r="Y315" s="1">
        <f>VLOOKUP($A315,Sheet1!$C$4:$M$91,2,FALSE)</f>
        <v>15</v>
      </c>
      <c r="Z315" s="1">
        <f>VLOOKUP($A315,Sheet1!$C$4:$M$91,3,FALSE)</f>
        <v>0</v>
      </c>
      <c r="AA315" s="1">
        <f>VLOOKUP($A315,Sheet1!$C$4:$M$91,4,FALSE)</f>
        <v>0</v>
      </c>
      <c r="AB315" s="1">
        <v>0</v>
      </c>
      <c r="AC315" s="1">
        <v>0</v>
      </c>
      <c r="AD315" s="1">
        <v>0</v>
      </c>
      <c r="AE315" s="1">
        <f>VLOOKUP($A315,Sheet1!$C$4:$M$91,5,FALSE)</f>
        <v>0</v>
      </c>
      <c r="AF315" s="1">
        <f>VLOOKUP($A315,Sheet1!$C$4:$M$91,6,FALSE)</f>
        <v>0</v>
      </c>
      <c r="AG315" s="1">
        <f>VLOOKUP($A315,Sheet1!$C$4:$M$91,8,FALSE)</f>
        <v>0</v>
      </c>
      <c r="AH315" s="1">
        <f>VLOOKUP($A315,Sheet1!$C$4:$M$91,7,FALSE)</f>
        <v>0</v>
      </c>
      <c r="AI315" s="1">
        <v>0</v>
      </c>
      <c r="AJ315" s="35" t="s">
        <v>1578</v>
      </c>
      <c r="AK315" s="1" t="s">
        <v>1338</v>
      </c>
    </row>
    <row r="316" spans="1:37" x14ac:dyDescent="0.15">
      <c r="A316" s="13" t="s">
        <v>255</v>
      </c>
      <c r="B316" s="1">
        <v>3101</v>
      </c>
      <c r="C316" s="14" t="s">
        <v>163</v>
      </c>
      <c r="D316" s="1">
        <v>4</v>
      </c>
      <c r="E316" s="1">
        <v>0</v>
      </c>
      <c r="F316" s="1">
        <v>0</v>
      </c>
      <c r="H316" s="1" t="s">
        <v>1559</v>
      </c>
      <c r="I316" s="1">
        <v>1</v>
      </c>
      <c r="J316" s="1">
        <v>0</v>
      </c>
      <c r="K316" s="1">
        <v>0</v>
      </c>
      <c r="L316" s="1">
        <v>0</v>
      </c>
      <c r="M316" s="1">
        <v>1</v>
      </c>
      <c r="N316" s="1">
        <v>1</v>
      </c>
      <c r="O316" s="39">
        <f t="shared" ref="O316:O379" si="14">P316*2</f>
        <v>1855.0486954999999</v>
      </c>
      <c r="P316" s="39">
        <v>927.52434774999995</v>
      </c>
      <c r="T316" s="36" t="s">
        <v>801</v>
      </c>
      <c r="U316" s="36" t="s">
        <v>798</v>
      </c>
      <c r="V316" s="36">
        <v>900</v>
      </c>
      <c r="X316" s="2" t="s">
        <v>785</v>
      </c>
      <c r="Y316" s="1">
        <f>VLOOKUP($A316,Sheet1!C5:M92,2,FALSE)</f>
        <v>50</v>
      </c>
      <c r="Z316" s="1">
        <f>VLOOKUP($A316,Sheet1!$C$4:$M$91,3,FALSE)</f>
        <v>0</v>
      </c>
      <c r="AA316" s="1">
        <f>VLOOKUP($A316,Sheet1!$C$4:$M$91,4,FALSE)</f>
        <v>0</v>
      </c>
      <c r="AB316" s="1">
        <v>0</v>
      </c>
      <c r="AC316" s="1">
        <v>0</v>
      </c>
      <c r="AD316" s="1">
        <v>0</v>
      </c>
      <c r="AE316" s="1">
        <f>VLOOKUP($A316,Sheet1!$C$4:$M$91,5,FALSE)</f>
        <v>0</v>
      </c>
      <c r="AF316" s="1">
        <f>VLOOKUP($A316,Sheet1!$C$4:$M$91,6,FALSE)</f>
        <v>0</v>
      </c>
      <c r="AG316" s="1">
        <f>VLOOKUP($A316,Sheet1!$C$4:$M$91,8,FALSE)</f>
        <v>0</v>
      </c>
      <c r="AH316" s="1">
        <f>VLOOKUP($A316,Sheet1!$C$4:$M$91,7,FALSE)</f>
        <v>0</v>
      </c>
      <c r="AI316" s="1">
        <v>0</v>
      </c>
      <c r="AJ316" s="35" t="s">
        <v>1579</v>
      </c>
      <c r="AK316" s="1" t="s">
        <v>1339</v>
      </c>
    </row>
    <row r="317" spans="1:37" x14ac:dyDescent="0.15">
      <c r="A317" s="13" t="s">
        <v>184</v>
      </c>
      <c r="B317" s="1">
        <v>3102</v>
      </c>
      <c r="C317" s="14" t="s">
        <v>184</v>
      </c>
      <c r="D317" s="1">
        <v>4</v>
      </c>
      <c r="E317" s="1">
        <v>0</v>
      </c>
      <c r="F317" s="1">
        <v>0</v>
      </c>
      <c r="H317" s="1" t="s">
        <v>1560</v>
      </c>
      <c r="I317" s="1">
        <v>1</v>
      </c>
      <c r="J317" s="1">
        <v>0</v>
      </c>
      <c r="K317" s="1">
        <v>0</v>
      </c>
      <c r="L317" s="1">
        <v>0</v>
      </c>
      <c r="M317" s="1">
        <v>1</v>
      </c>
      <c r="N317" s="1">
        <v>1</v>
      </c>
      <c r="O317" s="39">
        <f t="shared" si="14"/>
        <v>2568.2364576171872</v>
      </c>
      <c r="P317" s="39">
        <v>1284.1182288085936</v>
      </c>
      <c r="T317" s="36" t="s">
        <v>801</v>
      </c>
      <c r="U317" s="36" t="s">
        <v>798</v>
      </c>
      <c r="V317" s="36">
        <v>902</v>
      </c>
      <c r="X317" s="2" t="s">
        <v>785</v>
      </c>
      <c r="Y317" s="1">
        <f>VLOOKUP($A317,Sheet1!C6:M93,2,FALSE)</f>
        <v>0</v>
      </c>
      <c r="Z317" s="1">
        <f>VLOOKUP($A317,Sheet1!$C$4:$M$91,3,FALSE)</f>
        <v>0</v>
      </c>
      <c r="AA317" s="1">
        <f>VLOOKUP($A317,Sheet1!$C$4:$M$91,4,FALSE)</f>
        <v>80</v>
      </c>
      <c r="AB317" s="1">
        <v>0</v>
      </c>
      <c r="AC317" s="1">
        <v>0</v>
      </c>
      <c r="AD317" s="1">
        <v>0</v>
      </c>
      <c r="AE317" s="1">
        <f>VLOOKUP($A317,Sheet1!$C$4:$M$91,5,FALSE)</f>
        <v>0</v>
      </c>
      <c r="AF317" s="1">
        <f>VLOOKUP($A317,Sheet1!$C$4:$M$91,6,FALSE)</f>
        <v>0</v>
      </c>
      <c r="AG317" s="1">
        <f>VLOOKUP($A317,Sheet1!$C$4:$M$91,8,FALSE)</f>
        <v>0</v>
      </c>
      <c r="AH317" s="1">
        <f>VLOOKUP($A317,Sheet1!$C$4:$M$91,7,FALSE)</f>
        <v>25</v>
      </c>
      <c r="AI317" s="1">
        <v>8</v>
      </c>
      <c r="AJ317" s="34" t="s">
        <v>1189</v>
      </c>
      <c r="AK317" s="1" t="s">
        <v>1376</v>
      </c>
    </row>
    <row r="318" spans="1:37" x14ac:dyDescent="0.15">
      <c r="A318" s="13" t="s">
        <v>166</v>
      </c>
      <c r="B318" s="1">
        <v>3103</v>
      </c>
      <c r="C318" s="14" t="s">
        <v>166</v>
      </c>
      <c r="D318" s="1">
        <v>4</v>
      </c>
      <c r="E318" s="1">
        <v>0</v>
      </c>
      <c r="F318" s="1">
        <v>0</v>
      </c>
      <c r="H318" s="1" t="s">
        <v>1559</v>
      </c>
      <c r="I318" s="1">
        <v>1</v>
      </c>
      <c r="J318" s="1">
        <v>0</v>
      </c>
      <c r="K318" s="1">
        <v>0</v>
      </c>
      <c r="L318" s="1">
        <v>0</v>
      </c>
      <c r="M318" s="1">
        <v>1</v>
      </c>
      <c r="N318" s="1">
        <v>1</v>
      </c>
      <c r="O318" s="39">
        <f t="shared" si="14"/>
        <v>514.19339999999988</v>
      </c>
      <c r="P318" s="39">
        <v>257.09669999999994</v>
      </c>
      <c r="T318" s="36" t="s">
        <v>801</v>
      </c>
      <c r="U318" s="36" t="s">
        <v>798</v>
      </c>
      <c r="V318" s="36">
        <v>900</v>
      </c>
      <c r="X318" s="2" t="s">
        <v>785</v>
      </c>
      <c r="Y318" s="1">
        <f>VLOOKUP($A318,Sheet1!C7:M94,2,FALSE)</f>
        <v>20</v>
      </c>
      <c r="Z318" s="1">
        <f>VLOOKUP($A318,Sheet1!$C$4:$M$91,3,FALSE)</f>
        <v>0</v>
      </c>
      <c r="AA318" s="1">
        <f>VLOOKUP($A318,Sheet1!$C$4:$M$91,4,FALSE)</f>
        <v>0</v>
      </c>
      <c r="AB318" s="1">
        <v>0</v>
      </c>
      <c r="AC318" s="1">
        <v>0</v>
      </c>
      <c r="AD318" s="1">
        <v>0</v>
      </c>
      <c r="AE318" s="1">
        <f>VLOOKUP($A318,Sheet1!$C$4:$M$91,5,FALSE)</f>
        <v>0</v>
      </c>
      <c r="AF318" s="1">
        <f>VLOOKUP($A318,Sheet1!$C$4:$M$91,6,FALSE)</f>
        <v>0</v>
      </c>
      <c r="AG318" s="1">
        <f>VLOOKUP($A318,Sheet1!$C$4:$M$91,8,FALSE)</f>
        <v>0</v>
      </c>
      <c r="AH318" s="1">
        <f>VLOOKUP($A318,Sheet1!$C$4:$M$91,7,FALSE)</f>
        <v>0</v>
      </c>
      <c r="AI318" s="1">
        <v>0</v>
      </c>
      <c r="AJ318" s="35" t="s">
        <v>1569</v>
      </c>
      <c r="AK318" s="1" t="s">
        <v>1340</v>
      </c>
    </row>
    <row r="319" spans="1:37" x14ac:dyDescent="0.15">
      <c r="A319" s="13" t="s">
        <v>182</v>
      </c>
      <c r="B319" s="1">
        <v>3104</v>
      </c>
      <c r="C319" s="14" t="s">
        <v>182</v>
      </c>
      <c r="D319" s="1">
        <v>4</v>
      </c>
      <c r="E319" s="1">
        <v>0</v>
      </c>
      <c r="F319" s="1">
        <v>0</v>
      </c>
      <c r="H319" s="1" t="s">
        <v>1560</v>
      </c>
      <c r="I319" s="1">
        <v>1</v>
      </c>
      <c r="J319" s="1">
        <v>0</v>
      </c>
      <c r="K319" s="1">
        <v>0</v>
      </c>
      <c r="L319" s="1">
        <v>0</v>
      </c>
      <c r="M319" s="1">
        <v>1</v>
      </c>
      <c r="N319" s="1">
        <v>1</v>
      </c>
      <c r="O319" s="39">
        <f t="shared" si="14"/>
        <v>3736.0518076171875</v>
      </c>
      <c r="P319" s="39">
        <v>1868.0259038085937</v>
      </c>
      <c r="T319" s="36" t="s">
        <v>801</v>
      </c>
      <c r="U319" s="36" t="s">
        <v>798</v>
      </c>
      <c r="V319" s="36">
        <v>902</v>
      </c>
      <c r="X319" s="2" t="s">
        <v>785</v>
      </c>
      <c r="Y319" s="1">
        <f>VLOOKUP($A319,Sheet1!C8:M95,2,FALSE)</f>
        <v>0</v>
      </c>
      <c r="Z319" s="1">
        <f>VLOOKUP($A319,Sheet1!$C$4:$M$91,3,FALSE)</f>
        <v>0</v>
      </c>
      <c r="AA319" s="1">
        <f>VLOOKUP($A319,Sheet1!$C$4:$M$91,4,FALSE)</f>
        <v>120</v>
      </c>
      <c r="AB319" s="1">
        <v>0</v>
      </c>
      <c r="AC319" s="1">
        <v>0</v>
      </c>
      <c r="AD319" s="1">
        <v>0</v>
      </c>
      <c r="AE319" s="1">
        <f>VLOOKUP($A319,Sheet1!$C$4:$M$91,5,FALSE)</f>
        <v>0</v>
      </c>
      <c r="AF319" s="1">
        <f>VLOOKUP($A319,Sheet1!$C$4:$M$91,6,FALSE)</f>
        <v>0</v>
      </c>
      <c r="AG319" s="1">
        <f>VLOOKUP($A319,Sheet1!$C$4:$M$91,8,FALSE)</f>
        <v>0</v>
      </c>
      <c r="AH319" s="1">
        <f>VLOOKUP($A319,Sheet1!$C$4:$M$91,7,FALSE)</f>
        <v>0</v>
      </c>
      <c r="AI319" s="1">
        <v>0</v>
      </c>
      <c r="AJ319" s="34" t="s">
        <v>1191</v>
      </c>
      <c r="AK319" s="1" t="s">
        <v>1375</v>
      </c>
    </row>
    <row r="320" spans="1:37" x14ac:dyDescent="0.15">
      <c r="A320" s="13" t="s">
        <v>194</v>
      </c>
      <c r="B320" s="1">
        <v>3105</v>
      </c>
      <c r="C320" s="14" t="s">
        <v>194</v>
      </c>
      <c r="D320" s="1">
        <v>4</v>
      </c>
      <c r="E320" s="1">
        <v>0</v>
      </c>
      <c r="F320" s="1">
        <v>0</v>
      </c>
      <c r="H320" s="1" t="s">
        <v>1561</v>
      </c>
      <c r="I320" s="1">
        <v>1</v>
      </c>
      <c r="J320" s="1">
        <v>0</v>
      </c>
      <c r="K320" s="1">
        <v>0</v>
      </c>
      <c r="L320" s="1">
        <v>0</v>
      </c>
      <c r="M320" s="1">
        <v>1</v>
      </c>
      <c r="N320" s="1">
        <v>1</v>
      </c>
      <c r="O320" s="39">
        <f t="shared" si="14"/>
        <v>2821.0335357421873</v>
      </c>
      <c r="P320" s="39">
        <v>1410.5167678710936</v>
      </c>
      <c r="T320" s="36" t="s">
        <v>801</v>
      </c>
      <c r="U320" s="36" t="s">
        <v>798</v>
      </c>
      <c r="V320" s="36">
        <v>902</v>
      </c>
      <c r="X320" s="2" t="s">
        <v>785</v>
      </c>
      <c r="Y320" s="1">
        <f>VLOOKUP($A320,Sheet1!C9:M96,2,FALSE)</f>
        <v>0</v>
      </c>
      <c r="Z320" s="1">
        <f>VLOOKUP($A320,Sheet1!$C$4:$M$91,3,FALSE)</f>
        <v>0</v>
      </c>
      <c r="AA320" s="1">
        <f>VLOOKUP($A320,Sheet1!$C$4:$M$91,4,FALSE)</f>
        <v>100</v>
      </c>
      <c r="AB320" s="1">
        <v>0</v>
      </c>
      <c r="AC320" s="1">
        <v>0</v>
      </c>
      <c r="AD320" s="1">
        <v>0</v>
      </c>
      <c r="AE320" s="1">
        <f>VLOOKUP($A320,Sheet1!$C$4:$M$91,5,FALSE)</f>
        <v>0</v>
      </c>
      <c r="AF320" s="1">
        <f>VLOOKUP($A320,Sheet1!$C$4:$M$91,6,FALSE)</f>
        <v>0</v>
      </c>
      <c r="AG320" s="1">
        <f>VLOOKUP($A320,Sheet1!$C$4:$M$91,8,FALSE)</f>
        <v>0</v>
      </c>
      <c r="AH320" s="1">
        <f>VLOOKUP($A320,Sheet1!$C$4:$M$91,7,FALSE)</f>
        <v>0</v>
      </c>
      <c r="AI320" s="1">
        <v>0</v>
      </c>
      <c r="AJ320" s="34" t="s">
        <v>1192</v>
      </c>
      <c r="AK320" s="1" t="s">
        <v>1377</v>
      </c>
    </row>
    <row r="321" spans="1:37" x14ac:dyDescent="0.15">
      <c r="A321" s="13" t="s">
        <v>195</v>
      </c>
      <c r="B321" s="1">
        <v>3106</v>
      </c>
      <c r="C321" s="14" t="s">
        <v>195</v>
      </c>
      <c r="D321" s="1">
        <v>4</v>
      </c>
      <c r="E321" s="1">
        <v>0</v>
      </c>
      <c r="F321" s="1">
        <v>0</v>
      </c>
      <c r="H321" s="1" t="s">
        <v>1560</v>
      </c>
      <c r="I321" s="1">
        <v>1</v>
      </c>
      <c r="J321" s="1">
        <v>0</v>
      </c>
      <c r="K321" s="1">
        <v>0</v>
      </c>
      <c r="L321" s="1">
        <v>0</v>
      </c>
      <c r="M321" s="1">
        <v>1</v>
      </c>
      <c r="N321" s="1">
        <v>1</v>
      </c>
      <c r="O321" s="39">
        <f t="shared" si="14"/>
        <v>4926.1457027421866</v>
      </c>
      <c r="P321" s="39">
        <v>2463.0728513710933</v>
      </c>
      <c r="T321" s="36" t="s">
        <v>801</v>
      </c>
      <c r="U321" s="36" t="s">
        <v>798</v>
      </c>
      <c r="V321" s="36">
        <v>902</v>
      </c>
      <c r="X321" s="2" t="s">
        <v>785</v>
      </c>
      <c r="Y321" s="1">
        <f>VLOOKUP($A321,Sheet1!C10:M97,2,FALSE)</f>
        <v>0</v>
      </c>
      <c r="Z321" s="1">
        <f>VLOOKUP($A321,Sheet1!$C$4:$M$91,3,FALSE)</f>
        <v>0</v>
      </c>
      <c r="AA321" s="1">
        <f>VLOOKUP($A321,Sheet1!$C$4:$M$91,4,FALSE)</f>
        <v>140</v>
      </c>
      <c r="AB321" s="1">
        <v>0</v>
      </c>
      <c r="AC321" s="1">
        <v>0</v>
      </c>
      <c r="AD321" s="1">
        <v>0</v>
      </c>
      <c r="AE321" s="1">
        <f>VLOOKUP($A321,Sheet1!$C$4:$M$91,5,FALSE)</f>
        <v>0</v>
      </c>
      <c r="AF321" s="1">
        <f>VLOOKUP($A321,Sheet1!$C$4:$M$91,6,FALSE)</f>
        <v>0</v>
      </c>
      <c r="AG321" s="1">
        <f>VLOOKUP($A321,Sheet1!$C$4:$M$91,8,FALSE)</f>
        <v>0</v>
      </c>
      <c r="AH321" s="1">
        <f>VLOOKUP($A321,Sheet1!$C$4:$M$91,7,FALSE)</f>
        <v>0</v>
      </c>
      <c r="AI321" s="1">
        <v>0</v>
      </c>
      <c r="AJ321" s="34" t="s">
        <v>1193</v>
      </c>
      <c r="AK321" s="1" t="s">
        <v>1374</v>
      </c>
    </row>
    <row r="322" spans="1:37" x14ac:dyDescent="0.15">
      <c r="A322" s="13" t="s">
        <v>165</v>
      </c>
      <c r="B322" s="1">
        <v>3107</v>
      </c>
      <c r="C322" s="14" t="s">
        <v>165</v>
      </c>
      <c r="D322" s="1">
        <v>4</v>
      </c>
      <c r="E322" s="1">
        <v>0</v>
      </c>
      <c r="F322" s="1">
        <v>0</v>
      </c>
      <c r="H322" s="1" t="s">
        <v>1559</v>
      </c>
      <c r="I322" s="1">
        <v>1</v>
      </c>
      <c r="J322" s="1">
        <v>0</v>
      </c>
      <c r="K322" s="1">
        <v>0</v>
      </c>
      <c r="L322" s="1">
        <v>0</v>
      </c>
      <c r="M322" s="1">
        <v>1</v>
      </c>
      <c r="N322" s="1">
        <v>1</v>
      </c>
      <c r="O322" s="39">
        <f t="shared" si="14"/>
        <v>514.19339999999988</v>
      </c>
      <c r="P322" s="39">
        <v>257.09669999999994</v>
      </c>
      <c r="T322" s="36" t="s">
        <v>801</v>
      </c>
      <c r="U322" s="36" t="s">
        <v>798</v>
      </c>
      <c r="V322" s="36">
        <v>900</v>
      </c>
      <c r="X322" s="2" t="s">
        <v>785</v>
      </c>
      <c r="Y322" s="1">
        <f>VLOOKUP($A322,Sheet1!C11:M98,2,FALSE)</f>
        <v>25</v>
      </c>
      <c r="Z322" s="1">
        <f>VLOOKUP($A322,Sheet1!$C$4:$M$91,3,FALSE)</f>
        <v>0</v>
      </c>
      <c r="AA322" s="1">
        <f>VLOOKUP($A322,Sheet1!$C$4:$M$91,4,FALSE)</f>
        <v>0</v>
      </c>
      <c r="AB322" s="1">
        <v>0</v>
      </c>
      <c r="AC322" s="1">
        <v>0</v>
      </c>
      <c r="AD322" s="1">
        <v>0</v>
      </c>
      <c r="AE322" s="1">
        <f>VLOOKUP($A322,Sheet1!$C$4:$M$91,5,FALSE)</f>
        <v>0</v>
      </c>
      <c r="AF322" s="1">
        <f>VLOOKUP($A322,Sheet1!$C$4:$M$91,6,FALSE)</f>
        <v>0</v>
      </c>
      <c r="AG322" s="1">
        <f>VLOOKUP($A322,Sheet1!$C$4:$M$91,8,FALSE)</f>
        <v>0</v>
      </c>
      <c r="AH322" s="1">
        <f>VLOOKUP($A322,Sheet1!$C$4:$M$91,7,FALSE)</f>
        <v>0</v>
      </c>
      <c r="AI322" s="1">
        <v>0</v>
      </c>
      <c r="AJ322" s="34" t="s">
        <v>1194</v>
      </c>
      <c r="AK322" s="1" t="s">
        <v>1341</v>
      </c>
    </row>
    <row r="323" spans="1:37" x14ac:dyDescent="0.15">
      <c r="A323" s="13" t="s">
        <v>167</v>
      </c>
      <c r="B323" s="1">
        <v>3108</v>
      </c>
      <c r="C323" s="14" t="s">
        <v>258</v>
      </c>
      <c r="D323" s="1">
        <v>4</v>
      </c>
      <c r="E323" s="1">
        <v>0</v>
      </c>
      <c r="F323" s="1">
        <v>0</v>
      </c>
      <c r="H323" s="1">
        <v>24</v>
      </c>
      <c r="I323" s="1">
        <v>1</v>
      </c>
      <c r="J323" s="1">
        <v>0</v>
      </c>
      <c r="K323" s="1">
        <v>0</v>
      </c>
      <c r="L323" s="1">
        <v>0</v>
      </c>
      <c r="M323" s="1">
        <v>1</v>
      </c>
      <c r="N323" s="1">
        <v>1</v>
      </c>
      <c r="O323" s="39">
        <f t="shared" si="14"/>
        <v>561.36511799999982</v>
      </c>
      <c r="P323" s="39">
        <v>280.68255899999991</v>
      </c>
      <c r="T323" s="36" t="s">
        <v>801</v>
      </c>
      <c r="U323" s="36" t="s">
        <v>798</v>
      </c>
      <c r="V323" s="36">
        <v>900</v>
      </c>
      <c r="X323" s="2" t="s">
        <v>785</v>
      </c>
      <c r="Y323" s="1">
        <f>VLOOKUP($A323,Sheet1!C12:M99,2,FALSE)</f>
        <v>35</v>
      </c>
      <c r="Z323" s="1">
        <f>VLOOKUP($A323,Sheet1!$C$4:$M$91,3,FALSE)</f>
        <v>0</v>
      </c>
      <c r="AA323" s="1">
        <f>VLOOKUP($A323,Sheet1!$C$4:$M$91,4,FALSE)</f>
        <v>0</v>
      </c>
      <c r="AB323" s="1">
        <v>0</v>
      </c>
      <c r="AC323" s="1">
        <v>0</v>
      </c>
      <c r="AD323" s="1">
        <v>0</v>
      </c>
      <c r="AE323" s="1">
        <f>VLOOKUP($A323,Sheet1!$C$4:$M$91,5,FALSE)</f>
        <v>0</v>
      </c>
      <c r="AF323" s="1">
        <f>VLOOKUP($A323,Sheet1!$C$4:$M$91,6,FALSE)</f>
        <v>0</v>
      </c>
      <c r="AG323" s="1">
        <f>VLOOKUP($A323,Sheet1!$C$4:$M$91,8,FALSE)</f>
        <v>0</v>
      </c>
      <c r="AH323" s="1">
        <f>VLOOKUP($A323,Sheet1!$C$4:$M$91,7,FALSE)</f>
        <v>0</v>
      </c>
      <c r="AI323" s="1">
        <v>0</v>
      </c>
      <c r="AJ323" s="34" t="s">
        <v>1195</v>
      </c>
      <c r="AK323" s="1" t="s">
        <v>1342</v>
      </c>
    </row>
    <row r="324" spans="1:37" x14ac:dyDescent="0.15">
      <c r="A324" s="13" t="s">
        <v>196</v>
      </c>
      <c r="B324" s="1">
        <v>3109</v>
      </c>
      <c r="C324" s="14" t="s">
        <v>196</v>
      </c>
      <c r="D324" s="1">
        <v>4</v>
      </c>
      <c r="E324" s="1">
        <v>0</v>
      </c>
      <c r="F324" s="1">
        <v>0</v>
      </c>
      <c r="G324" s="1">
        <v>5004</v>
      </c>
      <c r="H324" s="1" t="s">
        <v>1562</v>
      </c>
      <c r="I324" s="1">
        <v>1</v>
      </c>
      <c r="J324" s="1">
        <v>0</v>
      </c>
      <c r="K324" s="1">
        <v>0</v>
      </c>
      <c r="L324" s="1">
        <v>0</v>
      </c>
      <c r="M324" s="1">
        <v>1</v>
      </c>
      <c r="N324" s="1">
        <v>1</v>
      </c>
      <c r="O324" s="39">
        <f t="shared" si="14"/>
        <v>820.22400000000005</v>
      </c>
      <c r="P324" s="39">
        <v>410.11200000000002</v>
      </c>
      <c r="T324" s="36" t="s">
        <v>801</v>
      </c>
      <c r="U324" s="36" t="s">
        <v>798</v>
      </c>
      <c r="V324" s="36">
        <v>901</v>
      </c>
      <c r="X324" s="2" t="s">
        <v>785</v>
      </c>
      <c r="Y324" s="1">
        <f>VLOOKUP($A324,Sheet1!C13:M100,2,FALSE)</f>
        <v>0</v>
      </c>
      <c r="Z324" s="1">
        <f>VLOOKUP($A324,Sheet1!$C$4:$M$91,3,FALSE)</f>
        <v>10</v>
      </c>
      <c r="AA324" s="1">
        <f>VLOOKUP($A324,Sheet1!$C$4:$M$91,4,FALSE)</f>
        <v>0</v>
      </c>
      <c r="AB324" s="1">
        <v>0</v>
      </c>
      <c r="AC324" s="1">
        <v>0</v>
      </c>
      <c r="AD324" s="1">
        <v>0</v>
      </c>
      <c r="AE324" s="1">
        <f>VLOOKUP($A324,Sheet1!$C$4:$M$91,5,FALSE)</f>
        <v>0</v>
      </c>
      <c r="AF324" s="1">
        <f>VLOOKUP($A324,Sheet1!$C$4:$M$91,6,FALSE)</f>
        <v>0</v>
      </c>
      <c r="AG324" s="1">
        <f>VLOOKUP($A324,Sheet1!$C$4:$M$91,8,FALSE)</f>
        <v>0</v>
      </c>
      <c r="AH324" s="1">
        <f>VLOOKUP($A324,Sheet1!$C$4:$M$91,7,FALSE)</f>
        <v>0</v>
      </c>
      <c r="AI324" s="1">
        <v>0</v>
      </c>
      <c r="AJ324" s="34" t="s">
        <v>1196</v>
      </c>
      <c r="AK324" s="1" t="s">
        <v>1373</v>
      </c>
    </row>
    <row r="325" spans="1:37" x14ac:dyDescent="0.15">
      <c r="A325" s="13" t="s">
        <v>164</v>
      </c>
      <c r="B325" s="1">
        <v>3110</v>
      </c>
      <c r="C325" s="14" t="s">
        <v>164</v>
      </c>
      <c r="D325" s="1">
        <v>4</v>
      </c>
      <c r="E325" s="1">
        <v>0</v>
      </c>
      <c r="F325" s="1">
        <v>0</v>
      </c>
      <c r="H325" s="1">
        <v>16</v>
      </c>
      <c r="I325" s="1">
        <v>1</v>
      </c>
      <c r="J325" s="1">
        <v>0</v>
      </c>
      <c r="K325" s="1">
        <v>0</v>
      </c>
      <c r="L325" s="1">
        <v>0</v>
      </c>
      <c r="M325" s="1">
        <v>1</v>
      </c>
      <c r="N325" s="1">
        <v>1</v>
      </c>
      <c r="O325" s="39">
        <f t="shared" si="14"/>
        <v>2359.1871875000002</v>
      </c>
      <c r="P325" s="39">
        <v>1179.5935937500001</v>
      </c>
      <c r="T325" s="36">
        <v>1</v>
      </c>
      <c r="U325" s="36" t="s">
        <v>798</v>
      </c>
      <c r="V325" s="36">
        <v>1000</v>
      </c>
      <c r="X325" s="2" t="s">
        <v>785</v>
      </c>
      <c r="Y325" s="1">
        <f>VLOOKUP($A325,Sheet1!C14:M101,2,FALSE)</f>
        <v>0</v>
      </c>
      <c r="Z325" s="1">
        <f>VLOOKUP($A325,Sheet1!$C$4:$M$91,3,FALSE)</f>
        <v>0</v>
      </c>
      <c r="AA325" s="1">
        <f>VLOOKUP($A325,Sheet1!$C$4:$M$91,4,FALSE)</f>
        <v>0</v>
      </c>
      <c r="AB325" s="1">
        <v>0</v>
      </c>
      <c r="AC325" s="1">
        <v>0</v>
      </c>
      <c r="AD325" s="1">
        <v>0</v>
      </c>
      <c r="AE325" s="1">
        <f>VLOOKUP($A325,Sheet1!$C$4:$M$91,5,FALSE)</f>
        <v>0</v>
      </c>
      <c r="AF325" s="1">
        <f>VLOOKUP($A325,Sheet1!$C$4:$M$91,6,FALSE)</f>
        <v>40</v>
      </c>
      <c r="AG325" s="1">
        <f>VLOOKUP($A325,Sheet1!$C$4:$M$91,8,FALSE)</f>
        <v>0</v>
      </c>
      <c r="AH325" s="1">
        <f>VLOOKUP($A325,Sheet1!$C$4:$M$91,7,FALSE)</f>
        <v>0</v>
      </c>
      <c r="AI325" s="1">
        <v>8</v>
      </c>
      <c r="AJ325" s="35" t="s">
        <v>1580</v>
      </c>
      <c r="AK325" s="1" t="s">
        <v>636</v>
      </c>
    </row>
    <row r="326" spans="1:37" x14ac:dyDescent="0.15">
      <c r="A326" s="13" t="s">
        <v>197</v>
      </c>
      <c r="B326" s="1">
        <v>3111</v>
      </c>
      <c r="C326" s="14" t="s">
        <v>197</v>
      </c>
      <c r="D326" s="1">
        <v>4</v>
      </c>
      <c r="E326" s="1">
        <v>0</v>
      </c>
      <c r="F326" s="1">
        <v>0</v>
      </c>
      <c r="H326" s="1" t="s">
        <v>1560</v>
      </c>
      <c r="I326" s="1">
        <v>1</v>
      </c>
      <c r="J326" s="1">
        <v>0</v>
      </c>
      <c r="K326" s="1">
        <v>0</v>
      </c>
      <c r="L326" s="1">
        <v>0</v>
      </c>
      <c r="M326" s="1">
        <v>1</v>
      </c>
      <c r="N326" s="1">
        <v>1</v>
      </c>
      <c r="O326" s="39">
        <f t="shared" si="14"/>
        <v>695.815518</v>
      </c>
      <c r="P326" s="39">
        <v>347.907759</v>
      </c>
      <c r="T326" s="36" t="s">
        <v>801</v>
      </c>
      <c r="U326" s="36" t="s">
        <v>798</v>
      </c>
      <c r="V326" s="36">
        <v>902</v>
      </c>
      <c r="X326" s="2" t="s">
        <v>785</v>
      </c>
      <c r="Y326" s="1">
        <f>VLOOKUP($A326,Sheet1!C15:M102,2,FALSE)</f>
        <v>0</v>
      </c>
      <c r="Z326" s="1">
        <f>VLOOKUP($A326,Sheet1!$C$4:$M$91,3,FALSE)</f>
        <v>0</v>
      </c>
      <c r="AA326" s="1">
        <f>VLOOKUP($A326,Sheet1!$C$4:$M$91,4,FALSE)</f>
        <v>20</v>
      </c>
      <c r="AB326" s="1">
        <v>0</v>
      </c>
      <c r="AC326" s="1">
        <v>0</v>
      </c>
      <c r="AD326" s="1">
        <v>0</v>
      </c>
      <c r="AE326" s="1">
        <f>VLOOKUP($A326,Sheet1!$C$4:$M$91,5,FALSE)</f>
        <v>0</v>
      </c>
      <c r="AF326" s="1">
        <f>VLOOKUP($A326,Sheet1!$C$4:$M$91,6,FALSE)</f>
        <v>0</v>
      </c>
      <c r="AG326" s="1">
        <f>VLOOKUP($A326,Sheet1!$C$4:$M$91,8,FALSE)</f>
        <v>0</v>
      </c>
      <c r="AH326" s="1">
        <f>VLOOKUP($A326,Sheet1!$C$4:$M$91,7,FALSE)</f>
        <v>0</v>
      </c>
      <c r="AI326" s="1">
        <v>0</v>
      </c>
      <c r="AJ326" s="34" t="s">
        <v>1198</v>
      </c>
      <c r="AK326" s="1" t="s">
        <v>1372</v>
      </c>
    </row>
    <row r="327" spans="1:37" x14ac:dyDescent="0.15">
      <c r="A327" s="13" t="s">
        <v>249</v>
      </c>
      <c r="B327" s="1">
        <v>3112</v>
      </c>
      <c r="C327" s="15" t="s">
        <v>249</v>
      </c>
      <c r="D327" s="1">
        <v>4</v>
      </c>
      <c r="E327" s="1">
        <v>0</v>
      </c>
      <c r="F327" s="1">
        <v>0</v>
      </c>
      <c r="G327" s="1">
        <v>5001</v>
      </c>
      <c r="H327" s="1" t="s">
        <v>1560</v>
      </c>
      <c r="I327" s="1">
        <v>1</v>
      </c>
      <c r="J327" s="1">
        <v>0</v>
      </c>
      <c r="K327" s="1">
        <v>0</v>
      </c>
      <c r="L327" s="1">
        <v>0</v>
      </c>
      <c r="M327" s="1">
        <v>1</v>
      </c>
      <c r="N327" s="1">
        <v>1</v>
      </c>
      <c r="O327" s="39">
        <f t="shared" si="14"/>
        <v>1524.2868857421872</v>
      </c>
      <c r="P327" s="39">
        <v>762.14344287109361</v>
      </c>
      <c r="T327" s="36" t="s">
        <v>801</v>
      </c>
      <c r="U327" s="36" t="s">
        <v>798</v>
      </c>
      <c r="V327" s="36">
        <v>902</v>
      </c>
      <c r="X327" s="2" t="s">
        <v>785</v>
      </c>
      <c r="Y327" s="1">
        <f>VLOOKUP($A327,Sheet1!C16:M103,2,FALSE)</f>
        <v>0</v>
      </c>
      <c r="Z327" s="1">
        <f>VLOOKUP($A327,Sheet1!$C$4:$M$91,3,FALSE)</f>
        <v>0</v>
      </c>
      <c r="AA327" s="1">
        <f>VLOOKUP($A327,Sheet1!$C$4:$M$91,4,FALSE)</f>
        <v>60</v>
      </c>
      <c r="AB327" s="1">
        <v>0</v>
      </c>
      <c r="AC327" s="1">
        <v>0</v>
      </c>
      <c r="AD327" s="1">
        <v>0</v>
      </c>
      <c r="AE327" s="1">
        <f>VLOOKUP($A327,Sheet1!$C$4:$M$91,5,FALSE)</f>
        <v>0</v>
      </c>
      <c r="AF327" s="1">
        <f>VLOOKUP($A327,Sheet1!$C$4:$M$91,6,FALSE)</f>
        <v>0</v>
      </c>
      <c r="AG327" s="1">
        <f>VLOOKUP($A327,Sheet1!$C$4:$M$91,8,FALSE)</f>
        <v>0</v>
      </c>
      <c r="AH327" s="1">
        <f>VLOOKUP($A327,Sheet1!$C$4:$M$91,7,FALSE)</f>
        <v>0</v>
      </c>
      <c r="AI327" s="1">
        <v>0</v>
      </c>
      <c r="AJ327" s="34" t="s">
        <v>1199</v>
      </c>
      <c r="AK327" s="1" t="s">
        <v>1371</v>
      </c>
    </row>
    <row r="328" spans="1:37" x14ac:dyDescent="0.15">
      <c r="A328" s="13" t="s">
        <v>198</v>
      </c>
      <c r="B328" s="1">
        <v>3113</v>
      </c>
      <c r="C328" s="14" t="s">
        <v>259</v>
      </c>
      <c r="D328" s="1">
        <v>4</v>
      </c>
      <c r="E328" s="1">
        <v>0</v>
      </c>
      <c r="F328" s="1">
        <v>0</v>
      </c>
      <c r="G328" s="1">
        <v>5001</v>
      </c>
      <c r="H328" s="1">
        <v>16</v>
      </c>
      <c r="I328" s="1">
        <v>1</v>
      </c>
      <c r="J328" s="1">
        <v>0</v>
      </c>
      <c r="K328" s="1">
        <v>0</v>
      </c>
      <c r="L328" s="1">
        <v>0</v>
      </c>
      <c r="M328" s="1">
        <v>1</v>
      </c>
      <c r="N328" s="1">
        <v>1</v>
      </c>
      <c r="O328" s="39">
        <f t="shared" si="14"/>
        <v>561.36511799999982</v>
      </c>
      <c r="P328" s="39">
        <v>280.68255899999991</v>
      </c>
      <c r="T328" s="36">
        <v>1</v>
      </c>
      <c r="U328" s="36" t="s">
        <v>798</v>
      </c>
      <c r="V328" s="36">
        <v>1000</v>
      </c>
      <c r="X328" s="2" t="s">
        <v>785</v>
      </c>
      <c r="Y328" s="1">
        <f>VLOOKUP($A328,Sheet1!C17:M104,2,FALSE)</f>
        <v>0</v>
      </c>
      <c r="Z328" s="1">
        <f>VLOOKUP($A328,Sheet1!$C$4:$M$91,3,FALSE)</f>
        <v>0</v>
      </c>
      <c r="AA328" s="1">
        <f>VLOOKUP($A328,Sheet1!$C$4:$M$91,4,FALSE)</f>
        <v>0</v>
      </c>
      <c r="AB328" s="1">
        <v>0</v>
      </c>
      <c r="AC328" s="1">
        <v>0</v>
      </c>
      <c r="AD328" s="1">
        <v>0</v>
      </c>
      <c r="AE328" s="1">
        <f>VLOOKUP($A328,Sheet1!$C$4:$M$91,5,FALSE)</f>
        <v>0</v>
      </c>
      <c r="AF328" s="1">
        <f>VLOOKUP($A328,Sheet1!$C$4:$M$91,6,FALSE)</f>
        <v>0</v>
      </c>
      <c r="AG328" s="1">
        <f>VLOOKUP($A328,Sheet1!$C$4:$M$91,8,FALSE)</f>
        <v>0</v>
      </c>
      <c r="AH328" s="1">
        <f>VLOOKUP($A328,Sheet1!$C$4:$M$91,7,FALSE)</f>
        <v>7</v>
      </c>
      <c r="AI328" s="1">
        <v>8</v>
      </c>
      <c r="AJ328" s="34" t="s">
        <v>1200</v>
      </c>
      <c r="AK328" s="1" t="s">
        <v>636</v>
      </c>
    </row>
    <row r="329" spans="1:37" x14ac:dyDescent="0.15">
      <c r="A329" s="13" t="s">
        <v>171</v>
      </c>
      <c r="B329" s="1">
        <v>3114</v>
      </c>
      <c r="C329" s="14" t="s">
        <v>260</v>
      </c>
      <c r="D329" s="1">
        <v>4</v>
      </c>
      <c r="E329" s="1">
        <v>0</v>
      </c>
      <c r="F329" s="1">
        <v>0</v>
      </c>
      <c r="G329" s="1">
        <v>5001</v>
      </c>
      <c r="H329" s="1">
        <v>16</v>
      </c>
      <c r="I329" s="1">
        <v>1</v>
      </c>
      <c r="J329" s="1">
        <v>0</v>
      </c>
      <c r="K329" s="1">
        <v>0</v>
      </c>
      <c r="L329" s="1">
        <v>0</v>
      </c>
      <c r="M329" s="1">
        <v>1</v>
      </c>
      <c r="N329" s="1">
        <v>1</v>
      </c>
      <c r="O329" s="39">
        <f t="shared" si="14"/>
        <v>3450.1767500000001</v>
      </c>
      <c r="P329" s="39">
        <v>1725.088375</v>
      </c>
      <c r="T329" s="36">
        <v>1</v>
      </c>
      <c r="U329" s="36" t="s">
        <v>798</v>
      </c>
      <c r="V329" s="36">
        <v>1000</v>
      </c>
      <c r="X329" s="2" t="s">
        <v>785</v>
      </c>
      <c r="Y329" s="1">
        <f>VLOOKUP($A329,Sheet1!C18:M105,2,FALSE)</f>
        <v>0</v>
      </c>
      <c r="Z329" s="1">
        <f>VLOOKUP($A329,Sheet1!$C$4:$M$91,3,FALSE)</f>
        <v>0</v>
      </c>
      <c r="AA329" s="1">
        <f>VLOOKUP($A329,Sheet1!$C$4:$M$91,4,FALSE)</f>
        <v>0</v>
      </c>
      <c r="AB329" s="1">
        <v>0</v>
      </c>
      <c r="AC329" s="1">
        <v>0</v>
      </c>
      <c r="AD329" s="1">
        <v>0</v>
      </c>
      <c r="AE329" s="1">
        <f>VLOOKUP($A329,Sheet1!$C$4:$M$91,5,FALSE)</f>
        <v>0</v>
      </c>
      <c r="AF329" s="1">
        <f>VLOOKUP($A329,Sheet1!$C$4:$M$91,6,FALSE)</f>
        <v>55</v>
      </c>
      <c r="AG329" s="1">
        <f>VLOOKUP($A329,Sheet1!$C$4:$M$91,8,FALSE)</f>
        <v>0</v>
      </c>
      <c r="AH329" s="1">
        <f>VLOOKUP($A329,Sheet1!$C$4:$M$91,7,FALSE)</f>
        <v>0</v>
      </c>
      <c r="AI329" s="1">
        <v>8</v>
      </c>
      <c r="AJ329" s="34" t="s">
        <v>1201</v>
      </c>
      <c r="AK329" s="1" t="s">
        <v>636</v>
      </c>
    </row>
    <row r="330" spans="1:37" x14ac:dyDescent="0.15">
      <c r="A330" s="13" t="s">
        <v>199</v>
      </c>
      <c r="B330" s="1">
        <v>3115</v>
      </c>
      <c r="C330" s="14" t="s">
        <v>199</v>
      </c>
      <c r="D330" s="1">
        <v>4</v>
      </c>
      <c r="E330" s="1">
        <v>0</v>
      </c>
      <c r="F330" s="1">
        <v>0</v>
      </c>
      <c r="H330" s="1" t="s">
        <v>1560</v>
      </c>
      <c r="I330" s="1">
        <v>1</v>
      </c>
      <c r="J330" s="1">
        <v>0</v>
      </c>
      <c r="K330" s="1">
        <v>0</v>
      </c>
      <c r="L330" s="1">
        <v>0</v>
      </c>
      <c r="M330" s="1">
        <v>1</v>
      </c>
      <c r="N330" s="1">
        <v>1</v>
      </c>
      <c r="O330" s="39">
        <f t="shared" si="14"/>
        <v>5844.1663669921872</v>
      </c>
      <c r="P330" s="39">
        <v>2922.0831834960936</v>
      </c>
      <c r="T330" s="36" t="s">
        <v>801</v>
      </c>
      <c r="U330" s="36" t="s">
        <v>798</v>
      </c>
      <c r="V330" s="36">
        <v>902</v>
      </c>
      <c r="X330" s="2" t="s">
        <v>785</v>
      </c>
      <c r="Y330" s="1">
        <f>VLOOKUP($A330,Sheet1!C19:M106,2,FALSE)</f>
        <v>0</v>
      </c>
      <c r="Z330" s="1">
        <f>VLOOKUP($A330,Sheet1!$C$4:$M$91,3,FALSE)</f>
        <v>0</v>
      </c>
      <c r="AA330" s="1">
        <f>VLOOKUP($A330,Sheet1!$C$4:$M$91,4,FALSE)</f>
        <v>160</v>
      </c>
      <c r="AB330" s="1">
        <v>0</v>
      </c>
      <c r="AC330" s="1">
        <v>0</v>
      </c>
      <c r="AD330" s="1">
        <v>0</v>
      </c>
      <c r="AE330" s="1">
        <f>VLOOKUP($A330,Sheet1!$C$4:$M$91,5,FALSE)</f>
        <v>0</v>
      </c>
      <c r="AF330" s="1">
        <f>VLOOKUP($A330,Sheet1!$C$4:$M$91,6,FALSE)</f>
        <v>0</v>
      </c>
      <c r="AG330" s="1">
        <f>VLOOKUP($A330,Sheet1!$C$4:$M$91,8,FALSE)</f>
        <v>0</v>
      </c>
      <c r="AH330" s="1">
        <f>VLOOKUP($A330,Sheet1!$C$4:$M$91,7,FALSE)</f>
        <v>0</v>
      </c>
      <c r="AI330" s="1">
        <v>0</v>
      </c>
      <c r="AJ330" s="35" t="s">
        <v>1568</v>
      </c>
      <c r="AK330" s="1" t="s">
        <v>1370</v>
      </c>
    </row>
    <row r="331" spans="1:37" x14ac:dyDescent="0.15">
      <c r="A331" s="13" t="s">
        <v>200</v>
      </c>
      <c r="B331" s="1">
        <v>3116</v>
      </c>
      <c r="C331" s="14" t="s">
        <v>257</v>
      </c>
      <c r="D331" s="1">
        <v>4</v>
      </c>
      <c r="E331" s="1">
        <v>0</v>
      </c>
      <c r="F331" s="1">
        <v>0</v>
      </c>
      <c r="H331" s="1" t="s">
        <v>1563</v>
      </c>
      <c r="I331" s="1">
        <v>1</v>
      </c>
      <c r="J331" s="1">
        <v>0</v>
      </c>
      <c r="K331" s="1">
        <v>0</v>
      </c>
      <c r="L331" s="1">
        <v>0</v>
      </c>
      <c r="M331" s="1">
        <v>1</v>
      </c>
      <c r="N331" s="1">
        <v>1</v>
      </c>
      <c r="O331" s="39">
        <f t="shared" si="14"/>
        <v>3572.7773232421869</v>
      </c>
      <c r="P331" s="39">
        <v>1786.3886616210934</v>
      </c>
      <c r="T331" s="36" t="s">
        <v>801</v>
      </c>
      <c r="U331" s="36" t="s">
        <v>798</v>
      </c>
      <c r="V331" s="36">
        <v>901</v>
      </c>
      <c r="X331" s="2" t="s">
        <v>785</v>
      </c>
      <c r="Y331" s="1">
        <f>VLOOKUP($A331,Sheet1!C20:M107,2,FALSE)</f>
        <v>0</v>
      </c>
      <c r="Z331" s="1">
        <f>VLOOKUP($A331,Sheet1!$C$4:$M$91,3,FALSE)</f>
        <v>50</v>
      </c>
      <c r="AA331" s="1">
        <f>VLOOKUP($A331,Sheet1!$C$4:$M$91,4,FALSE)</f>
        <v>0</v>
      </c>
      <c r="AB331" s="1">
        <v>0</v>
      </c>
      <c r="AC331" s="1">
        <v>0</v>
      </c>
      <c r="AD331" s="1">
        <v>0</v>
      </c>
      <c r="AE331" s="1">
        <f>VLOOKUP($A331,Sheet1!$C$4:$M$91,5,FALSE)</f>
        <v>0</v>
      </c>
      <c r="AF331" s="1">
        <f>VLOOKUP($A331,Sheet1!$C$4:$M$91,6,FALSE)</f>
        <v>0</v>
      </c>
      <c r="AG331" s="1">
        <f>VLOOKUP($A331,Sheet1!$C$4:$M$91,8,FALSE)</f>
        <v>0</v>
      </c>
      <c r="AH331" s="1">
        <f>VLOOKUP($A331,Sheet1!$C$4:$M$91,7,FALSE)</f>
        <v>0</v>
      </c>
      <c r="AI331" s="1">
        <v>0</v>
      </c>
      <c r="AJ331" s="35" t="s">
        <v>1581</v>
      </c>
      <c r="AK331" s="1" t="s">
        <v>1369</v>
      </c>
    </row>
    <row r="332" spans="1:37" x14ac:dyDescent="0.15">
      <c r="A332" s="13" t="s">
        <v>170</v>
      </c>
      <c r="B332" s="1">
        <v>3117</v>
      </c>
      <c r="C332" s="14" t="s">
        <v>261</v>
      </c>
      <c r="D332" s="1">
        <v>4</v>
      </c>
      <c r="E332" s="1">
        <v>0</v>
      </c>
      <c r="F332" s="1">
        <v>0</v>
      </c>
      <c r="H332" s="1" t="s">
        <v>1559</v>
      </c>
      <c r="I332" s="1">
        <v>1</v>
      </c>
      <c r="J332" s="1">
        <v>0</v>
      </c>
      <c r="K332" s="1">
        <v>0</v>
      </c>
      <c r="L332" s="1">
        <v>0</v>
      </c>
      <c r="M332" s="1">
        <v>1</v>
      </c>
      <c r="N332" s="1">
        <v>1</v>
      </c>
      <c r="O332" s="39">
        <f t="shared" si="14"/>
        <v>2481.645278</v>
      </c>
      <c r="P332" s="39">
        <v>1240.822639</v>
      </c>
      <c r="T332" s="36" t="s">
        <v>801</v>
      </c>
      <c r="U332" s="36" t="s">
        <v>798</v>
      </c>
      <c r="V332" s="36">
        <v>900</v>
      </c>
      <c r="X332" s="2" t="s">
        <v>785</v>
      </c>
      <c r="Y332" s="1">
        <f>VLOOKUP($A332,Sheet1!C21:M108,2,FALSE)</f>
        <v>80</v>
      </c>
      <c r="Z332" s="1">
        <f>VLOOKUP($A332,Sheet1!$C$4:$M$91,3,FALSE)</f>
        <v>0</v>
      </c>
      <c r="AA332" s="1">
        <f>VLOOKUP($A332,Sheet1!$C$4:$M$91,4,FALSE)</f>
        <v>0</v>
      </c>
      <c r="AB332" s="1">
        <v>0</v>
      </c>
      <c r="AC332" s="1">
        <v>0</v>
      </c>
      <c r="AD332" s="1">
        <v>0</v>
      </c>
      <c r="AE332" s="1">
        <f>VLOOKUP($A332,Sheet1!$C$4:$M$91,5,FALSE)</f>
        <v>0</v>
      </c>
      <c r="AF332" s="1">
        <f>VLOOKUP($A332,Sheet1!$C$4:$M$91,6,FALSE)</f>
        <v>0</v>
      </c>
      <c r="AG332" s="1">
        <f>VLOOKUP($A332,Sheet1!$C$4:$M$91,8,FALSE)</f>
        <v>0</v>
      </c>
      <c r="AH332" s="1">
        <f>VLOOKUP($A332,Sheet1!$C$4:$M$91,7,FALSE)</f>
        <v>0</v>
      </c>
      <c r="AI332" s="1">
        <v>0</v>
      </c>
      <c r="AJ332" s="34" t="s">
        <v>1204</v>
      </c>
      <c r="AK332" s="1" t="s">
        <v>1343</v>
      </c>
    </row>
    <row r="333" spans="1:37" x14ac:dyDescent="0.15">
      <c r="A333" s="13" t="s">
        <v>201</v>
      </c>
      <c r="B333" s="1">
        <v>3118</v>
      </c>
      <c r="C333" s="14" t="s">
        <v>262</v>
      </c>
      <c r="D333" s="1">
        <v>4</v>
      </c>
      <c r="E333" s="1">
        <v>0</v>
      </c>
      <c r="F333" s="1">
        <v>0</v>
      </c>
      <c r="H333" s="1" t="s">
        <v>1563</v>
      </c>
      <c r="I333" s="1">
        <v>1</v>
      </c>
      <c r="J333" s="1">
        <v>0</v>
      </c>
      <c r="K333" s="1">
        <v>0</v>
      </c>
      <c r="L333" s="1">
        <v>0</v>
      </c>
      <c r="M333" s="1">
        <v>1</v>
      </c>
      <c r="N333" s="1">
        <v>1</v>
      </c>
      <c r="O333" s="39">
        <f t="shared" si="14"/>
        <v>6839.3041919999996</v>
      </c>
      <c r="P333" s="39">
        <v>3419.6520959999998</v>
      </c>
      <c r="T333" s="36" t="s">
        <v>801</v>
      </c>
      <c r="U333" s="36" t="s">
        <v>798</v>
      </c>
      <c r="V333" s="36">
        <v>902</v>
      </c>
      <c r="X333" s="2" t="s">
        <v>785</v>
      </c>
      <c r="Y333" s="1">
        <f>VLOOKUP($A333,Sheet1!C22:M109,2,FALSE)</f>
        <v>0</v>
      </c>
      <c r="Z333" s="1">
        <f>VLOOKUP($A333,Sheet1!$C$4:$M$91,3,FALSE)</f>
        <v>0</v>
      </c>
      <c r="AA333" s="1">
        <f>VLOOKUP($A333,Sheet1!$C$4:$M$91,4,FALSE)</f>
        <v>180</v>
      </c>
      <c r="AB333" s="1">
        <v>0</v>
      </c>
      <c r="AC333" s="1">
        <v>0</v>
      </c>
      <c r="AD333" s="1">
        <v>0</v>
      </c>
      <c r="AE333" s="1">
        <f>VLOOKUP($A333,Sheet1!$C$4:$M$91,5,FALSE)</f>
        <v>0</v>
      </c>
      <c r="AF333" s="1">
        <f>VLOOKUP($A333,Sheet1!$C$4:$M$91,6,FALSE)</f>
        <v>0</v>
      </c>
      <c r="AG333" s="1">
        <f>VLOOKUP($A333,Sheet1!$C$4:$M$91,8,FALSE)</f>
        <v>0</v>
      </c>
      <c r="AH333" s="1">
        <f>VLOOKUP($A333,Sheet1!$C$4:$M$91,7,FALSE)</f>
        <v>0</v>
      </c>
      <c r="AI333" s="1">
        <v>0</v>
      </c>
      <c r="AJ333" s="35" t="s">
        <v>1576</v>
      </c>
      <c r="AK333" s="1" t="s">
        <v>1368</v>
      </c>
    </row>
    <row r="334" spans="1:37" x14ac:dyDescent="0.15">
      <c r="A334" s="13" t="s">
        <v>172</v>
      </c>
      <c r="B334" s="1">
        <v>3119</v>
      </c>
      <c r="C334" s="14" t="s">
        <v>264</v>
      </c>
      <c r="D334" s="1">
        <v>4</v>
      </c>
      <c r="E334" s="1">
        <v>0</v>
      </c>
      <c r="F334" s="1">
        <v>0</v>
      </c>
      <c r="H334" s="1">
        <v>24</v>
      </c>
      <c r="I334" s="1">
        <v>1</v>
      </c>
      <c r="J334" s="1">
        <v>0</v>
      </c>
      <c r="K334" s="1">
        <v>0</v>
      </c>
      <c r="L334" s="1">
        <v>0</v>
      </c>
      <c r="M334" s="1">
        <v>1</v>
      </c>
      <c r="N334" s="1">
        <v>1</v>
      </c>
      <c r="O334" s="39">
        <f t="shared" si="14"/>
        <v>3141.4793519999998</v>
      </c>
      <c r="P334" s="39">
        <v>1570.7396759999999</v>
      </c>
      <c r="T334" s="36" t="s">
        <v>801</v>
      </c>
      <c r="U334" s="36" t="s">
        <v>798</v>
      </c>
      <c r="V334" s="36">
        <v>900</v>
      </c>
      <c r="X334" s="2" t="s">
        <v>785</v>
      </c>
      <c r="Y334" s="1">
        <f>VLOOKUP($A334,Sheet1!C23:M110,2,FALSE)</f>
        <v>100</v>
      </c>
      <c r="Z334" s="1">
        <f>VLOOKUP($A334,Sheet1!$C$4:$M$91,3,FALSE)</f>
        <v>0</v>
      </c>
      <c r="AA334" s="1">
        <f>VLOOKUP($A334,Sheet1!$C$4:$M$91,4,FALSE)</f>
        <v>0</v>
      </c>
      <c r="AB334" s="1">
        <v>0</v>
      </c>
      <c r="AC334" s="1">
        <v>0</v>
      </c>
      <c r="AD334" s="1">
        <v>0</v>
      </c>
      <c r="AE334" s="1">
        <f>VLOOKUP($A334,Sheet1!$C$4:$M$91,5,FALSE)</f>
        <v>0</v>
      </c>
      <c r="AF334" s="1">
        <f>VLOOKUP($A334,Sheet1!$C$4:$M$91,6,FALSE)</f>
        <v>0</v>
      </c>
      <c r="AG334" s="1">
        <f>VLOOKUP($A334,Sheet1!$C$4:$M$91,8,FALSE)</f>
        <v>0</v>
      </c>
      <c r="AH334" s="1">
        <f>VLOOKUP($A334,Sheet1!$C$4:$M$91,7,FALSE)</f>
        <v>0</v>
      </c>
      <c r="AI334" s="1">
        <v>0</v>
      </c>
      <c r="AJ334" s="34" t="s">
        <v>1206</v>
      </c>
      <c r="AK334" s="1" t="s">
        <v>1344</v>
      </c>
    </row>
    <row r="335" spans="1:37" x14ac:dyDescent="0.15">
      <c r="A335" s="13" t="s">
        <v>202</v>
      </c>
      <c r="B335" s="1">
        <v>3120</v>
      </c>
      <c r="C335" s="14" t="s">
        <v>265</v>
      </c>
      <c r="D335" s="1">
        <v>4</v>
      </c>
      <c r="E335" s="1">
        <v>0</v>
      </c>
      <c r="F335" s="1">
        <v>0</v>
      </c>
      <c r="H335" s="1" t="s">
        <v>1564</v>
      </c>
      <c r="I335" s="1">
        <v>1</v>
      </c>
      <c r="J335" s="1">
        <v>0</v>
      </c>
      <c r="K335" s="1">
        <v>0</v>
      </c>
      <c r="L335" s="1">
        <v>0</v>
      </c>
      <c r="M335" s="1">
        <v>1</v>
      </c>
      <c r="N335" s="1">
        <v>1</v>
      </c>
      <c r="O335" s="39">
        <f t="shared" si="14"/>
        <v>1193.3804719999998</v>
      </c>
      <c r="P335" s="39">
        <v>596.69023599999991</v>
      </c>
      <c r="T335" s="36">
        <v>1</v>
      </c>
      <c r="U335" s="36" t="s">
        <v>798</v>
      </c>
      <c r="V335" s="36">
        <v>1000</v>
      </c>
      <c r="X335" s="2" t="s">
        <v>785</v>
      </c>
      <c r="Y335" s="1">
        <f>VLOOKUP($A335,Sheet1!C24:M111,2,FALSE)</f>
        <v>0</v>
      </c>
      <c r="Z335" s="1">
        <f>VLOOKUP($A335,Sheet1!$C$4:$M$91,3,FALSE)</f>
        <v>0</v>
      </c>
      <c r="AA335" s="1">
        <f>VLOOKUP($A335,Sheet1!$C$4:$M$91,4,FALSE)</f>
        <v>0</v>
      </c>
      <c r="AB335" s="1">
        <v>0</v>
      </c>
      <c r="AC335" s="1">
        <v>0</v>
      </c>
      <c r="AD335" s="1">
        <v>0</v>
      </c>
      <c r="AE335" s="1">
        <f>VLOOKUP($A335,Sheet1!$C$4:$M$91,5,FALSE)</f>
        <v>0</v>
      </c>
      <c r="AF335" s="1">
        <f>VLOOKUP($A335,Sheet1!$C$4:$M$91,6,FALSE)</f>
        <v>0</v>
      </c>
      <c r="AG335" s="1">
        <f>VLOOKUP($A335,Sheet1!$C$4:$M$91,8,FALSE)</f>
        <v>0</v>
      </c>
      <c r="AH335" s="1">
        <f>VLOOKUP($A335,Sheet1!$C$4:$M$91,7,FALSE)</f>
        <v>10</v>
      </c>
      <c r="AI335" s="1">
        <v>8</v>
      </c>
      <c r="AJ335" s="34" t="s">
        <v>1207</v>
      </c>
      <c r="AK335" s="1" t="s">
        <v>636</v>
      </c>
    </row>
    <row r="336" spans="1:37" x14ac:dyDescent="0.15">
      <c r="A336" s="13" t="s">
        <v>185</v>
      </c>
      <c r="B336" s="1">
        <v>3121</v>
      </c>
      <c r="C336" s="14" t="s">
        <v>266</v>
      </c>
      <c r="D336" s="1">
        <v>4</v>
      </c>
      <c r="E336" s="1">
        <v>0</v>
      </c>
      <c r="F336" s="1">
        <v>0</v>
      </c>
      <c r="G336" s="1">
        <v>5005</v>
      </c>
      <c r="H336" s="1" t="s">
        <v>1565</v>
      </c>
      <c r="I336" s="1">
        <v>1</v>
      </c>
      <c r="J336" s="1">
        <v>0</v>
      </c>
      <c r="K336" s="1">
        <v>0</v>
      </c>
      <c r="L336" s="1">
        <v>0</v>
      </c>
      <c r="M336" s="1">
        <v>1</v>
      </c>
      <c r="N336" s="1">
        <v>1</v>
      </c>
      <c r="O336" s="39">
        <f t="shared" si="14"/>
        <v>584.9978880000001</v>
      </c>
      <c r="P336" s="39">
        <v>292.49894400000005</v>
      </c>
      <c r="T336" s="36">
        <v>1</v>
      </c>
      <c r="U336" s="36" t="s">
        <v>798</v>
      </c>
      <c r="V336" s="36">
        <v>1000</v>
      </c>
      <c r="X336" s="2" t="s">
        <v>785</v>
      </c>
      <c r="Y336" s="1">
        <f>VLOOKUP($A336,Sheet1!C25:M112,2,FALSE)</f>
        <v>0</v>
      </c>
      <c r="Z336" s="1">
        <f>VLOOKUP($A336,Sheet1!$C$4:$M$91,3,FALSE)</f>
        <v>0</v>
      </c>
      <c r="AA336" s="1">
        <f>VLOOKUP($A336,Sheet1!$C$4:$M$91,4,FALSE)</f>
        <v>0</v>
      </c>
      <c r="AB336" s="1">
        <v>0</v>
      </c>
      <c r="AC336" s="1">
        <v>0</v>
      </c>
      <c r="AD336" s="1">
        <v>0</v>
      </c>
      <c r="AE336" s="1">
        <f>VLOOKUP($A336,Sheet1!$C$4:$M$91,5,FALSE)</f>
        <v>0</v>
      </c>
      <c r="AF336" s="1">
        <f>VLOOKUP($A336,Sheet1!$C$4:$M$91,6,FALSE)</f>
        <v>0</v>
      </c>
      <c r="AG336" s="1">
        <f>VLOOKUP($A336,Sheet1!$C$4:$M$91,8,FALSE)</f>
        <v>15</v>
      </c>
      <c r="AH336" s="1">
        <f>VLOOKUP($A336,Sheet1!$C$4:$M$91,7,FALSE)</f>
        <v>0</v>
      </c>
      <c r="AI336" s="1">
        <v>8</v>
      </c>
      <c r="AJ336" s="34" t="s">
        <v>1208</v>
      </c>
      <c r="AK336" s="1" t="s">
        <v>636</v>
      </c>
    </row>
    <row r="337" spans="1:37" x14ac:dyDescent="0.15">
      <c r="A337" s="13" t="s">
        <v>168</v>
      </c>
      <c r="B337" s="1">
        <v>3122</v>
      </c>
      <c r="C337" s="14" t="s">
        <v>168</v>
      </c>
      <c r="D337" s="1">
        <v>4</v>
      </c>
      <c r="E337" s="1">
        <v>0</v>
      </c>
      <c r="F337" s="1">
        <v>0</v>
      </c>
      <c r="G337" s="1">
        <v>5005</v>
      </c>
      <c r="H337" s="1" t="s">
        <v>1565</v>
      </c>
      <c r="I337" s="1">
        <v>1</v>
      </c>
      <c r="J337" s="1">
        <v>0</v>
      </c>
      <c r="K337" s="1">
        <v>0</v>
      </c>
      <c r="L337" s="1">
        <v>0</v>
      </c>
      <c r="M337" s="1">
        <v>1</v>
      </c>
      <c r="N337" s="1">
        <v>1</v>
      </c>
      <c r="O337" s="39">
        <f t="shared" si="14"/>
        <v>1234.7761919999998</v>
      </c>
      <c r="P337" s="39">
        <v>617.3880959999999</v>
      </c>
      <c r="T337" s="36">
        <v>1</v>
      </c>
      <c r="U337" s="36" t="s">
        <v>798</v>
      </c>
      <c r="V337" s="36">
        <v>1000</v>
      </c>
      <c r="X337" s="2" t="s">
        <v>785</v>
      </c>
      <c r="Y337" s="1">
        <f>VLOOKUP($A337,Sheet1!C26:M113,2,FALSE)</f>
        <v>0</v>
      </c>
      <c r="Z337" s="1">
        <f>VLOOKUP($A337,Sheet1!$C$4:$M$91,3,FALSE)</f>
        <v>0</v>
      </c>
      <c r="AA337" s="1">
        <f>VLOOKUP($A337,Sheet1!$C$4:$M$91,4,FALSE)</f>
        <v>0</v>
      </c>
      <c r="AB337" s="1">
        <v>0</v>
      </c>
      <c r="AC337" s="1">
        <v>0</v>
      </c>
      <c r="AD337" s="1">
        <v>0</v>
      </c>
      <c r="AE337" s="1">
        <f>VLOOKUP($A337,Sheet1!$C$4:$M$91,5,FALSE)</f>
        <v>0</v>
      </c>
      <c r="AF337" s="1">
        <f>VLOOKUP($A337,Sheet1!$C$4:$M$91,6,FALSE)</f>
        <v>0</v>
      </c>
      <c r="AG337" s="1">
        <f>VLOOKUP($A337,Sheet1!$C$4:$M$91,8,FALSE)</f>
        <v>20</v>
      </c>
      <c r="AH337" s="1">
        <f>VLOOKUP($A337,Sheet1!$C$4:$M$91,7,FALSE)</f>
        <v>0</v>
      </c>
      <c r="AI337" s="1">
        <v>8</v>
      </c>
      <c r="AJ337" s="34" t="s">
        <v>1209</v>
      </c>
      <c r="AK337" s="1" t="s">
        <v>636</v>
      </c>
    </row>
    <row r="338" spans="1:37" x14ac:dyDescent="0.15">
      <c r="A338" s="13" t="s">
        <v>175</v>
      </c>
      <c r="B338" s="1">
        <v>3123</v>
      </c>
      <c r="C338" s="14" t="s">
        <v>175</v>
      </c>
      <c r="D338" s="1">
        <v>4</v>
      </c>
      <c r="E338" s="1">
        <v>0</v>
      </c>
      <c r="F338" s="1">
        <v>0</v>
      </c>
      <c r="G338" s="1">
        <v>5005</v>
      </c>
      <c r="H338" s="1" t="s">
        <v>1565</v>
      </c>
      <c r="I338" s="1">
        <v>1</v>
      </c>
      <c r="J338" s="1">
        <v>0</v>
      </c>
      <c r="K338" s="1">
        <v>0</v>
      </c>
      <c r="L338" s="1">
        <v>0</v>
      </c>
      <c r="M338" s="1">
        <v>1</v>
      </c>
      <c r="N338" s="1">
        <v>1</v>
      </c>
      <c r="O338" s="39">
        <f t="shared" si="14"/>
        <v>3090.9880319999997</v>
      </c>
      <c r="P338" s="39">
        <v>1545.4940159999999</v>
      </c>
      <c r="T338" s="36">
        <v>1</v>
      </c>
      <c r="U338" s="36" t="s">
        <v>798</v>
      </c>
      <c r="V338" s="36">
        <v>1000</v>
      </c>
      <c r="X338" s="2" t="s">
        <v>785</v>
      </c>
      <c r="Y338" s="1">
        <f>VLOOKUP($A338,Sheet1!C27:M114,2,FALSE)</f>
        <v>0</v>
      </c>
      <c r="Z338" s="1">
        <f>VLOOKUP($A338,Sheet1!$C$4:$M$91,3,FALSE)</f>
        <v>0</v>
      </c>
      <c r="AA338" s="1">
        <f>VLOOKUP($A338,Sheet1!$C$4:$M$91,4,FALSE)</f>
        <v>0</v>
      </c>
      <c r="AB338" s="1">
        <v>0</v>
      </c>
      <c r="AC338" s="1">
        <v>0</v>
      </c>
      <c r="AD338" s="1">
        <v>0</v>
      </c>
      <c r="AE338" s="1">
        <f>VLOOKUP($A338,Sheet1!$C$4:$M$91,5,FALSE)</f>
        <v>0</v>
      </c>
      <c r="AF338" s="1">
        <f>VLOOKUP($A338,Sheet1!$C$4:$M$91,6,FALSE)</f>
        <v>0</v>
      </c>
      <c r="AG338" s="1">
        <f>VLOOKUP($A338,Sheet1!$C$4:$M$91,8,FALSE)</f>
        <v>26</v>
      </c>
      <c r="AH338" s="1">
        <f>VLOOKUP($A338,Sheet1!$C$4:$M$91,7,FALSE)</f>
        <v>0</v>
      </c>
      <c r="AI338" s="1">
        <v>8</v>
      </c>
      <c r="AJ338" s="35" t="s">
        <v>1582</v>
      </c>
      <c r="AK338" s="1" t="s">
        <v>636</v>
      </c>
    </row>
    <row r="339" spans="1:37" x14ac:dyDescent="0.15">
      <c r="A339" s="13" t="s">
        <v>177</v>
      </c>
      <c r="B339" s="1">
        <v>3124</v>
      </c>
      <c r="C339" s="14" t="s">
        <v>177</v>
      </c>
      <c r="D339" s="1">
        <v>4</v>
      </c>
      <c r="E339" s="1">
        <v>0</v>
      </c>
      <c r="F339" s="1">
        <v>0</v>
      </c>
      <c r="G339" s="1">
        <v>5005</v>
      </c>
      <c r="H339" s="1" t="s">
        <v>1565</v>
      </c>
      <c r="I339" s="1">
        <v>1</v>
      </c>
      <c r="J339" s="1">
        <v>0</v>
      </c>
      <c r="K339" s="1">
        <v>0</v>
      </c>
      <c r="L339" s="1">
        <v>0</v>
      </c>
      <c r="M339" s="1">
        <v>1</v>
      </c>
      <c r="N339" s="1">
        <v>1</v>
      </c>
      <c r="O339" s="39">
        <f t="shared" si="14"/>
        <v>2492.6436874999995</v>
      </c>
      <c r="P339" s="39">
        <v>1246.3218437499997</v>
      </c>
      <c r="T339" s="36">
        <v>1</v>
      </c>
      <c r="U339" s="36" t="s">
        <v>798</v>
      </c>
      <c r="V339" s="36">
        <v>1000</v>
      </c>
      <c r="X339" s="2" t="s">
        <v>785</v>
      </c>
      <c r="Y339" s="1">
        <f>VLOOKUP($A339,Sheet1!C28:M115,2,FALSE)</f>
        <v>0</v>
      </c>
      <c r="Z339" s="1">
        <f>VLOOKUP($A339,Sheet1!$C$4:$M$91,3,FALSE)</f>
        <v>0</v>
      </c>
      <c r="AA339" s="1">
        <f>VLOOKUP($A339,Sheet1!$C$4:$M$91,4,FALSE)</f>
        <v>0</v>
      </c>
      <c r="AB339" s="1">
        <v>0</v>
      </c>
      <c r="AC339" s="1">
        <v>0</v>
      </c>
      <c r="AD339" s="1">
        <v>0</v>
      </c>
      <c r="AE339" s="1">
        <f>VLOOKUP($A339,Sheet1!$C$4:$M$91,5,FALSE)</f>
        <v>0</v>
      </c>
      <c r="AF339" s="1">
        <f>VLOOKUP($A339,Sheet1!$C$4:$M$91,6,FALSE)</f>
        <v>0</v>
      </c>
      <c r="AG339" s="1">
        <f>VLOOKUP($A339,Sheet1!$C$4:$M$91,8,FALSE)</f>
        <v>25</v>
      </c>
      <c r="AH339" s="1">
        <f>VLOOKUP($A339,Sheet1!$C$4:$M$91,7,FALSE)</f>
        <v>0</v>
      </c>
      <c r="AI339" s="1">
        <v>8</v>
      </c>
      <c r="AJ339" s="34" t="s">
        <v>1211</v>
      </c>
      <c r="AK339" s="1" t="s">
        <v>636</v>
      </c>
    </row>
    <row r="340" spans="1:37" x14ac:dyDescent="0.15">
      <c r="A340" s="13" t="s">
        <v>179</v>
      </c>
      <c r="B340" s="1">
        <v>3125</v>
      </c>
      <c r="C340" s="14" t="s">
        <v>179</v>
      </c>
      <c r="D340" s="1">
        <v>4</v>
      </c>
      <c r="E340" s="1">
        <v>0</v>
      </c>
      <c r="F340" s="1">
        <v>0</v>
      </c>
      <c r="G340" s="1" t="s">
        <v>1851</v>
      </c>
      <c r="H340" s="1" t="s">
        <v>1565</v>
      </c>
      <c r="I340" s="1">
        <v>1</v>
      </c>
      <c r="J340" s="1">
        <v>0</v>
      </c>
      <c r="K340" s="1">
        <v>0</v>
      </c>
      <c r="L340" s="1">
        <v>0</v>
      </c>
      <c r="M340" s="1">
        <v>1</v>
      </c>
      <c r="N340" s="1">
        <v>1</v>
      </c>
      <c r="O340" s="39">
        <f t="shared" si="14"/>
        <v>3116.4498480000002</v>
      </c>
      <c r="P340" s="39">
        <v>1558.2249240000001</v>
      </c>
      <c r="T340" s="36">
        <v>1</v>
      </c>
      <c r="U340" s="36" t="s">
        <v>798</v>
      </c>
      <c r="V340" s="36">
        <v>1000</v>
      </c>
      <c r="X340" s="2" t="s">
        <v>785</v>
      </c>
      <c r="Y340" s="1">
        <f>VLOOKUP($A340,Sheet1!C29:M116,2,FALSE)</f>
        <v>0</v>
      </c>
      <c r="Z340" s="1">
        <f>VLOOKUP($A340,Sheet1!$C$4:$M$91,3,FALSE)</f>
        <v>0</v>
      </c>
      <c r="AA340" s="1">
        <f>VLOOKUP($A340,Sheet1!$C$4:$M$91,4,FALSE)</f>
        <v>0</v>
      </c>
      <c r="AB340" s="1">
        <v>0</v>
      </c>
      <c r="AC340" s="1">
        <v>0</v>
      </c>
      <c r="AD340" s="1">
        <v>0</v>
      </c>
      <c r="AE340" s="1">
        <f>VLOOKUP($A340,Sheet1!$C$4:$M$91,5,FALSE)</f>
        <v>0</v>
      </c>
      <c r="AF340" s="1">
        <f>VLOOKUP($A340,Sheet1!$C$4:$M$91,6,FALSE)</f>
        <v>0</v>
      </c>
      <c r="AG340" s="1">
        <f>VLOOKUP($A340,Sheet1!$C$4:$M$91,8,FALSE)</f>
        <v>28</v>
      </c>
      <c r="AH340" s="1">
        <f>VLOOKUP($A340,Sheet1!$C$4:$M$91,7,FALSE)</f>
        <v>0</v>
      </c>
      <c r="AI340" s="1">
        <v>8</v>
      </c>
      <c r="AJ340" s="34" t="s">
        <v>1212</v>
      </c>
      <c r="AK340" s="1" t="s">
        <v>636</v>
      </c>
    </row>
    <row r="341" spans="1:37" x14ac:dyDescent="0.15">
      <c r="A341" s="13" t="s">
        <v>180</v>
      </c>
      <c r="B341" s="1">
        <v>3126</v>
      </c>
      <c r="C341" s="14" t="s">
        <v>180</v>
      </c>
      <c r="D341" s="1">
        <v>4</v>
      </c>
      <c r="E341" s="1">
        <v>0</v>
      </c>
      <c r="F341" s="1">
        <v>0</v>
      </c>
      <c r="G341" s="1">
        <v>5005</v>
      </c>
      <c r="H341" s="1" t="s">
        <v>1565</v>
      </c>
      <c r="I341" s="1">
        <v>1</v>
      </c>
      <c r="J341" s="1">
        <v>0</v>
      </c>
      <c r="K341" s="1">
        <v>0</v>
      </c>
      <c r="L341" s="1">
        <v>0</v>
      </c>
      <c r="M341" s="1">
        <v>1</v>
      </c>
      <c r="N341" s="1">
        <v>1</v>
      </c>
      <c r="O341" s="39">
        <f t="shared" si="14"/>
        <v>3116.4498480000007</v>
      </c>
      <c r="P341" s="39">
        <v>1558.2249240000003</v>
      </c>
      <c r="T341" s="36">
        <v>1</v>
      </c>
      <c r="U341" s="36" t="s">
        <v>798</v>
      </c>
      <c r="V341" s="36">
        <v>1000</v>
      </c>
      <c r="X341" s="2" t="s">
        <v>785</v>
      </c>
      <c r="Y341" s="1">
        <f>VLOOKUP($A341,Sheet1!C30:M117,2,FALSE)</f>
        <v>0</v>
      </c>
      <c r="Z341" s="1">
        <f>VLOOKUP($A341,Sheet1!$C$4:$M$91,3,FALSE)</f>
        <v>0</v>
      </c>
      <c r="AA341" s="1">
        <f>VLOOKUP($A341,Sheet1!$C$4:$M$91,4,FALSE)</f>
        <v>0</v>
      </c>
      <c r="AB341" s="1">
        <v>0</v>
      </c>
      <c r="AC341" s="1">
        <v>0</v>
      </c>
      <c r="AD341" s="1">
        <v>0</v>
      </c>
      <c r="AE341" s="1">
        <f>VLOOKUP($A341,Sheet1!$C$4:$M$91,5,FALSE)</f>
        <v>0</v>
      </c>
      <c r="AF341" s="1">
        <f>VLOOKUP($A341,Sheet1!$C$4:$M$91,6,FALSE)</f>
        <v>0</v>
      </c>
      <c r="AG341" s="1">
        <f>VLOOKUP($A341,Sheet1!$C$4:$M$91,8,FALSE)</f>
        <v>28</v>
      </c>
      <c r="AH341" s="1">
        <f>VLOOKUP($A341,Sheet1!$C$4:$M$91,7,FALSE)</f>
        <v>0</v>
      </c>
      <c r="AI341" s="1">
        <v>8</v>
      </c>
      <c r="AJ341" s="34" t="s">
        <v>1213</v>
      </c>
      <c r="AK341" s="1" t="s">
        <v>636</v>
      </c>
    </row>
    <row r="342" spans="1:37" x14ac:dyDescent="0.15">
      <c r="A342" s="13" t="s">
        <v>203</v>
      </c>
      <c r="B342" s="1">
        <v>3127</v>
      </c>
      <c r="C342" s="14" t="s">
        <v>263</v>
      </c>
      <c r="D342" s="1">
        <v>4</v>
      </c>
      <c r="E342" s="1">
        <v>0</v>
      </c>
      <c r="F342" s="1">
        <v>0</v>
      </c>
      <c r="G342" s="1">
        <v>5005</v>
      </c>
      <c r="H342" s="1" t="s">
        <v>1564</v>
      </c>
      <c r="I342" s="1">
        <v>1</v>
      </c>
      <c r="J342" s="1">
        <v>0</v>
      </c>
      <c r="K342" s="1">
        <v>0</v>
      </c>
      <c r="L342" s="1">
        <v>0</v>
      </c>
      <c r="M342" s="1">
        <v>1</v>
      </c>
      <c r="N342" s="1">
        <v>1</v>
      </c>
      <c r="O342" s="39">
        <f t="shared" si="14"/>
        <v>1788.3977520000001</v>
      </c>
      <c r="P342" s="39">
        <v>894.19887600000004</v>
      </c>
      <c r="T342" s="36">
        <v>1</v>
      </c>
      <c r="U342" s="36" t="s">
        <v>798</v>
      </c>
      <c r="V342" s="36">
        <v>1000</v>
      </c>
      <c r="X342" s="2" t="s">
        <v>785</v>
      </c>
      <c r="Y342" s="1">
        <f>VLOOKUP($A342,Sheet1!C31:M118,2,FALSE)</f>
        <v>0</v>
      </c>
      <c r="Z342" s="1">
        <f>VLOOKUP($A342,Sheet1!$C$4:$M$91,3,FALSE)</f>
        <v>0</v>
      </c>
      <c r="AA342" s="1">
        <f>VLOOKUP($A342,Sheet1!$C$4:$M$91,4,FALSE)</f>
        <v>0</v>
      </c>
      <c r="AB342" s="1">
        <v>0</v>
      </c>
      <c r="AC342" s="1">
        <v>0</v>
      </c>
      <c r="AD342" s="1">
        <v>0</v>
      </c>
      <c r="AE342" s="1">
        <f>VLOOKUP($A342,Sheet1!$C$4:$M$91,5,FALSE)</f>
        <v>0</v>
      </c>
      <c r="AF342" s="1">
        <f>VLOOKUP($A342,Sheet1!$C$4:$M$91,6,FALSE)</f>
        <v>0</v>
      </c>
      <c r="AG342" s="1">
        <f>VLOOKUP($A342,Sheet1!$C$4:$M$91,8,FALSE)</f>
        <v>0</v>
      </c>
      <c r="AH342" s="1">
        <f>VLOOKUP($A342,Sheet1!$C$4:$M$91,7,FALSE)</f>
        <v>15</v>
      </c>
      <c r="AI342" s="1">
        <v>8</v>
      </c>
      <c r="AJ342" s="34" t="s">
        <v>1214</v>
      </c>
      <c r="AK342" s="1" t="s">
        <v>636</v>
      </c>
    </row>
    <row r="343" spans="1:37" x14ac:dyDescent="0.15">
      <c r="A343" s="13" t="s">
        <v>204</v>
      </c>
      <c r="B343" s="1">
        <v>3128</v>
      </c>
      <c r="C343" s="14" t="s">
        <v>267</v>
      </c>
      <c r="D343" s="1">
        <v>4</v>
      </c>
      <c r="E343" s="1">
        <v>0</v>
      </c>
      <c r="F343" s="1">
        <v>0</v>
      </c>
      <c r="H343" s="1">
        <v>24</v>
      </c>
      <c r="I343" s="1">
        <v>1</v>
      </c>
      <c r="J343" s="1">
        <v>0</v>
      </c>
      <c r="K343" s="1">
        <v>0</v>
      </c>
      <c r="L343" s="1">
        <v>0</v>
      </c>
      <c r="M343" s="1">
        <v>1</v>
      </c>
      <c r="N343" s="1">
        <v>1</v>
      </c>
      <c r="O343" s="39">
        <f t="shared" si="14"/>
        <v>3714.1093680000004</v>
      </c>
      <c r="P343" s="39">
        <v>1857.0546840000002</v>
      </c>
      <c r="T343" s="36" t="s">
        <v>801</v>
      </c>
      <c r="U343" s="36" t="s">
        <v>798</v>
      </c>
      <c r="V343" s="36">
        <v>900</v>
      </c>
      <c r="X343" s="2" t="s">
        <v>785</v>
      </c>
      <c r="Y343" s="1">
        <f>VLOOKUP($A343,Sheet1!C32:M119,2,FALSE)</f>
        <v>140</v>
      </c>
      <c r="Z343" s="1">
        <f>VLOOKUP($A343,Sheet1!$C$4:$M$91,3,FALSE)</f>
        <v>0</v>
      </c>
      <c r="AA343" s="1">
        <f>VLOOKUP($A343,Sheet1!$C$4:$M$91,4,FALSE)</f>
        <v>0</v>
      </c>
      <c r="AB343" s="1">
        <v>0</v>
      </c>
      <c r="AC343" s="1">
        <v>0</v>
      </c>
      <c r="AD343" s="1">
        <v>0</v>
      </c>
      <c r="AE343" s="1">
        <f>VLOOKUP($A343,Sheet1!$C$4:$M$91,5,FALSE)</f>
        <v>0</v>
      </c>
      <c r="AF343" s="1">
        <f>VLOOKUP($A343,Sheet1!$C$4:$M$91,6,FALSE)</f>
        <v>0</v>
      </c>
      <c r="AG343" s="1">
        <f>VLOOKUP($A343,Sheet1!$C$4:$M$91,8,FALSE)</f>
        <v>0</v>
      </c>
      <c r="AH343" s="1">
        <f>VLOOKUP($A343,Sheet1!$C$4:$M$91,7,FALSE)</f>
        <v>0</v>
      </c>
      <c r="AI343" s="1">
        <v>0</v>
      </c>
      <c r="AJ343" s="34" t="s">
        <v>1215</v>
      </c>
      <c r="AK343" s="1" t="s">
        <v>1345</v>
      </c>
    </row>
    <row r="344" spans="1:37" x14ac:dyDescent="0.15">
      <c r="A344" s="13" t="s">
        <v>181</v>
      </c>
      <c r="B344" s="1">
        <v>3129</v>
      </c>
      <c r="C344" s="14" t="s">
        <v>181</v>
      </c>
      <c r="D344" s="1">
        <v>4</v>
      </c>
      <c r="E344" s="1">
        <v>0</v>
      </c>
      <c r="F344" s="1">
        <v>0</v>
      </c>
      <c r="G344" s="1">
        <v>5005</v>
      </c>
      <c r="H344" s="1" t="s">
        <v>1564</v>
      </c>
      <c r="I344" s="1">
        <v>1</v>
      </c>
      <c r="J344" s="1">
        <v>0</v>
      </c>
      <c r="K344" s="1">
        <v>0</v>
      </c>
      <c r="L344" s="1">
        <v>0</v>
      </c>
      <c r="M344" s="1">
        <v>1</v>
      </c>
      <c r="N344" s="1">
        <v>1</v>
      </c>
      <c r="O344" s="39">
        <f t="shared" si="14"/>
        <v>3116.4498480000007</v>
      </c>
      <c r="P344" s="39">
        <v>1558.2249240000003</v>
      </c>
      <c r="T344" s="36">
        <v>1</v>
      </c>
      <c r="U344" s="36" t="s">
        <v>798</v>
      </c>
      <c r="V344" s="36">
        <v>1000</v>
      </c>
      <c r="X344" s="2" t="s">
        <v>785</v>
      </c>
      <c r="Y344" s="1">
        <f>VLOOKUP($A344,Sheet1!C33:M120,2,FALSE)</f>
        <v>0</v>
      </c>
      <c r="Z344" s="1">
        <f>VLOOKUP($A344,Sheet1!$C$4:$M$91,3,FALSE)</f>
        <v>0</v>
      </c>
      <c r="AA344" s="1">
        <f>VLOOKUP($A344,Sheet1!$C$4:$M$91,4,FALSE)</f>
        <v>0</v>
      </c>
      <c r="AB344" s="1">
        <v>0</v>
      </c>
      <c r="AC344" s="1">
        <v>0</v>
      </c>
      <c r="AD344" s="1">
        <v>0</v>
      </c>
      <c r="AE344" s="1">
        <f>VLOOKUP($A344,Sheet1!$C$4:$M$91,5,FALSE)</f>
        <v>0</v>
      </c>
      <c r="AF344" s="1">
        <f>VLOOKUP($A344,Sheet1!$C$4:$M$91,6,FALSE)</f>
        <v>0</v>
      </c>
      <c r="AG344" s="1">
        <f>VLOOKUP($A344,Sheet1!$C$4:$M$91,8,FALSE)</f>
        <v>0</v>
      </c>
      <c r="AH344" s="1">
        <f>VLOOKUP($A344,Sheet1!$C$4:$M$91,7,FALSE)</f>
        <v>35</v>
      </c>
      <c r="AI344" s="1">
        <v>8</v>
      </c>
      <c r="AJ344" s="34" t="s">
        <v>1216</v>
      </c>
      <c r="AK344" s="1" t="s">
        <v>636</v>
      </c>
    </row>
    <row r="345" spans="1:37" x14ac:dyDescent="0.15">
      <c r="A345" s="13" t="s">
        <v>206</v>
      </c>
      <c r="B345" s="1">
        <v>3130</v>
      </c>
      <c r="C345" s="14" t="s">
        <v>206</v>
      </c>
      <c r="D345" s="1">
        <v>4</v>
      </c>
      <c r="E345" s="1">
        <v>0</v>
      </c>
      <c r="F345" s="1">
        <v>0</v>
      </c>
      <c r="G345" s="1" t="s">
        <v>1852</v>
      </c>
      <c r="H345" s="1" t="s">
        <v>1562</v>
      </c>
      <c r="I345" s="1">
        <v>1</v>
      </c>
      <c r="J345" s="1">
        <v>0</v>
      </c>
      <c r="K345" s="1">
        <v>0</v>
      </c>
      <c r="L345" s="1">
        <v>0</v>
      </c>
      <c r="M345" s="1">
        <v>1</v>
      </c>
      <c r="N345" s="1">
        <v>1</v>
      </c>
      <c r="O345" s="39">
        <f t="shared" si="14"/>
        <v>1939.4174</v>
      </c>
      <c r="P345" s="39">
        <v>969.70870000000002</v>
      </c>
      <c r="T345" s="36">
        <v>1</v>
      </c>
      <c r="U345" s="36" t="s">
        <v>798</v>
      </c>
      <c r="V345" s="36">
        <v>1000</v>
      </c>
      <c r="X345" s="2" t="s">
        <v>785</v>
      </c>
      <c r="Y345" s="1">
        <f>VLOOKUP($A345,Sheet1!C34:M121,2,FALSE)</f>
        <v>0</v>
      </c>
      <c r="Z345" s="1">
        <f>VLOOKUP($A345,Sheet1!$C$4:$M$91,3,FALSE)</f>
        <v>0</v>
      </c>
      <c r="AA345" s="1">
        <f>VLOOKUP($A345,Sheet1!$C$4:$M$91,4,FALSE)</f>
        <v>0</v>
      </c>
      <c r="AB345" s="1">
        <v>0</v>
      </c>
      <c r="AC345" s="1">
        <v>0</v>
      </c>
      <c r="AD345" s="1">
        <v>0</v>
      </c>
      <c r="AE345" s="1">
        <f>VLOOKUP($A345,Sheet1!$C$4:$M$91,5,FALSE)</f>
        <v>0</v>
      </c>
      <c r="AF345" s="1">
        <f>VLOOKUP($A345,Sheet1!$C$4:$M$91,6,FALSE)</f>
        <v>0</v>
      </c>
      <c r="AG345" s="1">
        <f>VLOOKUP($A345,Sheet1!$C$4:$M$91,8,FALSE)</f>
        <v>0</v>
      </c>
      <c r="AH345" s="1">
        <f>VLOOKUP($A345,Sheet1!$C$4:$M$91,7,FALSE)</f>
        <v>0</v>
      </c>
      <c r="AI345" s="1">
        <v>0</v>
      </c>
      <c r="AJ345" s="34" t="s">
        <v>1217</v>
      </c>
      <c r="AK345" s="1" t="s">
        <v>636</v>
      </c>
    </row>
    <row r="346" spans="1:37" x14ac:dyDescent="0.15">
      <c r="A346" s="13" t="s">
        <v>207</v>
      </c>
      <c r="B346" s="1">
        <v>3131</v>
      </c>
      <c r="C346" s="14" t="s">
        <v>268</v>
      </c>
      <c r="D346" s="1">
        <v>4</v>
      </c>
      <c r="E346" s="1">
        <v>0</v>
      </c>
      <c r="F346" s="1">
        <v>0</v>
      </c>
      <c r="H346" s="1">
        <v>24</v>
      </c>
      <c r="I346" s="1">
        <v>1</v>
      </c>
      <c r="J346" s="1">
        <v>0</v>
      </c>
      <c r="K346" s="1">
        <v>0</v>
      </c>
      <c r="L346" s="1">
        <v>0</v>
      </c>
      <c r="M346" s="1">
        <v>1</v>
      </c>
      <c r="N346" s="1">
        <v>1</v>
      </c>
      <c r="O346" s="39">
        <f t="shared" si="14"/>
        <v>2869.7725595000002</v>
      </c>
      <c r="P346" s="39">
        <v>1434.8862797500001</v>
      </c>
      <c r="T346" s="36" t="s">
        <v>801</v>
      </c>
      <c r="U346" s="36" t="s">
        <v>798</v>
      </c>
      <c r="V346" s="36">
        <v>900</v>
      </c>
      <c r="X346" s="2" t="s">
        <v>785</v>
      </c>
      <c r="Y346" s="1">
        <f>VLOOKUP($A346,Sheet1!C35:M122,2,FALSE)</f>
        <v>90</v>
      </c>
      <c r="Z346" s="1">
        <f>VLOOKUP($A346,Sheet1!$C$4:$M$91,3,FALSE)</f>
        <v>0</v>
      </c>
      <c r="AA346" s="1">
        <f>VLOOKUP($A346,Sheet1!$C$4:$M$91,4,FALSE)</f>
        <v>0</v>
      </c>
      <c r="AB346" s="1">
        <v>0</v>
      </c>
      <c r="AC346" s="1">
        <v>0</v>
      </c>
      <c r="AD346" s="1">
        <v>0</v>
      </c>
      <c r="AE346" s="1">
        <f>VLOOKUP($A346,Sheet1!$C$4:$M$91,5,FALSE)</f>
        <v>0</v>
      </c>
      <c r="AF346" s="1">
        <f>VLOOKUP($A346,Sheet1!$C$4:$M$91,6,FALSE)</f>
        <v>0</v>
      </c>
      <c r="AG346" s="1">
        <f>VLOOKUP($A346,Sheet1!$C$4:$M$91,8,FALSE)</f>
        <v>0</v>
      </c>
      <c r="AH346" s="1">
        <f>VLOOKUP($A346,Sheet1!$C$4:$M$91,7,FALSE)</f>
        <v>0</v>
      </c>
      <c r="AI346" s="1">
        <v>0</v>
      </c>
      <c r="AJ346" s="34" t="s">
        <v>1218</v>
      </c>
      <c r="AK346" s="1" t="s">
        <v>1346</v>
      </c>
    </row>
    <row r="347" spans="1:37" ht="27" x14ac:dyDescent="0.15">
      <c r="A347" s="13" t="s">
        <v>183</v>
      </c>
      <c r="B347" s="1">
        <v>3132</v>
      </c>
      <c r="C347" s="14" t="s">
        <v>269</v>
      </c>
      <c r="D347" s="1">
        <v>4</v>
      </c>
      <c r="E347" s="1">
        <v>0</v>
      </c>
      <c r="F347" s="1">
        <v>0</v>
      </c>
      <c r="H347" s="1" t="s">
        <v>1560</v>
      </c>
      <c r="I347" s="1">
        <v>1</v>
      </c>
      <c r="J347" s="1">
        <v>0</v>
      </c>
      <c r="K347" s="1">
        <v>0</v>
      </c>
      <c r="L347" s="1">
        <v>0</v>
      </c>
      <c r="M347" s="1">
        <v>1</v>
      </c>
      <c r="N347" s="1">
        <v>1</v>
      </c>
      <c r="O347" s="39">
        <f t="shared" si="14"/>
        <v>3285.1616044921871</v>
      </c>
      <c r="P347" s="39">
        <v>1642.5808022460935</v>
      </c>
      <c r="T347" s="36" t="s">
        <v>801</v>
      </c>
      <c r="U347" s="36" t="s">
        <v>798</v>
      </c>
      <c r="V347" s="36">
        <v>904</v>
      </c>
      <c r="X347" s="2" t="s">
        <v>785</v>
      </c>
      <c r="Y347" s="1">
        <f>VLOOKUP($A347,Sheet1!C35:M123,2,FALSE)</f>
        <v>80</v>
      </c>
      <c r="Z347" s="1">
        <f>VLOOKUP($A347,Sheet1!$C$4:$M$91,3,FALSE)</f>
        <v>30</v>
      </c>
      <c r="AA347" s="1">
        <f>VLOOKUP($A347,Sheet1!$C$4:$M$91,4,FALSE)</f>
        <v>80</v>
      </c>
      <c r="AB347" s="1">
        <v>0</v>
      </c>
      <c r="AC347" s="1">
        <v>0</v>
      </c>
      <c r="AD347" s="1">
        <v>0</v>
      </c>
      <c r="AE347" s="1">
        <f>VLOOKUP($A347,Sheet1!$C$4:$M$91,5,FALSE)</f>
        <v>0</v>
      </c>
      <c r="AF347" s="1">
        <f>VLOOKUP($A347,Sheet1!$C$4:$M$91,6,FALSE)</f>
        <v>0</v>
      </c>
      <c r="AG347" s="1">
        <f>VLOOKUP($A347,Sheet1!$C$4:$M$91,8,FALSE)</f>
        <v>0</v>
      </c>
      <c r="AH347" s="1">
        <f>VLOOKUP($A347,Sheet1!$C$4:$M$91,7,FALSE)</f>
        <v>0</v>
      </c>
      <c r="AI347" s="1">
        <v>0</v>
      </c>
      <c r="AJ347" s="34" t="s">
        <v>1219</v>
      </c>
      <c r="AK347" s="1" t="s">
        <v>1347</v>
      </c>
    </row>
    <row r="348" spans="1:37" ht="27" x14ac:dyDescent="0.15">
      <c r="A348" s="13" t="s">
        <v>208</v>
      </c>
      <c r="B348" s="1">
        <v>3133</v>
      </c>
      <c r="C348" s="14" t="s">
        <v>270</v>
      </c>
      <c r="D348" s="1">
        <v>4</v>
      </c>
      <c r="E348" s="1">
        <v>0</v>
      </c>
      <c r="F348" s="1">
        <v>0</v>
      </c>
      <c r="H348" s="1" t="s">
        <v>1559</v>
      </c>
      <c r="I348" s="1">
        <v>1</v>
      </c>
      <c r="J348" s="1">
        <v>0</v>
      </c>
      <c r="K348" s="1">
        <v>0</v>
      </c>
      <c r="L348" s="1">
        <v>0</v>
      </c>
      <c r="M348" s="1">
        <v>1</v>
      </c>
      <c r="N348" s="1">
        <v>1</v>
      </c>
      <c r="O348" s="39">
        <f t="shared" si="14"/>
        <v>5323.3876994999991</v>
      </c>
      <c r="P348" s="39">
        <v>2661.6938497499996</v>
      </c>
      <c r="T348" s="36" t="s">
        <v>801</v>
      </c>
      <c r="U348" s="36" t="s">
        <v>798</v>
      </c>
      <c r="V348" s="36">
        <v>903</v>
      </c>
      <c r="X348" s="2" t="s">
        <v>785</v>
      </c>
      <c r="Y348" s="1">
        <f>VLOOKUP($A348,Sheet1!C36:M124,2,FALSE)</f>
        <v>140</v>
      </c>
      <c r="Z348" s="1">
        <f>VLOOKUP($A348,Sheet1!$C$4:$M$91,3,FALSE)</f>
        <v>80</v>
      </c>
      <c r="AA348" s="1">
        <f>VLOOKUP($A348,Sheet1!$C$4:$M$91,4,FALSE)</f>
        <v>0</v>
      </c>
      <c r="AB348" s="1">
        <v>0</v>
      </c>
      <c r="AC348" s="1">
        <v>0</v>
      </c>
      <c r="AD348" s="1">
        <v>0</v>
      </c>
      <c r="AE348" s="1">
        <f>VLOOKUP($A348,Sheet1!$C$4:$M$91,5,FALSE)</f>
        <v>0</v>
      </c>
      <c r="AF348" s="1">
        <f>VLOOKUP($A348,Sheet1!$C$4:$M$91,6,FALSE)</f>
        <v>0</v>
      </c>
      <c r="AG348" s="1">
        <f>VLOOKUP($A348,Sheet1!$C$4:$M$91,8,FALSE)</f>
        <v>0</v>
      </c>
      <c r="AH348" s="1">
        <f>VLOOKUP($A348,Sheet1!$C$4:$M$91,7,FALSE)</f>
        <v>0</v>
      </c>
      <c r="AI348" s="1">
        <v>0</v>
      </c>
      <c r="AJ348" s="34" t="s">
        <v>1220</v>
      </c>
      <c r="AK348" s="1" t="s">
        <v>1348</v>
      </c>
    </row>
    <row r="349" spans="1:37" x14ac:dyDescent="0.15">
      <c r="A349" s="13" t="s">
        <v>209</v>
      </c>
      <c r="B349" s="1">
        <v>3134</v>
      </c>
      <c r="C349" s="14" t="s">
        <v>271</v>
      </c>
      <c r="D349" s="1">
        <v>4</v>
      </c>
      <c r="E349" s="1">
        <v>0</v>
      </c>
      <c r="F349" s="1">
        <v>0</v>
      </c>
      <c r="G349" s="1">
        <v>5001</v>
      </c>
      <c r="H349" s="1">
        <v>24</v>
      </c>
      <c r="I349" s="1">
        <v>1</v>
      </c>
      <c r="J349" s="1">
        <v>0</v>
      </c>
      <c r="K349" s="1">
        <v>0</v>
      </c>
      <c r="L349" s="1">
        <v>0</v>
      </c>
      <c r="M349" s="1">
        <v>1</v>
      </c>
      <c r="N349" s="1">
        <v>1</v>
      </c>
      <c r="O349" s="39">
        <f t="shared" si="14"/>
        <v>1678.9663999999996</v>
      </c>
      <c r="P349" s="39">
        <v>839.48319999999978</v>
      </c>
      <c r="T349" s="36" t="s">
        <v>801</v>
      </c>
      <c r="U349" s="36" t="s">
        <v>798</v>
      </c>
      <c r="V349" s="36">
        <v>900</v>
      </c>
      <c r="X349" s="2" t="s">
        <v>785</v>
      </c>
      <c r="Y349" s="1">
        <f>VLOOKUP($A349,Sheet1!C37:M125,2,FALSE)</f>
        <v>40</v>
      </c>
      <c r="Z349" s="1">
        <f>VLOOKUP($A349,Sheet1!$C$4:$M$91,3,FALSE)</f>
        <v>0</v>
      </c>
      <c r="AA349" s="1">
        <f>VLOOKUP($A349,Sheet1!$C$4:$M$91,4,FALSE)</f>
        <v>0</v>
      </c>
      <c r="AB349" s="1">
        <v>0</v>
      </c>
      <c r="AC349" s="1">
        <v>0</v>
      </c>
      <c r="AD349" s="1">
        <v>0</v>
      </c>
      <c r="AE349" s="1">
        <f>VLOOKUP($A349,Sheet1!$C$4:$M$91,5,FALSE)</f>
        <v>0</v>
      </c>
      <c r="AF349" s="1">
        <f>VLOOKUP($A349,Sheet1!$C$4:$M$91,6,FALSE)</f>
        <v>0</v>
      </c>
      <c r="AG349" s="1">
        <f>VLOOKUP($A349,Sheet1!$C$4:$M$91,8,FALSE)</f>
        <v>0</v>
      </c>
      <c r="AH349" s="1">
        <f>VLOOKUP($A349,Sheet1!$C$4:$M$91,7,FALSE)</f>
        <v>0</v>
      </c>
      <c r="AI349" s="1">
        <v>0</v>
      </c>
      <c r="AJ349" s="34" t="s">
        <v>1221</v>
      </c>
      <c r="AK349" s="1" t="s">
        <v>1349</v>
      </c>
    </row>
    <row r="350" spans="1:37" x14ac:dyDescent="0.15">
      <c r="A350" s="13" t="s">
        <v>210</v>
      </c>
      <c r="B350" s="1">
        <v>3135</v>
      </c>
      <c r="C350" s="14" t="s">
        <v>273</v>
      </c>
      <c r="D350" s="1">
        <v>4</v>
      </c>
      <c r="E350" s="1">
        <v>0</v>
      </c>
      <c r="F350" s="1">
        <v>0</v>
      </c>
      <c r="H350" s="1" t="s">
        <v>1559</v>
      </c>
      <c r="I350" s="1">
        <v>1</v>
      </c>
      <c r="J350" s="1">
        <v>0</v>
      </c>
      <c r="K350" s="1">
        <v>0</v>
      </c>
      <c r="L350" s="1">
        <v>0</v>
      </c>
      <c r="M350" s="1">
        <v>1</v>
      </c>
      <c r="N350" s="1">
        <v>1</v>
      </c>
      <c r="O350" s="39">
        <f t="shared" si="14"/>
        <v>3819.952632</v>
      </c>
      <c r="P350" s="39">
        <v>1909.976316</v>
      </c>
      <c r="T350" s="36" t="s">
        <v>801</v>
      </c>
      <c r="U350" s="36" t="s">
        <v>798</v>
      </c>
      <c r="V350" s="36">
        <v>901</v>
      </c>
      <c r="X350" s="2" t="s">
        <v>785</v>
      </c>
      <c r="Y350" s="1">
        <f>VLOOKUP($A350,Sheet1!C38:M126,2,FALSE)</f>
        <v>0</v>
      </c>
      <c r="Z350" s="1">
        <f>VLOOKUP($A350,Sheet1!$C$4:$M$91,3,FALSE)</f>
        <v>70</v>
      </c>
      <c r="AA350" s="1">
        <f>VLOOKUP($A350,Sheet1!$C$4:$M$91,4,FALSE)</f>
        <v>0</v>
      </c>
      <c r="AB350" s="1">
        <v>0</v>
      </c>
      <c r="AC350" s="1">
        <v>0</v>
      </c>
      <c r="AD350" s="1">
        <v>0</v>
      </c>
      <c r="AE350" s="1">
        <f>VLOOKUP($A350,Sheet1!$C$4:$M$91,5,FALSE)</f>
        <v>0</v>
      </c>
      <c r="AF350" s="1">
        <f>VLOOKUP($A350,Sheet1!$C$4:$M$91,6,FALSE)</f>
        <v>0</v>
      </c>
      <c r="AG350" s="1">
        <f>VLOOKUP($A350,Sheet1!$C$4:$M$91,8,FALSE)</f>
        <v>0</v>
      </c>
      <c r="AH350" s="1">
        <f>VLOOKUP($A350,Sheet1!$C$4:$M$91,7,FALSE)</f>
        <v>0</v>
      </c>
      <c r="AI350" s="1">
        <v>0</v>
      </c>
      <c r="AJ350" s="34" t="s">
        <v>1222</v>
      </c>
      <c r="AK350" s="1" t="s">
        <v>1364</v>
      </c>
    </row>
    <row r="351" spans="1:37" x14ac:dyDescent="0.15">
      <c r="A351" s="13" t="s">
        <v>169</v>
      </c>
      <c r="B351" s="1">
        <v>3136</v>
      </c>
      <c r="C351" s="14" t="s">
        <v>274</v>
      </c>
      <c r="D351" s="1">
        <v>4</v>
      </c>
      <c r="E351" s="1">
        <v>0</v>
      </c>
      <c r="F351" s="1">
        <v>0</v>
      </c>
      <c r="H351" s="1" t="s">
        <v>1559</v>
      </c>
      <c r="I351" s="1">
        <v>1</v>
      </c>
      <c r="J351" s="1">
        <v>0</v>
      </c>
      <c r="K351" s="1">
        <v>0</v>
      </c>
      <c r="L351" s="1">
        <v>0</v>
      </c>
      <c r="M351" s="1">
        <v>1</v>
      </c>
      <c r="N351" s="1">
        <v>1</v>
      </c>
      <c r="O351" s="39">
        <f t="shared" si="14"/>
        <v>3942.7459355000001</v>
      </c>
      <c r="P351" s="39">
        <v>1971.37296775</v>
      </c>
      <c r="T351" s="36" t="s">
        <v>801</v>
      </c>
      <c r="U351" s="36" t="s">
        <v>798</v>
      </c>
      <c r="V351" s="36">
        <v>901</v>
      </c>
      <c r="X351" s="2" t="s">
        <v>785</v>
      </c>
      <c r="Y351" s="1">
        <f>VLOOKUP($A351,Sheet1!C39:M127,2,FALSE)</f>
        <v>0</v>
      </c>
      <c r="Z351" s="1">
        <f>VLOOKUP($A351,Sheet1!$C$4:$M$91,3,FALSE)</f>
        <v>80</v>
      </c>
      <c r="AA351" s="1">
        <f>VLOOKUP($A351,Sheet1!$C$4:$M$91,4,FALSE)</f>
        <v>0</v>
      </c>
      <c r="AB351" s="1">
        <v>0</v>
      </c>
      <c r="AC351" s="1">
        <v>0</v>
      </c>
      <c r="AD351" s="1">
        <v>0</v>
      </c>
      <c r="AE351" s="1">
        <f>VLOOKUP($A351,Sheet1!$C$4:$M$91,5,FALSE)</f>
        <v>0</v>
      </c>
      <c r="AF351" s="1">
        <f>VLOOKUP($A351,Sheet1!$C$4:$M$91,6,FALSE)</f>
        <v>0</v>
      </c>
      <c r="AG351" s="1">
        <f>VLOOKUP($A351,Sheet1!$C$4:$M$91,8,FALSE)</f>
        <v>0</v>
      </c>
      <c r="AH351" s="1">
        <f>VLOOKUP($A351,Sheet1!$C$4:$M$91,7,FALSE)</f>
        <v>0</v>
      </c>
      <c r="AI351" s="1">
        <v>0</v>
      </c>
      <c r="AJ351" s="34" t="s">
        <v>1223</v>
      </c>
      <c r="AK351" s="1" t="s">
        <v>1365</v>
      </c>
    </row>
    <row r="352" spans="1:37" x14ac:dyDescent="0.15">
      <c r="A352" s="13" t="s">
        <v>211</v>
      </c>
      <c r="B352" s="1">
        <v>3137</v>
      </c>
      <c r="C352" s="14" t="s">
        <v>275</v>
      </c>
      <c r="D352" s="1">
        <v>4</v>
      </c>
      <c r="E352" s="1">
        <v>0</v>
      </c>
      <c r="F352" s="1">
        <v>0</v>
      </c>
      <c r="H352" s="1" t="s">
        <v>1432</v>
      </c>
      <c r="I352" s="1">
        <v>1</v>
      </c>
      <c r="J352" s="1">
        <v>0</v>
      </c>
      <c r="K352" s="1">
        <v>0</v>
      </c>
      <c r="L352" s="1">
        <v>0</v>
      </c>
      <c r="M352" s="1">
        <v>1</v>
      </c>
      <c r="N352" s="1">
        <v>1</v>
      </c>
      <c r="O352" s="39">
        <f t="shared" si="14"/>
        <v>4266.3186479999995</v>
      </c>
      <c r="P352" s="39">
        <v>2133.1593239999997</v>
      </c>
      <c r="T352" s="36" t="s">
        <v>801</v>
      </c>
      <c r="U352" s="36" t="s">
        <v>798</v>
      </c>
      <c r="V352" s="36">
        <v>901</v>
      </c>
      <c r="X352" s="2" t="s">
        <v>785</v>
      </c>
      <c r="Y352" s="1">
        <f>VLOOKUP($A352,Sheet1!C40:M128,2,FALSE)</f>
        <v>0</v>
      </c>
      <c r="Z352" s="1">
        <f>VLOOKUP($A352,Sheet1!$C$4:$M$91,3,FALSE)</f>
        <v>100</v>
      </c>
      <c r="AA352" s="1">
        <f>VLOOKUP($A352,Sheet1!$C$4:$M$91,4,FALSE)</f>
        <v>0</v>
      </c>
      <c r="AB352" s="1">
        <v>0</v>
      </c>
      <c r="AC352" s="1">
        <v>0</v>
      </c>
      <c r="AD352" s="1">
        <v>0</v>
      </c>
      <c r="AE352" s="1">
        <f>VLOOKUP($A352,Sheet1!$C$4:$M$91,5,FALSE)</f>
        <v>0</v>
      </c>
      <c r="AF352" s="1">
        <f>VLOOKUP($A352,Sheet1!$C$4:$M$91,6,FALSE)</f>
        <v>0</v>
      </c>
      <c r="AG352" s="1">
        <f>VLOOKUP($A352,Sheet1!$C$4:$M$91,8,FALSE)</f>
        <v>35</v>
      </c>
      <c r="AH352" s="1">
        <f>VLOOKUP($A352,Sheet1!$C$4:$M$91,7,FALSE)</f>
        <v>0</v>
      </c>
      <c r="AI352" s="1">
        <v>8</v>
      </c>
      <c r="AJ352" s="34" t="s">
        <v>1224</v>
      </c>
      <c r="AK352" s="1" t="s">
        <v>1366</v>
      </c>
    </row>
    <row r="353" spans="1:37" x14ac:dyDescent="0.15">
      <c r="A353" s="13" t="s">
        <v>212</v>
      </c>
      <c r="B353" s="1">
        <v>3138</v>
      </c>
      <c r="C353" s="14" t="s">
        <v>272</v>
      </c>
      <c r="D353" s="1">
        <v>4</v>
      </c>
      <c r="E353" s="1">
        <v>0</v>
      </c>
      <c r="F353" s="1">
        <v>0</v>
      </c>
      <c r="H353" s="1" t="s">
        <v>1433</v>
      </c>
      <c r="I353" s="1">
        <v>1</v>
      </c>
      <c r="J353" s="1">
        <v>0</v>
      </c>
      <c r="K353" s="1">
        <v>0</v>
      </c>
      <c r="L353" s="1">
        <v>0</v>
      </c>
      <c r="M353" s="1">
        <v>1</v>
      </c>
      <c r="N353" s="1">
        <v>1</v>
      </c>
      <c r="O353" s="39">
        <f t="shared" si="14"/>
        <v>5684.1093119999996</v>
      </c>
      <c r="P353" s="39">
        <v>2842.0546559999998</v>
      </c>
      <c r="T353" s="36">
        <v>1</v>
      </c>
      <c r="U353" s="36" t="s">
        <v>798</v>
      </c>
      <c r="V353" s="36">
        <v>1000</v>
      </c>
      <c r="X353" s="2" t="s">
        <v>785</v>
      </c>
      <c r="Y353" s="1">
        <f>VLOOKUP($A353,Sheet1!C41:M129,2,FALSE)</f>
        <v>0</v>
      </c>
      <c r="Z353" s="1">
        <f>VLOOKUP($A353,Sheet1!$C$4:$M$91,3,FALSE)</f>
        <v>0</v>
      </c>
      <c r="AA353" s="1">
        <f>VLOOKUP($A353,Sheet1!$C$4:$M$91,4,FALSE)</f>
        <v>0</v>
      </c>
      <c r="AB353" s="1">
        <v>0</v>
      </c>
      <c r="AC353" s="1">
        <v>0</v>
      </c>
      <c r="AD353" s="1">
        <v>0</v>
      </c>
      <c r="AE353" s="1">
        <f>VLOOKUP($A353,Sheet1!$C$4:$M$91,5,FALSE)</f>
        <v>0</v>
      </c>
      <c r="AF353" s="1">
        <f>VLOOKUP($A353,Sheet1!$C$4:$M$91,6,FALSE)</f>
        <v>0</v>
      </c>
      <c r="AG353" s="1">
        <f>VLOOKUP($A353,Sheet1!$C$4:$M$91,8,FALSE)</f>
        <v>35</v>
      </c>
      <c r="AH353" s="1">
        <f>VLOOKUP($A353,Sheet1!$C$4:$M$91,7,FALSE)</f>
        <v>30</v>
      </c>
      <c r="AI353" s="1">
        <v>8</v>
      </c>
      <c r="AJ353" s="34" t="s">
        <v>1225</v>
      </c>
      <c r="AK353" s="1" t="s">
        <v>636</v>
      </c>
    </row>
    <row r="354" spans="1:37" x14ac:dyDescent="0.15">
      <c r="A354" s="13" t="s">
        <v>213</v>
      </c>
      <c r="B354" s="1">
        <v>3139</v>
      </c>
      <c r="C354" s="14" t="s">
        <v>276</v>
      </c>
      <c r="D354" s="1">
        <v>4</v>
      </c>
      <c r="E354" s="1">
        <v>0</v>
      </c>
      <c r="F354" s="1">
        <v>0</v>
      </c>
      <c r="H354" s="1" t="s">
        <v>1429</v>
      </c>
      <c r="I354" s="1">
        <v>1</v>
      </c>
      <c r="J354" s="1">
        <v>0</v>
      </c>
      <c r="K354" s="1">
        <v>0</v>
      </c>
      <c r="L354" s="1">
        <v>0</v>
      </c>
      <c r="M354" s="1">
        <v>1</v>
      </c>
      <c r="N354" s="1">
        <v>1</v>
      </c>
      <c r="O354" s="39">
        <f t="shared" si="14"/>
        <v>6097.7767679999997</v>
      </c>
      <c r="P354" s="39">
        <v>3048.8883839999999</v>
      </c>
      <c r="T354" s="36" t="s">
        <v>801</v>
      </c>
      <c r="U354" s="36" t="s">
        <v>798</v>
      </c>
      <c r="V354" s="36">
        <v>902</v>
      </c>
      <c r="X354" s="2" t="s">
        <v>785</v>
      </c>
      <c r="Y354" s="1">
        <f>VLOOKUP($A354,Sheet1!C42:M130,2,FALSE)</f>
        <v>0</v>
      </c>
      <c r="Z354" s="1">
        <f>VLOOKUP($A354,Sheet1!$C$4:$M$91,3,FALSE)</f>
        <v>0</v>
      </c>
      <c r="AA354" s="1">
        <f>VLOOKUP($A354,Sheet1!$C$4:$M$91,4,FALSE)</f>
        <v>170</v>
      </c>
      <c r="AB354" s="1">
        <v>0</v>
      </c>
      <c r="AC354" s="1">
        <v>0</v>
      </c>
      <c r="AD354" s="1">
        <v>0</v>
      </c>
      <c r="AE354" s="1">
        <f>VLOOKUP($A354,Sheet1!$C$4:$M$91,5,FALSE)</f>
        <v>0</v>
      </c>
      <c r="AF354" s="1">
        <f>VLOOKUP($A354,Sheet1!$C$4:$M$91,6,FALSE)</f>
        <v>0</v>
      </c>
      <c r="AG354" s="1">
        <f>VLOOKUP($A354,Sheet1!$C$4:$M$91,8,FALSE)</f>
        <v>0</v>
      </c>
      <c r="AH354" s="1">
        <f>VLOOKUP($A354,Sheet1!$C$4:$M$91,7,FALSE)</f>
        <v>0</v>
      </c>
      <c r="AI354" s="1">
        <v>0</v>
      </c>
      <c r="AJ354" s="34" t="s">
        <v>1226</v>
      </c>
      <c r="AK354" s="1" t="s">
        <v>1367</v>
      </c>
    </row>
    <row r="355" spans="1:37" x14ac:dyDescent="0.15">
      <c r="A355" s="13" t="s">
        <v>214</v>
      </c>
      <c r="B355" s="1">
        <v>3140</v>
      </c>
      <c r="C355" s="14" t="s">
        <v>277</v>
      </c>
      <c r="D355" s="1">
        <v>4</v>
      </c>
      <c r="E355" s="1">
        <v>0</v>
      </c>
      <c r="F355" s="1">
        <v>0</v>
      </c>
      <c r="H355" s="1" t="s">
        <v>1558</v>
      </c>
      <c r="I355" s="1">
        <v>1</v>
      </c>
      <c r="J355" s="1">
        <v>0</v>
      </c>
      <c r="K355" s="1">
        <v>0</v>
      </c>
      <c r="L355" s="1">
        <v>0</v>
      </c>
      <c r="M355" s="1">
        <v>1</v>
      </c>
      <c r="N355" s="1">
        <v>1</v>
      </c>
      <c r="O355" s="39">
        <f t="shared" si="14"/>
        <v>4039.0188719999996</v>
      </c>
      <c r="P355" s="39">
        <v>2019.5094359999998</v>
      </c>
      <c r="T355" s="36" t="s">
        <v>801</v>
      </c>
      <c r="U355" s="36" t="s">
        <v>798</v>
      </c>
      <c r="V355" s="36">
        <v>901</v>
      </c>
      <c r="X355" s="2" t="s">
        <v>785</v>
      </c>
      <c r="Y355" s="1">
        <f>VLOOKUP($A355,Sheet1!C43:M131,2,FALSE)</f>
        <v>0</v>
      </c>
      <c r="Z355" s="1">
        <f>VLOOKUP($A355,Sheet1!$C$4:$M$91,3,FALSE)</f>
        <v>80</v>
      </c>
      <c r="AA355" s="1">
        <f>VLOOKUP($A355,Sheet1!$C$4:$M$91,4,FALSE)</f>
        <v>0</v>
      </c>
      <c r="AB355" s="1">
        <v>0</v>
      </c>
      <c r="AC355" s="1">
        <v>0</v>
      </c>
      <c r="AD355" s="1">
        <v>0</v>
      </c>
      <c r="AE355" s="1">
        <f>VLOOKUP($A355,Sheet1!$C$4:$M$91,5,FALSE)</f>
        <v>0</v>
      </c>
      <c r="AF355" s="1">
        <f>VLOOKUP($A355,Sheet1!$C$4:$M$91,6,FALSE)</f>
        <v>0</v>
      </c>
      <c r="AG355" s="1">
        <f>VLOOKUP($A355,Sheet1!$C$4:$M$91,8,FALSE)</f>
        <v>30</v>
      </c>
      <c r="AH355" s="1">
        <f>VLOOKUP($A355,Sheet1!$C$4:$M$91,7,FALSE)</f>
        <v>0</v>
      </c>
      <c r="AI355" s="1">
        <v>8</v>
      </c>
      <c r="AJ355" s="34" t="s">
        <v>1227</v>
      </c>
      <c r="AK355" s="1" t="s">
        <v>1365</v>
      </c>
    </row>
    <row r="356" spans="1:37" x14ac:dyDescent="0.15">
      <c r="A356" s="13" t="s">
        <v>215</v>
      </c>
      <c r="B356" s="1">
        <v>3141</v>
      </c>
      <c r="C356" s="14" t="s">
        <v>278</v>
      </c>
      <c r="D356" s="1">
        <v>4</v>
      </c>
      <c r="E356" s="1">
        <v>0</v>
      </c>
      <c r="F356" s="1">
        <v>0</v>
      </c>
      <c r="H356" s="1" t="s">
        <v>1557</v>
      </c>
      <c r="I356" s="1">
        <v>1</v>
      </c>
      <c r="J356" s="1">
        <v>0</v>
      </c>
      <c r="K356" s="1">
        <v>0</v>
      </c>
      <c r="L356" s="1">
        <v>0</v>
      </c>
      <c r="M356" s="1">
        <v>1</v>
      </c>
      <c r="N356" s="1">
        <v>1</v>
      </c>
      <c r="O356" s="39">
        <f t="shared" si="14"/>
        <v>2845.0284719999995</v>
      </c>
      <c r="P356" s="39">
        <v>1422.5142359999998</v>
      </c>
      <c r="T356" s="36">
        <v>1</v>
      </c>
      <c r="U356" s="36" t="s">
        <v>798</v>
      </c>
      <c r="V356" s="36">
        <v>1000</v>
      </c>
      <c r="X356" s="2" t="s">
        <v>785</v>
      </c>
      <c r="Y356" s="1">
        <f>VLOOKUP($A356,Sheet1!C44:M132,2,FALSE)</f>
        <v>0</v>
      </c>
      <c r="Z356" s="1">
        <f>VLOOKUP($A356,Sheet1!$C$4:$M$91,3,FALSE)</f>
        <v>0</v>
      </c>
      <c r="AA356" s="1">
        <f>VLOOKUP($A356,Sheet1!$C$4:$M$91,4,FALSE)</f>
        <v>0</v>
      </c>
      <c r="AB356" s="1">
        <v>0</v>
      </c>
      <c r="AC356" s="1">
        <v>0</v>
      </c>
      <c r="AD356" s="1">
        <v>0</v>
      </c>
      <c r="AE356" s="1">
        <f>VLOOKUP($A356,Sheet1!$C$4:$M$91,5,FALSE)</f>
        <v>0</v>
      </c>
      <c r="AF356" s="1">
        <f>VLOOKUP($A356,Sheet1!$C$4:$M$91,6,FALSE)</f>
        <v>0</v>
      </c>
      <c r="AG356" s="1">
        <f>VLOOKUP($A356,Sheet1!$C$4:$M$91,8,FALSE)</f>
        <v>0</v>
      </c>
      <c r="AH356" s="1">
        <f>VLOOKUP($A356,Sheet1!$C$4:$M$91,7,FALSE)</f>
        <v>30</v>
      </c>
      <c r="AI356" s="1">
        <v>8</v>
      </c>
      <c r="AJ356" s="34" t="s">
        <v>1228</v>
      </c>
      <c r="AK356" s="1" t="s">
        <v>636</v>
      </c>
    </row>
    <row r="357" spans="1:37" x14ac:dyDescent="0.15">
      <c r="A357" s="13" t="s">
        <v>176</v>
      </c>
      <c r="B357" s="1">
        <v>3142</v>
      </c>
      <c r="C357" s="14" t="s">
        <v>279</v>
      </c>
      <c r="D357" s="1">
        <v>4</v>
      </c>
      <c r="E357" s="1">
        <v>0</v>
      </c>
      <c r="F357" s="1">
        <v>0</v>
      </c>
      <c r="H357" s="1">
        <v>30</v>
      </c>
      <c r="I357" s="1">
        <v>1</v>
      </c>
      <c r="J357" s="1">
        <v>0</v>
      </c>
      <c r="K357" s="1">
        <v>0</v>
      </c>
      <c r="L357" s="1">
        <v>0</v>
      </c>
      <c r="M357" s="1">
        <v>1</v>
      </c>
      <c r="N357" s="1">
        <v>1</v>
      </c>
      <c r="O357" s="39">
        <f t="shared" si="14"/>
        <v>3387.2124719999993</v>
      </c>
      <c r="P357" s="39">
        <v>1693.6062359999996</v>
      </c>
      <c r="T357" s="36">
        <v>1</v>
      </c>
      <c r="U357" s="36" t="s">
        <v>798</v>
      </c>
      <c r="V357" s="36">
        <v>1000</v>
      </c>
      <c r="X357" s="2" t="s">
        <v>785</v>
      </c>
      <c r="Y357" s="1">
        <f>VLOOKUP($A357,Sheet1!C45:M133,2,FALSE)</f>
        <v>0</v>
      </c>
      <c r="Z357" s="1">
        <f>VLOOKUP($A357,Sheet1!$C$4:$M$91,3,FALSE)</f>
        <v>0</v>
      </c>
      <c r="AA357" s="1">
        <f>VLOOKUP($A357,Sheet1!$C$4:$M$91,4,FALSE)</f>
        <v>0</v>
      </c>
      <c r="AB357" s="1">
        <v>0</v>
      </c>
      <c r="AC357" s="1">
        <v>0</v>
      </c>
      <c r="AD357" s="1">
        <v>0</v>
      </c>
      <c r="AE357" s="1">
        <f>VLOOKUP($A357,Sheet1!$C$4:$M$91,5,FALSE)</f>
        <v>30</v>
      </c>
      <c r="AF357" s="1">
        <f>VLOOKUP($A357,Sheet1!$C$4:$M$91,6,FALSE)</f>
        <v>0</v>
      </c>
      <c r="AG357" s="1">
        <f>VLOOKUP($A357,Sheet1!$C$4:$M$91,8,FALSE)</f>
        <v>0</v>
      </c>
      <c r="AH357" s="1">
        <f>VLOOKUP($A357,Sheet1!$C$4:$M$91,7,FALSE)</f>
        <v>0</v>
      </c>
      <c r="AI357" s="1">
        <v>8</v>
      </c>
      <c r="AJ357" s="34" t="s">
        <v>1229</v>
      </c>
      <c r="AK357" s="1" t="s">
        <v>636</v>
      </c>
    </row>
    <row r="358" spans="1:37" x14ac:dyDescent="0.15">
      <c r="A358" s="13" t="s">
        <v>186</v>
      </c>
      <c r="B358" s="1">
        <v>3143</v>
      </c>
      <c r="C358" s="14" t="s">
        <v>280</v>
      </c>
      <c r="D358" s="1">
        <v>4</v>
      </c>
      <c r="E358" s="1">
        <v>0</v>
      </c>
      <c r="F358" s="1">
        <v>0</v>
      </c>
      <c r="H358" s="1">
        <v>30</v>
      </c>
      <c r="I358" s="1">
        <v>0</v>
      </c>
      <c r="J358" s="1">
        <v>0</v>
      </c>
      <c r="K358" s="1">
        <v>0</v>
      </c>
      <c r="L358" s="1">
        <v>0</v>
      </c>
      <c r="M358" s="1">
        <v>1</v>
      </c>
      <c r="N358" s="1">
        <v>1</v>
      </c>
      <c r="O358" s="39">
        <f t="shared" si="14"/>
        <v>1392.7651980000001</v>
      </c>
      <c r="P358" s="39">
        <v>696.38259900000003</v>
      </c>
      <c r="T358" s="36">
        <v>1</v>
      </c>
      <c r="U358" s="36" t="s">
        <v>798</v>
      </c>
      <c r="V358" s="36">
        <v>1000</v>
      </c>
      <c r="X358" s="2" t="s">
        <v>785</v>
      </c>
      <c r="Y358" s="1">
        <f>VLOOKUP($A358,Sheet1!C46:M134,2,FALSE)</f>
        <v>0</v>
      </c>
      <c r="Z358" s="1">
        <f>VLOOKUP($A358,Sheet1!$C$4:$M$91,3,FALSE)</f>
        <v>0</v>
      </c>
      <c r="AA358" s="1">
        <f>VLOOKUP($A358,Sheet1!$C$4:$M$91,4,FALSE)</f>
        <v>0</v>
      </c>
      <c r="AB358" s="1">
        <v>0</v>
      </c>
      <c r="AC358" s="1">
        <v>0</v>
      </c>
      <c r="AD358" s="1">
        <v>0</v>
      </c>
      <c r="AE358" s="1">
        <f>VLOOKUP($A358,Sheet1!$C$4:$M$91,5,FALSE)</f>
        <v>10</v>
      </c>
      <c r="AF358" s="1">
        <f>VLOOKUP($A358,Sheet1!$C$4:$M$91,6,FALSE)</f>
        <v>0</v>
      </c>
      <c r="AG358" s="1">
        <f>VLOOKUP($A358,Sheet1!$C$4:$M$91,8,FALSE)</f>
        <v>0</v>
      </c>
      <c r="AH358" s="1">
        <f>VLOOKUP($A358,Sheet1!$C$4:$M$91,7,FALSE)</f>
        <v>0</v>
      </c>
      <c r="AI358" s="1">
        <v>8</v>
      </c>
      <c r="AJ358" s="34" t="s">
        <v>1230</v>
      </c>
      <c r="AK358" s="1" t="s">
        <v>636</v>
      </c>
    </row>
    <row r="359" spans="1:37" x14ac:dyDescent="0.15">
      <c r="A359" s="13" t="s">
        <v>173</v>
      </c>
      <c r="B359" s="1">
        <v>3144</v>
      </c>
      <c r="C359" s="14" t="s">
        <v>281</v>
      </c>
      <c r="D359" s="1">
        <v>4</v>
      </c>
      <c r="E359" s="1">
        <v>0</v>
      </c>
      <c r="F359" s="1">
        <v>0</v>
      </c>
      <c r="H359" s="1">
        <v>30</v>
      </c>
      <c r="I359" s="1">
        <v>1</v>
      </c>
      <c r="J359" s="1">
        <v>0</v>
      </c>
      <c r="K359" s="1">
        <v>0</v>
      </c>
      <c r="L359" s="1">
        <v>0</v>
      </c>
      <c r="M359" s="1">
        <v>1</v>
      </c>
      <c r="N359" s="1">
        <v>1</v>
      </c>
      <c r="O359" s="39">
        <f t="shared" si="14"/>
        <v>3064.049604492187</v>
      </c>
      <c r="P359" s="39">
        <v>1532.0248022460935</v>
      </c>
      <c r="T359" s="36">
        <v>1</v>
      </c>
      <c r="U359" s="36" t="s">
        <v>798</v>
      </c>
      <c r="V359" s="36">
        <v>1000</v>
      </c>
      <c r="X359" s="2" t="s">
        <v>785</v>
      </c>
      <c r="Y359" s="1">
        <f>VLOOKUP($A359,Sheet1!C47:M135,2,FALSE)</f>
        <v>0</v>
      </c>
      <c r="Z359" s="1">
        <f>VLOOKUP($A359,Sheet1!$C$4:$M$91,3,FALSE)</f>
        <v>0</v>
      </c>
      <c r="AA359" s="1">
        <f>VLOOKUP($A359,Sheet1!$C$4:$M$91,4,FALSE)</f>
        <v>0</v>
      </c>
      <c r="AB359" s="1">
        <v>0</v>
      </c>
      <c r="AC359" s="1">
        <v>0</v>
      </c>
      <c r="AD359" s="1">
        <v>0</v>
      </c>
      <c r="AE359" s="1">
        <f>VLOOKUP($A359,Sheet1!$C$4:$M$91,5,FALSE)</f>
        <v>25</v>
      </c>
      <c r="AF359" s="1">
        <f>VLOOKUP($A359,Sheet1!$C$4:$M$91,6,FALSE)</f>
        <v>0</v>
      </c>
      <c r="AG359" s="1">
        <f>VLOOKUP($A359,Sheet1!$C$4:$M$91,8,FALSE)</f>
        <v>0</v>
      </c>
      <c r="AH359" s="1">
        <f>VLOOKUP($A359,Sheet1!$C$4:$M$91,7,FALSE)</f>
        <v>0</v>
      </c>
      <c r="AI359" s="1">
        <v>8</v>
      </c>
      <c r="AJ359" s="34" t="s">
        <v>1231</v>
      </c>
      <c r="AK359" s="1" t="s">
        <v>636</v>
      </c>
    </row>
    <row r="360" spans="1:37" x14ac:dyDescent="0.15">
      <c r="A360" s="13" t="s">
        <v>216</v>
      </c>
      <c r="B360" s="1">
        <v>3145</v>
      </c>
      <c r="C360" s="14" t="s">
        <v>282</v>
      </c>
      <c r="D360" s="1">
        <v>4</v>
      </c>
      <c r="E360" s="1">
        <v>0</v>
      </c>
      <c r="F360" s="1">
        <v>0</v>
      </c>
      <c r="H360" s="1">
        <v>30</v>
      </c>
      <c r="I360" s="1">
        <v>0</v>
      </c>
      <c r="J360" s="1">
        <v>0</v>
      </c>
      <c r="K360" s="1">
        <v>0</v>
      </c>
      <c r="L360" s="1">
        <v>0</v>
      </c>
      <c r="M360" s="1">
        <v>1</v>
      </c>
      <c r="N360" s="1">
        <v>1</v>
      </c>
      <c r="O360" s="39">
        <f t="shared" si="14"/>
        <v>3411.6639680000003</v>
      </c>
      <c r="P360" s="39">
        <v>1705.8319840000001</v>
      </c>
      <c r="T360" s="36">
        <v>1</v>
      </c>
      <c r="U360" s="36" t="s">
        <v>798</v>
      </c>
      <c r="V360" s="36">
        <v>1000</v>
      </c>
      <c r="X360" s="2" t="s">
        <v>785</v>
      </c>
      <c r="Y360" s="1">
        <f>VLOOKUP($A360,Sheet1!C48:M136,2,FALSE)</f>
        <v>0</v>
      </c>
      <c r="Z360" s="1">
        <f>VLOOKUP($A360,Sheet1!$C$4:$M$91,3,FALSE)</f>
        <v>0</v>
      </c>
      <c r="AA360" s="1">
        <f>VLOOKUP($A360,Sheet1!$C$4:$M$91,4,FALSE)</f>
        <v>0</v>
      </c>
      <c r="AB360" s="1">
        <v>0</v>
      </c>
      <c r="AC360" s="1">
        <v>0</v>
      </c>
      <c r="AD360" s="1">
        <v>0</v>
      </c>
      <c r="AE360" s="1">
        <f>VLOOKUP($A360,Sheet1!$C$4:$M$91,5,FALSE)</f>
        <v>32</v>
      </c>
      <c r="AF360" s="1">
        <f>VLOOKUP($A360,Sheet1!$C$4:$M$91,6,FALSE)</f>
        <v>0</v>
      </c>
      <c r="AG360" s="1">
        <f>VLOOKUP($A360,Sheet1!$C$4:$M$91,8,FALSE)</f>
        <v>0</v>
      </c>
      <c r="AH360" s="1">
        <f>VLOOKUP($A360,Sheet1!$C$4:$M$91,7,FALSE)</f>
        <v>0</v>
      </c>
      <c r="AI360" s="1">
        <v>8</v>
      </c>
      <c r="AJ360" s="34" t="s">
        <v>1232</v>
      </c>
      <c r="AK360" s="1" t="s">
        <v>636</v>
      </c>
    </row>
    <row r="361" spans="1:37" x14ac:dyDescent="0.15">
      <c r="A361" s="13" t="s">
        <v>217</v>
      </c>
      <c r="B361" s="1">
        <v>3146</v>
      </c>
      <c r="C361" s="14" t="s">
        <v>283</v>
      </c>
      <c r="D361" s="1">
        <v>4</v>
      </c>
      <c r="E361" s="1">
        <v>0</v>
      </c>
      <c r="F361" s="1">
        <v>0</v>
      </c>
      <c r="H361" s="1">
        <v>30</v>
      </c>
      <c r="I361" s="1">
        <v>1</v>
      </c>
      <c r="J361" s="1">
        <v>0</v>
      </c>
      <c r="K361" s="1">
        <v>0</v>
      </c>
      <c r="L361" s="1">
        <v>0</v>
      </c>
      <c r="M361" s="1">
        <v>1</v>
      </c>
      <c r="N361" s="1">
        <v>1</v>
      </c>
      <c r="O361" s="39">
        <f t="shared" si="14"/>
        <v>2555.8287499999997</v>
      </c>
      <c r="P361" s="39">
        <v>1277.9143749999998</v>
      </c>
      <c r="T361" s="36">
        <v>1</v>
      </c>
      <c r="U361" s="36" t="s">
        <v>798</v>
      </c>
      <c r="V361" s="36">
        <v>1000</v>
      </c>
      <c r="X361" s="2" t="s">
        <v>785</v>
      </c>
      <c r="Y361" s="1">
        <f>VLOOKUP($A361,Sheet1!C49:M137,2,FALSE)</f>
        <v>0</v>
      </c>
      <c r="Z361" s="1">
        <f>VLOOKUP($A361,Sheet1!$C$4:$M$91,3,FALSE)</f>
        <v>0</v>
      </c>
      <c r="AA361" s="1">
        <f>VLOOKUP($A361,Sheet1!$C$4:$M$91,4,FALSE)</f>
        <v>0</v>
      </c>
      <c r="AB361" s="1">
        <v>0</v>
      </c>
      <c r="AC361" s="1">
        <v>0</v>
      </c>
      <c r="AD361" s="1">
        <v>0</v>
      </c>
      <c r="AE361" s="1">
        <f>VLOOKUP($A361,Sheet1!$C$4:$M$91,5,FALSE)</f>
        <v>16</v>
      </c>
      <c r="AF361" s="1">
        <f>VLOOKUP($A361,Sheet1!$C$4:$M$91,6,FALSE)</f>
        <v>0</v>
      </c>
      <c r="AG361" s="1">
        <f>VLOOKUP($A361,Sheet1!$C$4:$M$91,8,FALSE)</f>
        <v>0</v>
      </c>
      <c r="AH361" s="1">
        <f>VLOOKUP($A361,Sheet1!$C$4:$M$91,7,FALSE)</f>
        <v>0</v>
      </c>
      <c r="AI361" s="1">
        <v>8</v>
      </c>
      <c r="AJ361" s="34" t="s">
        <v>1233</v>
      </c>
      <c r="AK361" s="1" t="s">
        <v>636</v>
      </c>
    </row>
    <row r="362" spans="1:37" x14ac:dyDescent="0.15">
      <c r="A362" s="13" t="s">
        <v>218</v>
      </c>
      <c r="B362" s="1">
        <v>3147</v>
      </c>
      <c r="C362" s="14" t="s">
        <v>285</v>
      </c>
      <c r="D362" s="1">
        <v>4</v>
      </c>
      <c r="E362" s="1">
        <v>0</v>
      </c>
      <c r="F362" s="1">
        <v>0</v>
      </c>
      <c r="H362" s="1">
        <v>30</v>
      </c>
      <c r="I362" s="1">
        <v>0</v>
      </c>
      <c r="J362" s="1">
        <v>0</v>
      </c>
      <c r="K362" s="1">
        <v>0</v>
      </c>
      <c r="L362" s="1">
        <v>0</v>
      </c>
      <c r="M362" s="1">
        <v>1</v>
      </c>
      <c r="N362" s="1">
        <v>1</v>
      </c>
      <c r="O362" s="39">
        <f t="shared" si="14"/>
        <v>5494.3955119999991</v>
      </c>
      <c r="P362" s="39">
        <v>2747.1977559999996</v>
      </c>
      <c r="T362" s="36">
        <v>1</v>
      </c>
      <c r="U362" s="36" t="s">
        <v>798</v>
      </c>
      <c r="V362" s="36">
        <v>1000</v>
      </c>
      <c r="X362" s="2" t="s">
        <v>785</v>
      </c>
      <c r="Y362" s="1">
        <f>VLOOKUP($A362,Sheet1!C50:M138,2,FALSE)</f>
        <v>0</v>
      </c>
      <c r="Z362" s="1">
        <f>VLOOKUP($A362,Sheet1!$C$4:$M$91,3,FALSE)</f>
        <v>0</v>
      </c>
      <c r="AA362" s="1">
        <f>VLOOKUP($A362,Sheet1!$C$4:$M$91,4,FALSE)</f>
        <v>0</v>
      </c>
      <c r="AB362" s="1">
        <v>0</v>
      </c>
      <c r="AC362" s="1">
        <v>0</v>
      </c>
      <c r="AD362" s="1">
        <v>0</v>
      </c>
      <c r="AE362" s="1">
        <f>VLOOKUP($A362,Sheet1!$C$4:$M$91,5,FALSE)</f>
        <v>50</v>
      </c>
      <c r="AF362" s="1">
        <f>VLOOKUP($A362,Sheet1!$C$4:$M$91,6,FALSE)</f>
        <v>0</v>
      </c>
      <c r="AG362" s="1">
        <f>VLOOKUP($A362,Sheet1!$C$4:$M$91,8,FALSE)</f>
        <v>0</v>
      </c>
      <c r="AH362" s="1">
        <f>VLOOKUP($A362,Sheet1!$C$4:$M$91,7,FALSE)</f>
        <v>0</v>
      </c>
      <c r="AI362" s="1">
        <v>8</v>
      </c>
      <c r="AJ362" s="34" t="s">
        <v>1234</v>
      </c>
      <c r="AK362" s="1" t="s">
        <v>636</v>
      </c>
    </row>
    <row r="363" spans="1:37" x14ac:dyDescent="0.15">
      <c r="A363" s="13" t="s">
        <v>219</v>
      </c>
      <c r="B363" s="1">
        <v>3148</v>
      </c>
      <c r="C363" s="14" t="s">
        <v>284</v>
      </c>
      <c r="D363" s="1">
        <v>4</v>
      </c>
      <c r="E363" s="1">
        <v>0</v>
      </c>
      <c r="F363" s="1">
        <v>0</v>
      </c>
      <c r="H363" s="1">
        <v>30</v>
      </c>
      <c r="I363" s="1">
        <v>1</v>
      </c>
      <c r="J363" s="1">
        <v>0</v>
      </c>
      <c r="K363" s="1">
        <v>0</v>
      </c>
      <c r="L363" s="1">
        <v>0</v>
      </c>
      <c r="M363" s="1">
        <v>1</v>
      </c>
      <c r="N363" s="1">
        <v>1</v>
      </c>
      <c r="O363" s="39">
        <f t="shared" si="14"/>
        <v>5737.6774079999996</v>
      </c>
      <c r="P363" s="39">
        <v>2868.8387039999998</v>
      </c>
      <c r="T363" s="36">
        <v>1</v>
      </c>
      <c r="U363" s="36" t="s">
        <v>798</v>
      </c>
      <c r="V363" s="36">
        <v>1000</v>
      </c>
      <c r="X363" s="2" t="s">
        <v>785</v>
      </c>
      <c r="Y363" s="1">
        <f>VLOOKUP($A363,Sheet1!C51:M139,2,FALSE)</f>
        <v>0</v>
      </c>
      <c r="Z363" s="1">
        <f>VLOOKUP($A363,Sheet1!$C$4:$M$91,3,FALSE)</f>
        <v>0</v>
      </c>
      <c r="AA363" s="1">
        <f>VLOOKUP($A363,Sheet1!$C$4:$M$91,4,FALSE)</f>
        <v>0</v>
      </c>
      <c r="AB363" s="1">
        <v>0</v>
      </c>
      <c r="AC363" s="1">
        <v>0</v>
      </c>
      <c r="AD363" s="1">
        <v>0</v>
      </c>
      <c r="AE363" s="1">
        <f>VLOOKUP($A363,Sheet1!$C$4:$M$91,5,FALSE)</f>
        <v>55</v>
      </c>
      <c r="AF363" s="1">
        <f>VLOOKUP($A363,Sheet1!$C$4:$M$91,6,FALSE)</f>
        <v>0</v>
      </c>
      <c r="AG363" s="1">
        <f>VLOOKUP($A363,Sheet1!$C$4:$M$91,8,FALSE)</f>
        <v>0</v>
      </c>
      <c r="AH363" s="1">
        <f>VLOOKUP($A363,Sheet1!$C$4:$M$91,7,FALSE)</f>
        <v>0</v>
      </c>
      <c r="AI363" s="1">
        <v>8</v>
      </c>
      <c r="AJ363" s="34" t="s">
        <v>1235</v>
      </c>
      <c r="AK363" s="1" t="s">
        <v>636</v>
      </c>
    </row>
    <row r="364" spans="1:37" x14ac:dyDescent="0.15">
      <c r="A364" s="13" t="s">
        <v>287</v>
      </c>
      <c r="B364" s="1">
        <v>3149</v>
      </c>
      <c r="C364" s="14" t="s">
        <v>286</v>
      </c>
      <c r="D364" s="1">
        <v>4</v>
      </c>
      <c r="E364" s="1">
        <v>0</v>
      </c>
      <c r="F364" s="1">
        <v>0</v>
      </c>
      <c r="H364" s="1">
        <v>30</v>
      </c>
      <c r="I364" s="1">
        <v>1</v>
      </c>
      <c r="J364" s="1">
        <v>0</v>
      </c>
      <c r="K364" s="1">
        <v>0</v>
      </c>
      <c r="L364" s="1">
        <v>0</v>
      </c>
      <c r="M364" s="1">
        <v>1</v>
      </c>
      <c r="N364" s="1">
        <v>1</v>
      </c>
      <c r="O364" s="39">
        <f t="shared" si="14"/>
        <v>4914.3546875000002</v>
      </c>
      <c r="P364" s="39">
        <v>2457.1773437500001</v>
      </c>
      <c r="T364" s="36">
        <v>1</v>
      </c>
      <c r="U364" s="36" t="s">
        <v>798</v>
      </c>
      <c r="V364" s="36">
        <v>1000</v>
      </c>
      <c r="X364" s="2" t="s">
        <v>785</v>
      </c>
      <c r="Y364" s="1">
        <f>VLOOKUP($A364,Sheet1!C52:M140,2,FALSE)</f>
        <v>0</v>
      </c>
      <c r="Z364" s="1">
        <f>VLOOKUP($A364,Sheet1!$C$4:$M$91,3,FALSE)</f>
        <v>0</v>
      </c>
      <c r="AA364" s="1">
        <f>VLOOKUP($A364,Sheet1!$C$4:$M$91,4,FALSE)</f>
        <v>0</v>
      </c>
      <c r="AB364" s="1">
        <v>0</v>
      </c>
      <c r="AC364" s="1">
        <v>0</v>
      </c>
      <c r="AD364" s="1">
        <v>0</v>
      </c>
      <c r="AE364" s="1">
        <f>VLOOKUP($A364,Sheet1!$C$4:$M$91,5,FALSE)</f>
        <v>40</v>
      </c>
      <c r="AF364" s="1">
        <f>VLOOKUP($A364,Sheet1!$C$4:$M$91,6,FALSE)</f>
        <v>0</v>
      </c>
      <c r="AG364" s="1">
        <f>VLOOKUP($A364,Sheet1!$C$4:$M$91,8,FALSE)</f>
        <v>0</v>
      </c>
      <c r="AH364" s="1">
        <f>VLOOKUP($A364,Sheet1!$C$4:$M$91,7,FALSE)</f>
        <v>0</v>
      </c>
      <c r="AI364" s="1">
        <v>8</v>
      </c>
      <c r="AJ364" s="34" t="s">
        <v>1236</v>
      </c>
      <c r="AK364" s="1" t="s">
        <v>636</v>
      </c>
    </row>
    <row r="365" spans="1:37" x14ac:dyDescent="0.15">
      <c r="A365" s="13" t="s">
        <v>220</v>
      </c>
      <c r="B365" s="1">
        <v>3150</v>
      </c>
      <c r="C365" s="14" t="s">
        <v>288</v>
      </c>
      <c r="D365" s="1">
        <v>4</v>
      </c>
      <c r="E365" s="1">
        <v>0</v>
      </c>
      <c r="F365" s="1">
        <v>0</v>
      </c>
      <c r="H365" s="1">
        <v>1</v>
      </c>
      <c r="I365" s="1">
        <v>1</v>
      </c>
      <c r="J365" s="1">
        <v>0</v>
      </c>
      <c r="K365" s="1">
        <v>0</v>
      </c>
      <c r="L365" s="1">
        <v>0</v>
      </c>
      <c r="M365" s="1">
        <v>1</v>
      </c>
      <c r="N365" s="1">
        <v>1</v>
      </c>
      <c r="O365" s="39">
        <f t="shared" si="14"/>
        <v>1057.0476479999998</v>
      </c>
      <c r="P365" s="39">
        <v>528.52382399999988</v>
      </c>
      <c r="T365" s="36">
        <v>1</v>
      </c>
      <c r="U365" s="36" t="s">
        <v>798</v>
      </c>
      <c r="V365" s="36">
        <v>1000</v>
      </c>
      <c r="X365" s="2" t="s">
        <v>785</v>
      </c>
      <c r="Y365" s="1">
        <f>VLOOKUP($A365,Sheet1!C53:M141,2,FALSE)</f>
        <v>0</v>
      </c>
      <c r="Z365" s="1">
        <f>VLOOKUP($A365,Sheet1!$C$4:$M$91,3,FALSE)</f>
        <v>0</v>
      </c>
      <c r="AA365" s="1">
        <f>VLOOKUP($A365,Sheet1!$C$4:$M$91,4,FALSE)</f>
        <v>0</v>
      </c>
      <c r="AB365" s="1">
        <v>0</v>
      </c>
      <c r="AC365" s="1">
        <v>0</v>
      </c>
      <c r="AD365" s="1">
        <v>0</v>
      </c>
      <c r="AE365" s="1">
        <f>VLOOKUP($A365,Sheet1!$C$4:$M$91,5,FALSE)</f>
        <v>0</v>
      </c>
      <c r="AF365" s="1">
        <f>VLOOKUP($A365,Sheet1!$C$4:$M$91,6,FALSE)</f>
        <v>10</v>
      </c>
      <c r="AG365" s="1">
        <f>VLOOKUP($A365,Sheet1!$C$4:$M$91,8,FALSE)</f>
        <v>0</v>
      </c>
      <c r="AH365" s="1">
        <f>VLOOKUP($A365,Sheet1!$C$4:$M$91,7,FALSE)</f>
        <v>0</v>
      </c>
      <c r="AI365" s="1">
        <v>8</v>
      </c>
      <c r="AJ365" s="34" t="s">
        <v>1590</v>
      </c>
      <c r="AK365" s="1" t="s">
        <v>636</v>
      </c>
    </row>
    <row r="366" spans="1:37" x14ac:dyDescent="0.15">
      <c r="A366" s="13" t="s">
        <v>221</v>
      </c>
      <c r="B366" s="1">
        <v>3151</v>
      </c>
      <c r="C366" s="14" t="s">
        <v>289</v>
      </c>
      <c r="D366" s="1">
        <v>4</v>
      </c>
      <c r="E366" s="1">
        <v>0</v>
      </c>
      <c r="F366" s="1">
        <v>0</v>
      </c>
      <c r="H366" s="1">
        <v>1</v>
      </c>
      <c r="I366" s="1">
        <v>1</v>
      </c>
      <c r="J366" s="1">
        <v>0</v>
      </c>
      <c r="K366" s="1">
        <v>0</v>
      </c>
      <c r="L366" s="1">
        <v>0</v>
      </c>
      <c r="M366" s="1">
        <v>1</v>
      </c>
      <c r="N366" s="1">
        <v>1</v>
      </c>
      <c r="O366" s="39">
        <f t="shared" si="14"/>
        <v>1300.1880000000001</v>
      </c>
      <c r="P366" s="39">
        <v>650.09400000000005</v>
      </c>
      <c r="T366" s="36">
        <v>1</v>
      </c>
      <c r="U366" s="36" t="s">
        <v>798</v>
      </c>
      <c r="V366" s="36">
        <v>1000</v>
      </c>
      <c r="X366" s="2" t="s">
        <v>785</v>
      </c>
      <c r="Y366" s="1">
        <f>VLOOKUP($A366,Sheet1!C54:M142,2,FALSE)</f>
        <v>0</v>
      </c>
      <c r="Z366" s="1">
        <f>VLOOKUP($A366,Sheet1!$C$4:$M$91,3,FALSE)</f>
        <v>0</v>
      </c>
      <c r="AA366" s="1">
        <f>VLOOKUP($A366,Sheet1!$C$4:$M$91,4,FALSE)</f>
        <v>0</v>
      </c>
      <c r="AB366" s="1">
        <v>0</v>
      </c>
      <c r="AC366" s="1">
        <v>0</v>
      </c>
      <c r="AD366" s="1">
        <v>0</v>
      </c>
      <c r="AE366" s="1">
        <f>VLOOKUP($A366,Sheet1!$C$4:$M$91,5,FALSE)</f>
        <v>0</v>
      </c>
      <c r="AF366" s="1">
        <f>VLOOKUP($A366,Sheet1!$C$4:$M$91,6,FALSE)</f>
        <v>25</v>
      </c>
      <c r="AG366" s="1">
        <f>VLOOKUP($A366,Sheet1!$C$4:$M$91,8,FALSE)</f>
        <v>0</v>
      </c>
      <c r="AH366" s="1">
        <f>VLOOKUP($A366,Sheet1!$C$4:$M$91,7,FALSE)</f>
        <v>0</v>
      </c>
      <c r="AI366" s="1">
        <v>8</v>
      </c>
      <c r="AJ366" s="34" t="s">
        <v>1238</v>
      </c>
      <c r="AK366" s="1" t="s">
        <v>636</v>
      </c>
    </row>
    <row r="367" spans="1:37" x14ac:dyDescent="0.15">
      <c r="A367" s="13" t="s">
        <v>222</v>
      </c>
      <c r="B367" s="1">
        <v>3152</v>
      </c>
      <c r="C367" s="14" t="s">
        <v>290</v>
      </c>
      <c r="D367" s="1">
        <v>4</v>
      </c>
      <c r="E367" s="1">
        <v>0</v>
      </c>
      <c r="F367" s="1">
        <v>0</v>
      </c>
      <c r="H367" s="1">
        <v>1</v>
      </c>
      <c r="I367" s="1">
        <v>1</v>
      </c>
      <c r="J367" s="1">
        <v>0</v>
      </c>
      <c r="K367" s="1">
        <v>0</v>
      </c>
      <c r="L367" s="1">
        <v>0</v>
      </c>
      <c r="M367" s="1">
        <v>1</v>
      </c>
      <c r="N367" s="1">
        <v>1</v>
      </c>
      <c r="O367" s="39">
        <f t="shared" si="14"/>
        <v>2395.4448619999994</v>
      </c>
      <c r="P367" s="39">
        <v>1197.7224309999997</v>
      </c>
      <c r="T367" s="36">
        <v>1</v>
      </c>
      <c r="U367" s="36" t="s">
        <v>798</v>
      </c>
      <c r="V367" s="36">
        <v>1000</v>
      </c>
      <c r="X367" s="2" t="s">
        <v>785</v>
      </c>
      <c r="Y367" s="1">
        <f>VLOOKUP($A367,Sheet1!C55:M143,2,FALSE)</f>
        <v>0</v>
      </c>
      <c r="Z367" s="1">
        <f>VLOOKUP($A367,Sheet1!$C$4:$M$91,3,FALSE)</f>
        <v>0</v>
      </c>
      <c r="AA367" s="1">
        <f>VLOOKUP($A367,Sheet1!$C$4:$M$91,4,FALSE)</f>
        <v>0</v>
      </c>
      <c r="AB367" s="1">
        <v>0</v>
      </c>
      <c r="AC367" s="1">
        <v>0</v>
      </c>
      <c r="AD367" s="1">
        <v>0</v>
      </c>
      <c r="AE367" s="1">
        <f>VLOOKUP($A367,Sheet1!$C$4:$M$91,5,FALSE)</f>
        <v>0</v>
      </c>
      <c r="AF367" s="1">
        <f>VLOOKUP($A367,Sheet1!$C$4:$M$91,6,FALSE)</f>
        <v>50</v>
      </c>
      <c r="AG367" s="1">
        <f>VLOOKUP($A367,Sheet1!$C$4:$M$91,8,FALSE)</f>
        <v>0</v>
      </c>
      <c r="AH367" s="1">
        <f>VLOOKUP($A367,Sheet1!$C$4:$M$91,7,FALSE)</f>
        <v>0</v>
      </c>
      <c r="AI367" s="1">
        <v>8</v>
      </c>
      <c r="AJ367" s="34" t="s">
        <v>1593</v>
      </c>
      <c r="AK367" s="1" t="s">
        <v>636</v>
      </c>
    </row>
    <row r="368" spans="1:37" x14ac:dyDescent="0.15">
      <c r="A368" s="13" t="s">
        <v>223</v>
      </c>
      <c r="B368" s="1">
        <v>3153</v>
      </c>
      <c r="C368" s="14" t="s">
        <v>291</v>
      </c>
      <c r="D368" s="1">
        <v>4</v>
      </c>
      <c r="E368" s="1">
        <v>0</v>
      </c>
      <c r="F368" s="1">
        <v>0</v>
      </c>
      <c r="G368" s="1">
        <v>5001</v>
      </c>
      <c r="H368" s="1">
        <v>1</v>
      </c>
      <c r="I368" s="1">
        <v>1</v>
      </c>
      <c r="J368" s="1">
        <v>0</v>
      </c>
      <c r="K368" s="1">
        <v>0</v>
      </c>
      <c r="L368" s="1">
        <v>0</v>
      </c>
      <c r="M368" s="1">
        <v>1</v>
      </c>
      <c r="N368" s="1">
        <v>1</v>
      </c>
      <c r="O368" s="39">
        <f t="shared" si="14"/>
        <v>3801.7007279999998</v>
      </c>
      <c r="P368" s="39">
        <v>1900.8503639999999</v>
      </c>
      <c r="T368" s="36" t="s">
        <v>801</v>
      </c>
      <c r="U368" s="36" t="s">
        <v>798</v>
      </c>
      <c r="V368" s="36">
        <v>901</v>
      </c>
      <c r="X368" s="2" t="s">
        <v>785</v>
      </c>
      <c r="Y368" s="1">
        <f>VLOOKUP($A368,Sheet1!C56:M144,2,FALSE)</f>
        <v>0</v>
      </c>
      <c r="Z368" s="1">
        <f>VLOOKUP($A368,Sheet1!$C$4:$M$91,3,FALSE)</f>
        <v>70</v>
      </c>
      <c r="AA368" s="1">
        <f>VLOOKUP($A368,Sheet1!$C$4:$M$91,4,FALSE)</f>
        <v>0</v>
      </c>
      <c r="AB368" s="1">
        <v>0</v>
      </c>
      <c r="AC368" s="1">
        <v>0</v>
      </c>
      <c r="AD368" s="1">
        <v>0</v>
      </c>
      <c r="AE368" s="1">
        <f>VLOOKUP($A368,Sheet1!$C$4:$M$91,5,FALSE)</f>
        <v>0</v>
      </c>
      <c r="AF368" s="1">
        <f>VLOOKUP($A368,Sheet1!$C$4:$M$91,6,FALSE)</f>
        <v>0</v>
      </c>
      <c r="AG368" s="1">
        <f>VLOOKUP($A368,Sheet1!$C$4:$M$91,8,FALSE)</f>
        <v>0</v>
      </c>
      <c r="AH368" s="1">
        <f>VLOOKUP($A368,Sheet1!$C$4:$M$91,7,FALSE)</f>
        <v>0</v>
      </c>
      <c r="AI368" s="1">
        <v>0</v>
      </c>
      <c r="AJ368" s="35" t="s">
        <v>1570</v>
      </c>
      <c r="AK368" s="1" t="s">
        <v>1407</v>
      </c>
    </row>
    <row r="369" spans="1:37" x14ac:dyDescent="0.15">
      <c r="A369" s="13" t="s">
        <v>224</v>
      </c>
      <c r="B369" s="1">
        <v>3154</v>
      </c>
      <c r="C369" s="14" t="s">
        <v>292</v>
      </c>
      <c r="D369" s="1">
        <v>4</v>
      </c>
      <c r="E369" s="1">
        <v>0</v>
      </c>
      <c r="F369" s="1">
        <v>0</v>
      </c>
      <c r="H369" s="1">
        <v>1</v>
      </c>
      <c r="I369" s="1">
        <v>1</v>
      </c>
      <c r="J369" s="1">
        <v>0</v>
      </c>
      <c r="K369" s="1">
        <v>0</v>
      </c>
      <c r="L369" s="1">
        <v>0</v>
      </c>
      <c r="M369" s="1">
        <v>1</v>
      </c>
      <c r="N369" s="1">
        <v>1</v>
      </c>
      <c r="O369" s="39">
        <f t="shared" si="14"/>
        <v>4333.5959999999995</v>
      </c>
      <c r="P369" s="39">
        <v>2166.7979999999998</v>
      </c>
      <c r="T369" s="36">
        <v>1</v>
      </c>
      <c r="U369" s="36" t="s">
        <v>798</v>
      </c>
      <c r="V369" s="36">
        <v>1000</v>
      </c>
      <c r="X369" s="2" t="s">
        <v>785</v>
      </c>
      <c r="Y369" s="1">
        <f>VLOOKUP($A369,Sheet1!C57:M145,2,FALSE)</f>
        <v>0</v>
      </c>
      <c r="Z369" s="1">
        <f>VLOOKUP($A369,Sheet1!$C$4:$M$91,3,FALSE)</f>
        <v>0</v>
      </c>
      <c r="AA369" s="1">
        <f>VLOOKUP($A369,Sheet1!$C$4:$M$91,4,FALSE)</f>
        <v>0</v>
      </c>
      <c r="AB369" s="1">
        <v>0</v>
      </c>
      <c r="AC369" s="1">
        <v>0</v>
      </c>
      <c r="AD369" s="1">
        <v>0</v>
      </c>
      <c r="AE369" s="1">
        <f>VLOOKUP($A369,Sheet1!$C$4:$M$91,5,FALSE)</f>
        <v>0</v>
      </c>
      <c r="AF369" s="1">
        <f>VLOOKUP($A369,Sheet1!$C$4:$M$91,6,FALSE)</f>
        <v>65</v>
      </c>
      <c r="AG369" s="1">
        <f>VLOOKUP($A369,Sheet1!$C$4:$M$91,8,FALSE)</f>
        <v>0</v>
      </c>
      <c r="AH369" s="1">
        <f>VLOOKUP($A369,Sheet1!$C$4:$M$91,7,FALSE)</f>
        <v>0</v>
      </c>
      <c r="AI369" s="1">
        <v>8</v>
      </c>
      <c r="AJ369" s="34" t="s">
        <v>1241</v>
      </c>
      <c r="AK369" s="1" t="s">
        <v>636</v>
      </c>
    </row>
    <row r="370" spans="1:37" x14ac:dyDescent="0.15">
      <c r="A370" s="13" t="s">
        <v>225</v>
      </c>
      <c r="B370" s="1">
        <v>3155</v>
      </c>
      <c r="C370" s="14" t="s">
        <v>293</v>
      </c>
      <c r="D370" s="1">
        <v>4</v>
      </c>
      <c r="E370" s="1">
        <v>0</v>
      </c>
      <c r="F370" s="1">
        <v>0</v>
      </c>
      <c r="H370" s="1">
        <v>1</v>
      </c>
      <c r="I370" s="1">
        <v>1</v>
      </c>
      <c r="J370" s="1">
        <v>0</v>
      </c>
      <c r="K370" s="1">
        <v>0</v>
      </c>
      <c r="L370" s="1">
        <v>0</v>
      </c>
      <c r="M370" s="1">
        <v>1</v>
      </c>
      <c r="N370" s="1">
        <v>1</v>
      </c>
      <c r="O370" s="39">
        <f t="shared" si="14"/>
        <v>5880.7887499999997</v>
      </c>
      <c r="P370" s="39">
        <v>2940.3943749999999</v>
      </c>
      <c r="T370" s="36">
        <v>1</v>
      </c>
      <c r="U370" s="36" t="s">
        <v>798</v>
      </c>
      <c r="V370" s="36">
        <v>1000</v>
      </c>
      <c r="X370" s="2" t="s">
        <v>785</v>
      </c>
      <c r="Y370" s="1">
        <f>VLOOKUP($A370,Sheet1!C58:M146,2,FALSE)</f>
        <v>0</v>
      </c>
      <c r="Z370" s="1">
        <f>VLOOKUP($A370,Sheet1!$C$4:$M$91,3,FALSE)</f>
        <v>0</v>
      </c>
      <c r="AA370" s="1">
        <f>VLOOKUP($A370,Sheet1!$C$4:$M$91,4,FALSE)</f>
        <v>0</v>
      </c>
      <c r="AB370" s="1">
        <v>0</v>
      </c>
      <c r="AC370" s="1">
        <v>0</v>
      </c>
      <c r="AD370" s="1">
        <v>0</v>
      </c>
      <c r="AE370" s="1">
        <f>VLOOKUP($A370,Sheet1!$C$4:$M$91,5,FALSE)</f>
        <v>0</v>
      </c>
      <c r="AF370" s="1">
        <f>VLOOKUP($A370,Sheet1!$C$4:$M$91,6,FALSE)</f>
        <v>70</v>
      </c>
      <c r="AG370" s="1">
        <f>VLOOKUP($A370,Sheet1!$C$4:$M$91,8,FALSE)</f>
        <v>0</v>
      </c>
      <c r="AH370" s="1">
        <f>VLOOKUP($A370,Sheet1!$C$4:$M$91,7,FALSE)</f>
        <v>0</v>
      </c>
      <c r="AI370" s="1">
        <v>8</v>
      </c>
      <c r="AJ370" s="35" t="s">
        <v>1572</v>
      </c>
      <c r="AK370" s="1" t="s">
        <v>636</v>
      </c>
    </row>
    <row r="371" spans="1:37" x14ac:dyDescent="0.15">
      <c r="A371" s="13" t="s">
        <v>226</v>
      </c>
      <c r="B371" s="1">
        <v>3156</v>
      </c>
      <c r="C371" s="14" t="s">
        <v>294</v>
      </c>
      <c r="D371" s="1">
        <v>4</v>
      </c>
      <c r="E371" s="1">
        <v>0</v>
      </c>
      <c r="F371" s="1">
        <v>0</v>
      </c>
      <c r="H371" s="1">
        <v>1</v>
      </c>
      <c r="I371" s="1">
        <v>1</v>
      </c>
      <c r="J371" s="1">
        <v>0</v>
      </c>
      <c r="K371" s="1">
        <v>0</v>
      </c>
      <c r="L371" s="1">
        <v>0</v>
      </c>
      <c r="M371" s="1">
        <v>1</v>
      </c>
      <c r="N371" s="1">
        <v>1</v>
      </c>
      <c r="O371" s="39">
        <f t="shared" si="14"/>
        <v>1211.109438</v>
      </c>
      <c r="P371" s="39">
        <v>605.55471899999998</v>
      </c>
      <c r="T371" s="36" t="s">
        <v>801</v>
      </c>
      <c r="U371" s="36" t="s">
        <v>798</v>
      </c>
      <c r="V371" s="36">
        <v>902</v>
      </c>
      <c r="X371" s="2" t="s">
        <v>785</v>
      </c>
      <c r="Y371" s="1">
        <f>VLOOKUP($A371,Sheet1!C59:M147,2,FALSE)</f>
        <v>0</v>
      </c>
      <c r="Z371" s="1">
        <f>VLOOKUP($A371,Sheet1!$C$4:$M$91,3,FALSE)</f>
        <v>0</v>
      </c>
      <c r="AA371" s="1">
        <f>VLOOKUP($A371,Sheet1!$C$4:$M$91,4,FALSE)</f>
        <v>30</v>
      </c>
      <c r="AB371" s="1">
        <v>0</v>
      </c>
      <c r="AC371" s="1">
        <v>0</v>
      </c>
      <c r="AD371" s="1">
        <v>0</v>
      </c>
      <c r="AE371" s="1">
        <f>VLOOKUP($A371,Sheet1!$C$4:$M$91,5,FALSE)</f>
        <v>0</v>
      </c>
      <c r="AF371" s="1">
        <f>VLOOKUP($A371,Sheet1!$C$4:$M$91,6,FALSE)</f>
        <v>0</v>
      </c>
      <c r="AG371" s="1">
        <f>VLOOKUP($A371,Sheet1!$C$4:$M$91,8,FALSE)</f>
        <v>0</v>
      </c>
      <c r="AH371" s="1">
        <f>VLOOKUP($A371,Sheet1!$C$4:$M$91,7,FALSE)</f>
        <v>0</v>
      </c>
      <c r="AI371" s="1">
        <v>0</v>
      </c>
      <c r="AJ371" s="34" t="s">
        <v>1243</v>
      </c>
      <c r="AK371" s="1" t="s">
        <v>1363</v>
      </c>
    </row>
    <row r="372" spans="1:37" x14ac:dyDescent="0.15">
      <c r="A372" s="13" t="s">
        <v>227</v>
      </c>
      <c r="B372" s="1">
        <v>3157</v>
      </c>
      <c r="C372" s="14" t="s">
        <v>295</v>
      </c>
      <c r="D372" s="1">
        <v>4</v>
      </c>
      <c r="E372" s="1">
        <v>0</v>
      </c>
      <c r="F372" s="1">
        <v>0</v>
      </c>
      <c r="H372" s="1">
        <v>1</v>
      </c>
      <c r="I372" s="1">
        <v>1</v>
      </c>
      <c r="J372" s="1">
        <v>0</v>
      </c>
      <c r="K372" s="1">
        <v>0</v>
      </c>
      <c r="L372" s="1">
        <v>0</v>
      </c>
      <c r="M372" s="1">
        <v>1</v>
      </c>
      <c r="N372" s="1">
        <v>1</v>
      </c>
      <c r="O372" s="39">
        <f t="shared" si="14"/>
        <v>1330.4287819999997</v>
      </c>
      <c r="P372" s="39">
        <v>665.21439099999986</v>
      </c>
      <c r="T372" s="36" t="s">
        <v>801</v>
      </c>
      <c r="U372" s="36" t="s">
        <v>798</v>
      </c>
      <c r="V372" s="36">
        <v>902</v>
      </c>
      <c r="X372" s="2" t="s">
        <v>785</v>
      </c>
      <c r="Y372" s="1">
        <f>VLOOKUP($A372,Sheet1!C60:M148,2,FALSE)</f>
        <v>0</v>
      </c>
      <c r="Z372" s="1">
        <f>VLOOKUP($A372,Sheet1!$C$4:$M$91,3,FALSE)</f>
        <v>0</v>
      </c>
      <c r="AA372" s="1">
        <f>VLOOKUP($A372,Sheet1!$C$4:$M$91,4,FALSE)</f>
        <v>40</v>
      </c>
      <c r="AB372" s="1">
        <v>0</v>
      </c>
      <c r="AC372" s="1">
        <v>0</v>
      </c>
      <c r="AD372" s="1">
        <v>0</v>
      </c>
      <c r="AE372" s="1">
        <f>VLOOKUP($A372,Sheet1!$C$4:$M$91,5,FALSE)</f>
        <v>0</v>
      </c>
      <c r="AF372" s="1">
        <f>VLOOKUP($A372,Sheet1!$C$4:$M$91,6,FALSE)</f>
        <v>0</v>
      </c>
      <c r="AG372" s="1">
        <f>VLOOKUP($A372,Sheet1!$C$4:$M$91,8,FALSE)</f>
        <v>0</v>
      </c>
      <c r="AH372" s="1">
        <f>VLOOKUP($A372,Sheet1!$C$4:$M$91,7,FALSE)</f>
        <v>0</v>
      </c>
      <c r="AI372" s="1">
        <v>0</v>
      </c>
      <c r="AJ372" s="34" t="s">
        <v>1244</v>
      </c>
      <c r="AK372" s="1" t="s">
        <v>1362</v>
      </c>
    </row>
    <row r="373" spans="1:37" x14ac:dyDescent="0.15">
      <c r="A373" s="13" t="s">
        <v>228</v>
      </c>
      <c r="B373" s="1">
        <v>3158</v>
      </c>
      <c r="C373" s="14" t="s">
        <v>296</v>
      </c>
      <c r="D373" s="1">
        <v>4</v>
      </c>
      <c r="E373" s="1">
        <v>0</v>
      </c>
      <c r="F373" s="1">
        <v>0</v>
      </c>
      <c r="H373" s="1">
        <v>1</v>
      </c>
      <c r="I373" s="1">
        <v>1</v>
      </c>
      <c r="J373" s="1">
        <v>0</v>
      </c>
      <c r="K373" s="1">
        <v>0</v>
      </c>
      <c r="L373" s="1">
        <v>0</v>
      </c>
      <c r="M373" s="1">
        <v>1</v>
      </c>
      <c r="N373" s="1">
        <v>1</v>
      </c>
      <c r="O373" s="39">
        <f t="shared" si="14"/>
        <v>1513.4793419999999</v>
      </c>
      <c r="P373" s="39">
        <v>756.73967099999993</v>
      </c>
      <c r="T373" s="36" t="s">
        <v>801</v>
      </c>
      <c r="U373" s="36" t="s">
        <v>798</v>
      </c>
      <c r="V373" s="36">
        <v>901</v>
      </c>
      <c r="X373" s="2" t="s">
        <v>785</v>
      </c>
      <c r="Y373" s="1">
        <f>VLOOKUP($A373,Sheet1!C61:M149,2,FALSE)</f>
        <v>0</v>
      </c>
      <c r="Z373" s="1">
        <f>VLOOKUP($A373,Sheet1!$C$4:$M$91,3,FALSE)</f>
        <v>40</v>
      </c>
      <c r="AA373" s="1">
        <f>VLOOKUP($A373,Sheet1!$C$4:$M$91,4,FALSE)</f>
        <v>0</v>
      </c>
      <c r="AB373" s="1">
        <v>0</v>
      </c>
      <c r="AC373" s="1">
        <v>0</v>
      </c>
      <c r="AD373" s="1">
        <v>0</v>
      </c>
      <c r="AE373" s="1">
        <f>VLOOKUP($A373,Sheet1!$C$4:$M$91,5,FALSE)</f>
        <v>0</v>
      </c>
      <c r="AF373" s="1">
        <f>VLOOKUP($A373,Sheet1!$C$4:$M$91,6,FALSE)</f>
        <v>0</v>
      </c>
      <c r="AG373" s="1">
        <f>VLOOKUP($A373,Sheet1!$C$4:$M$91,8,FALSE)</f>
        <v>0</v>
      </c>
      <c r="AH373" s="1">
        <f>VLOOKUP($A373,Sheet1!$C$4:$M$91,7,FALSE)</f>
        <v>0</v>
      </c>
      <c r="AI373" s="1">
        <v>0</v>
      </c>
      <c r="AJ373" s="34" t="s">
        <v>1245</v>
      </c>
      <c r="AK373" s="1" t="s">
        <v>1361</v>
      </c>
    </row>
    <row r="374" spans="1:37" x14ac:dyDescent="0.15">
      <c r="A374" s="13" t="s">
        <v>229</v>
      </c>
      <c r="B374" s="1">
        <v>3159</v>
      </c>
      <c r="C374" s="14" t="s">
        <v>297</v>
      </c>
      <c r="D374" s="1">
        <v>4</v>
      </c>
      <c r="E374" s="1">
        <v>0</v>
      </c>
      <c r="F374" s="1">
        <v>0</v>
      </c>
      <c r="H374" s="1">
        <v>1</v>
      </c>
      <c r="I374" s="1">
        <v>1</v>
      </c>
      <c r="J374" s="1">
        <v>0</v>
      </c>
      <c r="K374" s="1">
        <v>0</v>
      </c>
      <c r="L374" s="1">
        <v>0</v>
      </c>
      <c r="M374" s="1">
        <v>1</v>
      </c>
      <c r="N374" s="1">
        <v>1</v>
      </c>
      <c r="O374" s="39">
        <f t="shared" si="14"/>
        <v>2286.3324720000001</v>
      </c>
      <c r="P374" s="39">
        <v>1143.166236</v>
      </c>
      <c r="T374" s="36" t="s">
        <v>801</v>
      </c>
      <c r="U374" s="36" t="s">
        <v>798</v>
      </c>
      <c r="V374" s="36">
        <v>900</v>
      </c>
      <c r="X374" s="2" t="s">
        <v>785</v>
      </c>
      <c r="Y374" s="1">
        <f>VLOOKUP($A374,Sheet1!C62:M150,2,FALSE)</f>
        <v>70</v>
      </c>
      <c r="Z374" s="1">
        <f>VLOOKUP($A374,Sheet1!$C$4:$M$91,3,FALSE)</f>
        <v>0</v>
      </c>
      <c r="AA374" s="1">
        <f>VLOOKUP($A374,Sheet1!$C$4:$M$91,4,FALSE)</f>
        <v>0</v>
      </c>
      <c r="AB374" s="1">
        <v>0</v>
      </c>
      <c r="AC374" s="1">
        <v>0</v>
      </c>
      <c r="AD374" s="1">
        <v>0</v>
      </c>
      <c r="AE374" s="1">
        <f>VLOOKUP($A374,Sheet1!$C$4:$M$91,5,FALSE)</f>
        <v>0</v>
      </c>
      <c r="AF374" s="1">
        <f>VLOOKUP($A374,Sheet1!$C$4:$M$91,6,FALSE)</f>
        <v>0</v>
      </c>
      <c r="AG374" s="1">
        <f>VLOOKUP($A374,Sheet1!$C$4:$M$91,8,FALSE)</f>
        <v>0</v>
      </c>
      <c r="AH374" s="1">
        <f>VLOOKUP($A374,Sheet1!$C$4:$M$91,7,FALSE)</f>
        <v>0</v>
      </c>
      <c r="AI374" s="1">
        <v>0</v>
      </c>
      <c r="AJ374" s="35" t="s">
        <v>1575</v>
      </c>
      <c r="AK374" s="1" t="s">
        <v>1350</v>
      </c>
    </row>
    <row r="375" spans="1:37" x14ac:dyDescent="0.15">
      <c r="A375" s="13" t="s">
        <v>230</v>
      </c>
      <c r="B375" s="1">
        <v>3160</v>
      </c>
      <c r="C375" s="14" t="s">
        <v>298</v>
      </c>
      <c r="D375" s="1">
        <v>4</v>
      </c>
      <c r="E375" s="1">
        <v>0</v>
      </c>
      <c r="F375" s="1">
        <v>0</v>
      </c>
      <c r="H375" s="1">
        <v>1</v>
      </c>
      <c r="I375" s="1">
        <v>1</v>
      </c>
      <c r="J375" s="1">
        <v>0</v>
      </c>
      <c r="K375" s="1">
        <v>0</v>
      </c>
      <c r="L375" s="1">
        <v>0</v>
      </c>
      <c r="M375" s="1">
        <v>1</v>
      </c>
      <c r="N375" s="1">
        <v>1</v>
      </c>
      <c r="O375" s="39">
        <f t="shared" si="14"/>
        <v>2094.2587819999994</v>
      </c>
      <c r="P375" s="39">
        <v>1047.1293909999997</v>
      </c>
      <c r="T375" s="36" t="s">
        <v>801</v>
      </c>
      <c r="U375" s="36" t="s">
        <v>798</v>
      </c>
      <c r="V375" s="36">
        <v>900</v>
      </c>
      <c r="X375" s="2" t="s">
        <v>785</v>
      </c>
      <c r="Y375" s="1">
        <f>VLOOKUP($A375,Sheet1!C63:M151,2,FALSE)</f>
        <v>60</v>
      </c>
      <c r="Z375" s="1">
        <f>VLOOKUP($A375,Sheet1!$C$4:$M$91,3,FALSE)</f>
        <v>0</v>
      </c>
      <c r="AA375" s="1">
        <f>VLOOKUP($A375,Sheet1!$C$4:$M$91,4,FALSE)</f>
        <v>0</v>
      </c>
      <c r="AB375" s="1">
        <v>0</v>
      </c>
      <c r="AC375" s="1">
        <v>0</v>
      </c>
      <c r="AD375" s="1">
        <v>0</v>
      </c>
      <c r="AE375" s="1">
        <f>VLOOKUP($A375,Sheet1!$C$4:$M$91,5,FALSE)</f>
        <v>0</v>
      </c>
      <c r="AF375" s="1">
        <f>VLOOKUP($A375,Sheet1!$C$4:$M$91,6,FALSE)</f>
        <v>0</v>
      </c>
      <c r="AG375" s="1">
        <f>VLOOKUP($A375,Sheet1!$C$4:$M$91,8,FALSE)</f>
        <v>0</v>
      </c>
      <c r="AH375" s="1">
        <f>VLOOKUP($A375,Sheet1!$C$4:$M$91,7,FALSE)</f>
        <v>0</v>
      </c>
      <c r="AI375" s="1">
        <v>0</v>
      </c>
      <c r="AJ375" s="34" t="s">
        <v>1247</v>
      </c>
      <c r="AK375" s="1" t="s">
        <v>1351</v>
      </c>
    </row>
    <row r="376" spans="1:37" x14ac:dyDescent="0.15">
      <c r="A376" s="13" t="s">
        <v>231</v>
      </c>
      <c r="B376" s="1">
        <v>3161</v>
      </c>
      <c r="C376" s="14" t="s">
        <v>299</v>
      </c>
      <c r="D376" s="1">
        <v>4</v>
      </c>
      <c r="E376" s="1">
        <v>0</v>
      </c>
      <c r="F376" s="1">
        <v>0</v>
      </c>
      <c r="H376" s="1">
        <v>1</v>
      </c>
      <c r="I376" s="1">
        <v>1</v>
      </c>
      <c r="J376" s="1">
        <v>0</v>
      </c>
      <c r="K376" s="1">
        <v>0</v>
      </c>
      <c r="L376" s="1">
        <v>0</v>
      </c>
      <c r="M376" s="1">
        <v>1</v>
      </c>
      <c r="N376" s="1">
        <v>1</v>
      </c>
      <c r="O376" s="39">
        <f t="shared" si="14"/>
        <v>3511.7487020000003</v>
      </c>
      <c r="P376" s="39">
        <v>1755.8743510000002</v>
      </c>
      <c r="T376" s="36" t="s">
        <v>801</v>
      </c>
      <c r="U376" s="36" t="s">
        <v>798</v>
      </c>
      <c r="V376" s="36">
        <v>900</v>
      </c>
      <c r="X376" s="2" t="s">
        <v>785</v>
      </c>
      <c r="Y376" s="1">
        <f>VLOOKUP($A376,Sheet1!C64:M152,2,FALSE)</f>
        <v>120</v>
      </c>
      <c r="Z376" s="1">
        <f>VLOOKUP($A376,Sheet1!$C$4:$M$91,3,FALSE)</f>
        <v>0</v>
      </c>
      <c r="AA376" s="1">
        <f>VLOOKUP($A376,Sheet1!$C$4:$M$91,4,FALSE)</f>
        <v>0</v>
      </c>
      <c r="AB376" s="1">
        <v>0</v>
      </c>
      <c r="AC376" s="1">
        <v>0</v>
      </c>
      <c r="AD376" s="1">
        <v>0</v>
      </c>
      <c r="AE376" s="1">
        <f>VLOOKUP($A376,Sheet1!$C$4:$M$91,5,FALSE)</f>
        <v>0</v>
      </c>
      <c r="AF376" s="1">
        <f>VLOOKUP($A376,Sheet1!$C$4:$M$91,6,FALSE)</f>
        <v>0</v>
      </c>
      <c r="AG376" s="1">
        <f>VLOOKUP($A376,Sheet1!$C$4:$M$91,8,FALSE)</f>
        <v>0</v>
      </c>
      <c r="AH376" s="1">
        <f>VLOOKUP($A376,Sheet1!$C$4:$M$91,7,FALSE)</f>
        <v>0</v>
      </c>
      <c r="AI376" s="1">
        <v>0</v>
      </c>
      <c r="AJ376" s="35" t="s">
        <v>1574</v>
      </c>
      <c r="AK376" s="1" t="s">
        <v>1352</v>
      </c>
    </row>
    <row r="377" spans="1:37" x14ac:dyDescent="0.15">
      <c r="A377" s="13" t="s">
        <v>232</v>
      </c>
      <c r="B377" s="1">
        <v>3162</v>
      </c>
      <c r="C377" s="14" t="s">
        <v>300</v>
      </c>
      <c r="D377" s="1">
        <v>4</v>
      </c>
      <c r="E377" s="1">
        <v>0</v>
      </c>
      <c r="F377" s="1">
        <v>0</v>
      </c>
      <c r="H377" s="1">
        <v>1</v>
      </c>
      <c r="I377" s="1">
        <v>1</v>
      </c>
      <c r="J377" s="1">
        <v>0</v>
      </c>
      <c r="K377" s="1">
        <v>0</v>
      </c>
      <c r="L377" s="1">
        <v>0</v>
      </c>
      <c r="M377" s="1">
        <v>1</v>
      </c>
      <c r="N377" s="1">
        <v>1</v>
      </c>
      <c r="O377" s="39">
        <f t="shared" si="14"/>
        <v>4102.1177580000003</v>
      </c>
      <c r="P377" s="39">
        <v>2051.0588790000002</v>
      </c>
      <c r="T377" s="36" t="s">
        <v>801</v>
      </c>
      <c r="U377" s="36" t="s">
        <v>798</v>
      </c>
      <c r="V377" s="36">
        <v>900</v>
      </c>
      <c r="X377" s="2" t="s">
        <v>785</v>
      </c>
      <c r="Y377" s="1">
        <f>VLOOKUP($A377,Sheet1!C65:M153,2,FALSE)</f>
        <v>180</v>
      </c>
      <c r="Z377" s="1">
        <f>VLOOKUP($A377,Sheet1!$C$4:$M$91,3,FALSE)</f>
        <v>0</v>
      </c>
      <c r="AA377" s="1">
        <f>VLOOKUP($A377,Sheet1!$C$4:$M$91,4,FALSE)</f>
        <v>0</v>
      </c>
      <c r="AB377" s="1">
        <v>0</v>
      </c>
      <c r="AC377" s="1">
        <v>0</v>
      </c>
      <c r="AD377" s="1">
        <v>0</v>
      </c>
      <c r="AE377" s="1">
        <f>VLOOKUP($A377,Sheet1!$C$4:$M$91,5,FALSE)</f>
        <v>0</v>
      </c>
      <c r="AF377" s="1">
        <f>VLOOKUP($A377,Sheet1!$C$4:$M$91,6,FALSE)</f>
        <v>0</v>
      </c>
      <c r="AG377" s="1">
        <f>VLOOKUP($A377,Sheet1!$C$4:$M$91,8,FALSE)</f>
        <v>0</v>
      </c>
      <c r="AH377" s="1">
        <f>VLOOKUP($A377,Sheet1!$C$4:$M$91,7,FALSE)</f>
        <v>0</v>
      </c>
      <c r="AI377" s="1">
        <v>0</v>
      </c>
      <c r="AJ377" s="34" t="s">
        <v>1249</v>
      </c>
      <c r="AK377" s="1" t="s">
        <v>1353</v>
      </c>
    </row>
    <row r="378" spans="1:37" x14ac:dyDescent="0.15">
      <c r="A378" s="13" t="s">
        <v>233</v>
      </c>
      <c r="B378" s="1">
        <v>3163</v>
      </c>
      <c r="C378" s="14" t="s">
        <v>301</v>
      </c>
      <c r="D378" s="1">
        <v>4</v>
      </c>
      <c r="E378" s="1">
        <v>0</v>
      </c>
      <c r="F378" s="1">
        <v>0</v>
      </c>
      <c r="H378" s="1">
        <v>1</v>
      </c>
      <c r="I378" s="1">
        <v>1</v>
      </c>
      <c r="J378" s="1">
        <v>0</v>
      </c>
      <c r="K378" s="1">
        <v>0</v>
      </c>
      <c r="L378" s="1">
        <v>0</v>
      </c>
      <c r="M378" s="1">
        <v>1</v>
      </c>
      <c r="N378" s="1">
        <v>1</v>
      </c>
      <c r="O378" s="39">
        <f t="shared" si="14"/>
        <v>5035.4470319999991</v>
      </c>
      <c r="P378" s="39">
        <v>2517.7235159999996</v>
      </c>
      <c r="T378" s="36">
        <v>1</v>
      </c>
      <c r="U378" s="36" t="s">
        <v>798</v>
      </c>
      <c r="V378" s="36">
        <v>1000</v>
      </c>
      <c r="X378" s="2" t="s">
        <v>785</v>
      </c>
      <c r="Y378" s="1">
        <f>VLOOKUP($A378,Sheet1!C66:M154,2,FALSE)</f>
        <v>0</v>
      </c>
      <c r="Z378" s="1">
        <f>VLOOKUP($A378,Sheet1!$C$4:$M$91,3,FALSE)</f>
        <v>0</v>
      </c>
      <c r="AA378" s="1">
        <f>VLOOKUP($A378,Sheet1!$C$4:$M$91,4,FALSE)</f>
        <v>0</v>
      </c>
      <c r="AB378" s="1">
        <v>0</v>
      </c>
      <c r="AC378" s="1">
        <v>0</v>
      </c>
      <c r="AD378" s="1">
        <v>0</v>
      </c>
      <c r="AE378" s="1">
        <f>VLOOKUP($A378,Sheet1!$C$4:$M$91,5,FALSE)</f>
        <v>45</v>
      </c>
      <c r="AF378" s="1">
        <f>VLOOKUP($A378,Sheet1!$C$4:$M$91,6,FALSE)</f>
        <v>0</v>
      </c>
      <c r="AG378" s="1">
        <f>VLOOKUP($A378,Sheet1!$C$4:$M$91,8,FALSE)</f>
        <v>0</v>
      </c>
      <c r="AH378" s="1">
        <f>VLOOKUP($A378,Sheet1!$C$4:$M$91,7,FALSE)</f>
        <v>0</v>
      </c>
      <c r="AI378" s="1">
        <v>8</v>
      </c>
      <c r="AJ378" s="34" t="s">
        <v>1250</v>
      </c>
      <c r="AK378" s="1" t="s">
        <v>636</v>
      </c>
    </row>
    <row r="379" spans="1:37" x14ac:dyDescent="0.15">
      <c r="A379" s="13" t="s">
        <v>234</v>
      </c>
      <c r="B379" s="1">
        <v>3164</v>
      </c>
      <c r="C379" s="14" t="s">
        <v>302</v>
      </c>
      <c r="D379" s="1">
        <v>4</v>
      </c>
      <c r="E379" s="1">
        <v>0</v>
      </c>
      <c r="F379" s="1">
        <v>0</v>
      </c>
      <c r="G379" s="1">
        <v>5001</v>
      </c>
      <c r="H379" s="1">
        <v>1</v>
      </c>
      <c r="I379" s="1">
        <v>1</v>
      </c>
      <c r="J379" s="1">
        <v>0</v>
      </c>
      <c r="K379" s="1">
        <v>0</v>
      </c>
      <c r="L379" s="1">
        <v>0</v>
      </c>
      <c r="M379" s="1">
        <v>1</v>
      </c>
      <c r="N379" s="1">
        <v>1</v>
      </c>
      <c r="O379" s="39">
        <f t="shared" si="14"/>
        <v>6192.4153519999991</v>
      </c>
      <c r="P379" s="39">
        <v>3096.2076759999995</v>
      </c>
      <c r="T379" s="36">
        <v>1</v>
      </c>
      <c r="U379" s="36" t="s">
        <v>798</v>
      </c>
      <c r="V379" s="36">
        <v>1000</v>
      </c>
      <c r="X379" s="2" t="s">
        <v>785</v>
      </c>
      <c r="Y379" s="1">
        <f>VLOOKUP($A379,Sheet1!C67:M155,2,FALSE)</f>
        <v>0</v>
      </c>
      <c r="Z379" s="1">
        <f>VLOOKUP($A379,Sheet1!$C$4:$M$91,3,FALSE)</f>
        <v>0</v>
      </c>
      <c r="AA379" s="1">
        <f>VLOOKUP($A379,Sheet1!$C$4:$M$91,4,FALSE)</f>
        <v>0</v>
      </c>
      <c r="AB379" s="1">
        <v>0</v>
      </c>
      <c r="AC379" s="1">
        <v>0</v>
      </c>
      <c r="AD379" s="1">
        <v>0</v>
      </c>
      <c r="AE379" s="1">
        <f>VLOOKUP($A379,Sheet1!$C$4:$M$91,5,FALSE)</f>
        <v>60</v>
      </c>
      <c r="AF379" s="1">
        <f>VLOOKUP($A379,Sheet1!$C$4:$M$91,6,FALSE)</f>
        <v>0</v>
      </c>
      <c r="AG379" s="1">
        <f>VLOOKUP($A379,Sheet1!$C$4:$M$91,8,FALSE)</f>
        <v>0</v>
      </c>
      <c r="AH379" s="1">
        <f>VLOOKUP($A379,Sheet1!$C$4:$M$91,7,FALSE)</f>
        <v>0</v>
      </c>
      <c r="AI379" s="1">
        <v>8</v>
      </c>
      <c r="AJ379" s="35" t="s">
        <v>1571</v>
      </c>
      <c r="AK379" s="1" t="s">
        <v>636</v>
      </c>
    </row>
    <row r="380" spans="1:37" x14ac:dyDescent="0.15">
      <c r="A380" s="13" t="s">
        <v>235</v>
      </c>
      <c r="B380" s="1">
        <v>3165</v>
      </c>
      <c r="C380" s="14" t="s">
        <v>303</v>
      </c>
      <c r="D380" s="1">
        <v>4</v>
      </c>
      <c r="E380" s="1">
        <v>0</v>
      </c>
      <c r="F380" s="1">
        <v>0</v>
      </c>
      <c r="H380" s="1">
        <v>1</v>
      </c>
      <c r="I380" s="1">
        <v>1</v>
      </c>
      <c r="J380" s="1">
        <v>0</v>
      </c>
      <c r="K380" s="1">
        <v>0</v>
      </c>
      <c r="L380" s="1">
        <v>0</v>
      </c>
      <c r="M380" s="1">
        <v>1</v>
      </c>
      <c r="N380" s="1">
        <v>1</v>
      </c>
      <c r="O380" s="39">
        <f t="shared" ref="O380:O394" si="15">P380*2</f>
        <v>6777.8269579999996</v>
      </c>
      <c r="P380" s="39">
        <v>3388.9134789999998</v>
      </c>
      <c r="T380" s="36">
        <v>1</v>
      </c>
      <c r="U380" s="36" t="s">
        <v>798</v>
      </c>
      <c r="V380" s="36">
        <v>1000</v>
      </c>
      <c r="X380" s="2" t="s">
        <v>785</v>
      </c>
      <c r="Y380" s="1">
        <f>VLOOKUP($A380,Sheet1!C68:M156,2,FALSE)</f>
        <v>0</v>
      </c>
      <c r="Z380" s="1">
        <f>VLOOKUP($A380,Sheet1!$C$4:$M$91,3,FALSE)</f>
        <v>0</v>
      </c>
      <c r="AA380" s="1">
        <f>VLOOKUP($A380,Sheet1!$C$4:$M$91,4,FALSE)</f>
        <v>0</v>
      </c>
      <c r="AB380" s="1">
        <v>0</v>
      </c>
      <c r="AC380" s="1">
        <v>0</v>
      </c>
      <c r="AD380" s="1">
        <v>0</v>
      </c>
      <c r="AE380" s="1">
        <f>VLOOKUP($A380,Sheet1!$C$4:$M$91,5,FALSE)</f>
        <v>65</v>
      </c>
      <c r="AF380" s="1">
        <f>VLOOKUP($A380,Sheet1!$C$4:$M$91,6,FALSE)</f>
        <v>0</v>
      </c>
      <c r="AG380" s="1">
        <f>VLOOKUP($A380,Sheet1!$C$4:$M$91,8,FALSE)</f>
        <v>0</v>
      </c>
      <c r="AH380" s="1">
        <f>VLOOKUP($A380,Sheet1!$C$4:$M$91,7,FALSE)</f>
        <v>0</v>
      </c>
      <c r="AI380" s="1">
        <v>8</v>
      </c>
      <c r="AJ380" s="34" t="s">
        <v>1252</v>
      </c>
      <c r="AK380" s="1" t="s">
        <v>636</v>
      </c>
    </row>
    <row r="381" spans="1:37" x14ac:dyDescent="0.15">
      <c r="A381" s="13" t="s">
        <v>236</v>
      </c>
      <c r="B381" s="1">
        <v>3166</v>
      </c>
      <c r="C381" s="14" t="s">
        <v>304</v>
      </c>
      <c r="D381" s="1">
        <v>4</v>
      </c>
      <c r="E381" s="1">
        <v>0</v>
      </c>
      <c r="F381" s="1">
        <v>0</v>
      </c>
      <c r="G381" s="1">
        <v>5001</v>
      </c>
      <c r="H381" s="1" t="s">
        <v>1566</v>
      </c>
      <c r="I381" s="1">
        <v>1</v>
      </c>
      <c r="J381" s="1">
        <v>0</v>
      </c>
      <c r="K381" s="1">
        <v>0</v>
      </c>
      <c r="L381" s="1">
        <v>0</v>
      </c>
      <c r="M381" s="1">
        <v>1</v>
      </c>
      <c r="N381" s="1">
        <v>1</v>
      </c>
      <c r="O381" s="39">
        <f t="shared" si="15"/>
        <v>1148.4009920000001</v>
      </c>
      <c r="P381" s="39">
        <v>574.20049600000004</v>
      </c>
      <c r="T381" s="36" t="s">
        <v>801</v>
      </c>
      <c r="U381" s="36" t="s">
        <v>798</v>
      </c>
      <c r="V381" s="36">
        <v>901</v>
      </c>
      <c r="X381" s="2" t="s">
        <v>785</v>
      </c>
      <c r="Y381" s="1">
        <f>VLOOKUP($A381,Sheet1!C69:M157,2,FALSE)</f>
        <v>0</v>
      </c>
      <c r="Z381" s="1">
        <f>VLOOKUP($A381,Sheet1!$C$4:$M$91,3,FALSE)</f>
        <v>20</v>
      </c>
      <c r="AA381" s="1">
        <f>VLOOKUP($A381,Sheet1!$C$4:$M$91,4,FALSE)</f>
        <v>0</v>
      </c>
      <c r="AB381" s="1">
        <v>0</v>
      </c>
      <c r="AC381" s="1">
        <v>0</v>
      </c>
      <c r="AD381" s="1">
        <v>0</v>
      </c>
      <c r="AE381" s="1">
        <f>VLOOKUP($A381,Sheet1!$C$4:$M$91,5,FALSE)</f>
        <v>0</v>
      </c>
      <c r="AF381" s="1">
        <f>VLOOKUP($A381,Sheet1!$C$4:$M$91,6,FALSE)</f>
        <v>15</v>
      </c>
      <c r="AG381" s="1">
        <f>VLOOKUP($A381,Sheet1!$C$4:$M$91,8,FALSE)</f>
        <v>0</v>
      </c>
      <c r="AH381" s="1">
        <f>VLOOKUP($A381,Sheet1!$C$4:$M$91,7,FALSE)</f>
        <v>0</v>
      </c>
      <c r="AI381" s="1">
        <v>8</v>
      </c>
      <c r="AJ381" s="35" t="s">
        <v>1573</v>
      </c>
      <c r="AK381" s="1" t="s">
        <v>1360</v>
      </c>
    </row>
    <row r="382" spans="1:37" x14ac:dyDescent="0.15">
      <c r="A382" s="13" t="s">
        <v>237</v>
      </c>
      <c r="B382" s="1">
        <v>3167</v>
      </c>
      <c r="C382" s="14" t="s">
        <v>305</v>
      </c>
      <c r="D382" s="1">
        <v>4</v>
      </c>
      <c r="E382" s="1">
        <v>0</v>
      </c>
      <c r="F382" s="1">
        <v>0</v>
      </c>
      <c r="H382" s="1" t="s">
        <v>1563</v>
      </c>
      <c r="I382" s="1">
        <v>1</v>
      </c>
      <c r="J382" s="1">
        <v>0</v>
      </c>
      <c r="K382" s="1">
        <v>0</v>
      </c>
      <c r="L382" s="1">
        <v>0</v>
      </c>
      <c r="M382" s="1">
        <v>1</v>
      </c>
      <c r="N382" s="1">
        <v>1</v>
      </c>
      <c r="O382" s="39">
        <f t="shared" si="15"/>
        <v>6137.8998194999995</v>
      </c>
      <c r="P382" s="39">
        <v>3068.9499097499997</v>
      </c>
      <c r="T382" s="36" t="s">
        <v>801</v>
      </c>
      <c r="U382" s="36" t="s">
        <v>798</v>
      </c>
      <c r="V382" s="36">
        <v>901</v>
      </c>
      <c r="X382" s="2" t="s">
        <v>785</v>
      </c>
      <c r="Y382" s="1">
        <f>VLOOKUP($A382,Sheet1!C70:M158,2,FALSE)</f>
        <v>0</v>
      </c>
      <c r="Z382" s="1">
        <f>VLOOKUP($A382,Sheet1!$C$4:$M$91,3,FALSE)</f>
        <v>160</v>
      </c>
      <c r="AA382" s="1">
        <f>VLOOKUP($A382,Sheet1!$C$4:$M$91,4,FALSE)</f>
        <v>0</v>
      </c>
      <c r="AB382" s="1">
        <v>0</v>
      </c>
      <c r="AC382" s="1">
        <v>0</v>
      </c>
      <c r="AD382" s="1">
        <v>0</v>
      </c>
      <c r="AE382" s="1">
        <f>VLOOKUP($A382,Sheet1!$C$4:$M$91,5,FALSE)</f>
        <v>0</v>
      </c>
      <c r="AF382" s="1">
        <f>VLOOKUP($A382,Sheet1!$C$4:$M$91,6,FALSE)</f>
        <v>0</v>
      </c>
      <c r="AG382" s="1">
        <f>VLOOKUP($A382,Sheet1!$C$4:$M$91,8,FALSE)</f>
        <v>0</v>
      </c>
      <c r="AH382" s="1">
        <f>VLOOKUP($A382,Sheet1!$C$4:$M$91,7,FALSE)</f>
        <v>0</v>
      </c>
      <c r="AI382" s="1">
        <v>0</v>
      </c>
      <c r="AJ382" s="34" t="s">
        <v>1254</v>
      </c>
      <c r="AK382" s="1" t="s">
        <v>1359</v>
      </c>
    </row>
    <row r="383" spans="1:37" x14ac:dyDescent="0.15">
      <c r="A383" s="13" t="s">
        <v>238</v>
      </c>
      <c r="B383" s="1">
        <v>3168</v>
      </c>
      <c r="C383" s="14" t="s">
        <v>306</v>
      </c>
      <c r="D383" s="1">
        <v>4</v>
      </c>
      <c r="E383" s="1">
        <v>0</v>
      </c>
      <c r="F383" s="1">
        <v>0</v>
      </c>
      <c r="H383" s="1" t="s">
        <v>1563</v>
      </c>
      <c r="I383" s="1">
        <v>1</v>
      </c>
      <c r="J383" s="1">
        <v>0</v>
      </c>
      <c r="K383" s="1">
        <v>0</v>
      </c>
      <c r="L383" s="1">
        <v>0</v>
      </c>
      <c r="M383" s="1">
        <v>1</v>
      </c>
      <c r="N383" s="1">
        <v>1</v>
      </c>
      <c r="O383" s="39">
        <f t="shared" si="15"/>
        <v>1637.3745419999998</v>
      </c>
      <c r="P383" s="39">
        <v>818.6872709999999</v>
      </c>
      <c r="T383" s="36" t="s">
        <v>801</v>
      </c>
      <c r="U383" s="36" t="s">
        <v>798</v>
      </c>
      <c r="V383" s="36">
        <v>902</v>
      </c>
      <c r="X383" s="2" t="s">
        <v>785</v>
      </c>
      <c r="Y383" s="1">
        <f>VLOOKUP($A383,Sheet1!C71:M159,2,FALSE)</f>
        <v>0</v>
      </c>
      <c r="Z383" s="1">
        <f>VLOOKUP($A383,Sheet1!$C$4:$M$91,3,FALSE)</f>
        <v>0</v>
      </c>
      <c r="AA383" s="1">
        <f>VLOOKUP($A383,Sheet1!$C$4:$M$91,4,FALSE)</f>
        <v>50</v>
      </c>
      <c r="AB383" s="1">
        <v>0</v>
      </c>
      <c r="AC383" s="1">
        <v>0</v>
      </c>
      <c r="AD383" s="1">
        <v>0</v>
      </c>
      <c r="AE383" s="1">
        <f>VLOOKUP($A383,Sheet1!$C$4:$M$91,5,FALSE)</f>
        <v>0</v>
      </c>
      <c r="AF383" s="1">
        <f>VLOOKUP($A383,Sheet1!$C$4:$M$91,6,FALSE)</f>
        <v>30</v>
      </c>
      <c r="AG383" s="1">
        <f>VLOOKUP($A383,Sheet1!$C$4:$M$91,8,FALSE)</f>
        <v>0</v>
      </c>
      <c r="AH383" s="1">
        <f>VLOOKUP($A383,Sheet1!$C$4:$M$91,7,FALSE)</f>
        <v>0</v>
      </c>
      <c r="AI383" s="1">
        <v>8</v>
      </c>
      <c r="AJ383" s="34" t="s">
        <v>1255</v>
      </c>
      <c r="AK383" s="1" t="s">
        <v>1358</v>
      </c>
    </row>
    <row r="384" spans="1:37" ht="27" x14ac:dyDescent="0.15">
      <c r="A384" s="13" t="s">
        <v>239</v>
      </c>
      <c r="B384" s="1">
        <v>3169</v>
      </c>
      <c r="C384" s="14" t="s">
        <v>317</v>
      </c>
      <c r="D384" s="1">
        <v>4</v>
      </c>
      <c r="E384" s="1">
        <v>0</v>
      </c>
      <c r="F384" s="1">
        <v>0</v>
      </c>
      <c r="H384" s="1" t="s">
        <v>1563</v>
      </c>
      <c r="I384" s="1">
        <v>1</v>
      </c>
      <c r="J384" s="1">
        <v>0</v>
      </c>
      <c r="K384" s="1">
        <v>0</v>
      </c>
      <c r="L384" s="1">
        <v>0</v>
      </c>
      <c r="M384" s="1">
        <v>1</v>
      </c>
      <c r="N384" s="1">
        <v>1</v>
      </c>
      <c r="O384" s="39">
        <f t="shared" si="15"/>
        <v>3743.5214354999998</v>
      </c>
      <c r="P384" s="39">
        <v>1871.7607177499999</v>
      </c>
      <c r="T384" s="36" t="s">
        <v>801</v>
      </c>
      <c r="U384" s="36" t="s">
        <v>798</v>
      </c>
      <c r="V384" s="36">
        <v>903</v>
      </c>
      <c r="X384" s="2" t="s">
        <v>785</v>
      </c>
      <c r="Y384" s="1">
        <f>VLOOKUP($A384,Sheet1!C72:M160,2,FALSE)</f>
        <v>120</v>
      </c>
      <c r="Z384" s="1">
        <f>VLOOKUP($A384,Sheet1!$C$4:$M$91,3,FALSE)</f>
        <v>40</v>
      </c>
      <c r="AA384" s="1">
        <f>VLOOKUP($A384,Sheet1!$C$4:$M$91,4,FALSE)</f>
        <v>0</v>
      </c>
      <c r="AB384" s="1">
        <v>0</v>
      </c>
      <c r="AC384" s="1">
        <v>0</v>
      </c>
      <c r="AD384" s="1">
        <v>0</v>
      </c>
      <c r="AE384" s="1">
        <f>VLOOKUP($A384,Sheet1!$C$4:$M$91,5,FALSE)</f>
        <v>0</v>
      </c>
      <c r="AF384" s="1">
        <f>VLOOKUP($A384,Sheet1!$C$4:$M$91,6,FALSE)</f>
        <v>0</v>
      </c>
      <c r="AG384" s="1">
        <f>VLOOKUP($A384,Sheet1!$C$4:$M$91,8,FALSE)</f>
        <v>0</v>
      </c>
      <c r="AH384" s="1">
        <f>VLOOKUP($A384,Sheet1!$C$4:$M$91,7,FALSE)</f>
        <v>0</v>
      </c>
      <c r="AI384" s="1">
        <v>0</v>
      </c>
      <c r="AJ384" s="34" t="s">
        <v>1256</v>
      </c>
      <c r="AK384" s="1" t="s">
        <v>1354</v>
      </c>
    </row>
    <row r="385" spans="1:37" x14ac:dyDescent="0.15">
      <c r="A385" s="13" t="s">
        <v>240</v>
      </c>
      <c r="B385" s="1">
        <v>3170</v>
      </c>
      <c r="C385" s="14" t="s">
        <v>307</v>
      </c>
      <c r="D385" s="1">
        <v>4</v>
      </c>
      <c r="E385" s="1">
        <v>0</v>
      </c>
      <c r="F385" s="1">
        <v>0</v>
      </c>
      <c r="H385" s="1" t="s">
        <v>1563</v>
      </c>
      <c r="I385" s="1">
        <v>1</v>
      </c>
      <c r="J385" s="1">
        <v>0</v>
      </c>
      <c r="K385" s="1">
        <v>0</v>
      </c>
      <c r="L385" s="1">
        <v>0</v>
      </c>
      <c r="M385" s="1">
        <v>1</v>
      </c>
      <c r="N385" s="1">
        <v>1</v>
      </c>
      <c r="O385" s="39">
        <f t="shared" si="15"/>
        <v>3809.8892720000003</v>
      </c>
      <c r="P385" s="39">
        <v>1904.9446360000002</v>
      </c>
      <c r="T385" s="36">
        <v>1</v>
      </c>
      <c r="U385" s="36" t="s">
        <v>798</v>
      </c>
      <c r="V385" s="36">
        <v>1000</v>
      </c>
      <c r="X385" s="2" t="s">
        <v>785</v>
      </c>
      <c r="Y385" s="1">
        <f>VLOOKUP($A385,Sheet1!C73:M161,2,FALSE)</f>
        <v>0</v>
      </c>
      <c r="Z385" s="1">
        <f>VLOOKUP($A385,Sheet1!$C$4:$M$91,3,FALSE)</f>
        <v>0</v>
      </c>
      <c r="AA385" s="1">
        <f>VLOOKUP($A385,Sheet1!$C$4:$M$91,4,FALSE)</f>
        <v>0</v>
      </c>
      <c r="AB385" s="1">
        <v>0</v>
      </c>
      <c r="AC385" s="1">
        <v>0</v>
      </c>
      <c r="AD385" s="1">
        <v>0</v>
      </c>
      <c r="AE385" s="1">
        <f>VLOOKUP($A385,Sheet1!$C$4:$M$91,5,FALSE)</f>
        <v>0</v>
      </c>
      <c r="AF385" s="1">
        <f>VLOOKUP($A385,Sheet1!$C$4:$M$91,6,FALSE)</f>
        <v>60</v>
      </c>
      <c r="AG385" s="1">
        <f>VLOOKUP($A385,Sheet1!$C$4:$M$91,8,FALSE)</f>
        <v>0</v>
      </c>
      <c r="AH385" s="1">
        <f>VLOOKUP($A385,Sheet1!$C$4:$M$91,7,FALSE)</f>
        <v>0</v>
      </c>
      <c r="AI385" s="1">
        <v>8</v>
      </c>
      <c r="AJ385" s="34" t="s">
        <v>1257</v>
      </c>
      <c r="AK385" s="1" t="s">
        <v>636</v>
      </c>
    </row>
    <row r="386" spans="1:37" x14ac:dyDescent="0.15">
      <c r="A386" s="13" t="s">
        <v>309</v>
      </c>
      <c r="B386" s="1">
        <v>3171</v>
      </c>
      <c r="C386" s="14" t="s">
        <v>241</v>
      </c>
      <c r="D386" s="1">
        <v>4</v>
      </c>
      <c r="E386" s="1">
        <v>0</v>
      </c>
      <c r="F386" s="1">
        <v>0</v>
      </c>
      <c r="H386" s="1" t="s">
        <v>1567</v>
      </c>
      <c r="I386" s="1">
        <v>1</v>
      </c>
      <c r="J386" s="1">
        <v>0</v>
      </c>
      <c r="K386" s="1">
        <v>0</v>
      </c>
      <c r="L386" s="1">
        <v>0</v>
      </c>
      <c r="M386" s="1">
        <v>1</v>
      </c>
      <c r="N386" s="1">
        <v>1</v>
      </c>
      <c r="O386" s="39">
        <f t="shared" si="15"/>
        <v>5835.0187499999993</v>
      </c>
      <c r="P386" s="39">
        <v>2917.5093749999996</v>
      </c>
      <c r="T386" s="36">
        <v>1</v>
      </c>
      <c r="U386" s="36" t="s">
        <v>798</v>
      </c>
      <c r="V386" s="36">
        <v>1000</v>
      </c>
      <c r="X386" s="2" t="s">
        <v>785</v>
      </c>
      <c r="Y386" s="1">
        <f>VLOOKUP($A386,Sheet1!C74:M162,2,FALSE)</f>
        <v>0</v>
      </c>
      <c r="Z386" s="1">
        <f>VLOOKUP($A386,Sheet1!$C$4:$M$91,3,FALSE)</f>
        <v>0</v>
      </c>
      <c r="AA386" s="1">
        <f>VLOOKUP($A386,Sheet1!$C$4:$M$91,4,FALSE)</f>
        <v>0</v>
      </c>
      <c r="AB386" s="1">
        <v>0</v>
      </c>
      <c r="AC386" s="1">
        <v>0</v>
      </c>
      <c r="AD386" s="1">
        <v>0</v>
      </c>
      <c r="AE386" s="1">
        <f>VLOOKUP($A386,Sheet1!$C$4:$M$91,5,FALSE)</f>
        <v>0</v>
      </c>
      <c r="AF386" s="1">
        <f>VLOOKUP($A386,Sheet1!$C$4:$M$91,6,FALSE)</f>
        <v>0</v>
      </c>
      <c r="AG386" s="1">
        <f>VLOOKUP($A386,Sheet1!$C$4:$M$91,8,FALSE)</f>
        <v>0</v>
      </c>
      <c r="AH386" s="1">
        <f>VLOOKUP($A386,Sheet1!$C$4:$M$91,7,FALSE)</f>
        <v>45</v>
      </c>
      <c r="AI386" s="1">
        <v>8</v>
      </c>
      <c r="AJ386" s="34" t="s">
        <v>1258</v>
      </c>
      <c r="AK386" s="1" t="s">
        <v>636</v>
      </c>
    </row>
    <row r="387" spans="1:37" x14ac:dyDescent="0.15">
      <c r="A387" s="13" t="s">
        <v>308</v>
      </c>
      <c r="B387" s="1">
        <v>3172</v>
      </c>
      <c r="C387" s="14" t="s">
        <v>242</v>
      </c>
      <c r="D387" s="1">
        <v>4</v>
      </c>
      <c r="E387" s="1">
        <v>0</v>
      </c>
      <c r="F387" s="1">
        <v>0</v>
      </c>
      <c r="H387" s="1" t="s">
        <v>1563</v>
      </c>
      <c r="I387" s="1">
        <v>1</v>
      </c>
      <c r="J387" s="1">
        <v>0</v>
      </c>
      <c r="K387" s="1">
        <v>0</v>
      </c>
      <c r="L387" s="1">
        <v>0</v>
      </c>
      <c r="M387" s="1">
        <v>1</v>
      </c>
      <c r="N387" s="1">
        <v>1</v>
      </c>
      <c r="O387" s="39">
        <f t="shared" si="15"/>
        <v>2608.2739819999993</v>
      </c>
      <c r="P387" s="39">
        <v>1304.1369909999996</v>
      </c>
      <c r="T387" s="36">
        <v>1</v>
      </c>
      <c r="U387" s="36" t="s">
        <v>798</v>
      </c>
      <c r="V387" s="36">
        <v>1000</v>
      </c>
      <c r="X387" s="2" t="s">
        <v>785</v>
      </c>
      <c r="Y387" s="1">
        <f>VLOOKUP($A387,Sheet1!C75:M163,2,FALSE)</f>
        <v>0</v>
      </c>
      <c r="Z387" s="1">
        <f>VLOOKUP($A387,Sheet1!$C$4:$M$91,3,FALSE)</f>
        <v>0</v>
      </c>
      <c r="AA387" s="1">
        <f>VLOOKUP($A387,Sheet1!$C$4:$M$91,4,FALSE)</f>
        <v>0</v>
      </c>
      <c r="AB387" s="1">
        <v>0</v>
      </c>
      <c r="AC387" s="1">
        <v>0</v>
      </c>
      <c r="AD387" s="1">
        <v>0</v>
      </c>
      <c r="AE387" s="1">
        <f>VLOOKUP($A387,Sheet1!$C$4:$M$91,5,FALSE)</f>
        <v>0</v>
      </c>
      <c r="AF387" s="1">
        <f>VLOOKUP($A387,Sheet1!$C$4:$M$91,6,FALSE)</f>
        <v>45</v>
      </c>
      <c r="AG387" s="1">
        <f>VLOOKUP($A387,Sheet1!$C$4:$M$91,8,FALSE)</f>
        <v>0</v>
      </c>
      <c r="AH387" s="1">
        <f>VLOOKUP($A387,Sheet1!$C$4:$M$91,7,FALSE)</f>
        <v>0</v>
      </c>
      <c r="AI387" s="1">
        <v>8</v>
      </c>
      <c r="AJ387" s="34" t="s">
        <v>1259</v>
      </c>
      <c r="AK387" s="1" t="s">
        <v>636</v>
      </c>
    </row>
    <row r="388" spans="1:37" x14ac:dyDescent="0.15">
      <c r="A388" s="13" t="s">
        <v>310</v>
      </c>
      <c r="B388" s="1">
        <v>3173</v>
      </c>
      <c r="C388" s="14" t="s">
        <v>243</v>
      </c>
      <c r="D388" s="1">
        <v>4</v>
      </c>
      <c r="E388" s="1">
        <v>0</v>
      </c>
      <c r="F388" s="1">
        <v>0</v>
      </c>
      <c r="H388" s="1" t="s">
        <v>1563</v>
      </c>
      <c r="I388" s="1">
        <v>1</v>
      </c>
      <c r="J388" s="1">
        <v>0</v>
      </c>
      <c r="K388" s="1">
        <v>0</v>
      </c>
      <c r="L388" s="1">
        <v>0</v>
      </c>
      <c r="M388" s="1">
        <v>1</v>
      </c>
      <c r="N388" s="1">
        <v>1</v>
      </c>
      <c r="O388" s="39">
        <f t="shared" si="15"/>
        <v>3624.8131980000003</v>
      </c>
      <c r="P388" s="39">
        <v>1812.4065990000001</v>
      </c>
      <c r="T388" s="36" t="s">
        <v>801</v>
      </c>
      <c r="U388" s="36" t="s">
        <v>798</v>
      </c>
      <c r="V388" s="36">
        <v>901</v>
      </c>
      <c r="X388" s="2" t="s">
        <v>785</v>
      </c>
      <c r="Y388" s="1">
        <f>VLOOKUP($A388,Sheet1!C76:M164,2,FALSE)</f>
        <v>0</v>
      </c>
      <c r="Z388" s="1">
        <f>VLOOKUP($A388,Sheet1!$C$4:$M$91,3,FALSE)</f>
        <v>60</v>
      </c>
      <c r="AA388" s="1">
        <f>VLOOKUP($A388,Sheet1!$C$4:$M$91,4,FALSE)</f>
        <v>0</v>
      </c>
      <c r="AB388" s="1">
        <v>0</v>
      </c>
      <c r="AC388" s="1">
        <v>0</v>
      </c>
      <c r="AD388" s="1">
        <v>0</v>
      </c>
      <c r="AE388" s="1">
        <f>VLOOKUP($A388,Sheet1!$C$4:$M$91,5,FALSE)</f>
        <v>0</v>
      </c>
      <c r="AF388" s="1">
        <f>VLOOKUP($A388,Sheet1!$C$4:$M$91,6,FALSE)</f>
        <v>0</v>
      </c>
      <c r="AG388" s="1">
        <f>VLOOKUP($A388,Sheet1!$C$4:$M$91,8,FALSE)</f>
        <v>0</v>
      </c>
      <c r="AH388" s="1">
        <f>VLOOKUP($A388,Sheet1!$C$4:$M$91,7,FALSE)</f>
        <v>0</v>
      </c>
      <c r="AI388" s="1">
        <v>0</v>
      </c>
      <c r="AJ388" s="34" t="s">
        <v>1260</v>
      </c>
      <c r="AK388" s="1" t="s">
        <v>1357</v>
      </c>
    </row>
    <row r="389" spans="1:37" x14ac:dyDescent="0.15">
      <c r="A389" s="13" t="s">
        <v>244</v>
      </c>
      <c r="B389" s="1">
        <v>3174</v>
      </c>
      <c r="C389" s="14" t="s">
        <v>311</v>
      </c>
      <c r="D389" s="1">
        <v>4</v>
      </c>
      <c r="E389" s="1">
        <v>0</v>
      </c>
      <c r="F389" s="1">
        <v>0</v>
      </c>
      <c r="H389" s="1" t="s">
        <v>1567</v>
      </c>
      <c r="I389" s="1">
        <v>1</v>
      </c>
      <c r="J389" s="1">
        <v>0</v>
      </c>
      <c r="K389" s="1">
        <v>0</v>
      </c>
      <c r="L389" s="1">
        <v>0</v>
      </c>
      <c r="M389" s="1">
        <v>1</v>
      </c>
      <c r="N389" s="1">
        <v>1</v>
      </c>
      <c r="O389" s="39">
        <f t="shared" si="15"/>
        <v>3944.5161420000004</v>
      </c>
      <c r="P389" s="39">
        <v>1972.2580710000002</v>
      </c>
      <c r="T389" s="36">
        <v>1</v>
      </c>
      <c r="U389" s="36" t="s">
        <v>798</v>
      </c>
      <c r="V389" s="36">
        <v>1000</v>
      </c>
      <c r="X389" s="2" t="s">
        <v>785</v>
      </c>
      <c r="Y389" s="1">
        <f>VLOOKUP($A389,Sheet1!C77:M165,2,FALSE)</f>
        <v>0</v>
      </c>
      <c r="Z389" s="1">
        <f>VLOOKUP($A389,Sheet1!$C$4:$M$91,3,FALSE)</f>
        <v>0</v>
      </c>
      <c r="AA389" s="1">
        <f>VLOOKUP($A389,Sheet1!$C$4:$M$91,4,FALSE)</f>
        <v>0</v>
      </c>
      <c r="AB389" s="1">
        <v>0</v>
      </c>
      <c r="AC389" s="1">
        <v>0</v>
      </c>
      <c r="AD389" s="1">
        <v>0</v>
      </c>
      <c r="AE389" s="1">
        <f>VLOOKUP($A389,Sheet1!$C$4:$M$91,5,FALSE)</f>
        <v>0</v>
      </c>
      <c r="AF389" s="1">
        <f>VLOOKUP($A389,Sheet1!$C$4:$M$91,6,FALSE)</f>
        <v>0</v>
      </c>
      <c r="AG389" s="1">
        <f>VLOOKUP($A389,Sheet1!$C$4:$M$91,8,FALSE)</f>
        <v>0</v>
      </c>
      <c r="AH389" s="1">
        <f>VLOOKUP($A389,Sheet1!$C$4:$M$91,7,FALSE)</f>
        <v>40</v>
      </c>
      <c r="AI389" s="1">
        <v>8</v>
      </c>
      <c r="AJ389" s="34" t="s">
        <v>1261</v>
      </c>
      <c r="AK389" s="1" t="s">
        <v>636</v>
      </c>
    </row>
    <row r="390" spans="1:37" x14ac:dyDescent="0.15">
      <c r="A390" s="13" t="s">
        <v>312</v>
      </c>
      <c r="B390" s="1">
        <v>3175</v>
      </c>
      <c r="C390" s="14" t="s">
        <v>245</v>
      </c>
      <c r="D390" s="1">
        <v>4</v>
      </c>
      <c r="E390" s="1">
        <v>0</v>
      </c>
      <c r="F390" s="1">
        <v>0</v>
      </c>
      <c r="H390" s="1" t="s">
        <v>1567</v>
      </c>
      <c r="I390" s="1">
        <v>1</v>
      </c>
      <c r="J390" s="1">
        <v>0</v>
      </c>
      <c r="K390" s="1">
        <v>0</v>
      </c>
      <c r="L390" s="1">
        <v>0</v>
      </c>
      <c r="M390" s="1">
        <v>1</v>
      </c>
      <c r="N390" s="1">
        <v>1</v>
      </c>
      <c r="O390" s="39">
        <f t="shared" si="15"/>
        <v>1888.46075</v>
      </c>
      <c r="P390" s="39">
        <v>944.23037499999998</v>
      </c>
      <c r="T390" s="36">
        <v>1</v>
      </c>
      <c r="U390" s="36" t="s">
        <v>798</v>
      </c>
      <c r="V390" s="36">
        <v>1000</v>
      </c>
      <c r="X390" s="2" t="s">
        <v>785</v>
      </c>
      <c r="Y390" s="1">
        <f>VLOOKUP($A390,Sheet1!C78:M166,2,FALSE)</f>
        <v>0</v>
      </c>
      <c r="Z390" s="1">
        <f>VLOOKUP($A390,Sheet1!$C$4:$M$91,3,FALSE)</f>
        <v>0</v>
      </c>
      <c r="AA390" s="1">
        <f>VLOOKUP($A390,Sheet1!$C$4:$M$91,4,FALSE)</f>
        <v>0</v>
      </c>
      <c r="AB390" s="1">
        <v>0</v>
      </c>
      <c r="AC390" s="1">
        <v>0</v>
      </c>
      <c r="AD390" s="1">
        <v>0</v>
      </c>
      <c r="AE390" s="1">
        <f>VLOOKUP($A390,Sheet1!$C$4:$M$91,5,FALSE)</f>
        <v>0</v>
      </c>
      <c r="AF390" s="1">
        <f>VLOOKUP($A390,Sheet1!$C$4:$M$91,6,FALSE)</f>
        <v>0</v>
      </c>
      <c r="AG390" s="1">
        <f>VLOOKUP($A390,Sheet1!$C$4:$M$91,8,FALSE)</f>
        <v>0</v>
      </c>
      <c r="AH390" s="1">
        <f>VLOOKUP($A390,Sheet1!$C$4:$M$91,7,FALSE)</f>
        <v>20</v>
      </c>
      <c r="AI390" s="1">
        <v>8</v>
      </c>
      <c r="AJ390" s="34" t="s">
        <v>1262</v>
      </c>
      <c r="AK390" s="1" t="s">
        <v>636</v>
      </c>
    </row>
    <row r="391" spans="1:37" ht="27" x14ac:dyDescent="0.15">
      <c r="A391" s="13" t="s">
        <v>246</v>
      </c>
      <c r="B391" s="1">
        <v>3176</v>
      </c>
      <c r="C391" s="14" t="s">
        <v>313</v>
      </c>
      <c r="D391" s="1">
        <v>4</v>
      </c>
      <c r="E391" s="1">
        <v>0</v>
      </c>
      <c r="F391" s="1">
        <v>0</v>
      </c>
      <c r="H391" s="1" t="s">
        <v>1563</v>
      </c>
      <c r="I391" s="1">
        <v>1</v>
      </c>
      <c r="J391" s="1">
        <v>0</v>
      </c>
      <c r="K391" s="1">
        <v>0</v>
      </c>
      <c r="L391" s="1">
        <v>0</v>
      </c>
      <c r="M391" s="1">
        <v>1</v>
      </c>
      <c r="N391" s="1">
        <v>1</v>
      </c>
      <c r="O391" s="39">
        <f t="shared" si="15"/>
        <v>5921.6591179999996</v>
      </c>
      <c r="P391" s="39">
        <v>2960.8295589999998</v>
      </c>
      <c r="T391" s="36" t="s">
        <v>801</v>
      </c>
      <c r="U391" s="36" t="s">
        <v>798</v>
      </c>
      <c r="V391" s="36">
        <v>903</v>
      </c>
      <c r="X391" s="2" t="s">
        <v>785</v>
      </c>
      <c r="Y391" s="1">
        <f>VLOOKUP($A391,Sheet1!C79:M167,2,FALSE)</f>
        <v>160</v>
      </c>
      <c r="Z391" s="1">
        <f>VLOOKUP($A391,Sheet1!$C$4:$M$91,3,FALSE)</f>
        <v>100</v>
      </c>
      <c r="AA391" s="1">
        <f>VLOOKUP($A391,Sheet1!$C$4:$M$91,4,FALSE)</f>
        <v>0</v>
      </c>
      <c r="AB391" s="1">
        <v>0</v>
      </c>
      <c r="AC391" s="1">
        <v>0</v>
      </c>
      <c r="AD391" s="1">
        <v>0</v>
      </c>
      <c r="AE391" s="1">
        <f>VLOOKUP($A391,Sheet1!$C$4:$M$91,5,FALSE)</f>
        <v>0</v>
      </c>
      <c r="AF391" s="1">
        <f>VLOOKUP($A391,Sheet1!$C$4:$M$91,6,FALSE)</f>
        <v>0</v>
      </c>
      <c r="AG391" s="1">
        <f>VLOOKUP($A391,Sheet1!$C$4:$M$91,8,FALSE)</f>
        <v>0</v>
      </c>
      <c r="AH391" s="1">
        <f>VLOOKUP($A391,Sheet1!$C$4:$M$91,7,FALSE)</f>
        <v>0</v>
      </c>
      <c r="AI391" s="1">
        <v>0</v>
      </c>
      <c r="AJ391" s="34" t="s">
        <v>1263</v>
      </c>
      <c r="AK391" s="1" t="s">
        <v>1355</v>
      </c>
    </row>
    <row r="392" spans="1:37" x14ac:dyDescent="0.15">
      <c r="A392" s="13" t="s">
        <v>314</v>
      </c>
      <c r="B392" s="1">
        <v>3177</v>
      </c>
      <c r="C392" s="14" t="s">
        <v>247</v>
      </c>
      <c r="D392" s="1">
        <v>4</v>
      </c>
      <c r="E392" s="1">
        <v>0</v>
      </c>
      <c r="F392" s="1">
        <v>0</v>
      </c>
      <c r="H392" s="1" t="s">
        <v>1567</v>
      </c>
      <c r="I392" s="1">
        <v>1</v>
      </c>
      <c r="J392" s="1">
        <v>0</v>
      </c>
      <c r="K392" s="1">
        <v>0</v>
      </c>
      <c r="L392" s="1">
        <v>0</v>
      </c>
      <c r="M392" s="1">
        <v>1</v>
      </c>
      <c r="N392" s="1">
        <v>1</v>
      </c>
      <c r="O392" s="39">
        <f t="shared" si="15"/>
        <v>6742.5017420000004</v>
      </c>
      <c r="P392" s="39">
        <v>3371.2508710000002</v>
      </c>
      <c r="T392" s="36">
        <v>1</v>
      </c>
      <c r="U392" s="36" t="s">
        <v>798</v>
      </c>
      <c r="V392" s="36">
        <v>1000</v>
      </c>
      <c r="X392" s="2" t="s">
        <v>785</v>
      </c>
      <c r="Y392" s="1">
        <f>VLOOKUP($A392,Sheet1!C80:M168,2,FALSE)</f>
        <v>0</v>
      </c>
      <c r="Z392" s="1">
        <f>VLOOKUP($A392,Sheet1!$C$4:$M$91,3,FALSE)</f>
        <v>0</v>
      </c>
      <c r="AA392" s="1">
        <f>VLOOKUP($A392,Sheet1!$C$4:$M$91,4,FALSE)</f>
        <v>0</v>
      </c>
      <c r="AB392" s="1">
        <v>0</v>
      </c>
      <c r="AC392" s="1">
        <v>0</v>
      </c>
      <c r="AD392" s="1">
        <v>0</v>
      </c>
      <c r="AE392" s="1">
        <f>VLOOKUP($A392,Sheet1!$C$4:$M$91,5,FALSE)</f>
        <v>0</v>
      </c>
      <c r="AF392" s="1">
        <f>VLOOKUP($A392,Sheet1!$C$4:$M$91,6,FALSE)</f>
        <v>0</v>
      </c>
      <c r="AG392" s="1">
        <f>VLOOKUP($A392,Sheet1!$C$4:$M$91,8,FALSE)</f>
        <v>0</v>
      </c>
      <c r="AH392" s="1">
        <f>VLOOKUP($A392,Sheet1!$C$4:$M$91,7,FALSE)</f>
        <v>50</v>
      </c>
      <c r="AI392" s="1">
        <v>8</v>
      </c>
      <c r="AJ392" s="34" t="s">
        <v>1264</v>
      </c>
      <c r="AK392" s="1" t="s">
        <v>636</v>
      </c>
    </row>
    <row r="393" spans="1:37" x14ac:dyDescent="0.15">
      <c r="A393" s="13" t="s">
        <v>315</v>
      </c>
      <c r="B393" s="1">
        <v>3178</v>
      </c>
      <c r="C393" s="14" t="s">
        <v>248</v>
      </c>
      <c r="D393" s="1">
        <v>4</v>
      </c>
      <c r="E393" s="1">
        <v>0</v>
      </c>
      <c r="F393" s="1">
        <v>0</v>
      </c>
      <c r="H393" s="1">
        <v>1</v>
      </c>
      <c r="I393" s="1">
        <v>1</v>
      </c>
      <c r="J393" s="1">
        <v>0</v>
      </c>
      <c r="K393" s="1">
        <v>0</v>
      </c>
      <c r="L393" s="1">
        <v>0</v>
      </c>
      <c r="M393" s="1">
        <v>1</v>
      </c>
      <c r="N393" s="1">
        <v>1</v>
      </c>
      <c r="O393" s="39">
        <f t="shared" si="15"/>
        <v>6902.2949579999995</v>
      </c>
      <c r="P393" s="39">
        <v>3451.1474789999997</v>
      </c>
      <c r="T393" s="36" t="s">
        <v>801</v>
      </c>
      <c r="U393" s="36" t="s">
        <v>798</v>
      </c>
      <c r="V393" s="36">
        <v>901</v>
      </c>
      <c r="X393" s="2" t="s">
        <v>785</v>
      </c>
      <c r="Y393" s="1">
        <f>VLOOKUP($A393,Sheet1!C81:M169,2,FALSE)</f>
        <v>0</v>
      </c>
      <c r="Z393" s="1">
        <f>VLOOKUP($A393,Sheet1!$C$4:$M$91,3,FALSE)</f>
        <v>200</v>
      </c>
      <c r="AA393" s="1">
        <f>VLOOKUP($A393,Sheet1!$C$4:$M$91,4,FALSE)</f>
        <v>0</v>
      </c>
      <c r="AB393" s="1">
        <v>0</v>
      </c>
      <c r="AC393" s="1">
        <v>0</v>
      </c>
      <c r="AD393" s="1">
        <v>0</v>
      </c>
      <c r="AE393" s="1">
        <f>VLOOKUP($A393,Sheet1!$C$4:$M$91,5,FALSE)</f>
        <v>0</v>
      </c>
      <c r="AF393" s="1">
        <f>VLOOKUP($A393,Sheet1!$C$4:$M$91,6,FALSE)</f>
        <v>0</v>
      </c>
      <c r="AG393" s="1">
        <f>VLOOKUP($A393,Sheet1!$C$4:$M$91,8,FALSE)</f>
        <v>0</v>
      </c>
      <c r="AH393" s="1">
        <f>VLOOKUP($A393,Sheet1!$C$4:$M$91,7,FALSE)</f>
        <v>0</v>
      </c>
      <c r="AI393" s="1">
        <v>0</v>
      </c>
      <c r="AJ393" s="34" t="s">
        <v>1265</v>
      </c>
      <c r="AK393" s="1" t="s">
        <v>1356</v>
      </c>
    </row>
    <row r="394" spans="1:37" x14ac:dyDescent="0.15">
      <c r="A394" s="48" t="s">
        <v>963</v>
      </c>
      <c r="B394" s="1">
        <v>3179</v>
      </c>
      <c r="C394" s="14" t="s">
        <v>797</v>
      </c>
      <c r="D394" s="1">
        <v>4</v>
      </c>
      <c r="E394" s="1">
        <v>0</v>
      </c>
      <c r="F394" s="1">
        <v>0</v>
      </c>
      <c r="H394" s="1" t="s">
        <v>1556</v>
      </c>
      <c r="I394" s="1">
        <v>1</v>
      </c>
      <c r="J394" s="1">
        <v>0</v>
      </c>
      <c r="K394" s="1">
        <v>0</v>
      </c>
      <c r="L394" s="1">
        <v>0</v>
      </c>
      <c r="M394" s="1">
        <v>1</v>
      </c>
      <c r="N394" s="1">
        <v>1</v>
      </c>
      <c r="O394" s="39">
        <f t="shared" si="15"/>
        <v>925.67039999999986</v>
      </c>
      <c r="P394" s="39">
        <v>462.83519999999993</v>
      </c>
      <c r="T394" s="36">
        <v>1</v>
      </c>
      <c r="U394" s="36" t="s">
        <v>798</v>
      </c>
      <c r="V394" s="36">
        <v>1000</v>
      </c>
      <c r="X394" s="2" t="s">
        <v>785</v>
      </c>
      <c r="Y394" s="1">
        <f>VLOOKUP($A394,Sheet1!C82:M170,2,FALSE)</f>
        <v>0</v>
      </c>
      <c r="Z394" s="1">
        <f>VLOOKUP($A394,Sheet1!$C$4:$M$91,3,FALSE)</f>
        <v>0</v>
      </c>
      <c r="AA394" s="1">
        <f>VLOOKUP($A394,Sheet1!$C$4:$M$91,4,FALSE)</f>
        <v>0</v>
      </c>
      <c r="AB394" s="1">
        <v>0</v>
      </c>
      <c r="AC394" s="1">
        <v>0</v>
      </c>
      <c r="AD394" s="1">
        <v>0</v>
      </c>
      <c r="AE394" s="1">
        <f>VLOOKUP($A394,Sheet1!$C$4:$M$91,5,FALSE)</f>
        <v>0</v>
      </c>
      <c r="AF394" s="1">
        <f>VLOOKUP($A394,Sheet1!$C$4:$M$91,6,FALSE)</f>
        <v>0</v>
      </c>
      <c r="AG394" s="1">
        <f>VLOOKUP($A394,Sheet1!$C$4:$M$91,8,FALSE)</f>
        <v>15</v>
      </c>
      <c r="AH394" s="1">
        <f>VLOOKUP($A394,Sheet1!$C$4:$M$91,7,FALSE)</f>
        <v>8</v>
      </c>
      <c r="AI394" s="1">
        <v>8</v>
      </c>
      <c r="AJ394" s="34" t="s">
        <v>1266</v>
      </c>
      <c r="AK394" s="1" t="s">
        <v>636</v>
      </c>
    </row>
    <row r="395" spans="1:37" x14ac:dyDescent="0.15">
      <c r="A395" s="1" t="s">
        <v>926</v>
      </c>
      <c r="B395" s="1">
        <v>3500</v>
      </c>
      <c r="C395" s="1" t="s">
        <v>926</v>
      </c>
      <c r="D395" s="1">
        <v>11</v>
      </c>
      <c r="E395" s="7">
        <v>3000</v>
      </c>
      <c r="F395" s="1">
        <v>0</v>
      </c>
      <c r="H395" s="1">
        <v>0</v>
      </c>
      <c r="I395" s="1">
        <v>1</v>
      </c>
      <c r="J395" s="1">
        <v>0</v>
      </c>
      <c r="K395" s="1">
        <v>0</v>
      </c>
      <c r="L395" s="1">
        <v>0</v>
      </c>
      <c r="M395" s="1">
        <v>1</v>
      </c>
      <c r="N395" s="1">
        <v>1</v>
      </c>
      <c r="O395" s="39">
        <f>P395*2</f>
        <v>254</v>
      </c>
      <c r="P395" s="39">
        <v>127</v>
      </c>
      <c r="T395" s="36">
        <v>0</v>
      </c>
      <c r="U395" s="36">
        <v>51</v>
      </c>
      <c r="V395" s="36">
        <v>0</v>
      </c>
      <c r="X395" s="2" t="s">
        <v>785</v>
      </c>
      <c r="Y395" s="1">
        <v>0</v>
      </c>
      <c r="Z395" s="1">
        <v>0</v>
      </c>
      <c r="AA395" s="1">
        <v>0</v>
      </c>
      <c r="AB395" s="1">
        <v>0</v>
      </c>
      <c r="AC395" s="1">
        <v>0</v>
      </c>
      <c r="AD395" s="1">
        <v>0</v>
      </c>
      <c r="AE395" s="1">
        <v>0</v>
      </c>
      <c r="AF395" s="1">
        <v>0</v>
      </c>
      <c r="AG395" s="1">
        <v>0</v>
      </c>
      <c r="AH395" s="1">
        <v>0</v>
      </c>
      <c r="AI395" s="1">
        <v>0</v>
      </c>
      <c r="AJ395" s="34" t="s">
        <v>1324</v>
      </c>
      <c r="AK395" s="1" t="s">
        <v>636</v>
      </c>
    </row>
    <row r="396" spans="1:37" x14ac:dyDescent="0.15">
      <c r="A396" s="1" t="s">
        <v>927</v>
      </c>
      <c r="B396" s="1">
        <v>3501</v>
      </c>
      <c r="C396" s="1" t="s">
        <v>927</v>
      </c>
      <c r="D396" s="1">
        <v>11</v>
      </c>
      <c r="E396" s="7">
        <v>3002</v>
      </c>
      <c r="F396" s="1">
        <v>0</v>
      </c>
      <c r="H396" s="1">
        <v>0</v>
      </c>
      <c r="I396" s="1">
        <v>1</v>
      </c>
      <c r="J396" s="1">
        <v>0</v>
      </c>
      <c r="K396" s="1">
        <v>0</v>
      </c>
      <c r="L396" s="1">
        <v>0</v>
      </c>
      <c r="M396" s="1">
        <v>1</v>
      </c>
      <c r="N396" s="1">
        <v>1</v>
      </c>
      <c r="O396" s="39">
        <f t="shared" ref="O396:O404" si="16">P396*2</f>
        <v>574</v>
      </c>
      <c r="P396" s="39">
        <v>287</v>
      </c>
      <c r="T396" s="36">
        <v>0</v>
      </c>
      <c r="U396" s="36">
        <v>51</v>
      </c>
      <c r="V396" s="36">
        <v>0</v>
      </c>
      <c r="X396" s="2" t="s">
        <v>785</v>
      </c>
      <c r="Y396" s="1">
        <v>0</v>
      </c>
      <c r="Z396" s="1">
        <v>0</v>
      </c>
      <c r="AA396" s="1">
        <v>0</v>
      </c>
      <c r="AB396" s="1">
        <v>0</v>
      </c>
      <c r="AC396" s="1">
        <v>0</v>
      </c>
      <c r="AD396" s="1">
        <v>0</v>
      </c>
      <c r="AE396" s="1">
        <v>0</v>
      </c>
      <c r="AF396" s="1">
        <v>0</v>
      </c>
      <c r="AG396" s="1">
        <v>0</v>
      </c>
      <c r="AH396" s="1">
        <v>0</v>
      </c>
      <c r="AI396" s="1">
        <v>0</v>
      </c>
      <c r="AJ396" s="34" t="s">
        <v>1325</v>
      </c>
      <c r="AK396" s="1" t="s">
        <v>636</v>
      </c>
    </row>
    <row r="397" spans="1:37" x14ac:dyDescent="0.15">
      <c r="A397" s="1" t="s">
        <v>1625</v>
      </c>
      <c r="B397" s="1">
        <v>3502</v>
      </c>
      <c r="C397" s="1" t="s">
        <v>1625</v>
      </c>
      <c r="D397" s="1">
        <v>11</v>
      </c>
      <c r="E397" s="7">
        <v>3004</v>
      </c>
      <c r="F397" s="1">
        <v>0</v>
      </c>
      <c r="H397" s="1">
        <v>0</v>
      </c>
      <c r="I397" s="1">
        <v>1</v>
      </c>
      <c r="J397" s="1">
        <v>0</v>
      </c>
      <c r="K397" s="1">
        <v>0</v>
      </c>
      <c r="L397" s="1">
        <v>0</v>
      </c>
      <c r="M397" s="1">
        <v>1</v>
      </c>
      <c r="N397" s="1">
        <v>1</v>
      </c>
      <c r="O397" s="39">
        <f t="shared" si="16"/>
        <v>818</v>
      </c>
      <c r="P397" s="39">
        <v>409</v>
      </c>
      <c r="T397" s="36">
        <v>0</v>
      </c>
      <c r="U397" s="36">
        <v>51</v>
      </c>
      <c r="V397" s="36">
        <v>0</v>
      </c>
      <c r="X397" s="2" t="s">
        <v>785</v>
      </c>
      <c r="Y397" s="1">
        <v>0</v>
      </c>
      <c r="Z397" s="1">
        <v>0</v>
      </c>
      <c r="AA397" s="1">
        <v>0</v>
      </c>
      <c r="AB397" s="1">
        <v>0</v>
      </c>
      <c r="AC397" s="1">
        <v>0</v>
      </c>
      <c r="AD397" s="1">
        <v>0</v>
      </c>
      <c r="AE397" s="1">
        <v>0</v>
      </c>
      <c r="AF397" s="1">
        <v>0</v>
      </c>
      <c r="AG397" s="1">
        <v>0</v>
      </c>
      <c r="AH397" s="1">
        <v>0</v>
      </c>
      <c r="AI397" s="1">
        <v>0</v>
      </c>
      <c r="AJ397" s="34" t="s">
        <v>1326</v>
      </c>
      <c r="AK397" s="1" t="s">
        <v>636</v>
      </c>
    </row>
    <row r="398" spans="1:37" x14ac:dyDescent="0.15">
      <c r="A398" s="1" t="s">
        <v>929</v>
      </c>
      <c r="B398" s="1">
        <v>3503</v>
      </c>
      <c r="C398" s="1" t="s">
        <v>929</v>
      </c>
      <c r="D398" s="1">
        <v>11</v>
      </c>
      <c r="E398" s="7">
        <v>3006</v>
      </c>
      <c r="F398" s="1">
        <v>0</v>
      </c>
      <c r="H398" s="1">
        <v>0</v>
      </c>
      <c r="I398" s="1">
        <v>1</v>
      </c>
      <c r="J398" s="1">
        <v>0</v>
      </c>
      <c r="K398" s="1">
        <v>0</v>
      </c>
      <c r="L398" s="1">
        <v>0</v>
      </c>
      <c r="M398" s="1">
        <v>1</v>
      </c>
      <c r="N398" s="1">
        <v>1</v>
      </c>
      <c r="O398" s="39">
        <f t="shared" si="16"/>
        <v>1132</v>
      </c>
      <c r="P398" s="39">
        <v>566</v>
      </c>
      <c r="T398" s="36">
        <v>0</v>
      </c>
      <c r="U398" s="36">
        <v>51</v>
      </c>
      <c r="V398" s="36">
        <v>0</v>
      </c>
      <c r="X398" s="2" t="s">
        <v>785</v>
      </c>
      <c r="Y398" s="1">
        <v>0</v>
      </c>
      <c r="Z398" s="1">
        <v>0</v>
      </c>
      <c r="AA398" s="1">
        <v>0</v>
      </c>
      <c r="AB398" s="1">
        <v>0</v>
      </c>
      <c r="AC398" s="1">
        <v>0</v>
      </c>
      <c r="AD398" s="1">
        <v>0</v>
      </c>
      <c r="AE398" s="1">
        <v>0</v>
      </c>
      <c r="AF398" s="1">
        <v>0</v>
      </c>
      <c r="AG398" s="1">
        <v>0</v>
      </c>
      <c r="AH398" s="1">
        <v>0</v>
      </c>
      <c r="AI398" s="1">
        <v>0</v>
      </c>
      <c r="AJ398" s="34" t="s">
        <v>1327</v>
      </c>
      <c r="AK398" s="1" t="s">
        <v>636</v>
      </c>
    </row>
    <row r="399" spans="1:37" x14ac:dyDescent="0.15">
      <c r="A399" s="1" t="s">
        <v>930</v>
      </c>
      <c r="B399" s="1">
        <v>3504</v>
      </c>
      <c r="C399" s="1" t="s">
        <v>930</v>
      </c>
      <c r="D399" s="1">
        <v>11</v>
      </c>
      <c r="E399" s="7">
        <v>3008</v>
      </c>
      <c r="F399" s="1">
        <v>0</v>
      </c>
      <c r="H399" s="1">
        <v>0</v>
      </c>
      <c r="I399" s="1">
        <v>1</v>
      </c>
      <c r="J399" s="1">
        <v>0</v>
      </c>
      <c r="K399" s="1">
        <v>0</v>
      </c>
      <c r="L399" s="1">
        <v>0</v>
      </c>
      <c r="M399" s="1">
        <v>1</v>
      </c>
      <c r="N399" s="1">
        <v>1</v>
      </c>
      <c r="O399" s="39">
        <f t="shared" si="16"/>
        <v>1524</v>
      </c>
      <c r="P399" s="39">
        <v>762</v>
      </c>
      <c r="T399" s="36">
        <v>0</v>
      </c>
      <c r="U399" s="36">
        <v>51</v>
      </c>
      <c r="V399" s="36">
        <v>0</v>
      </c>
      <c r="X399" s="2" t="s">
        <v>785</v>
      </c>
      <c r="Y399" s="1">
        <v>0</v>
      </c>
      <c r="Z399" s="1">
        <v>0</v>
      </c>
      <c r="AA399" s="1">
        <v>0</v>
      </c>
      <c r="AB399" s="1">
        <v>0</v>
      </c>
      <c r="AC399" s="1">
        <v>0</v>
      </c>
      <c r="AD399" s="1">
        <v>0</v>
      </c>
      <c r="AE399" s="1">
        <v>0</v>
      </c>
      <c r="AF399" s="1">
        <v>0</v>
      </c>
      <c r="AG399" s="1">
        <v>0</v>
      </c>
      <c r="AH399" s="1">
        <v>0</v>
      </c>
      <c r="AI399" s="1">
        <v>0</v>
      </c>
      <c r="AJ399" s="34" t="s">
        <v>1328</v>
      </c>
      <c r="AK399" s="1" t="s">
        <v>636</v>
      </c>
    </row>
    <row r="400" spans="1:37" x14ac:dyDescent="0.15">
      <c r="A400" s="1" t="s">
        <v>931</v>
      </c>
      <c r="B400" s="1">
        <v>3505</v>
      </c>
      <c r="C400" s="1" t="s">
        <v>931</v>
      </c>
      <c r="D400" s="1">
        <v>11</v>
      </c>
      <c r="E400" s="7">
        <v>3010</v>
      </c>
      <c r="F400" s="1">
        <v>0</v>
      </c>
      <c r="H400" s="1">
        <v>0</v>
      </c>
      <c r="I400" s="1">
        <v>1</v>
      </c>
      <c r="J400" s="1">
        <v>0</v>
      </c>
      <c r="K400" s="1">
        <v>0</v>
      </c>
      <c r="L400" s="1">
        <v>0</v>
      </c>
      <c r="M400" s="1">
        <v>1</v>
      </c>
      <c r="N400" s="1">
        <v>1</v>
      </c>
      <c r="O400" s="39">
        <f t="shared" si="16"/>
        <v>1970</v>
      </c>
      <c r="P400" s="39">
        <v>985</v>
      </c>
      <c r="T400" s="36">
        <v>0</v>
      </c>
      <c r="U400" s="36">
        <v>51</v>
      </c>
      <c r="V400" s="36">
        <v>0</v>
      </c>
      <c r="X400" s="2" t="s">
        <v>785</v>
      </c>
      <c r="Y400" s="1">
        <v>0</v>
      </c>
      <c r="Z400" s="1">
        <v>0</v>
      </c>
      <c r="AA400" s="1">
        <v>0</v>
      </c>
      <c r="AB400" s="1">
        <v>0</v>
      </c>
      <c r="AC400" s="1">
        <v>0</v>
      </c>
      <c r="AD400" s="1">
        <v>0</v>
      </c>
      <c r="AE400" s="1">
        <v>0</v>
      </c>
      <c r="AF400" s="1">
        <v>0</v>
      </c>
      <c r="AG400" s="1">
        <v>0</v>
      </c>
      <c r="AH400" s="1">
        <v>0</v>
      </c>
      <c r="AI400" s="1">
        <v>0</v>
      </c>
      <c r="AJ400" s="34" t="s">
        <v>1329</v>
      </c>
      <c r="AK400" s="1" t="s">
        <v>636</v>
      </c>
    </row>
    <row r="401" spans="1:37" x14ac:dyDescent="0.15">
      <c r="A401" s="1" t="s">
        <v>932</v>
      </c>
      <c r="B401" s="1">
        <v>3506</v>
      </c>
      <c r="C401" s="1" t="s">
        <v>932</v>
      </c>
      <c r="D401" s="1">
        <v>11</v>
      </c>
      <c r="E401" s="7">
        <v>3012</v>
      </c>
      <c r="F401" s="1">
        <v>0</v>
      </c>
      <c r="H401" s="1">
        <v>0</v>
      </c>
      <c r="I401" s="1">
        <v>1</v>
      </c>
      <c r="J401" s="1">
        <v>0</v>
      </c>
      <c r="K401" s="1">
        <v>0</v>
      </c>
      <c r="L401" s="1">
        <v>0</v>
      </c>
      <c r="M401" s="1">
        <v>1</v>
      </c>
      <c r="N401" s="1">
        <v>1</v>
      </c>
      <c r="O401" s="39">
        <f t="shared" si="16"/>
        <v>3040</v>
      </c>
      <c r="P401" s="39">
        <v>1520</v>
      </c>
      <c r="T401" s="36">
        <v>0</v>
      </c>
      <c r="U401" s="36">
        <v>51</v>
      </c>
      <c r="V401" s="36">
        <v>0</v>
      </c>
      <c r="X401" s="2" t="s">
        <v>785</v>
      </c>
      <c r="Y401" s="1">
        <v>0</v>
      </c>
      <c r="Z401" s="1">
        <v>0</v>
      </c>
      <c r="AA401" s="1">
        <v>0</v>
      </c>
      <c r="AB401" s="1">
        <v>0</v>
      </c>
      <c r="AC401" s="1">
        <v>0</v>
      </c>
      <c r="AD401" s="1">
        <v>0</v>
      </c>
      <c r="AE401" s="1">
        <v>0</v>
      </c>
      <c r="AF401" s="1">
        <v>0</v>
      </c>
      <c r="AG401" s="1">
        <v>0</v>
      </c>
      <c r="AH401" s="1">
        <v>0</v>
      </c>
      <c r="AI401" s="1">
        <v>0</v>
      </c>
      <c r="AJ401" s="34" t="s">
        <v>1630</v>
      </c>
      <c r="AK401" s="1" t="s">
        <v>636</v>
      </c>
    </row>
    <row r="402" spans="1:37" x14ac:dyDescent="0.15">
      <c r="A402" s="1" t="s">
        <v>1634</v>
      </c>
      <c r="B402" s="1">
        <v>3507</v>
      </c>
      <c r="C402" s="1" t="s">
        <v>1626</v>
      </c>
      <c r="D402" s="1">
        <v>11</v>
      </c>
      <c r="E402" s="7">
        <v>3014</v>
      </c>
      <c r="F402" s="1">
        <v>0</v>
      </c>
      <c r="H402" s="1">
        <v>0</v>
      </c>
      <c r="I402" s="1">
        <v>1</v>
      </c>
      <c r="J402" s="1">
        <v>0</v>
      </c>
      <c r="K402" s="1">
        <v>0</v>
      </c>
      <c r="L402" s="1">
        <v>0</v>
      </c>
      <c r="M402" s="1">
        <v>1</v>
      </c>
      <c r="N402" s="1">
        <v>1</v>
      </c>
      <c r="O402" s="39">
        <f t="shared" si="16"/>
        <v>5180</v>
      </c>
      <c r="P402" s="39">
        <v>2590</v>
      </c>
      <c r="T402" s="36">
        <v>0</v>
      </c>
      <c r="U402" s="36">
        <v>51</v>
      </c>
      <c r="V402" s="36">
        <v>0</v>
      </c>
      <c r="X402" s="2" t="s">
        <v>785</v>
      </c>
      <c r="Y402" s="1">
        <v>0</v>
      </c>
      <c r="Z402" s="1">
        <v>0</v>
      </c>
      <c r="AA402" s="1">
        <v>0</v>
      </c>
      <c r="AB402" s="1">
        <v>0</v>
      </c>
      <c r="AC402" s="1">
        <v>0</v>
      </c>
      <c r="AD402" s="1">
        <v>0</v>
      </c>
      <c r="AE402" s="1">
        <v>0</v>
      </c>
      <c r="AF402" s="1">
        <v>0</v>
      </c>
      <c r="AG402" s="1">
        <v>0</v>
      </c>
      <c r="AH402" s="1">
        <v>0</v>
      </c>
      <c r="AI402" s="1">
        <v>0</v>
      </c>
      <c r="AJ402" s="34" t="s">
        <v>1631</v>
      </c>
    </row>
    <row r="403" spans="1:37" x14ac:dyDescent="0.15">
      <c r="A403" s="1" t="s">
        <v>1635</v>
      </c>
      <c r="B403" s="1">
        <v>3508</v>
      </c>
      <c r="C403" s="1" t="s">
        <v>1627</v>
      </c>
      <c r="D403" s="1">
        <v>11</v>
      </c>
      <c r="E403" s="7">
        <v>3016</v>
      </c>
      <c r="F403" s="1">
        <v>0</v>
      </c>
      <c r="H403" s="1">
        <v>0</v>
      </c>
      <c r="I403" s="1">
        <v>1</v>
      </c>
      <c r="J403" s="1">
        <v>0</v>
      </c>
      <c r="K403" s="1">
        <v>0</v>
      </c>
      <c r="L403" s="1">
        <v>0</v>
      </c>
      <c r="M403" s="1">
        <v>1</v>
      </c>
      <c r="N403" s="1">
        <v>1</v>
      </c>
      <c r="O403" s="39">
        <f t="shared" si="16"/>
        <v>7320</v>
      </c>
      <c r="P403" s="39">
        <v>3660</v>
      </c>
      <c r="T403" s="36">
        <v>0</v>
      </c>
      <c r="U403" s="36">
        <v>51</v>
      </c>
      <c r="V403" s="36">
        <v>0</v>
      </c>
      <c r="X403" s="2" t="s">
        <v>785</v>
      </c>
      <c r="Y403" s="1">
        <v>0</v>
      </c>
      <c r="Z403" s="1">
        <v>0</v>
      </c>
      <c r="AA403" s="1">
        <v>0</v>
      </c>
      <c r="AB403" s="1">
        <v>0</v>
      </c>
      <c r="AC403" s="1">
        <v>0</v>
      </c>
      <c r="AD403" s="1">
        <v>0</v>
      </c>
      <c r="AE403" s="1">
        <v>0</v>
      </c>
      <c r="AF403" s="1">
        <v>0</v>
      </c>
      <c r="AG403" s="1">
        <v>0</v>
      </c>
      <c r="AH403" s="1">
        <v>0</v>
      </c>
      <c r="AI403" s="1">
        <v>0</v>
      </c>
      <c r="AJ403" s="34" t="s">
        <v>1633</v>
      </c>
    </row>
    <row r="404" spans="1:37" x14ac:dyDescent="0.15">
      <c r="A404" s="1" t="s">
        <v>1636</v>
      </c>
      <c r="B404" s="1">
        <v>3509</v>
      </c>
      <c r="C404" s="1" t="s">
        <v>1628</v>
      </c>
      <c r="D404" s="1">
        <v>11</v>
      </c>
      <c r="E404" s="7">
        <v>3018</v>
      </c>
      <c r="F404" s="1">
        <v>0</v>
      </c>
      <c r="H404" s="1">
        <v>0</v>
      </c>
      <c r="I404" s="1">
        <v>1</v>
      </c>
      <c r="J404" s="1">
        <v>0</v>
      </c>
      <c r="K404" s="1">
        <v>0</v>
      </c>
      <c r="L404" s="1">
        <v>0</v>
      </c>
      <c r="M404" s="1">
        <v>1</v>
      </c>
      <c r="N404" s="1">
        <v>1</v>
      </c>
      <c r="O404" s="39">
        <f t="shared" si="16"/>
        <v>9460</v>
      </c>
      <c r="P404" s="39">
        <v>4730</v>
      </c>
      <c r="T404" s="36">
        <v>0</v>
      </c>
      <c r="U404" s="36">
        <v>51</v>
      </c>
      <c r="V404" s="36">
        <v>0</v>
      </c>
      <c r="X404" s="2" t="s">
        <v>785</v>
      </c>
      <c r="Y404" s="1">
        <v>0</v>
      </c>
      <c r="Z404" s="1">
        <v>0</v>
      </c>
      <c r="AA404" s="1">
        <v>0</v>
      </c>
      <c r="AB404" s="1">
        <v>0</v>
      </c>
      <c r="AC404" s="1">
        <v>0</v>
      </c>
      <c r="AD404" s="1">
        <v>0</v>
      </c>
      <c r="AE404" s="1">
        <v>0</v>
      </c>
      <c r="AF404" s="1">
        <v>0</v>
      </c>
      <c r="AG404" s="1">
        <v>0</v>
      </c>
      <c r="AH404" s="1">
        <v>0</v>
      </c>
      <c r="AI404" s="1">
        <v>0</v>
      </c>
      <c r="AJ404" s="34" t="s">
        <v>1632</v>
      </c>
    </row>
    <row r="405" spans="1:37" x14ac:dyDescent="0.15">
      <c r="A405" s="12" t="s">
        <v>623</v>
      </c>
      <c r="B405" s="1">
        <v>5000</v>
      </c>
      <c r="C405" s="12" t="s">
        <v>623</v>
      </c>
      <c r="D405" s="1">
        <v>5</v>
      </c>
      <c r="E405" s="1">
        <v>0</v>
      </c>
      <c r="F405" s="1">
        <v>0</v>
      </c>
      <c r="H405" s="1">
        <v>0</v>
      </c>
      <c r="I405" s="1">
        <v>1</v>
      </c>
      <c r="J405" s="1">
        <v>0</v>
      </c>
      <c r="K405" s="1">
        <v>0</v>
      </c>
      <c r="L405" s="1">
        <v>0</v>
      </c>
      <c r="M405" s="1">
        <v>1</v>
      </c>
      <c r="N405" s="1">
        <v>1</v>
      </c>
      <c r="O405" s="39">
        <v>100</v>
      </c>
      <c r="P405" s="39">
        <v>100</v>
      </c>
      <c r="T405" s="36">
        <v>1</v>
      </c>
      <c r="U405" s="36">
        <v>0</v>
      </c>
      <c r="V405" s="36">
        <v>0</v>
      </c>
      <c r="X405" s="2" t="s">
        <v>785</v>
      </c>
      <c r="Y405" s="1">
        <v>0</v>
      </c>
      <c r="Z405" s="1">
        <v>0</v>
      </c>
      <c r="AA405" s="1">
        <v>0</v>
      </c>
      <c r="AB405" s="1">
        <v>0</v>
      </c>
      <c r="AC405" s="1">
        <v>0</v>
      </c>
      <c r="AD405" s="1">
        <v>0</v>
      </c>
      <c r="AE405" s="1">
        <v>0</v>
      </c>
      <c r="AF405" s="1">
        <v>0</v>
      </c>
      <c r="AG405" s="1">
        <v>0</v>
      </c>
      <c r="AH405" s="1">
        <v>0</v>
      </c>
      <c r="AI405" s="1">
        <v>0</v>
      </c>
      <c r="AJ405" s="1" t="s">
        <v>1278</v>
      </c>
      <c r="AK405" s="1" t="s">
        <v>636</v>
      </c>
    </row>
    <row r="406" spans="1:37" x14ac:dyDescent="0.15">
      <c r="A406" s="12" t="s">
        <v>624</v>
      </c>
      <c r="B406" s="1">
        <v>5001</v>
      </c>
      <c r="C406" s="12" t="s">
        <v>624</v>
      </c>
      <c r="D406" s="1">
        <v>5</v>
      </c>
      <c r="E406" s="1">
        <v>0</v>
      </c>
      <c r="F406" s="1">
        <v>0</v>
      </c>
      <c r="H406" s="1">
        <v>0</v>
      </c>
      <c r="I406" s="1">
        <v>1</v>
      </c>
      <c r="J406" s="1">
        <v>0</v>
      </c>
      <c r="K406" s="1">
        <v>0</v>
      </c>
      <c r="L406" s="1">
        <v>0</v>
      </c>
      <c r="M406" s="1">
        <v>1</v>
      </c>
      <c r="N406" s="1">
        <v>1</v>
      </c>
      <c r="O406" s="39">
        <v>100</v>
      </c>
      <c r="P406" s="39">
        <v>100</v>
      </c>
      <c r="T406" s="36">
        <v>1</v>
      </c>
      <c r="U406" s="36">
        <v>0</v>
      </c>
      <c r="V406" s="36">
        <v>0</v>
      </c>
      <c r="X406" s="2" t="s">
        <v>785</v>
      </c>
      <c r="Y406" s="1">
        <v>0</v>
      </c>
      <c r="Z406" s="1">
        <v>0</v>
      </c>
      <c r="AA406" s="1">
        <v>0</v>
      </c>
      <c r="AB406" s="1">
        <v>0</v>
      </c>
      <c r="AC406" s="1">
        <v>0</v>
      </c>
      <c r="AD406" s="1">
        <v>0</v>
      </c>
      <c r="AE406" s="1">
        <v>0</v>
      </c>
      <c r="AF406" s="1">
        <v>0</v>
      </c>
      <c r="AG406" s="1">
        <v>0</v>
      </c>
      <c r="AH406" s="1">
        <v>0</v>
      </c>
      <c r="AI406" s="1">
        <v>0</v>
      </c>
      <c r="AJ406" s="1" t="s">
        <v>1280</v>
      </c>
      <c r="AK406" s="1" t="s">
        <v>636</v>
      </c>
    </row>
    <row r="407" spans="1:37" x14ac:dyDescent="0.15">
      <c r="A407" s="12" t="s">
        <v>625</v>
      </c>
      <c r="B407" s="1">
        <v>5002</v>
      </c>
      <c r="C407" s="12" t="s">
        <v>625</v>
      </c>
      <c r="D407" s="1">
        <v>5</v>
      </c>
      <c r="E407" s="1">
        <v>0</v>
      </c>
      <c r="F407" s="1">
        <v>0</v>
      </c>
      <c r="H407" s="1">
        <v>0</v>
      </c>
      <c r="I407" s="1">
        <v>1</v>
      </c>
      <c r="J407" s="1">
        <v>0</v>
      </c>
      <c r="K407" s="1">
        <v>0</v>
      </c>
      <c r="L407" s="1">
        <v>0</v>
      </c>
      <c r="M407" s="1">
        <v>1</v>
      </c>
      <c r="N407" s="1">
        <v>1</v>
      </c>
      <c r="O407" s="39">
        <v>100</v>
      </c>
      <c r="P407" s="39">
        <v>100</v>
      </c>
      <c r="T407" s="36">
        <v>1</v>
      </c>
      <c r="U407" s="36">
        <v>0</v>
      </c>
      <c r="V407" s="36">
        <v>0</v>
      </c>
      <c r="X407" s="2" t="s">
        <v>785</v>
      </c>
      <c r="Y407" s="1">
        <v>0</v>
      </c>
      <c r="Z407" s="1">
        <v>0</v>
      </c>
      <c r="AA407" s="1">
        <v>0</v>
      </c>
      <c r="AB407" s="1">
        <v>0</v>
      </c>
      <c r="AC407" s="1">
        <v>0</v>
      </c>
      <c r="AD407" s="1">
        <v>0</v>
      </c>
      <c r="AE407" s="1">
        <v>0</v>
      </c>
      <c r="AF407" s="1">
        <v>0</v>
      </c>
      <c r="AG407" s="1">
        <v>0</v>
      </c>
      <c r="AH407" s="1">
        <v>0</v>
      </c>
      <c r="AI407" s="1">
        <v>0</v>
      </c>
      <c r="AJ407" s="1" t="s">
        <v>1282</v>
      </c>
      <c r="AK407" s="1" t="s">
        <v>636</v>
      </c>
    </row>
    <row r="408" spans="1:37" x14ac:dyDescent="0.15">
      <c r="A408" s="12" t="s">
        <v>626</v>
      </c>
      <c r="B408" s="1">
        <v>5003</v>
      </c>
      <c r="C408" s="12" t="s">
        <v>626</v>
      </c>
      <c r="D408" s="1">
        <v>5</v>
      </c>
      <c r="E408" s="1">
        <v>0</v>
      </c>
      <c r="F408" s="1">
        <v>0</v>
      </c>
      <c r="H408" s="1">
        <v>0</v>
      </c>
      <c r="I408" s="1">
        <v>1</v>
      </c>
      <c r="J408" s="1">
        <v>0</v>
      </c>
      <c r="K408" s="1">
        <v>0</v>
      </c>
      <c r="L408" s="1">
        <v>0</v>
      </c>
      <c r="M408" s="1">
        <v>1</v>
      </c>
      <c r="N408" s="1">
        <v>1</v>
      </c>
      <c r="O408" s="39">
        <v>100</v>
      </c>
      <c r="P408" s="39">
        <v>100</v>
      </c>
      <c r="T408" s="36">
        <v>1</v>
      </c>
      <c r="U408" s="36">
        <v>0</v>
      </c>
      <c r="V408" s="36">
        <v>0</v>
      </c>
      <c r="X408" s="2" t="s">
        <v>785</v>
      </c>
      <c r="Y408" s="1">
        <v>0</v>
      </c>
      <c r="Z408" s="1">
        <v>0</v>
      </c>
      <c r="AA408" s="1">
        <v>0</v>
      </c>
      <c r="AB408" s="1">
        <v>0</v>
      </c>
      <c r="AC408" s="1">
        <v>0</v>
      </c>
      <c r="AD408" s="1">
        <v>0</v>
      </c>
      <c r="AE408" s="1">
        <v>0</v>
      </c>
      <c r="AF408" s="1">
        <v>0</v>
      </c>
      <c r="AG408" s="1">
        <v>0</v>
      </c>
      <c r="AH408" s="1">
        <v>0</v>
      </c>
      <c r="AI408" s="1">
        <v>0</v>
      </c>
      <c r="AJ408" s="1" t="s">
        <v>1284</v>
      </c>
      <c r="AK408" s="1" t="s">
        <v>636</v>
      </c>
    </row>
    <row r="409" spans="1:37" x14ac:dyDescent="0.15">
      <c r="A409" s="12" t="s">
        <v>627</v>
      </c>
      <c r="B409" s="1">
        <v>5004</v>
      </c>
      <c r="C409" s="12" t="s">
        <v>627</v>
      </c>
      <c r="D409" s="1">
        <v>5</v>
      </c>
      <c r="E409" s="1">
        <v>0</v>
      </c>
      <c r="F409" s="1">
        <v>0</v>
      </c>
      <c r="H409" s="1">
        <v>0</v>
      </c>
      <c r="I409" s="1">
        <v>1</v>
      </c>
      <c r="J409" s="1">
        <v>0</v>
      </c>
      <c r="K409" s="1">
        <v>0</v>
      </c>
      <c r="L409" s="1">
        <v>0</v>
      </c>
      <c r="M409" s="1">
        <v>1</v>
      </c>
      <c r="N409" s="1">
        <v>1</v>
      </c>
      <c r="O409" s="39">
        <v>100</v>
      </c>
      <c r="P409" s="39">
        <v>100</v>
      </c>
      <c r="T409" s="36">
        <v>1</v>
      </c>
      <c r="U409" s="36">
        <v>0</v>
      </c>
      <c r="V409" s="36">
        <v>0</v>
      </c>
      <c r="X409" s="2" t="s">
        <v>785</v>
      </c>
      <c r="Y409" s="1">
        <v>0</v>
      </c>
      <c r="Z409" s="1">
        <v>0</v>
      </c>
      <c r="AA409" s="1">
        <v>0</v>
      </c>
      <c r="AB409" s="1">
        <v>0</v>
      </c>
      <c r="AC409" s="1">
        <v>0</v>
      </c>
      <c r="AD409" s="1">
        <v>0</v>
      </c>
      <c r="AE409" s="1">
        <v>0</v>
      </c>
      <c r="AF409" s="1">
        <v>0</v>
      </c>
      <c r="AG409" s="1">
        <v>0</v>
      </c>
      <c r="AH409" s="1">
        <v>0</v>
      </c>
      <c r="AI409" s="1">
        <v>0</v>
      </c>
      <c r="AJ409" s="1" t="s">
        <v>1286</v>
      </c>
      <c r="AK409" s="1" t="s">
        <v>636</v>
      </c>
    </row>
    <row r="410" spans="1:37" x14ac:dyDescent="0.15">
      <c r="A410" s="12" t="s">
        <v>628</v>
      </c>
      <c r="B410" s="1">
        <v>5005</v>
      </c>
      <c r="C410" s="12" t="s">
        <v>628</v>
      </c>
      <c r="D410" s="1">
        <v>5</v>
      </c>
      <c r="E410" s="1">
        <v>0</v>
      </c>
      <c r="F410" s="1">
        <v>0</v>
      </c>
      <c r="H410" s="1">
        <v>0</v>
      </c>
      <c r="I410" s="1">
        <v>1</v>
      </c>
      <c r="J410" s="1">
        <v>0</v>
      </c>
      <c r="K410" s="1">
        <v>0</v>
      </c>
      <c r="L410" s="1">
        <v>0</v>
      </c>
      <c r="M410" s="1">
        <v>1</v>
      </c>
      <c r="N410" s="1">
        <v>1</v>
      </c>
      <c r="O410" s="39">
        <v>100</v>
      </c>
      <c r="P410" s="39">
        <v>100</v>
      </c>
      <c r="T410" s="36">
        <v>1</v>
      </c>
      <c r="U410" s="36">
        <v>0</v>
      </c>
      <c r="V410" s="36">
        <v>0</v>
      </c>
      <c r="X410" s="2" t="s">
        <v>785</v>
      </c>
      <c r="Y410" s="1">
        <v>0</v>
      </c>
      <c r="Z410" s="1">
        <v>0</v>
      </c>
      <c r="AA410" s="1">
        <v>0</v>
      </c>
      <c r="AB410" s="1">
        <v>0</v>
      </c>
      <c r="AC410" s="1">
        <v>0</v>
      </c>
      <c r="AD410" s="1">
        <v>0</v>
      </c>
      <c r="AE410" s="1">
        <v>0</v>
      </c>
      <c r="AF410" s="1">
        <v>0</v>
      </c>
      <c r="AG410" s="1">
        <v>0</v>
      </c>
      <c r="AH410" s="1">
        <v>0</v>
      </c>
      <c r="AI410" s="1">
        <v>0</v>
      </c>
      <c r="AJ410" s="1" t="s">
        <v>1288</v>
      </c>
      <c r="AK410" s="1" t="s">
        <v>636</v>
      </c>
    </row>
    <row r="411" spans="1:37" x14ac:dyDescent="0.15">
      <c r="A411" s="12" t="s">
        <v>629</v>
      </c>
      <c r="B411" s="1">
        <v>5006</v>
      </c>
      <c r="C411" s="12" t="s">
        <v>629</v>
      </c>
      <c r="D411" s="1">
        <v>5</v>
      </c>
      <c r="E411" s="1">
        <v>0</v>
      </c>
      <c r="F411" s="1">
        <v>0</v>
      </c>
      <c r="H411" s="1">
        <v>0</v>
      </c>
      <c r="I411" s="1">
        <v>1</v>
      </c>
      <c r="J411" s="1">
        <v>0</v>
      </c>
      <c r="K411" s="1">
        <v>0</v>
      </c>
      <c r="L411" s="1">
        <v>0</v>
      </c>
      <c r="M411" s="1">
        <v>1</v>
      </c>
      <c r="N411" s="1">
        <v>1</v>
      </c>
      <c r="O411" s="39">
        <v>100</v>
      </c>
      <c r="P411" s="39">
        <v>100</v>
      </c>
      <c r="T411" s="36">
        <v>1</v>
      </c>
      <c r="U411" s="36">
        <v>0</v>
      </c>
      <c r="V411" s="36">
        <v>0</v>
      </c>
      <c r="X411" s="2" t="s">
        <v>785</v>
      </c>
      <c r="Y411" s="1">
        <v>0</v>
      </c>
      <c r="Z411" s="1">
        <v>0</v>
      </c>
      <c r="AA411" s="1">
        <v>0</v>
      </c>
      <c r="AB411" s="1">
        <v>0</v>
      </c>
      <c r="AC411" s="1">
        <v>0</v>
      </c>
      <c r="AD411" s="1">
        <v>0</v>
      </c>
      <c r="AE411" s="1">
        <v>0</v>
      </c>
      <c r="AF411" s="1">
        <v>0</v>
      </c>
      <c r="AG411" s="1">
        <v>0</v>
      </c>
      <c r="AH411" s="1">
        <v>0</v>
      </c>
      <c r="AI411" s="1">
        <v>0</v>
      </c>
      <c r="AJ411" s="1" t="s">
        <v>1290</v>
      </c>
      <c r="AK411" s="1" t="s">
        <v>636</v>
      </c>
    </row>
    <row r="412" spans="1:37" x14ac:dyDescent="0.15">
      <c r="A412" s="12" t="s">
        <v>630</v>
      </c>
      <c r="B412" s="1">
        <v>5007</v>
      </c>
      <c r="C412" s="12" t="s">
        <v>630</v>
      </c>
      <c r="D412" s="1">
        <v>5</v>
      </c>
      <c r="E412" s="1">
        <v>0</v>
      </c>
      <c r="F412" s="1">
        <v>0</v>
      </c>
      <c r="H412" s="1">
        <v>0</v>
      </c>
      <c r="I412" s="1">
        <v>1</v>
      </c>
      <c r="J412" s="1">
        <v>0</v>
      </c>
      <c r="K412" s="1">
        <v>0</v>
      </c>
      <c r="L412" s="1">
        <v>0</v>
      </c>
      <c r="M412" s="1">
        <v>1</v>
      </c>
      <c r="N412" s="1">
        <v>1</v>
      </c>
      <c r="O412" s="39">
        <v>100</v>
      </c>
      <c r="P412" s="39">
        <v>100</v>
      </c>
      <c r="T412" s="36">
        <v>1</v>
      </c>
      <c r="U412" s="36">
        <v>0</v>
      </c>
      <c r="V412" s="36">
        <v>0</v>
      </c>
      <c r="X412" s="2" t="s">
        <v>785</v>
      </c>
      <c r="Y412" s="1">
        <v>0</v>
      </c>
      <c r="Z412" s="1">
        <v>0</v>
      </c>
      <c r="AA412" s="1">
        <v>0</v>
      </c>
      <c r="AB412" s="1">
        <v>0</v>
      </c>
      <c r="AC412" s="1">
        <v>0</v>
      </c>
      <c r="AD412" s="1">
        <v>0</v>
      </c>
      <c r="AE412" s="1">
        <v>0</v>
      </c>
      <c r="AF412" s="1">
        <v>0</v>
      </c>
      <c r="AG412" s="1">
        <v>0</v>
      </c>
      <c r="AH412" s="1">
        <v>0</v>
      </c>
      <c r="AI412" s="1">
        <v>0</v>
      </c>
      <c r="AJ412" s="1" t="s">
        <v>1292</v>
      </c>
      <c r="AK412" s="1" t="s">
        <v>636</v>
      </c>
    </row>
    <row r="413" spans="1:37" x14ac:dyDescent="0.15">
      <c r="A413" s="12" t="s">
        <v>631</v>
      </c>
      <c r="B413" s="1">
        <v>5008</v>
      </c>
      <c r="C413" s="12" t="s">
        <v>631</v>
      </c>
      <c r="D413" s="1">
        <v>5</v>
      </c>
      <c r="E413" s="1">
        <v>0</v>
      </c>
      <c r="F413" s="1">
        <v>0</v>
      </c>
      <c r="H413" s="1">
        <v>0</v>
      </c>
      <c r="I413" s="1">
        <v>1</v>
      </c>
      <c r="J413" s="1">
        <v>0</v>
      </c>
      <c r="K413" s="1">
        <v>0</v>
      </c>
      <c r="L413" s="1">
        <v>0</v>
      </c>
      <c r="M413" s="1">
        <v>1</v>
      </c>
      <c r="N413" s="1">
        <v>1</v>
      </c>
      <c r="O413" s="39">
        <v>100</v>
      </c>
      <c r="P413" s="39">
        <v>100</v>
      </c>
      <c r="T413" s="36">
        <v>1</v>
      </c>
      <c r="U413" s="36">
        <v>0</v>
      </c>
      <c r="V413" s="36">
        <v>0</v>
      </c>
      <c r="X413" s="2" t="s">
        <v>785</v>
      </c>
      <c r="Y413" s="1">
        <v>0</v>
      </c>
      <c r="Z413" s="1">
        <v>0</v>
      </c>
      <c r="AA413" s="1">
        <v>0</v>
      </c>
      <c r="AB413" s="1">
        <v>0</v>
      </c>
      <c r="AC413" s="1">
        <v>0</v>
      </c>
      <c r="AD413" s="1">
        <v>0</v>
      </c>
      <c r="AE413" s="1">
        <v>0</v>
      </c>
      <c r="AF413" s="1">
        <v>0</v>
      </c>
      <c r="AG413" s="1">
        <v>0</v>
      </c>
      <c r="AH413" s="1">
        <v>0</v>
      </c>
      <c r="AI413" s="1">
        <v>0</v>
      </c>
      <c r="AJ413" s="1" t="s">
        <v>1294</v>
      </c>
      <c r="AK413" s="1" t="s">
        <v>636</v>
      </c>
    </row>
    <row r="414" spans="1:37" x14ac:dyDescent="0.15">
      <c r="A414" s="12" t="s">
        <v>632</v>
      </c>
      <c r="B414" s="1">
        <v>5009</v>
      </c>
      <c r="C414" s="12" t="s">
        <v>632</v>
      </c>
      <c r="D414" s="1">
        <v>5</v>
      </c>
      <c r="E414" s="1">
        <v>0</v>
      </c>
      <c r="F414" s="1">
        <v>0</v>
      </c>
      <c r="H414" s="1">
        <v>0</v>
      </c>
      <c r="I414" s="1">
        <v>1</v>
      </c>
      <c r="J414" s="1">
        <v>0</v>
      </c>
      <c r="K414" s="1">
        <v>0</v>
      </c>
      <c r="L414" s="1">
        <v>0</v>
      </c>
      <c r="M414" s="1">
        <v>1</v>
      </c>
      <c r="N414" s="1">
        <v>1</v>
      </c>
      <c r="O414" s="39">
        <v>100</v>
      </c>
      <c r="P414" s="39">
        <v>100</v>
      </c>
      <c r="T414" s="36">
        <v>1</v>
      </c>
      <c r="U414" s="36">
        <v>0</v>
      </c>
      <c r="V414" s="36">
        <v>0</v>
      </c>
      <c r="X414" s="2" t="s">
        <v>785</v>
      </c>
      <c r="Y414" s="1">
        <v>0</v>
      </c>
      <c r="Z414" s="1">
        <v>0</v>
      </c>
      <c r="AA414" s="1">
        <v>0</v>
      </c>
      <c r="AB414" s="1">
        <v>0</v>
      </c>
      <c r="AC414" s="1">
        <v>0</v>
      </c>
      <c r="AD414" s="1">
        <v>0</v>
      </c>
      <c r="AE414" s="1">
        <v>0</v>
      </c>
      <c r="AF414" s="1">
        <v>0</v>
      </c>
      <c r="AG414" s="1">
        <v>0</v>
      </c>
      <c r="AH414" s="1">
        <v>0</v>
      </c>
      <c r="AI414" s="1">
        <v>0</v>
      </c>
      <c r="AJ414" s="1" t="s">
        <v>1296</v>
      </c>
      <c r="AK414" s="1" t="s">
        <v>636</v>
      </c>
    </row>
    <row r="415" spans="1:37" x14ac:dyDescent="0.15">
      <c r="A415" s="12" t="s">
        <v>633</v>
      </c>
      <c r="B415" s="1">
        <v>5010</v>
      </c>
      <c r="C415" s="12" t="s">
        <v>633</v>
      </c>
      <c r="D415" s="1">
        <v>5</v>
      </c>
      <c r="E415" s="1">
        <v>0</v>
      </c>
      <c r="F415" s="1">
        <v>0</v>
      </c>
      <c r="H415" s="1">
        <v>0</v>
      </c>
      <c r="I415" s="1">
        <v>1</v>
      </c>
      <c r="J415" s="1">
        <v>0</v>
      </c>
      <c r="K415" s="1">
        <v>0</v>
      </c>
      <c r="L415" s="1">
        <v>0</v>
      </c>
      <c r="M415" s="1">
        <v>1</v>
      </c>
      <c r="N415" s="1">
        <v>1</v>
      </c>
      <c r="O415" s="39">
        <v>100</v>
      </c>
      <c r="P415" s="39">
        <v>100</v>
      </c>
      <c r="T415" s="36">
        <v>1</v>
      </c>
      <c r="U415" s="36">
        <v>0</v>
      </c>
      <c r="V415" s="36">
        <v>0</v>
      </c>
      <c r="X415" s="2" t="s">
        <v>785</v>
      </c>
      <c r="Y415" s="1">
        <v>0</v>
      </c>
      <c r="Z415" s="1">
        <v>0</v>
      </c>
      <c r="AA415" s="1">
        <v>0</v>
      </c>
      <c r="AB415" s="1">
        <v>0</v>
      </c>
      <c r="AC415" s="1">
        <v>0</v>
      </c>
      <c r="AD415" s="1">
        <v>0</v>
      </c>
      <c r="AE415" s="1">
        <v>0</v>
      </c>
      <c r="AF415" s="1">
        <v>0</v>
      </c>
      <c r="AG415" s="1">
        <v>0</v>
      </c>
      <c r="AH415" s="1">
        <v>0</v>
      </c>
      <c r="AI415" s="1">
        <v>0</v>
      </c>
      <c r="AJ415" s="1" t="s">
        <v>1298</v>
      </c>
      <c r="AK415" s="1" t="s">
        <v>636</v>
      </c>
    </row>
  </sheetData>
  <autoFilter ref="A3:AJ415"/>
  <phoneticPr fontId="1" type="noConversion"/>
  <conditionalFormatting sqref="A405:A1048576 A1:A64 A66:A255 A258:A394">
    <cfRule type="duplicateValues" dxfId="34" priority="12"/>
  </conditionalFormatting>
  <conditionalFormatting sqref="A65">
    <cfRule type="duplicateValues" dxfId="33" priority="10"/>
  </conditionalFormatting>
  <conditionalFormatting sqref="C10:C12">
    <cfRule type="duplicateValues" dxfId="32" priority="9"/>
  </conditionalFormatting>
  <conditionalFormatting sqref="C405:C415">
    <cfRule type="duplicateValues" dxfId="31" priority="8"/>
  </conditionalFormatting>
  <conditionalFormatting sqref="C88:C121">
    <cfRule type="duplicateValues" dxfId="30" priority="7"/>
  </conditionalFormatting>
  <conditionalFormatting sqref="C26:C87">
    <cfRule type="duplicateValues" dxfId="29" priority="36"/>
  </conditionalFormatting>
  <conditionalFormatting sqref="C122">
    <cfRule type="duplicateValues" dxfId="28" priority="5"/>
  </conditionalFormatting>
  <conditionalFormatting sqref="C193">
    <cfRule type="duplicateValues" dxfId="27" priority="4"/>
  </conditionalFormatting>
  <conditionalFormatting sqref="C272">
    <cfRule type="duplicateValues" dxfId="26" priority="3"/>
  </conditionalFormatting>
  <conditionalFormatting sqref="A256">
    <cfRule type="duplicateValues" dxfId="25" priority="2"/>
  </conditionalFormatting>
  <conditionalFormatting sqref="A257">
    <cfRule type="duplicateValues" dxfId="24" priority="1"/>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4:J102"/>
  <sheetViews>
    <sheetView topLeftCell="A4" workbookViewId="0">
      <selection activeCell="I4" sqref="I4"/>
    </sheetView>
  </sheetViews>
  <sheetFormatPr defaultRowHeight="13.5" x14ac:dyDescent="0.15"/>
  <sheetData>
    <row r="4" spans="10:10" x14ac:dyDescent="0.15">
      <c r="J4" t="s">
        <v>33</v>
      </c>
    </row>
    <row r="6" spans="10:10" x14ac:dyDescent="0.15">
      <c r="J6" t="s">
        <v>1598</v>
      </c>
    </row>
    <row r="8" spans="10:10" x14ac:dyDescent="0.15">
      <c r="J8" t="s">
        <v>34</v>
      </c>
    </row>
    <row r="10" spans="10:10" x14ac:dyDescent="0.15">
      <c r="J10" t="s">
        <v>1599</v>
      </c>
    </row>
    <row r="12" spans="10:10" x14ac:dyDescent="0.15">
      <c r="J12" t="s">
        <v>919</v>
      </c>
    </row>
    <row r="14" spans="10:10" x14ac:dyDescent="0.15">
      <c r="J14" t="s">
        <v>1600</v>
      </c>
    </row>
    <row r="16" spans="10:10" x14ac:dyDescent="0.15">
      <c r="J16" t="s">
        <v>35</v>
      </c>
    </row>
    <row r="18" spans="10:10" x14ac:dyDescent="0.15">
      <c r="J18" t="s">
        <v>1601</v>
      </c>
    </row>
    <row r="20" spans="10:10" x14ac:dyDescent="0.15">
      <c r="J20" t="s">
        <v>36</v>
      </c>
    </row>
    <row r="22" spans="10:10" x14ac:dyDescent="0.15">
      <c r="J22" t="s">
        <v>1602</v>
      </c>
    </row>
    <row r="24" spans="10:10" x14ac:dyDescent="0.15">
      <c r="J24" t="s">
        <v>37</v>
      </c>
    </row>
    <row r="26" spans="10:10" x14ac:dyDescent="0.15">
      <c r="J26" t="s">
        <v>1603</v>
      </c>
    </row>
    <row r="28" spans="10:10" x14ac:dyDescent="0.15">
      <c r="J28" t="s">
        <v>38</v>
      </c>
    </row>
    <row r="30" spans="10:10" x14ac:dyDescent="0.15">
      <c r="J30" t="s">
        <v>1604</v>
      </c>
    </row>
    <row r="32" spans="10:10" x14ac:dyDescent="0.15">
      <c r="J32" t="s">
        <v>39</v>
      </c>
    </row>
    <row r="34" spans="10:10" x14ac:dyDescent="0.15">
      <c r="J34" t="s">
        <v>1605</v>
      </c>
    </row>
    <row r="36" spans="10:10" x14ac:dyDescent="0.15">
      <c r="J36" t="s">
        <v>23</v>
      </c>
    </row>
    <row r="38" spans="10:10" x14ac:dyDescent="0.15">
      <c r="J38" t="s">
        <v>1606</v>
      </c>
    </row>
    <row r="40" spans="10:10" x14ac:dyDescent="0.15">
      <c r="J40" t="s">
        <v>40</v>
      </c>
    </row>
    <row r="42" spans="10:10" x14ac:dyDescent="0.15">
      <c r="J42" t="s">
        <v>1607</v>
      </c>
    </row>
    <row r="44" spans="10:10" x14ac:dyDescent="0.15">
      <c r="J44" t="s">
        <v>41</v>
      </c>
    </row>
    <row r="46" spans="10:10" x14ac:dyDescent="0.15">
      <c r="J46" t="s">
        <v>1608</v>
      </c>
    </row>
    <row r="48" spans="10:10" x14ac:dyDescent="0.15">
      <c r="J48" t="s">
        <v>42</v>
      </c>
    </row>
    <row r="50" spans="10:10" x14ac:dyDescent="0.15">
      <c r="J50" t="s">
        <v>1609</v>
      </c>
    </row>
    <row r="52" spans="10:10" x14ac:dyDescent="0.15">
      <c r="J52" t="s">
        <v>53</v>
      </c>
    </row>
    <row r="54" spans="10:10" x14ac:dyDescent="0.15">
      <c r="J54" t="s">
        <v>1610</v>
      </c>
    </row>
    <row r="56" spans="10:10" x14ac:dyDescent="0.15">
      <c r="J56" t="s">
        <v>54</v>
      </c>
    </row>
    <row r="58" spans="10:10" x14ac:dyDescent="0.15">
      <c r="J58" t="s">
        <v>1611</v>
      </c>
    </row>
    <row r="60" spans="10:10" x14ac:dyDescent="0.15">
      <c r="J60" t="s">
        <v>44</v>
      </c>
    </row>
    <row r="62" spans="10:10" x14ac:dyDescent="0.15">
      <c r="J62" t="s">
        <v>1612</v>
      </c>
    </row>
    <row r="64" spans="10:10" x14ac:dyDescent="0.15">
      <c r="J64" t="s">
        <v>25</v>
      </c>
    </row>
    <row r="66" spans="10:10" x14ac:dyDescent="0.15">
      <c r="J66" t="s">
        <v>1613</v>
      </c>
    </row>
    <row r="68" spans="10:10" x14ac:dyDescent="0.15">
      <c r="J68" t="s">
        <v>45</v>
      </c>
    </row>
    <row r="70" spans="10:10" x14ac:dyDescent="0.15">
      <c r="J70" t="s">
        <v>1614</v>
      </c>
    </row>
    <row r="72" spans="10:10" x14ac:dyDescent="0.15">
      <c r="J72" t="s">
        <v>22</v>
      </c>
    </row>
    <row r="74" spans="10:10" x14ac:dyDescent="0.15">
      <c r="J74" t="s">
        <v>1615</v>
      </c>
    </row>
    <row r="76" spans="10:10" x14ac:dyDescent="0.15">
      <c r="J76" t="s">
        <v>43</v>
      </c>
    </row>
    <row r="78" spans="10:10" x14ac:dyDescent="0.15">
      <c r="J78" t="s">
        <v>1616</v>
      </c>
    </row>
    <row r="80" spans="10:10" x14ac:dyDescent="0.15">
      <c r="J80" t="s">
        <v>1419</v>
      </c>
    </row>
    <row r="82" spans="10:10" x14ac:dyDescent="0.15">
      <c r="J82" t="s">
        <v>1617</v>
      </c>
    </row>
    <row r="84" spans="10:10" x14ac:dyDescent="0.15">
      <c r="J84" t="s">
        <v>50</v>
      </c>
    </row>
    <row r="86" spans="10:10" x14ac:dyDescent="0.15">
      <c r="J86" t="s">
        <v>1618</v>
      </c>
    </row>
    <row r="88" spans="10:10" x14ac:dyDescent="0.15">
      <c r="J88" t="s">
        <v>46</v>
      </c>
    </row>
    <row r="90" spans="10:10" x14ac:dyDescent="0.15">
      <c r="J90" t="s">
        <v>1619</v>
      </c>
    </row>
    <row r="92" spans="10:10" x14ac:dyDescent="0.15">
      <c r="J92" t="s">
        <v>47</v>
      </c>
    </row>
    <row r="94" spans="10:10" x14ac:dyDescent="0.15">
      <c r="J94" t="s">
        <v>1620</v>
      </c>
    </row>
    <row r="96" spans="10:10" x14ac:dyDescent="0.15">
      <c r="J96" t="s">
        <v>48</v>
      </c>
    </row>
    <row r="98" spans="10:10" x14ac:dyDescent="0.15">
      <c r="J98" t="s">
        <v>1621</v>
      </c>
    </row>
    <row r="100" spans="10:10" x14ac:dyDescent="0.15">
      <c r="J100" t="s">
        <v>49</v>
      </c>
    </row>
    <row r="102" spans="10:10" x14ac:dyDescent="0.15">
      <c r="J102" t="s">
        <v>1622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I320"/>
  <sheetViews>
    <sheetView workbookViewId="0">
      <selection activeCell="K7" sqref="K7"/>
    </sheetView>
  </sheetViews>
  <sheetFormatPr defaultRowHeight="13.5" x14ac:dyDescent="0.15"/>
  <cols>
    <col min="8" max="8" width="24.625" customWidth="1"/>
  </cols>
  <sheetData>
    <row r="1" spans="8:9" x14ac:dyDescent="0.15">
      <c r="H1" s="7" t="s">
        <v>139</v>
      </c>
      <c r="I1" t="s">
        <v>1420</v>
      </c>
    </row>
    <row r="2" spans="8:9" x14ac:dyDescent="0.15">
      <c r="H2" s="7" t="s">
        <v>140</v>
      </c>
      <c r="I2" t="s">
        <v>1421</v>
      </c>
    </row>
    <row r="3" spans="8:9" x14ac:dyDescent="0.15">
      <c r="H3" s="7" t="s">
        <v>141</v>
      </c>
      <c r="I3" t="s">
        <v>1421</v>
      </c>
    </row>
    <row r="4" spans="8:9" x14ac:dyDescent="0.15">
      <c r="H4" s="7" t="s">
        <v>142</v>
      </c>
      <c r="I4" t="s">
        <v>1421</v>
      </c>
    </row>
    <row r="5" spans="8:9" x14ac:dyDescent="0.15">
      <c r="H5" s="7" t="s">
        <v>192</v>
      </c>
      <c r="I5" t="s">
        <v>1421</v>
      </c>
    </row>
    <row r="6" spans="8:9" x14ac:dyDescent="0.15">
      <c r="H6" s="7" t="s">
        <v>143</v>
      </c>
      <c r="I6" t="s">
        <v>1421</v>
      </c>
    </row>
    <row r="7" spans="8:9" x14ac:dyDescent="0.15">
      <c r="H7" s="7" t="s">
        <v>920</v>
      </c>
      <c r="I7" t="s">
        <v>1421</v>
      </c>
    </row>
    <row r="8" spans="8:9" x14ac:dyDescent="0.15">
      <c r="H8" s="7" t="s">
        <v>956</v>
      </c>
      <c r="I8" t="s">
        <v>1420</v>
      </c>
    </row>
    <row r="9" spans="8:9" x14ac:dyDescent="0.15">
      <c r="H9" s="7" t="s">
        <v>146</v>
      </c>
      <c r="I9" t="s">
        <v>1421</v>
      </c>
    </row>
    <row r="10" spans="8:9" x14ac:dyDescent="0.15">
      <c r="H10" s="7" t="s">
        <v>147</v>
      </c>
      <c r="I10" t="s">
        <v>1421</v>
      </c>
    </row>
    <row r="11" spans="8:9" x14ac:dyDescent="0.15">
      <c r="H11" s="7" t="s">
        <v>148</v>
      </c>
      <c r="I11" t="s">
        <v>1421</v>
      </c>
    </row>
    <row r="12" spans="8:9" x14ac:dyDescent="0.15">
      <c r="H12" s="7" t="s">
        <v>149</v>
      </c>
      <c r="I12" t="s">
        <v>1421</v>
      </c>
    </row>
    <row r="13" spans="8:9" x14ac:dyDescent="0.15">
      <c r="H13" s="7" t="s">
        <v>150</v>
      </c>
      <c r="I13" t="s">
        <v>1421</v>
      </c>
    </row>
    <row r="14" spans="8:9" x14ac:dyDescent="0.15">
      <c r="H14" s="7" t="s">
        <v>151</v>
      </c>
      <c r="I14" t="s">
        <v>1421</v>
      </c>
    </row>
    <row r="15" spans="8:9" x14ac:dyDescent="0.15">
      <c r="H15" s="7" t="s">
        <v>152</v>
      </c>
      <c r="I15" t="s">
        <v>1420</v>
      </c>
    </row>
    <row r="16" spans="8:9" x14ac:dyDescent="0.15">
      <c r="H16" s="7" t="s">
        <v>187</v>
      </c>
      <c r="I16" t="s">
        <v>1422</v>
      </c>
    </row>
    <row r="17" spans="8:9" x14ac:dyDescent="0.15">
      <c r="H17" s="7" t="s">
        <v>188</v>
      </c>
      <c r="I17" t="s">
        <v>1422</v>
      </c>
    </row>
    <row r="18" spans="8:9" x14ac:dyDescent="0.15">
      <c r="H18" s="7" t="s">
        <v>189</v>
      </c>
      <c r="I18" t="s">
        <v>1422</v>
      </c>
    </row>
    <row r="19" spans="8:9" x14ac:dyDescent="0.15">
      <c r="H19" s="7" t="s">
        <v>856</v>
      </c>
      <c r="I19" t="s">
        <v>1422</v>
      </c>
    </row>
    <row r="20" spans="8:9" x14ac:dyDescent="0.15">
      <c r="H20" s="7" t="s">
        <v>193</v>
      </c>
      <c r="I20" t="s">
        <v>1423</v>
      </c>
    </row>
    <row r="21" spans="8:9" x14ac:dyDescent="0.15">
      <c r="H21" s="7" t="s">
        <v>162</v>
      </c>
      <c r="I21" t="s">
        <v>1422</v>
      </c>
    </row>
    <row r="22" spans="8:9" x14ac:dyDescent="0.15">
      <c r="H22" s="7" t="s">
        <v>159</v>
      </c>
      <c r="I22" t="s">
        <v>1424</v>
      </c>
    </row>
    <row r="23" spans="8:9" x14ac:dyDescent="0.15">
      <c r="H23" s="7" t="s">
        <v>161</v>
      </c>
      <c r="I23" t="s">
        <v>1424</v>
      </c>
    </row>
    <row r="24" spans="8:9" x14ac:dyDescent="0.15">
      <c r="H24" s="7" t="s">
        <v>174</v>
      </c>
      <c r="I24" t="s">
        <v>1422</v>
      </c>
    </row>
    <row r="25" spans="8:9" x14ac:dyDescent="0.15">
      <c r="H25" s="7" t="s">
        <v>178</v>
      </c>
      <c r="I25" t="s">
        <v>1423</v>
      </c>
    </row>
    <row r="26" spans="8:9" x14ac:dyDescent="0.15">
      <c r="H26" s="7" t="s">
        <v>250</v>
      </c>
      <c r="I26" t="s">
        <v>1422</v>
      </c>
    </row>
    <row r="27" spans="8:9" x14ac:dyDescent="0.15">
      <c r="H27" s="7" t="s">
        <v>205</v>
      </c>
      <c r="I27" t="s">
        <v>1424</v>
      </c>
    </row>
    <row r="28" spans="8:9" x14ac:dyDescent="0.15">
      <c r="H28" s="7" t="s">
        <v>794</v>
      </c>
      <c r="I28" t="s">
        <v>1425</v>
      </c>
    </row>
    <row r="29" spans="8:9" x14ac:dyDescent="0.15">
      <c r="H29" s="7" t="s">
        <v>163</v>
      </c>
      <c r="I29" t="s">
        <v>1425</v>
      </c>
    </row>
    <row r="30" spans="8:9" x14ac:dyDescent="0.15">
      <c r="H30" s="7" t="s">
        <v>184</v>
      </c>
      <c r="I30" t="s">
        <v>1426</v>
      </c>
    </row>
    <row r="31" spans="8:9" x14ac:dyDescent="0.15">
      <c r="H31" s="7" t="s">
        <v>166</v>
      </c>
      <c r="I31" t="s">
        <v>1425</v>
      </c>
    </row>
    <row r="32" spans="8:9" x14ac:dyDescent="0.15">
      <c r="H32" s="7" t="s">
        <v>182</v>
      </c>
      <c r="I32" t="s">
        <v>1426</v>
      </c>
    </row>
    <row r="33" spans="8:9" x14ac:dyDescent="0.15">
      <c r="H33" s="7" t="s">
        <v>194</v>
      </c>
      <c r="I33" t="s">
        <v>1423</v>
      </c>
    </row>
    <row r="34" spans="8:9" x14ac:dyDescent="0.15">
      <c r="H34" s="7" t="s">
        <v>195</v>
      </c>
      <c r="I34" t="s">
        <v>1426</v>
      </c>
    </row>
    <row r="35" spans="8:9" x14ac:dyDescent="0.15">
      <c r="H35" s="7" t="s">
        <v>165</v>
      </c>
      <c r="I35" t="s">
        <v>1425</v>
      </c>
    </row>
    <row r="36" spans="8:9" x14ac:dyDescent="0.15">
      <c r="H36" s="7" t="s">
        <v>167</v>
      </c>
      <c r="I36" t="s">
        <v>1427</v>
      </c>
    </row>
    <row r="37" spans="8:9" x14ac:dyDescent="0.15">
      <c r="H37" s="7" t="s">
        <v>196</v>
      </c>
      <c r="I37" t="s">
        <v>1424</v>
      </c>
    </row>
    <row r="38" spans="8:9" x14ac:dyDescent="0.15">
      <c r="H38" s="7" t="s">
        <v>164</v>
      </c>
      <c r="I38" t="s">
        <v>1428</v>
      </c>
    </row>
    <row r="39" spans="8:9" x14ac:dyDescent="0.15">
      <c r="H39" s="7" t="s">
        <v>197</v>
      </c>
      <c r="I39" t="s">
        <v>1426</v>
      </c>
    </row>
    <row r="40" spans="8:9" x14ac:dyDescent="0.15">
      <c r="H40" s="7" t="s">
        <v>795</v>
      </c>
      <c r="I40" t="s">
        <v>1426</v>
      </c>
    </row>
    <row r="41" spans="8:9" x14ac:dyDescent="0.15">
      <c r="H41" s="7" t="s">
        <v>198</v>
      </c>
      <c r="I41" t="s">
        <v>1428</v>
      </c>
    </row>
    <row r="42" spans="8:9" x14ac:dyDescent="0.15">
      <c r="H42" s="7" t="s">
        <v>171</v>
      </c>
      <c r="I42" t="s">
        <v>1428</v>
      </c>
    </row>
    <row r="43" spans="8:9" x14ac:dyDescent="0.15">
      <c r="H43" s="7" t="s">
        <v>199</v>
      </c>
      <c r="I43" t="s">
        <v>1426</v>
      </c>
    </row>
    <row r="44" spans="8:9" x14ac:dyDescent="0.15">
      <c r="H44" s="7" t="s">
        <v>200</v>
      </c>
      <c r="I44" t="s">
        <v>1429</v>
      </c>
    </row>
    <row r="45" spans="8:9" x14ac:dyDescent="0.15">
      <c r="H45" s="7" t="s">
        <v>170</v>
      </c>
      <c r="I45" t="s">
        <v>1425</v>
      </c>
    </row>
    <row r="46" spans="8:9" x14ac:dyDescent="0.15">
      <c r="H46" s="7" t="s">
        <v>201</v>
      </c>
      <c r="I46" t="s">
        <v>1429</v>
      </c>
    </row>
    <row r="47" spans="8:9" x14ac:dyDescent="0.15">
      <c r="H47" s="7" t="s">
        <v>172</v>
      </c>
      <c r="I47" t="s">
        <v>1427</v>
      </c>
    </row>
    <row r="48" spans="8:9" x14ac:dyDescent="0.15">
      <c r="H48" s="7" t="s">
        <v>202</v>
      </c>
      <c r="I48" t="s">
        <v>1430</v>
      </c>
    </row>
    <row r="49" spans="8:9" x14ac:dyDescent="0.15">
      <c r="H49" s="7" t="s">
        <v>185</v>
      </c>
      <c r="I49" t="s">
        <v>1431</v>
      </c>
    </row>
    <row r="50" spans="8:9" x14ac:dyDescent="0.15">
      <c r="H50" s="7" t="s">
        <v>168</v>
      </c>
      <c r="I50" t="s">
        <v>1431</v>
      </c>
    </row>
    <row r="51" spans="8:9" x14ac:dyDescent="0.15">
      <c r="H51" s="7" t="s">
        <v>175</v>
      </c>
      <c r="I51" t="s">
        <v>1431</v>
      </c>
    </row>
    <row r="52" spans="8:9" x14ac:dyDescent="0.15">
      <c r="H52" s="7" t="s">
        <v>177</v>
      </c>
      <c r="I52" t="s">
        <v>1431</v>
      </c>
    </row>
    <row r="53" spans="8:9" x14ac:dyDescent="0.15">
      <c r="H53" s="7" t="s">
        <v>179</v>
      </c>
      <c r="I53" t="s">
        <v>1431</v>
      </c>
    </row>
    <row r="54" spans="8:9" x14ac:dyDescent="0.15">
      <c r="H54" s="7" t="s">
        <v>180</v>
      </c>
      <c r="I54" t="s">
        <v>1431</v>
      </c>
    </row>
    <row r="55" spans="8:9" x14ac:dyDescent="0.15">
      <c r="H55" s="7" t="s">
        <v>203</v>
      </c>
      <c r="I55" t="s">
        <v>1430</v>
      </c>
    </row>
    <row r="56" spans="8:9" x14ac:dyDescent="0.15">
      <c r="H56" s="7" t="s">
        <v>204</v>
      </c>
      <c r="I56" t="s">
        <v>1427</v>
      </c>
    </row>
    <row r="57" spans="8:9" x14ac:dyDescent="0.15">
      <c r="H57" s="7" t="s">
        <v>181</v>
      </c>
      <c r="I57" t="s">
        <v>1430</v>
      </c>
    </row>
    <row r="58" spans="8:9" x14ac:dyDescent="0.15">
      <c r="H58" s="7" t="s">
        <v>206</v>
      </c>
      <c r="I58" t="s">
        <v>1424</v>
      </c>
    </row>
    <row r="59" spans="8:9" x14ac:dyDescent="0.15">
      <c r="H59" s="7" t="s">
        <v>207</v>
      </c>
      <c r="I59" t="s">
        <v>1427</v>
      </c>
    </row>
    <row r="60" spans="8:9" x14ac:dyDescent="0.15">
      <c r="H60" s="7" t="s">
        <v>183</v>
      </c>
      <c r="I60" t="s">
        <v>1426</v>
      </c>
    </row>
    <row r="61" spans="8:9" x14ac:dyDescent="0.15">
      <c r="H61" s="7" t="s">
        <v>208</v>
      </c>
      <c r="I61" t="s">
        <v>1425</v>
      </c>
    </row>
    <row r="62" spans="8:9" x14ac:dyDescent="0.15">
      <c r="H62" s="7" t="s">
        <v>209</v>
      </c>
      <c r="I62" t="s">
        <v>1427</v>
      </c>
    </row>
    <row r="63" spans="8:9" x14ac:dyDescent="0.15">
      <c r="H63" s="7" t="s">
        <v>210</v>
      </c>
      <c r="I63" t="s">
        <v>1425</v>
      </c>
    </row>
    <row r="64" spans="8:9" x14ac:dyDescent="0.15">
      <c r="H64" s="7" t="s">
        <v>169</v>
      </c>
      <c r="I64" t="s">
        <v>1425</v>
      </c>
    </row>
    <row r="65" spans="8:9" x14ac:dyDescent="0.15">
      <c r="H65" s="7" t="s">
        <v>211</v>
      </c>
      <c r="I65" t="s">
        <v>1432</v>
      </c>
    </row>
    <row r="66" spans="8:9" x14ac:dyDescent="0.15">
      <c r="H66" s="7" t="s">
        <v>212</v>
      </c>
      <c r="I66" t="s">
        <v>1433</v>
      </c>
    </row>
    <row r="67" spans="8:9" x14ac:dyDescent="0.15">
      <c r="H67" s="7" t="s">
        <v>213</v>
      </c>
      <c r="I67" t="s">
        <v>1429</v>
      </c>
    </row>
    <row r="68" spans="8:9" x14ac:dyDescent="0.15">
      <c r="H68" s="7" t="s">
        <v>214</v>
      </c>
      <c r="I68" t="s">
        <v>1434</v>
      </c>
    </row>
    <row r="69" spans="8:9" x14ac:dyDescent="0.15">
      <c r="H69" s="7" t="s">
        <v>215</v>
      </c>
      <c r="I69" t="s">
        <v>1434</v>
      </c>
    </row>
    <row r="70" spans="8:9" x14ac:dyDescent="0.15">
      <c r="H70" s="7" t="s">
        <v>176</v>
      </c>
      <c r="I70" t="s">
        <v>1434</v>
      </c>
    </row>
    <row r="71" spans="8:9" x14ac:dyDescent="0.15">
      <c r="H71" s="7" t="s">
        <v>186</v>
      </c>
      <c r="I71" t="s">
        <v>1434</v>
      </c>
    </row>
    <row r="72" spans="8:9" x14ac:dyDescent="0.15">
      <c r="H72" s="7" t="s">
        <v>173</v>
      </c>
      <c r="I72" t="s">
        <v>1434</v>
      </c>
    </row>
    <row r="73" spans="8:9" x14ac:dyDescent="0.15">
      <c r="H73" s="7" t="s">
        <v>216</v>
      </c>
      <c r="I73" t="s">
        <v>1434</v>
      </c>
    </row>
    <row r="74" spans="8:9" x14ac:dyDescent="0.15">
      <c r="H74" s="7" t="s">
        <v>217</v>
      </c>
      <c r="I74" t="s">
        <v>1434</v>
      </c>
    </row>
    <row r="75" spans="8:9" x14ac:dyDescent="0.15">
      <c r="H75" s="7" t="s">
        <v>218</v>
      </c>
      <c r="I75" t="s">
        <v>1434</v>
      </c>
    </row>
    <row r="76" spans="8:9" x14ac:dyDescent="0.15">
      <c r="H76" s="7" t="s">
        <v>219</v>
      </c>
      <c r="I76" t="s">
        <v>1434</v>
      </c>
    </row>
    <row r="77" spans="8:9" x14ac:dyDescent="0.15">
      <c r="H77" s="7" t="s">
        <v>796</v>
      </c>
      <c r="I77" t="s">
        <v>1434</v>
      </c>
    </row>
    <row r="78" spans="8:9" x14ac:dyDescent="0.15">
      <c r="H78" s="7" t="s">
        <v>220</v>
      </c>
      <c r="I78" t="s">
        <v>1435</v>
      </c>
    </row>
    <row r="79" spans="8:9" x14ac:dyDescent="0.15">
      <c r="H79" s="7" t="s">
        <v>221</v>
      </c>
      <c r="I79" t="s">
        <v>1435</v>
      </c>
    </row>
    <row r="80" spans="8:9" x14ac:dyDescent="0.15">
      <c r="H80" s="7" t="s">
        <v>222</v>
      </c>
      <c r="I80" t="s">
        <v>1435</v>
      </c>
    </row>
    <row r="81" spans="8:9" x14ac:dyDescent="0.15">
      <c r="H81" s="7" t="s">
        <v>223</v>
      </c>
      <c r="I81" t="s">
        <v>1435</v>
      </c>
    </row>
    <row r="82" spans="8:9" x14ac:dyDescent="0.15">
      <c r="H82" s="7" t="s">
        <v>224</v>
      </c>
      <c r="I82" t="s">
        <v>1435</v>
      </c>
    </row>
    <row r="83" spans="8:9" x14ac:dyDescent="0.15">
      <c r="H83" s="7" t="s">
        <v>225</v>
      </c>
      <c r="I83" t="s">
        <v>1435</v>
      </c>
    </row>
    <row r="84" spans="8:9" x14ac:dyDescent="0.15">
      <c r="H84" s="7" t="s">
        <v>226</v>
      </c>
      <c r="I84" t="s">
        <v>1435</v>
      </c>
    </row>
    <row r="85" spans="8:9" x14ac:dyDescent="0.15">
      <c r="H85" s="7" t="s">
        <v>227</v>
      </c>
      <c r="I85" t="s">
        <v>1435</v>
      </c>
    </row>
    <row r="86" spans="8:9" x14ac:dyDescent="0.15">
      <c r="H86" s="7" t="s">
        <v>228</v>
      </c>
      <c r="I86" t="s">
        <v>1435</v>
      </c>
    </row>
    <row r="87" spans="8:9" x14ac:dyDescent="0.15">
      <c r="H87" s="7" t="s">
        <v>229</v>
      </c>
      <c r="I87" t="s">
        <v>1435</v>
      </c>
    </row>
    <row r="88" spans="8:9" x14ac:dyDescent="0.15">
      <c r="H88" s="7" t="s">
        <v>230</v>
      </c>
      <c r="I88" t="s">
        <v>1435</v>
      </c>
    </row>
    <row r="89" spans="8:9" x14ac:dyDescent="0.15">
      <c r="H89" s="7" t="s">
        <v>231</v>
      </c>
      <c r="I89" t="s">
        <v>1435</v>
      </c>
    </row>
    <row r="90" spans="8:9" x14ac:dyDescent="0.15">
      <c r="H90" s="7" t="s">
        <v>232</v>
      </c>
      <c r="I90" t="s">
        <v>1435</v>
      </c>
    </row>
    <row r="91" spans="8:9" x14ac:dyDescent="0.15">
      <c r="H91" s="7" t="s">
        <v>233</v>
      </c>
      <c r="I91" t="s">
        <v>1435</v>
      </c>
    </row>
    <row r="92" spans="8:9" x14ac:dyDescent="0.15">
      <c r="H92" s="7" t="s">
        <v>234</v>
      </c>
      <c r="I92" t="s">
        <v>1435</v>
      </c>
    </row>
    <row r="93" spans="8:9" x14ac:dyDescent="0.15">
      <c r="H93" s="7" t="s">
        <v>235</v>
      </c>
      <c r="I93" t="s">
        <v>1435</v>
      </c>
    </row>
    <row r="94" spans="8:9" x14ac:dyDescent="0.15">
      <c r="H94" s="7" t="s">
        <v>236</v>
      </c>
      <c r="I94" t="s">
        <v>1436</v>
      </c>
    </row>
    <row r="95" spans="8:9" x14ac:dyDescent="0.15">
      <c r="H95" s="7" t="s">
        <v>237</v>
      </c>
      <c r="I95" t="s">
        <v>1429</v>
      </c>
    </row>
    <row r="96" spans="8:9" x14ac:dyDescent="0.15">
      <c r="H96" s="7" t="s">
        <v>238</v>
      </c>
      <c r="I96" t="s">
        <v>1429</v>
      </c>
    </row>
    <row r="97" spans="8:9" x14ac:dyDescent="0.15">
      <c r="H97" s="7" t="s">
        <v>239</v>
      </c>
      <c r="I97" t="s">
        <v>1429</v>
      </c>
    </row>
    <row r="98" spans="8:9" x14ac:dyDescent="0.15">
      <c r="H98" s="7" t="s">
        <v>240</v>
      </c>
      <c r="I98" t="s">
        <v>1429</v>
      </c>
    </row>
    <row r="99" spans="8:9" x14ac:dyDescent="0.15">
      <c r="H99" s="7" t="s">
        <v>241</v>
      </c>
      <c r="I99" t="s">
        <v>1437</v>
      </c>
    </row>
    <row r="100" spans="8:9" x14ac:dyDescent="0.15">
      <c r="H100" s="7" t="s">
        <v>242</v>
      </c>
      <c r="I100" t="s">
        <v>1429</v>
      </c>
    </row>
    <row r="101" spans="8:9" x14ac:dyDescent="0.15">
      <c r="H101" s="7" t="s">
        <v>243</v>
      </c>
      <c r="I101" t="s">
        <v>1429</v>
      </c>
    </row>
    <row r="102" spans="8:9" x14ac:dyDescent="0.15">
      <c r="H102" s="7" t="s">
        <v>244</v>
      </c>
      <c r="I102" t="s">
        <v>1437</v>
      </c>
    </row>
    <row r="103" spans="8:9" x14ac:dyDescent="0.15">
      <c r="H103" s="7" t="s">
        <v>245</v>
      </c>
      <c r="I103" t="s">
        <v>1437</v>
      </c>
    </row>
    <row r="104" spans="8:9" x14ac:dyDescent="0.15">
      <c r="H104" s="7" t="s">
        <v>246</v>
      </c>
      <c r="I104" t="s">
        <v>1429</v>
      </c>
    </row>
    <row r="105" spans="8:9" x14ac:dyDescent="0.15">
      <c r="H105" s="7" t="s">
        <v>247</v>
      </c>
      <c r="I105" t="s">
        <v>1437</v>
      </c>
    </row>
    <row r="106" spans="8:9" x14ac:dyDescent="0.15">
      <c r="H106" s="7" t="s">
        <v>248</v>
      </c>
      <c r="I106" t="s">
        <v>1438</v>
      </c>
    </row>
    <row r="107" spans="8:9" x14ac:dyDescent="0.15">
      <c r="H107" s="7" t="s">
        <v>797</v>
      </c>
      <c r="I107" t="s">
        <v>1439</v>
      </c>
    </row>
    <row r="108" spans="8:9" x14ac:dyDescent="0.15">
      <c r="H108" s="7" t="s">
        <v>330</v>
      </c>
      <c r="I108" t="s">
        <v>1440</v>
      </c>
    </row>
    <row r="109" spans="8:9" x14ac:dyDescent="0.15">
      <c r="H109" s="7" t="s">
        <v>331</v>
      </c>
      <c r="I109" t="s">
        <v>1441</v>
      </c>
    </row>
    <row r="110" spans="8:9" x14ac:dyDescent="0.15">
      <c r="H110" s="7" t="s">
        <v>391</v>
      </c>
      <c r="I110" t="s">
        <v>1442</v>
      </c>
    </row>
    <row r="111" spans="8:9" x14ac:dyDescent="0.15">
      <c r="H111" s="7" t="s">
        <v>332</v>
      </c>
      <c r="I111" t="s">
        <v>1442</v>
      </c>
    </row>
    <row r="112" spans="8:9" x14ac:dyDescent="0.15">
      <c r="H112" s="7" t="s">
        <v>392</v>
      </c>
      <c r="I112" t="s">
        <v>1442</v>
      </c>
    </row>
    <row r="113" spans="8:9" x14ac:dyDescent="0.15">
      <c r="H113" s="7" t="s">
        <v>333</v>
      </c>
      <c r="I113" t="s">
        <v>1443</v>
      </c>
    </row>
    <row r="114" spans="8:9" x14ac:dyDescent="0.15">
      <c r="H114" s="7" t="s">
        <v>334</v>
      </c>
      <c r="I114" t="s">
        <v>1444</v>
      </c>
    </row>
    <row r="115" spans="8:9" x14ac:dyDescent="0.15">
      <c r="H115" s="7" t="s">
        <v>825</v>
      </c>
      <c r="I115" t="s">
        <v>1441</v>
      </c>
    </row>
    <row r="116" spans="8:9" x14ac:dyDescent="0.15">
      <c r="H116" s="7" t="s">
        <v>335</v>
      </c>
      <c r="I116" t="s">
        <v>1440</v>
      </c>
    </row>
    <row r="117" spans="8:9" x14ac:dyDescent="0.15">
      <c r="H117" s="7" t="s">
        <v>336</v>
      </c>
      <c r="I117" t="s">
        <v>1440</v>
      </c>
    </row>
    <row r="118" spans="8:9" x14ac:dyDescent="0.15">
      <c r="H118" s="7" t="s">
        <v>337</v>
      </c>
      <c r="I118" t="s">
        <v>1445</v>
      </c>
    </row>
    <row r="119" spans="8:9" x14ac:dyDescent="0.15">
      <c r="H119" s="7" t="s">
        <v>338</v>
      </c>
      <c r="I119" t="s">
        <v>1446</v>
      </c>
    </row>
    <row r="120" spans="8:9" x14ac:dyDescent="0.15">
      <c r="H120" s="7" t="s">
        <v>339</v>
      </c>
      <c r="I120" t="s">
        <v>1447</v>
      </c>
    </row>
    <row r="121" spans="8:9" x14ac:dyDescent="0.15">
      <c r="H121" s="7" t="s">
        <v>772</v>
      </c>
      <c r="I121" t="s">
        <v>1448</v>
      </c>
    </row>
    <row r="122" spans="8:9" x14ac:dyDescent="0.15">
      <c r="H122" s="7" t="s">
        <v>1410</v>
      </c>
      <c r="I122" t="s">
        <v>1444</v>
      </c>
    </row>
    <row r="123" spans="8:9" x14ac:dyDescent="0.15">
      <c r="H123" s="7" t="s">
        <v>341</v>
      </c>
      <c r="I123" t="s">
        <v>1449</v>
      </c>
    </row>
    <row r="124" spans="8:9" x14ac:dyDescent="0.15">
      <c r="H124" s="7" t="s">
        <v>342</v>
      </c>
      <c r="I124" t="s">
        <v>1442</v>
      </c>
    </row>
    <row r="125" spans="8:9" x14ac:dyDescent="0.15">
      <c r="H125" s="7" t="s">
        <v>616</v>
      </c>
      <c r="I125" t="s">
        <v>1443</v>
      </c>
    </row>
    <row r="126" spans="8:9" x14ac:dyDescent="0.15">
      <c r="H126" s="7" t="s">
        <v>617</v>
      </c>
      <c r="I126" t="s">
        <v>1442</v>
      </c>
    </row>
    <row r="127" spans="8:9" x14ac:dyDescent="0.15">
      <c r="H127" s="7" t="s">
        <v>618</v>
      </c>
      <c r="I127" t="s">
        <v>1442</v>
      </c>
    </row>
    <row r="128" spans="8:9" x14ac:dyDescent="0.15">
      <c r="H128" s="7" t="s">
        <v>619</v>
      </c>
      <c r="I128" t="s">
        <v>1450</v>
      </c>
    </row>
    <row r="129" spans="8:9" x14ac:dyDescent="0.15">
      <c r="H129" s="7" t="s">
        <v>351</v>
      </c>
      <c r="I129" t="s">
        <v>1451</v>
      </c>
    </row>
    <row r="130" spans="8:9" x14ac:dyDescent="0.15">
      <c r="H130" s="7" t="s">
        <v>349</v>
      </c>
      <c r="I130" t="s">
        <v>1452</v>
      </c>
    </row>
    <row r="131" spans="8:9" x14ac:dyDescent="0.15">
      <c r="H131" s="7" t="s">
        <v>394</v>
      </c>
      <c r="I131" t="s">
        <v>1453</v>
      </c>
    </row>
    <row r="132" spans="8:9" x14ac:dyDescent="0.15">
      <c r="H132" s="7" t="s">
        <v>395</v>
      </c>
      <c r="I132" t="s">
        <v>1454</v>
      </c>
    </row>
    <row r="133" spans="8:9" x14ac:dyDescent="0.15">
      <c r="H133" s="7" t="s">
        <v>353</v>
      </c>
      <c r="I133" t="s">
        <v>1453</v>
      </c>
    </row>
    <row r="134" spans="8:9" x14ac:dyDescent="0.15">
      <c r="H134" s="7" t="s">
        <v>396</v>
      </c>
      <c r="I134" t="s">
        <v>1455</v>
      </c>
    </row>
    <row r="135" spans="8:9" x14ac:dyDescent="0.15">
      <c r="H135" s="7" t="s">
        <v>667</v>
      </c>
      <c r="I135" t="s">
        <v>1453</v>
      </c>
    </row>
    <row r="136" spans="8:9" x14ac:dyDescent="0.15">
      <c r="H136" s="7" t="s">
        <v>355</v>
      </c>
      <c r="I136" t="s">
        <v>1456</v>
      </c>
    </row>
    <row r="137" spans="8:9" x14ac:dyDescent="0.15">
      <c r="H137" s="7" t="s">
        <v>397</v>
      </c>
      <c r="I137" t="s">
        <v>1454</v>
      </c>
    </row>
    <row r="138" spans="8:9" x14ac:dyDescent="0.15">
      <c r="H138" s="7" t="s">
        <v>398</v>
      </c>
      <c r="I138" t="s">
        <v>1457</v>
      </c>
    </row>
    <row r="139" spans="8:9" x14ac:dyDescent="0.15">
      <c r="H139" s="7" t="s">
        <v>399</v>
      </c>
      <c r="I139" t="s">
        <v>1451</v>
      </c>
    </row>
    <row r="140" spans="8:9" x14ac:dyDescent="0.15">
      <c r="H140" s="7" t="s">
        <v>400</v>
      </c>
      <c r="I140" t="s">
        <v>1458</v>
      </c>
    </row>
    <row r="141" spans="8:9" x14ac:dyDescent="0.15">
      <c r="H141" s="7" t="s">
        <v>401</v>
      </c>
      <c r="I141" t="s">
        <v>1453</v>
      </c>
    </row>
    <row r="142" spans="8:9" x14ac:dyDescent="0.15">
      <c r="H142" s="7" t="s">
        <v>402</v>
      </c>
      <c r="I142" t="s">
        <v>1456</v>
      </c>
    </row>
    <row r="143" spans="8:9" x14ac:dyDescent="0.15">
      <c r="H143" s="7" t="s">
        <v>403</v>
      </c>
      <c r="I143" t="s">
        <v>1459</v>
      </c>
    </row>
    <row r="144" spans="8:9" x14ac:dyDescent="0.15">
      <c r="H144" s="7" t="s">
        <v>390</v>
      </c>
      <c r="I144" t="s">
        <v>1456</v>
      </c>
    </row>
    <row r="145" spans="8:9" x14ac:dyDescent="0.15">
      <c r="H145" s="7" t="s">
        <v>620</v>
      </c>
      <c r="I145" t="s">
        <v>1460</v>
      </c>
    </row>
    <row r="146" spans="8:9" x14ac:dyDescent="0.15">
      <c r="H146" s="7" t="s">
        <v>425</v>
      </c>
      <c r="I146" t="s">
        <v>1461</v>
      </c>
    </row>
    <row r="147" spans="8:9" x14ac:dyDescent="0.15">
      <c r="H147" s="7" t="s">
        <v>422</v>
      </c>
      <c r="I147" t="s">
        <v>1462</v>
      </c>
    </row>
    <row r="148" spans="8:9" x14ac:dyDescent="0.15">
      <c r="H148" s="7" t="s">
        <v>423</v>
      </c>
      <c r="I148" t="s">
        <v>1463</v>
      </c>
    </row>
    <row r="149" spans="8:9" x14ac:dyDescent="0.15">
      <c r="H149" s="7" t="s">
        <v>424</v>
      </c>
      <c r="I149" t="s">
        <v>1464</v>
      </c>
    </row>
    <row r="150" spans="8:9" x14ac:dyDescent="0.15">
      <c r="H150" s="7" t="s">
        <v>427</v>
      </c>
      <c r="I150" t="s">
        <v>1465</v>
      </c>
    </row>
    <row r="151" spans="8:9" x14ac:dyDescent="0.15">
      <c r="H151" s="7" t="s">
        <v>431</v>
      </c>
      <c r="I151" t="s">
        <v>1466</v>
      </c>
    </row>
    <row r="152" spans="8:9" x14ac:dyDescent="0.15">
      <c r="H152" s="7" t="s">
        <v>430</v>
      </c>
      <c r="I152" t="s">
        <v>1467</v>
      </c>
    </row>
    <row r="153" spans="8:9" x14ac:dyDescent="0.15">
      <c r="H153" s="7" t="s">
        <v>429</v>
      </c>
      <c r="I153" t="s">
        <v>1468</v>
      </c>
    </row>
    <row r="154" spans="8:9" x14ac:dyDescent="0.15">
      <c r="H154" s="7" t="s">
        <v>433</v>
      </c>
      <c r="I154" t="s">
        <v>1469</v>
      </c>
    </row>
    <row r="155" spans="8:9" x14ac:dyDescent="0.15">
      <c r="H155" s="7" t="s">
        <v>428</v>
      </c>
      <c r="I155" t="s">
        <v>1470</v>
      </c>
    </row>
    <row r="156" spans="8:9" x14ac:dyDescent="0.15">
      <c r="H156" s="7" t="s">
        <v>621</v>
      </c>
      <c r="I156" t="s">
        <v>1470</v>
      </c>
    </row>
    <row r="157" spans="8:9" x14ac:dyDescent="0.15">
      <c r="H157" s="7" t="s">
        <v>717</v>
      </c>
      <c r="I157" t="s">
        <v>1471</v>
      </c>
    </row>
    <row r="158" spans="8:9" x14ac:dyDescent="0.15">
      <c r="H158" s="7" t="s">
        <v>777</v>
      </c>
      <c r="I158" t="s">
        <v>1471</v>
      </c>
    </row>
    <row r="159" spans="8:9" x14ac:dyDescent="0.15">
      <c r="H159" s="7" t="s">
        <v>724</v>
      </c>
      <c r="I159" t="s">
        <v>1472</v>
      </c>
    </row>
    <row r="160" spans="8:9" x14ac:dyDescent="0.15">
      <c r="H160" s="7" t="s">
        <v>725</v>
      </c>
      <c r="I160" t="s">
        <v>1473</v>
      </c>
    </row>
    <row r="161" spans="8:9" x14ac:dyDescent="0.15">
      <c r="H161" s="7" t="s">
        <v>732</v>
      </c>
      <c r="I161" t="s">
        <v>1474</v>
      </c>
    </row>
    <row r="162" spans="8:9" x14ac:dyDescent="0.15">
      <c r="H162" s="7" t="s">
        <v>728</v>
      </c>
      <c r="I162" t="s">
        <v>1475</v>
      </c>
    </row>
    <row r="163" spans="8:9" x14ac:dyDescent="0.15">
      <c r="H163" s="7" t="s">
        <v>727</v>
      </c>
      <c r="I163" t="s">
        <v>1476</v>
      </c>
    </row>
    <row r="164" spans="8:9" x14ac:dyDescent="0.15">
      <c r="H164" s="7" t="s">
        <v>736</v>
      </c>
      <c r="I164" t="s">
        <v>1476</v>
      </c>
    </row>
    <row r="165" spans="8:9" x14ac:dyDescent="0.15">
      <c r="H165" s="7" t="s">
        <v>729</v>
      </c>
      <c r="I165" t="s">
        <v>1473</v>
      </c>
    </row>
    <row r="166" spans="8:9" x14ac:dyDescent="0.15">
      <c r="H166" s="7" t="s">
        <v>1411</v>
      </c>
      <c r="I166" t="s">
        <v>1477</v>
      </c>
    </row>
    <row r="167" spans="8:9" x14ac:dyDescent="0.15">
      <c r="H167" s="7" t="s">
        <v>1412</v>
      </c>
      <c r="I167" t="s">
        <v>1477</v>
      </c>
    </row>
    <row r="168" spans="8:9" x14ac:dyDescent="0.15">
      <c r="H168" s="7" t="s">
        <v>1413</v>
      </c>
      <c r="I168" t="s">
        <v>1478</v>
      </c>
    </row>
    <row r="169" spans="8:9" x14ac:dyDescent="0.15">
      <c r="H169" s="7" t="s">
        <v>1414</v>
      </c>
      <c r="I169" t="s">
        <v>1478</v>
      </c>
    </row>
    <row r="170" spans="8:9" x14ac:dyDescent="0.15">
      <c r="H170" s="7" t="s">
        <v>1415</v>
      </c>
      <c r="I170" t="s">
        <v>1477</v>
      </c>
    </row>
    <row r="171" spans="8:9" x14ac:dyDescent="0.15">
      <c r="H171" s="7" t="s">
        <v>120</v>
      </c>
      <c r="I171" t="s">
        <v>1421</v>
      </c>
    </row>
    <row r="172" spans="8:9" x14ac:dyDescent="0.15">
      <c r="H172" s="7" t="s">
        <v>122</v>
      </c>
      <c r="I172" t="s">
        <v>1421</v>
      </c>
    </row>
    <row r="173" spans="8:9" x14ac:dyDescent="0.15">
      <c r="H173" s="7" t="s">
        <v>121</v>
      </c>
      <c r="I173" t="s">
        <v>1421</v>
      </c>
    </row>
    <row r="174" spans="8:9" x14ac:dyDescent="0.15">
      <c r="H174" s="7" t="s">
        <v>123</v>
      </c>
      <c r="I174" t="s">
        <v>1421</v>
      </c>
    </row>
    <row r="175" spans="8:9" x14ac:dyDescent="0.15">
      <c r="H175" s="7" t="s">
        <v>1303</v>
      </c>
      <c r="I175" t="s">
        <v>1421</v>
      </c>
    </row>
    <row r="176" spans="8:9" x14ac:dyDescent="0.15">
      <c r="H176" s="7" t="s">
        <v>124</v>
      </c>
      <c r="I176" t="s">
        <v>1421</v>
      </c>
    </row>
    <row r="177" spans="8:9" x14ac:dyDescent="0.15">
      <c r="H177" s="7" t="s">
        <v>125</v>
      </c>
      <c r="I177" t="s">
        <v>1421</v>
      </c>
    </row>
    <row r="178" spans="8:9" x14ac:dyDescent="0.15">
      <c r="H178" s="7" t="s">
        <v>126</v>
      </c>
      <c r="I178" t="s">
        <v>1420</v>
      </c>
    </row>
    <row r="179" spans="8:9" x14ac:dyDescent="0.15">
      <c r="H179" s="7" t="s">
        <v>1304</v>
      </c>
      <c r="I179" t="s">
        <v>1421</v>
      </c>
    </row>
    <row r="180" spans="8:9" x14ac:dyDescent="0.15">
      <c r="H180" s="7" t="s">
        <v>128</v>
      </c>
      <c r="I180" t="s">
        <v>1421</v>
      </c>
    </row>
    <row r="181" spans="8:9" x14ac:dyDescent="0.15">
      <c r="H181" s="7" t="s">
        <v>129</v>
      </c>
      <c r="I181" t="s">
        <v>1420</v>
      </c>
    </row>
    <row r="182" spans="8:9" x14ac:dyDescent="0.15">
      <c r="H182" s="7" t="s">
        <v>130</v>
      </c>
      <c r="I182" t="s">
        <v>1421</v>
      </c>
    </row>
    <row r="183" spans="8:9" x14ac:dyDescent="0.15">
      <c r="H183" s="7" t="s">
        <v>131</v>
      </c>
      <c r="I183" t="s">
        <v>1421</v>
      </c>
    </row>
    <row r="184" spans="8:9" x14ac:dyDescent="0.15">
      <c r="H184" s="7" t="s">
        <v>132</v>
      </c>
      <c r="I184" t="s">
        <v>1421</v>
      </c>
    </row>
    <row r="185" spans="8:9" x14ac:dyDescent="0.15">
      <c r="H185" s="7" t="s">
        <v>133</v>
      </c>
      <c r="I185" t="s">
        <v>1421</v>
      </c>
    </row>
    <row r="186" spans="8:9" x14ac:dyDescent="0.15">
      <c r="H186" s="7" t="s">
        <v>134</v>
      </c>
      <c r="I186" t="s">
        <v>1420</v>
      </c>
    </row>
    <row r="187" spans="8:9" x14ac:dyDescent="0.15">
      <c r="H187" s="7" t="s">
        <v>955</v>
      </c>
      <c r="I187" t="s">
        <v>1421</v>
      </c>
    </row>
    <row r="188" spans="8:9" x14ac:dyDescent="0.15">
      <c r="H188" s="7" t="s">
        <v>136</v>
      </c>
      <c r="I188" t="s">
        <v>1421</v>
      </c>
    </row>
    <row r="189" spans="8:9" x14ac:dyDescent="0.15">
      <c r="H189" s="7" t="s">
        <v>137</v>
      </c>
      <c r="I189" t="s">
        <v>1420</v>
      </c>
    </row>
    <row r="190" spans="8:9" x14ac:dyDescent="0.15">
      <c r="H190" s="7" t="s">
        <v>138</v>
      </c>
      <c r="I190" t="s">
        <v>1420</v>
      </c>
    </row>
    <row r="191" spans="8:9" x14ac:dyDescent="0.15">
      <c r="H191" s="7" t="s">
        <v>978</v>
      </c>
      <c r="I191" t="s">
        <v>1479</v>
      </c>
    </row>
    <row r="192" spans="8:9" x14ac:dyDescent="0.15">
      <c r="H192" s="7" t="s">
        <v>1416</v>
      </c>
      <c r="I192" t="s">
        <v>1480</v>
      </c>
    </row>
    <row r="193" spans="8:9" x14ac:dyDescent="0.15">
      <c r="H193" s="7" t="s">
        <v>860</v>
      </c>
      <c r="I193" t="s">
        <v>1480</v>
      </c>
    </row>
    <row r="194" spans="8:9" x14ac:dyDescent="0.15">
      <c r="H194" s="7" t="s">
        <v>1417</v>
      </c>
      <c r="I194" t="s">
        <v>1481</v>
      </c>
    </row>
    <row r="195" spans="8:9" x14ac:dyDescent="0.15">
      <c r="H195" s="7" t="s">
        <v>347</v>
      </c>
      <c r="I195" t="s">
        <v>1482</v>
      </c>
    </row>
    <row r="196" spans="8:9" x14ac:dyDescent="0.15">
      <c r="H196" s="7" t="s">
        <v>328</v>
      </c>
      <c r="I196" t="s">
        <v>1479</v>
      </c>
    </row>
    <row r="197" spans="8:9" x14ac:dyDescent="0.15">
      <c r="H197" s="7" t="s">
        <v>827</v>
      </c>
      <c r="I197" t="s">
        <v>1483</v>
      </c>
    </row>
    <row r="198" spans="8:9" x14ac:dyDescent="0.15">
      <c r="H198" s="7" t="s">
        <v>443</v>
      </c>
      <c r="I198" t="s">
        <v>1480</v>
      </c>
    </row>
    <row r="199" spans="8:9" x14ac:dyDescent="0.15">
      <c r="H199" s="7" t="s">
        <v>444</v>
      </c>
      <c r="I199" t="s">
        <v>1484</v>
      </c>
    </row>
    <row r="200" spans="8:9" x14ac:dyDescent="0.15">
      <c r="H200" s="7" t="s">
        <v>346</v>
      </c>
      <c r="I200" t="s">
        <v>1485</v>
      </c>
    </row>
    <row r="201" spans="8:9" x14ac:dyDescent="0.15">
      <c r="H201" s="7" t="s">
        <v>352</v>
      </c>
      <c r="I201" t="s">
        <v>1486</v>
      </c>
    </row>
    <row r="202" spans="8:9" x14ac:dyDescent="0.15">
      <c r="H202" s="7" t="s">
        <v>445</v>
      </c>
      <c r="I202" t="s">
        <v>1487</v>
      </c>
    </row>
    <row r="203" spans="8:9" x14ac:dyDescent="0.15">
      <c r="H203" s="7" t="s">
        <v>446</v>
      </c>
      <c r="I203" t="s">
        <v>1488</v>
      </c>
    </row>
    <row r="204" spans="8:9" x14ac:dyDescent="0.15">
      <c r="H204" s="7" t="s">
        <v>447</v>
      </c>
      <c r="I204" t="s">
        <v>1489</v>
      </c>
    </row>
    <row r="205" spans="8:9" x14ac:dyDescent="0.15">
      <c r="H205" s="7" t="s">
        <v>448</v>
      </c>
      <c r="I205" t="s">
        <v>1490</v>
      </c>
    </row>
    <row r="206" spans="8:9" x14ac:dyDescent="0.15">
      <c r="H206" s="7" t="s">
        <v>370</v>
      </c>
      <c r="I206" t="s">
        <v>1491</v>
      </c>
    </row>
    <row r="207" spans="8:9" x14ac:dyDescent="0.15">
      <c r="H207" s="7" t="s">
        <v>449</v>
      </c>
      <c r="I207" t="s">
        <v>1492</v>
      </c>
    </row>
    <row r="208" spans="8:9" x14ac:dyDescent="0.15">
      <c r="H208" s="7" t="s">
        <v>450</v>
      </c>
      <c r="I208" t="s">
        <v>1448</v>
      </c>
    </row>
    <row r="209" spans="8:9" x14ac:dyDescent="0.15">
      <c r="H209" s="7" t="s">
        <v>357</v>
      </c>
      <c r="I209" t="s">
        <v>1493</v>
      </c>
    </row>
    <row r="210" spans="8:9" x14ac:dyDescent="0.15">
      <c r="H210" s="7" t="s">
        <v>451</v>
      </c>
      <c r="I210" t="s">
        <v>1494</v>
      </c>
    </row>
    <row r="211" spans="8:9" x14ac:dyDescent="0.15">
      <c r="H211" s="7" t="s">
        <v>452</v>
      </c>
      <c r="I211" t="s">
        <v>1495</v>
      </c>
    </row>
    <row r="212" spans="8:9" x14ac:dyDescent="0.15">
      <c r="H212" s="7" t="s">
        <v>453</v>
      </c>
      <c r="I212" t="s">
        <v>1496</v>
      </c>
    </row>
    <row r="213" spans="8:9" x14ac:dyDescent="0.15">
      <c r="H213" s="7" t="s">
        <v>454</v>
      </c>
      <c r="I213" t="s">
        <v>1489</v>
      </c>
    </row>
    <row r="214" spans="8:9" x14ac:dyDescent="0.15">
      <c r="H214" s="7" t="s">
        <v>455</v>
      </c>
      <c r="I214" t="s">
        <v>1497</v>
      </c>
    </row>
    <row r="215" spans="8:9" x14ac:dyDescent="0.15">
      <c r="H215" s="7" t="s">
        <v>360</v>
      </c>
      <c r="I215" t="s">
        <v>1498</v>
      </c>
    </row>
    <row r="216" spans="8:9" x14ac:dyDescent="0.15">
      <c r="H216" s="7" t="s">
        <v>456</v>
      </c>
      <c r="I216" t="s">
        <v>1499</v>
      </c>
    </row>
    <row r="217" spans="8:9" x14ac:dyDescent="0.15">
      <c r="H217" s="7" t="s">
        <v>457</v>
      </c>
      <c r="I217" t="s">
        <v>1500</v>
      </c>
    </row>
    <row r="218" spans="8:9" x14ac:dyDescent="0.15">
      <c r="H218" s="7" t="s">
        <v>348</v>
      </c>
      <c r="I218" t="s">
        <v>1501</v>
      </c>
    </row>
    <row r="219" spans="8:9" x14ac:dyDescent="0.15">
      <c r="H219" s="7" t="s">
        <v>369</v>
      </c>
      <c r="I219" t="s">
        <v>1502</v>
      </c>
    </row>
    <row r="220" spans="8:9" x14ac:dyDescent="0.15">
      <c r="H220" s="7" t="s">
        <v>458</v>
      </c>
      <c r="I220" t="s">
        <v>1503</v>
      </c>
    </row>
    <row r="221" spans="8:9" x14ac:dyDescent="0.15">
      <c r="H221" s="7" t="s">
        <v>459</v>
      </c>
      <c r="I221" t="s">
        <v>1504</v>
      </c>
    </row>
    <row r="222" spans="8:9" x14ac:dyDescent="0.15">
      <c r="H222" s="7" t="s">
        <v>362</v>
      </c>
      <c r="I222" t="s">
        <v>1505</v>
      </c>
    </row>
    <row r="223" spans="8:9" x14ac:dyDescent="0.15">
      <c r="H223" s="7" t="s">
        <v>361</v>
      </c>
      <c r="I223" t="s">
        <v>1506</v>
      </c>
    </row>
    <row r="224" spans="8:9" x14ac:dyDescent="0.15">
      <c r="H224" s="7" t="s">
        <v>460</v>
      </c>
      <c r="I224" t="s">
        <v>1489</v>
      </c>
    </row>
    <row r="225" spans="8:9" x14ac:dyDescent="0.15">
      <c r="H225" s="7" t="s">
        <v>461</v>
      </c>
      <c r="I225" t="s">
        <v>1507</v>
      </c>
    </row>
    <row r="226" spans="8:9" x14ac:dyDescent="0.15">
      <c r="H226" s="7" t="s">
        <v>462</v>
      </c>
      <c r="I226" t="s">
        <v>1489</v>
      </c>
    </row>
    <row r="227" spans="8:9" x14ac:dyDescent="0.15">
      <c r="H227" s="7" t="s">
        <v>463</v>
      </c>
      <c r="I227" t="s">
        <v>1508</v>
      </c>
    </row>
    <row r="228" spans="8:9" x14ac:dyDescent="0.15">
      <c r="H228" s="7" t="s">
        <v>464</v>
      </c>
      <c r="I228" t="s">
        <v>1509</v>
      </c>
    </row>
    <row r="229" spans="8:9" x14ac:dyDescent="0.15">
      <c r="H229" s="7" t="s">
        <v>465</v>
      </c>
      <c r="I229" t="s">
        <v>1510</v>
      </c>
    </row>
    <row r="230" spans="8:9" x14ac:dyDescent="0.15">
      <c r="H230" s="7" t="s">
        <v>466</v>
      </c>
      <c r="I230" t="s">
        <v>1511</v>
      </c>
    </row>
    <row r="231" spans="8:9" x14ac:dyDescent="0.15">
      <c r="H231" s="7" t="s">
        <v>350</v>
      </c>
      <c r="I231" t="s">
        <v>1501</v>
      </c>
    </row>
    <row r="232" spans="8:9" x14ac:dyDescent="0.15">
      <c r="H232" s="7" t="s">
        <v>367</v>
      </c>
      <c r="I232" t="s">
        <v>1512</v>
      </c>
    </row>
    <row r="233" spans="8:9" x14ac:dyDescent="0.15">
      <c r="H233" s="7" t="s">
        <v>467</v>
      </c>
      <c r="I233" t="s">
        <v>1513</v>
      </c>
    </row>
    <row r="234" spans="8:9" x14ac:dyDescent="0.15">
      <c r="H234" s="7" t="s">
        <v>363</v>
      </c>
      <c r="I234" t="s">
        <v>1500</v>
      </c>
    </row>
    <row r="235" spans="8:9" x14ac:dyDescent="0.15">
      <c r="H235" s="7" t="s">
        <v>365</v>
      </c>
      <c r="I235" t="s">
        <v>1514</v>
      </c>
    </row>
    <row r="236" spans="8:9" x14ac:dyDescent="0.15">
      <c r="H236" s="7" t="s">
        <v>486</v>
      </c>
      <c r="I236" t="s">
        <v>1491</v>
      </c>
    </row>
    <row r="237" spans="8:9" x14ac:dyDescent="0.15">
      <c r="H237" s="7" t="s">
        <v>468</v>
      </c>
      <c r="I237" t="s">
        <v>1515</v>
      </c>
    </row>
    <row r="238" spans="8:9" x14ac:dyDescent="0.15">
      <c r="H238" s="7" t="s">
        <v>469</v>
      </c>
      <c r="I238" t="s">
        <v>1516</v>
      </c>
    </row>
    <row r="239" spans="8:9" x14ac:dyDescent="0.15">
      <c r="H239" s="7" t="s">
        <v>371</v>
      </c>
      <c r="I239" t="s">
        <v>1517</v>
      </c>
    </row>
    <row r="240" spans="8:9" x14ac:dyDescent="0.15">
      <c r="H240" s="7" t="s">
        <v>372</v>
      </c>
      <c r="I240" t="s">
        <v>1511</v>
      </c>
    </row>
    <row r="241" spans="8:9" x14ac:dyDescent="0.15">
      <c r="H241" s="7" t="s">
        <v>470</v>
      </c>
      <c r="I241" t="s">
        <v>1518</v>
      </c>
    </row>
    <row r="242" spans="8:9" x14ac:dyDescent="0.15">
      <c r="H242" s="7" t="s">
        <v>471</v>
      </c>
      <c r="I242" t="s">
        <v>1519</v>
      </c>
    </row>
    <row r="243" spans="8:9" x14ac:dyDescent="0.15">
      <c r="H243" s="7" t="s">
        <v>472</v>
      </c>
      <c r="I243" t="s">
        <v>1520</v>
      </c>
    </row>
    <row r="244" spans="8:9" x14ac:dyDescent="0.15">
      <c r="H244" s="7" t="s">
        <v>473</v>
      </c>
      <c r="I244" t="s">
        <v>1521</v>
      </c>
    </row>
    <row r="245" spans="8:9" x14ac:dyDescent="0.15">
      <c r="H245" s="7" t="s">
        <v>364</v>
      </c>
      <c r="I245" t="s">
        <v>1505</v>
      </c>
    </row>
    <row r="246" spans="8:9" x14ac:dyDescent="0.15">
      <c r="H246" s="7" t="s">
        <v>474</v>
      </c>
      <c r="I246" t="s">
        <v>1510</v>
      </c>
    </row>
    <row r="247" spans="8:9" x14ac:dyDescent="0.15">
      <c r="H247" s="7" t="s">
        <v>475</v>
      </c>
      <c r="I247" t="s">
        <v>1522</v>
      </c>
    </row>
    <row r="248" spans="8:9" x14ac:dyDescent="0.15">
      <c r="H248" s="7" t="s">
        <v>476</v>
      </c>
      <c r="I248" t="s">
        <v>1523</v>
      </c>
    </row>
    <row r="249" spans="8:9" x14ac:dyDescent="0.15">
      <c r="H249" s="7" t="s">
        <v>477</v>
      </c>
      <c r="I249" t="s">
        <v>1524</v>
      </c>
    </row>
    <row r="250" spans="8:9" x14ac:dyDescent="0.15">
      <c r="H250" s="7" t="s">
        <v>478</v>
      </c>
      <c r="I250" t="s">
        <v>1525</v>
      </c>
    </row>
    <row r="251" spans="8:9" x14ac:dyDescent="0.15">
      <c r="H251" s="7" t="s">
        <v>366</v>
      </c>
      <c r="I251" t="s">
        <v>1522</v>
      </c>
    </row>
    <row r="252" spans="8:9" x14ac:dyDescent="0.15">
      <c r="H252" s="7" t="s">
        <v>479</v>
      </c>
      <c r="I252" t="s">
        <v>1489</v>
      </c>
    </row>
    <row r="253" spans="8:9" x14ac:dyDescent="0.15">
      <c r="H253" s="7" t="s">
        <v>480</v>
      </c>
      <c r="I253" t="s">
        <v>1526</v>
      </c>
    </row>
    <row r="254" spans="8:9" x14ac:dyDescent="0.15">
      <c r="H254" s="7" t="s">
        <v>368</v>
      </c>
      <c r="I254" t="s">
        <v>1446</v>
      </c>
    </row>
    <row r="255" spans="8:9" x14ac:dyDescent="0.15">
      <c r="H255" s="7" t="s">
        <v>481</v>
      </c>
      <c r="I255" t="s">
        <v>1527</v>
      </c>
    </row>
    <row r="256" spans="8:9" x14ac:dyDescent="0.15">
      <c r="H256" s="7" t="s">
        <v>482</v>
      </c>
      <c r="I256" t="s">
        <v>1528</v>
      </c>
    </row>
    <row r="257" spans="8:9" x14ac:dyDescent="0.15">
      <c r="H257" s="7" t="s">
        <v>483</v>
      </c>
      <c r="I257" t="s">
        <v>1529</v>
      </c>
    </row>
    <row r="258" spans="8:9" x14ac:dyDescent="0.15">
      <c r="H258" s="7" t="s">
        <v>484</v>
      </c>
      <c r="I258" t="s">
        <v>1530</v>
      </c>
    </row>
    <row r="259" spans="8:9" x14ac:dyDescent="0.15">
      <c r="H259" s="7" t="s">
        <v>485</v>
      </c>
      <c r="I259" t="s">
        <v>1530</v>
      </c>
    </row>
    <row r="260" spans="8:9" x14ac:dyDescent="0.15">
      <c r="H260" s="7" t="s">
        <v>511</v>
      </c>
      <c r="I260" t="s">
        <v>1489</v>
      </c>
    </row>
    <row r="261" spans="8:9" x14ac:dyDescent="0.15">
      <c r="H261" s="7" t="s">
        <v>508</v>
      </c>
      <c r="I261" t="s">
        <v>1531</v>
      </c>
    </row>
    <row r="262" spans="8:9" x14ac:dyDescent="0.15">
      <c r="H262" s="7" t="s">
        <v>440</v>
      </c>
      <c r="I262" t="s">
        <v>1532</v>
      </c>
    </row>
    <row r="263" spans="8:9" x14ac:dyDescent="0.15">
      <c r="H263" s="7" t="s">
        <v>555</v>
      </c>
      <c r="I263" t="s">
        <v>1533</v>
      </c>
    </row>
    <row r="264" spans="8:9" x14ac:dyDescent="0.15">
      <c r="H264" s="7" t="s">
        <v>516</v>
      </c>
      <c r="I264" t="s">
        <v>1491</v>
      </c>
    </row>
    <row r="265" spans="8:9" x14ac:dyDescent="0.15">
      <c r="H265" s="7" t="s">
        <v>356</v>
      </c>
      <c r="I265" t="s">
        <v>1534</v>
      </c>
    </row>
    <row r="266" spans="8:9" x14ac:dyDescent="0.15">
      <c r="H266" s="7" t="s">
        <v>500</v>
      </c>
      <c r="I266" t="s">
        <v>1535</v>
      </c>
    </row>
    <row r="267" spans="8:9" x14ac:dyDescent="0.15">
      <c r="H267" s="7" t="s">
        <v>359</v>
      </c>
      <c r="I267" t="s">
        <v>1536</v>
      </c>
    </row>
    <row r="268" spans="8:9" x14ac:dyDescent="0.15">
      <c r="H268" s="7" t="s">
        <v>581</v>
      </c>
      <c r="I268" t="s">
        <v>1537</v>
      </c>
    </row>
    <row r="269" spans="8:9" x14ac:dyDescent="0.15">
      <c r="H269" s="7" t="s">
        <v>526</v>
      </c>
      <c r="I269" t="s">
        <v>1538</v>
      </c>
    </row>
    <row r="270" spans="8:9" x14ac:dyDescent="0.15">
      <c r="H270" s="7" t="s">
        <v>502</v>
      </c>
      <c r="I270" t="s">
        <v>1518</v>
      </c>
    </row>
    <row r="271" spans="8:9" x14ac:dyDescent="0.15">
      <c r="H271" s="7" t="s">
        <v>489</v>
      </c>
      <c r="I271" t="s">
        <v>1539</v>
      </c>
    </row>
    <row r="272" spans="8:9" x14ac:dyDescent="0.15">
      <c r="H272" s="7" t="s">
        <v>506</v>
      </c>
      <c r="I272" t="s">
        <v>1540</v>
      </c>
    </row>
    <row r="273" spans="8:9" x14ac:dyDescent="0.15">
      <c r="H273" s="7" t="s">
        <v>554</v>
      </c>
      <c r="I273" t="s">
        <v>1541</v>
      </c>
    </row>
    <row r="274" spans="8:9" x14ac:dyDescent="0.15">
      <c r="H274" s="7" t="s">
        <v>358</v>
      </c>
      <c r="I274" t="s">
        <v>1542</v>
      </c>
    </row>
    <row r="275" spans="8:9" x14ac:dyDescent="0.15">
      <c r="H275" s="7" t="s">
        <v>507</v>
      </c>
      <c r="I275" t="s">
        <v>1543</v>
      </c>
    </row>
    <row r="276" spans="8:9" x14ac:dyDescent="0.15">
      <c r="H276" s="7" t="s">
        <v>559</v>
      </c>
      <c r="I276" t="s">
        <v>1489</v>
      </c>
    </row>
    <row r="277" spans="8:9" x14ac:dyDescent="0.15">
      <c r="H277" s="7" t="s">
        <v>557</v>
      </c>
      <c r="I277" t="s">
        <v>1544</v>
      </c>
    </row>
    <row r="278" spans="8:9" x14ac:dyDescent="0.15">
      <c r="H278" s="7" t="s">
        <v>553</v>
      </c>
      <c r="I278" t="s">
        <v>1497</v>
      </c>
    </row>
    <row r="279" spans="8:9" x14ac:dyDescent="0.15">
      <c r="H279" s="7" t="s">
        <v>513</v>
      </c>
      <c r="I279" t="s">
        <v>1545</v>
      </c>
    </row>
    <row r="280" spans="8:9" x14ac:dyDescent="0.15">
      <c r="H280" s="7" t="s">
        <v>509</v>
      </c>
      <c r="I280" t="s">
        <v>1546</v>
      </c>
    </row>
    <row r="281" spans="8:9" x14ac:dyDescent="0.15">
      <c r="H281" s="7" t="s">
        <v>556</v>
      </c>
      <c r="I281" t="s">
        <v>1547</v>
      </c>
    </row>
    <row r="282" spans="8:9" x14ac:dyDescent="0.15">
      <c r="H282" s="7" t="s">
        <v>491</v>
      </c>
      <c r="I282" t="s">
        <v>1548</v>
      </c>
    </row>
    <row r="283" spans="8:9" x14ac:dyDescent="0.15">
      <c r="H283" s="7" t="s">
        <v>558</v>
      </c>
      <c r="I283" t="s">
        <v>1530</v>
      </c>
    </row>
    <row r="284" spans="8:9" x14ac:dyDescent="0.15">
      <c r="H284" s="7" t="s">
        <v>512</v>
      </c>
      <c r="I284" t="s">
        <v>1523</v>
      </c>
    </row>
    <row r="285" spans="8:9" x14ac:dyDescent="0.15">
      <c r="H285" s="7" t="s">
        <v>515</v>
      </c>
      <c r="I285" t="s">
        <v>1444</v>
      </c>
    </row>
    <row r="286" spans="8:9" x14ac:dyDescent="0.15">
      <c r="H286" s="7" t="s">
        <v>634</v>
      </c>
      <c r="I286" t="s">
        <v>1549</v>
      </c>
    </row>
    <row r="287" spans="8:9" x14ac:dyDescent="0.15">
      <c r="H287" s="7" t="s">
        <v>622</v>
      </c>
      <c r="I287" t="s">
        <v>1494</v>
      </c>
    </row>
    <row r="288" spans="8:9" x14ac:dyDescent="0.15">
      <c r="H288" s="7" t="s">
        <v>552</v>
      </c>
      <c r="I288" t="s">
        <v>1550</v>
      </c>
    </row>
    <row r="289" spans="8:9" x14ac:dyDescent="0.15">
      <c r="H289" s="7" t="s">
        <v>522</v>
      </c>
      <c r="I289" t="s">
        <v>1519</v>
      </c>
    </row>
    <row r="290" spans="8:9" x14ac:dyDescent="0.15">
      <c r="H290" s="7" t="s">
        <v>354</v>
      </c>
      <c r="I290" t="s">
        <v>1519</v>
      </c>
    </row>
    <row r="291" spans="8:9" x14ac:dyDescent="0.15">
      <c r="H291" s="7" t="s">
        <v>713</v>
      </c>
      <c r="I291" t="s">
        <v>1551</v>
      </c>
    </row>
    <row r="292" spans="8:9" x14ac:dyDescent="0.15">
      <c r="H292" s="7" t="s">
        <v>714</v>
      </c>
      <c r="I292" t="s">
        <v>1542</v>
      </c>
    </row>
    <row r="293" spans="8:9" x14ac:dyDescent="0.15">
      <c r="H293" s="7" t="s">
        <v>1418</v>
      </c>
      <c r="I293" t="s">
        <v>1552</v>
      </c>
    </row>
    <row r="294" spans="8:9" x14ac:dyDescent="0.15">
      <c r="H294" s="7" t="s">
        <v>33</v>
      </c>
      <c r="I294" t="s">
        <v>1553</v>
      </c>
    </row>
    <row r="295" spans="8:9" x14ac:dyDescent="0.15">
      <c r="H295" s="7" t="s">
        <v>919</v>
      </c>
      <c r="I295" t="s">
        <v>1553</v>
      </c>
    </row>
    <row r="296" spans="8:9" x14ac:dyDescent="0.15">
      <c r="H296" s="7" t="s">
        <v>35</v>
      </c>
      <c r="I296" t="s">
        <v>1553</v>
      </c>
    </row>
    <row r="297" spans="8:9" x14ac:dyDescent="0.15">
      <c r="H297" s="7" t="s">
        <v>36</v>
      </c>
      <c r="I297" t="s">
        <v>1553</v>
      </c>
    </row>
    <row r="298" spans="8:9" x14ac:dyDescent="0.15">
      <c r="H298" s="7" t="s">
        <v>37</v>
      </c>
      <c r="I298" t="s">
        <v>1553</v>
      </c>
    </row>
    <row r="299" spans="8:9" x14ac:dyDescent="0.15">
      <c r="H299" s="7" t="s">
        <v>38</v>
      </c>
      <c r="I299" t="s">
        <v>1553</v>
      </c>
    </row>
    <row r="300" spans="8:9" x14ac:dyDescent="0.15">
      <c r="H300" s="7" t="s">
        <v>39</v>
      </c>
      <c r="I300" t="s">
        <v>1553</v>
      </c>
    </row>
    <row r="301" spans="8:9" x14ac:dyDescent="0.15">
      <c r="H301" s="7" t="s">
        <v>23</v>
      </c>
      <c r="I301" t="s">
        <v>1553</v>
      </c>
    </row>
    <row r="302" spans="8:9" x14ac:dyDescent="0.15">
      <c r="H302" s="7" t="s">
        <v>40</v>
      </c>
      <c r="I302" t="s">
        <v>1554</v>
      </c>
    </row>
    <row r="303" spans="8:9" x14ac:dyDescent="0.15">
      <c r="H303" s="7" t="s">
        <v>41</v>
      </c>
      <c r="I303" t="s">
        <v>1553</v>
      </c>
    </row>
    <row r="304" spans="8:9" x14ac:dyDescent="0.15">
      <c r="H304" s="7" t="s">
        <v>42</v>
      </c>
      <c r="I304" t="s">
        <v>1554</v>
      </c>
    </row>
    <row r="305" spans="8:9" x14ac:dyDescent="0.15">
      <c r="H305" s="7" t="s">
        <v>53</v>
      </c>
      <c r="I305" t="s">
        <v>1553</v>
      </c>
    </row>
    <row r="306" spans="8:9" x14ac:dyDescent="0.15">
      <c r="H306" s="7" t="s">
        <v>54</v>
      </c>
      <c r="I306" t="s">
        <v>1553</v>
      </c>
    </row>
    <row r="307" spans="8:9" x14ac:dyDescent="0.15">
      <c r="H307" s="7" t="s">
        <v>44</v>
      </c>
      <c r="I307" t="s">
        <v>1553</v>
      </c>
    </row>
    <row r="308" spans="8:9" x14ac:dyDescent="0.15">
      <c r="H308" s="7" t="s">
        <v>25</v>
      </c>
      <c r="I308" t="s">
        <v>1553</v>
      </c>
    </row>
    <row r="309" spans="8:9" x14ac:dyDescent="0.15">
      <c r="H309" s="7" t="s">
        <v>45</v>
      </c>
      <c r="I309" t="s">
        <v>1553</v>
      </c>
    </row>
    <row r="310" spans="8:9" x14ac:dyDescent="0.15">
      <c r="H310" s="7" t="s">
        <v>22</v>
      </c>
      <c r="I310" t="s">
        <v>1553</v>
      </c>
    </row>
    <row r="311" spans="8:9" x14ac:dyDescent="0.15">
      <c r="H311" s="7" t="s">
        <v>43</v>
      </c>
      <c r="I311" t="s">
        <v>1553</v>
      </c>
    </row>
    <row r="312" spans="8:9" x14ac:dyDescent="0.15">
      <c r="H312" s="7" t="s">
        <v>1419</v>
      </c>
      <c r="I312" t="s">
        <v>1422</v>
      </c>
    </row>
    <row r="313" spans="8:9" x14ac:dyDescent="0.15">
      <c r="H313" s="7" t="s">
        <v>50</v>
      </c>
      <c r="I313" t="s">
        <v>1553</v>
      </c>
    </row>
    <row r="314" spans="8:9" x14ac:dyDescent="0.15">
      <c r="H314" s="7" t="s">
        <v>24</v>
      </c>
      <c r="I314" t="s">
        <v>1554</v>
      </c>
    </row>
    <row r="315" spans="8:9" x14ac:dyDescent="0.15">
      <c r="H315" s="7" t="s">
        <v>51</v>
      </c>
      <c r="I315" t="s">
        <v>1554</v>
      </c>
    </row>
    <row r="316" spans="8:9" x14ac:dyDescent="0.15">
      <c r="H316" s="7" t="s">
        <v>52</v>
      </c>
      <c r="I316" t="s">
        <v>1554</v>
      </c>
    </row>
    <row r="317" spans="8:9" x14ac:dyDescent="0.15">
      <c r="H317" s="7" t="s">
        <v>46</v>
      </c>
      <c r="I317" t="s">
        <v>1554</v>
      </c>
    </row>
    <row r="318" spans="8:9" x14ac:dyDescent="0.15">
      <c r="H318" s="7" t="s">
        <v>47</v>
      </c>
      <c r="I318" t="s">
        <v>1554</v>
      </c>
    </row>
    <row r="319" spans="8:9" x14ac:dyDescent="0.15">
      <c r="H319" s="7" t="s">
        <v>48</v>
      </c>
      <c r="I319" t="s">
        <v>1545</v>
      </c>
    </row>
    <row r="320" spans="8:9" x14ac:dyDescent="0.15">
      <c r="H320" s="7" t="s">
        <v>49</v>
      </c>
      <c r="I320" t="s">
        <v>1553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S139"/>
  <sheetViews>
    <sheetView workbookViewId="0">
      <selection activeCell="R47" sqref="R47:R57"/>
    </sheetView>
  </sheetViews>
  <sheetFormatPr defaultRowHeight="13.5" x14ac:dyDescent="0.15"/>
  <cols>
    <col min="9" max="9" width="11" style="34" customWidth="1"/>
  </cols>
  <sheetData>
    <row r="1" spans="9:9" x14ac:dyDescent="0.15">
      <c r="I1" s="34" t="s">
        <v>122</v>
      </c>
    </row>
    <row r="2" spans="9:9" x14ac:dyDescent="0.15">
      <c r="I2" s="34" t="s">
        <v>121</v>
      </c>
    </row>
    <row r="3" spans="9:9" x14ac:dyDescent="0.15">
      <c r="I3" s="34" t="s">
        <v>123</v>
      </c>
    </row>
    <row r="4" spans="9:9" x14ac:dyDescent="0.15">
      <c r="I4" s="34" t="s">
        <v>921</v>
      </c>
    </row>
    <row r="5" spans="9:9" x14ac:dyDescent="0.15">
      <c r="I5" s="34" t="s">
        <v>124</v>
      </c>
    </row>
    <row r="6" spans="9:9" x14ac:dyDescent="0.15">
      <c r="I6" s="34" t="s">
        <v>125</v>
      </c>
    </row>
    <row r="7" spans="9:9" x14ac:dyDescent="0.15">
      <c r="I7" s="34" t="s">
        <v>126</v>
      </c>
    </row>
    <row r="8" spans="9:9" x14ac:dyDescent="0.15">
      <c r="I8" s="34" t="s">
        <v>127</v>
      </c>
    </row>
    <row r="9" spans="9:9" x14ac:dyDescent="0.15">
      <c r="I9" s="34" t="s">
        <v>128</v>
      </c>
    </row>
    <row r="10" spans="9:9" x14ac:dyDescent="0.15">
      <c r="I10" s="34" t="s">
        <v>129</v>
      </c>
    </row>
    <row r="11" spans="9:9" x14ac:dyDescent="0.15">
      <c r="I11" s="34" t="s">
        <v>130</v>
      </c>
    </row>
    <row r="12" spans="9:9" x14ac:dyDescent="0.15">
      <c r="I12" s="34" t="s">
        <v>131</v>
      </c>
    </row>
    <row r="13" spans="9:9" x14ac:dyDescent="0.15">
      <c r="I13" s="34" t="s">
        <v>132</v>
      </c>
    </row>
    <row r="14" spans="9:9" x14ac:dyDescent="0.15">
      <c r="I14" s="34" t="s">
        <v>133</v>
      </c>
    </row>
    <row r="15" spans="9:9" x14ac:dyDescent="0.15">
      <c r="I15" s="34" t="s">
        <v>134</v>
      </c>
    </row>
    <row r="16" spans="9:9" x14ac:dyDescent="0.15">
      <c r="I16" s="34" t="s">
        <v>955</v>
      </c>
    </row>
    <row r="17" spans="9:19" x14ac:dyDescent="0.15">
      <c r="I17" s="34" t="s">
        <v>136</v>
      </c>
    </row>
    <row r="18" spans="9:19" x14ac:dyDescent="0.15">
      <c r="I18" s="34" t="s">
        <v>137</v>
      </c>
    </row>
    <row r="19" spans="9:19" x14ac:dyDescent="0.15">
      <c r="I19" s="34" t="s">
        <v>138</v>
      </c>
    </row>
    <row r="20" spans="9:19" x14ac:dyDescent="0.15">
      <c r="I20" s="34" t="s">
        <v>139</v>
      </c>
    </row>
    <row r="21" spans="9:19" x14ac:dyDescent="0.15">
      <c r="I21" s="34" t="s">
        <v>140</v>
      </c>
    </row>
    <row r="22" spans="9:19" x14ac:dyDescent="0.15">
      <c r="I22" s="34" t="s">
        <v>141</v>
      </c>
    </row>
    <row r="23" spans="9:19" x14ac:dyDescent="0.15">
      <c r="I23" s="34" t="s">
        <v>142</v>
      </c>
    </row>
    <row r="24" spans="9:19" x14ac:dyDescent="0.15">
      <c r="I24" s="34" t="s">
        <v>192</v>
      </c>
    </row>
    <row r="25" spans="9:19" x14ac:dyDescent="0.15">
      <c r="I25" s="34" t="s">
        <v>143</v>
      </c>
    </row>
    <row r="26" spans="9:19" x14ac:dyDescent="0.15">
      <c r="I26" s="34" t="s">
        <v>920</v>
      </c>
    </row>
    <row r="27" spans="9:19" x14ac:dyDescent="0.15">
      <c r="I27" s="34" t="s">
        <v>956</v>
      </c>
    </row>
    <row r="28" spans="9:19" x14ac:dyDescent="0.15">
      <c r="I28" s="34" t="s">
        <v>146</v>
      </c>
    </row>
    <row r="29" spans="9:19" x14ac:dyDescent="0.15">
      <c r="I29" s="34" t="s">
        <v>147</v>
      </c>
    </row>
    <row r="30" spans="9:19" x14ac:dyDescent="0.15">
      <c r="I30" s="34" t="s">
        <v>148</v>
      </c>
    </row>
    <row r="31" spans="9:19" x14ac:dyDescent="0.15">
      <c r="I31" s="34" t="s">
        <v>149</v>
      </c>
    </row>
    <row r="32" spans="9:19" x14ac:dyDescent="0.15">
      <c r="I32" s="34" t="s">
        <v>150</v>
      </c>
      <c r="R32" t="s">
        <v>623</v>
      </c>
      <c r="S32" t="s">
        <v>1275</v>
      </c>
    </row>
    <row r="33" spans="9:19" x14ac:dyDescent="0.15">
      <c r="I33" s="34" t="s">
        <v>151</v>
      </c>
      <c r="R33" t="s">
        <v>624</v>
      </c>
      <c r="S33" t="s">
        <v>1276</v>
      </c>
    </row>
    <row r="34" spans="9:19" x14ac:dyDescent="0.15">
      <c r="I34" s="34" t="s">
        <v>152</v>
      </c>
      <c r="R34" t="s">
        <v>625</v>
      </c>
      <c r="S34" t="s">
        <v>1277</v>
      </c>
    </row>
    <row r="35" spans="9:19" x14ac:dyDescent="0.15">
      <c r="R35" t="s">
        <v>626</v>
      </c>
      <c r="S35" t="s">
        <v>1267</v>
      </c>
    </row>
    <row r="36" spans="9:19" x14ac:dyDescent="0.15">
      <c r="R36" t="s">
        <v>627</v>
      </c>
      <c r="S36" t="s">
        <v>1268</v>
      </c>
    </row>
    <row r="37" spans="9:19" x14ac:dyDescent="0.15">
      <c r="R37" t="s">
        <v>628</v>
      </c>
      <c r="S37" t="s">
        <v>1269</v>
      </c>
    </row>
    <row r="38" spans="9:19" x14ac:dyDescent="0.15">
      <c r="R38" t="s">
        <v>629</v>
      </c>
      <c r="S38" t="s">
        <v>1270</v>
      </c>
    </row>
    <row r="39" spans="9:19" x14ac:dyDescent="0.15">
      <c r="R39" t="s">
        <v>630</v>
      </c>
      <c r="S39" t="s">
        <v>1271</v>
      </c>
    </row>
    <row r="40" spans="9:19" x14ac:dyDescent="0.15">
      <c r="R40" t="s">
        <v>631</v>
      </c>
      <c r="S40" t="s">
        <v>1272</v>
      </c>
    </row>
    <row r="41" spans="9:19" x14ac:dyDescent="0.15">
      <c r="R41" t="s">
        <v>632</v>
      </c>
      <c r="S41" t="s">
        <v>1273</v>
      </c>
    </row>
    <row r="42" spans="9:19" x14ac:dyDescent="0.15">
      <c r="R42" t="s">
        <v>633</v>
      </c>
      <c r="S42" t="s">
        <v>1274</v>
      </c>
    </row>
    <row r="47" spans="9:19" x14ac:dyDescent="0.15">
      <c r="Q47" t="s">
        <v>623</v>
      </c>
      <c r="R47" t="s">
        <v>1279</v>
      </c>
    </row>
    <row r="48" spans="9:19" ht="17.25" x14ac:dyDescent="0.15">
      <c r="I48" s="49" t="s">
        <v>187</v>
      </c>
      <c r="J48" t="s">
        <v>1175</v>
      </c>
      <c r="Q48" t="s">
        <v>624</v>
      </c>
      <c r="R48" t="s">
        <v>1281</v>
      </c>
    </row>
    <row r="49" spans="9:18" ht="17.25" x14ac:dyDescent="0.15">
      <c r="I49" s="49" t="s">
        <v>188</v>
      </c>
      <c r="J49" t="s">
        <v>1176</v>
      </c>
      <c r="Q49" t="s">
        <v>625</v>
      </c>
      <c r="R49" t="s">
        <v>1283</v>
      </c>
    </row>
    <row r="50" spans="9:18" ht="17.25" x14ac:dyDescent="0.15">
      <c r="I50" s="49" t="s">
        <v>189</v>
      </c>
      <c r="J50" t="s">
        <v>1177</v>
      </c>
      <c r="Q50" t="s">
        <v>626</v>
      </c>
      <c r="R50" t="s">
        <v>1285</v>
      </c>
    </row>
    <row r="51" spans="9:18" ht="17.25" x14ac:dyDescent="0.15">
      <c r="I51" s="49" t="s">
        <v>856</v>
      </c>
      <c r="J51" t="s">
        <v>1178</v>
      </c>
      <c r="Q51" t="s">
        <v>627</v>
      </c>
      <c r="R51" t="s">
        <v>1287</v>
      </c>
    </row>
    <row r="52" spans="9:18" ht="17.25" x14ac:dyDescent="0.15">
      <c r="I52" s="49" t="s">
        <v>193</v>
      </c>
      <c r="J52" t="s">
        <v>1179</v>
      </c>
      <c r="Q52" t="s">
        <v>628</v>
      </c>
      <c r="R52" t="s">
        <v>1289</v>
      </c>
    </row>
    <row r="53" spans="9:18" ht="17.25" x14ac:dyDescent="0.15">
      <c r="I53" s="49" t="s">
        <v>162</v>
      </c>
      <c r="J53" t="s">
        <v>1180</v>
      </c>
      <c r="Q53" t="s">
        <v>629</v>
      </c>
      <c r="R53" t="s">
        <v>1291</v>
      </c>
    </row>
    <row r="54" spans="9:18" ht="17.25" x14ac:dyDescent="0.15">
      <c r="I54" s="49" t="s">
        <v>159</v>
      </c>
      <c r="J54" t="s">
        <v>1181</v>
      </c>
      <c r="Q54" t="s">
        <v>630</v>
      </c>
      <c r="R54" t="s">
        <v>1293</v>
      </c>
    </row>
    <row r="55" spans="9:18" ht="17.25" x14ac:dyDescent="0.15">
      <c r="I55" s="49" t="s">
        <v>161</v>
      </c>
      <c r="J55" t="s">
        <v>1182</v>
      </c>
      <c r="Q55" t="s">
        <v>631</v>
      </c>
      <c r="R55" t="s">
        <v>1295</v>
      </c>
    </row>
    <row r="56" spans="9:18" ht="17.25" x14ac:dyDescent="0.15">
      <c r="I56" s="49" t="s">
        <v>174</v>
      </c>
      <c r="J56" t="s">
        <v>1183</v>
      </c>
      <c r="Q56" t="s">
        <v>632</v>
      </c>
      <c r="R56" t="s">
        <v>1297</v>
      </c>
    </row>
    <row r="57" spans="9:18" ht="17.25" x14ac:dyDescent="0.15">
      <c r="I57" s="49" t="s">
        <v>178</v>
      </c>
      <c r="J57" t="s">
        <v>1184</v>
      </c>
      <c r="Q57" t="s">
        <v>633</v>
      </c>
      <c r="R57" t="s">
        <v>1299</v>
      </c>
    </row>
    <row r="58" spans="9:18" ht="17.25" x14ac:dyDescent="0.15">
      <c r="I58" s="49" t="s">
        <v>250</v>
      </c>
      <c r="J58" t="s">
        <v>1185</v>
      </c>
    </row>
    <row r="59" spans="9:18" ht="17.25" x14ac:dyDescent="0.15">
      <c r="I59" s="49" t="s">
        <v>205</v>
      </c>
      <c r="J59" t="s">
        <v>1186</v>
      </c>
    </row>
    <row r="60" spans="9:18" ht="17.25" x14ac:dyDescent="0.15">
      <c r="I60" s="49" t="s">
        <v>794</v>
      </c>
      <c r="J60" t="s">
        <v>1187</v>
      </c>
    </row>
    <row r="61" spans="9:18" ht="17.25" x14ac:dyDescent="0.15">
      <c r="I61" s="49" t="s">
        <v>163</v>
      </c>
      <c r="J61" t="s">
        <v>1188</v>
      </c>
    </row>
    <row r="62" spans="9:18" ht="17.25" x14ac:dyDescent="0.15">
      <c r="I62" s="49" t="s">
        <v>184</v>
      </c>
      <c r="J62" t="s">
        <v>1189</v>
      </c>
    </row>
    <row r="63" spans="9:18" ht="17.25" x14ac:dyDescent="0.15">
      <c r="I63" s="49" t="s">
        <v>166</v>
      </c>
      <c r="J63" t="s">
        <v>1190</v>
      </c>
    </row>
    <row r="64" spans="9:18" ht="17.25" x14ac:dyDescent="0.15">
      <c r="I64" s="49" t="s">
        <v>182</v>
      </c>
      <c r="J64" t="s">
        <v>1191</v>
      </c>
    </row>
    <row r="65" spans="9:10" ht="17.25" x14ac:dyDescent="0.15">
      <c r="I65" s="49" t="s">
        <v>194</v>
      </c>
      <c r="J65" t="s">
        <v>1192</v>
      </c>
    </row>
    <row r="66" spans="9:10" ht="17.25" x14ac:dyDescent="0.15">
      <c r="I66" s="49" t="s">
        <v>195</v>
      </c>
      <c r="J66" t="s">
        <v>1193</v>
      </c>
    </row>
    <row r="67" spans="9:10" ht="17.25" x14ac:dyDescent="0.15">
      <c r="I67" s="49" t="s">
        <v>165</v>
      </c>
      <c r="J67" t="s">
        <v>1194</v>
      </c>
    </row>
    <row r="68" spans="9:10" ht="17.25" x14ac:dyDescent="0.15">
      <c r="I68" s="49" t="s">
        <v>167</v>
      </c>
      <c r="J68" t="s">
        <v>1195</v>
      </c>
    </row>
    <row r="69" spans="9:10" ht="17.25" x14ac:dyDescent="0.15">
      <c r="I69" s="49" t="s">
        <v>196</v>
      </c>
      <c r="J69" t="s">
        <v>1196</v>
      </c>
    </row>
    <row r="70" spans="9:10" ht="17.25" x14ac:dyDescent="0.15">
      <c r="I70" s="49" t="s">
        <v>164</v>
      </c>
      <c r="J70" t="s">
        <v>1197</v>
      </c>
    </row>
    <row r="71" spans="9:10" ht="17.25" x14ac:dyDescent="0.15">
      <c r="I71" s="49" t="s">
        <v>197</v>
      </c>
      <c r="J71" t="s">
        <v>1198</v>
      </c>
    </row>
    <row r="72" spans="9:10" ht="17.25" x14ac:dyDescent="0.15">
      <c r="I72" s="49" t="s">
        <v>795</v>
      </c>
      <c r="J72" t="s">
        <v>1199</v>
      </c>
    </row>
    <row r="73" spans="9:10" ht="17.25" x14ac:dyDescent="0.15">
      <c r="I73" s="49" t="s">
        <v>198</v>
      </c>
      <c r="J73" t="s">
        <v>1200</v>
      </c>
    </row>
    <row r="74" spans="9:10" ht="17.25" x14ac:dyDescent="0.15">
      <c r="I74" s="49" t="s">
        <v>171</v>
      </c>
      <c r="J74" t="s">
        <v>1201</v>
      </c>
    </row>
    <row r="75" spans="9:10" ht="17.25" x14ac:dyDescent="0.15">
      <c r="I75" s="49" t="s">
        <v>199</v>
      </c>
      <c r="J75" t="s">
        <v>1202</v>
      </c>
    </row>
    <row r="76" spans="9:10" ht="17.25" x14ac:dyDescent="0.15">
      <c r="I76" s="49" t="s">
        <v>200</v>
      </c>
      <c r="J76" t="s">
        <v>1203</v>
      </c>
    </row>
    <row r="77" spans="9:10" ht="17.25" x14ac:dyDescent="0.15">
      <c r="I77" s="49" t="s">
        <v>170</v>
      </c>
      <c r="J77" t="s">
        <v>1204</v>
      </c>
    </row>
    <row r="78" spans="9:10" ht="17.25" x14ac:dyDescent="0.15">
      <c r="I78" s="49" t="s">
        <v>201</v>
      </c>
      <c r="J78" t="s">
        <v>1205</v>
      </c>
    </row>
    <row r="79" spans="9:10" ht="17.25" x14ac:dyDescent="0.15">
      <c r="I79" s="49" t="s">
        <v>172</v>
      </c>
      <c r="J79" t="s">
        <v>1206</v>
      </c>
    </row>
    <row r="80" spans="9:10" ht="17.25" x14ac:dyDescent="0.15">
      <c r="I80" s="49" t="s">
        <v>202</v>
      </c>
      <c r="J80" t="s">
        <v>1207</v>
      </c>
    </row>
    <row r="81" spans="9:10" ht="17.25" x14ac:dyDescent="0.15">
      <c r="I81" s="49" t="s">
        <v>185</v>
      </c>
      <c r="J81" t="s">
        <v>1208</v>
      </c>
    </row>
    <row r="82" spans="9:10" ht="17.25" x14ac:dyDescent="0.15">
      <c r="I82" s="49" t="s">
        <v>168</v>
      </c>
      <c r="J82" t="s">
        <v>1209</v>
      </c>
    </row>
    <row r="83" spans="9:10" ht="17.25" x14ac:dyDescent="0.15">
      <c r="I83" s="49" t="s">
        <v>175</v>
      </c>
      <c r="J83" t="s">
        <v>1210</v>
      </c>
    </row>
    <row r="84" spans="9:10" ht="17.25" x14ac:dyDescent="0.15">
      <c r="I84" s="49" t="s">
        <v>177</v>
      </c>
      <c r="J84" t="s">
        <v>1211</v>
      </c>
    </row>
    <row r="85" spans="9:10" ht="17.25" x14ac:dyDescent="0.15">
      <c r="I85" s="49" t="s">
        <v>179</v>
      </c>
      <c r="J85" t="s">
        <v>1212</v>
      </c>
    </row>
    <row r="86" spans="9:10" ht="17.25" x14ac:dyDescent="0.15">
      <c r="I86" s="49" t="s">
        <v>180</v>
      </c>
      <c r="J86" t="s">
        <v>1213</v>
      </c>
    </row>
    <row r="87" spans="9:10" ht="17.25" x14ac:dyDescent="0.15">
      <c r="I87" s="49" t="s">
        <v>203</v>
      </c>
      <c r="J87" t="s">
        <v>1214</v>
      </c>
    </row>
    <row r="88" spans="9:10" ht="17.25" x14ac:dyDescent="0.15">
      <c r="I88" s="49" t="s">
        <v>204</v>
      </c>
      <c r="J88" t="s">
        <v>1215</v>
      </c>
    </row>
    <row r="89" spans="9:10" ht="17.25" x14ac:dyDescent="0.15">
      <c r="I89" s="49" t="s">
        <v>181</v>
      </c>
      <c r="J89" t="s">
        <v>1216</v>
      </c>
    </row>
    <row r="90" spans="9:10" ht="17.25" x14ac:dyDescent="0.15">
      <c r="I90" s="49" t="s">
        <v>206</v>
      </c>
      <c r="J90" t="s">
        <v>1217</v>
      </c>
    </row>
    <row r="91" spans="9:10" ht="17.25" x14ac:dyDescent="0.15">
      <c r="I91" s="49" t="s">
        <v>207</v>
      </c>
      <c r="J91" t="s">
        <v>1218</v>
      </c>
    </row>
    <row r="92" spans="9:10" ht="17.25" x14ac:dyDescent="0.15">
      <c r="I92" s="49" t="s">
        <v>183</v>
      </c>
      <c r="J92" t="s">
        <v>1219</v>
      </c>
    </row>
    <row r="93" spans="9:10" ht="17.25" x14ac:dyDescent="0.15">
      <c r="I93" s="49" t="s">
        <v>208</v>
      </c>
      <c r="J93" t="s">
        <v>1220</v>
      </c>
    </row>
    <row r="94" spans="9:10" ht="17.25" x14ac:dyDescent="0.15">
      <c r="I94" s="49" t="s">
        <v>209</v>
      </c>
      <c r="J94" t="s">
        <v>1221</v>
      </c>
    </row>
    <row r="95" spans="9:10" ht="17.25" x14ac:dyDescent="0.15">
      <c r="I95" s="49" t="s">
        <v>210</v>
      </c>
      <c r="J95" t="s">
        <v>1222</v>
      </c>
    </row>
    <row r="96" spans="9:10" ht="17.25" x14ac:dyDescent="0.15">
      <c r="I96" s="49" t="s">
        <v>169</v>
      </c>
      <c r="J96" t="s">
        <v>1223</v>
      </c>
    </row>
    <row r="97" spans="9:10" ht="17.25" x14ac:dyDescent="0.15">
      <c r="I97" s="49" t="s">
        <v>211</v>
      </c>
      <c r="J97" t="s">
        <v>1224</v>
      </c>
    </row>
    <row r="98" spans="9:10" ht="17.25" x14ac:dyDescent="0.15">
      <c r="I98" s="49" t="s">
        <v>212</v>
      </c>
      <c r="J98" t="s">
        <v>1225</v>
      </c>
    </row>
    <row r="99" spans="9:10" ht="17.25" x14ac:dyDescent="0.15">
      <c r="I99" s="49" t="s">
        <v>213</v>
      </c>
      <c r="J99" t="s">
        <v>1226</v>
      </c>
    </row>
    <row r="100" spans="9:10" ht="17.25" x14ac:dyDescent="0.15">
      <c r="I100" s="49" t="s">
        <v>214</v>
      </c>
      <c r="J100" t="s">
        <v>1227</v>
      </c>
    </row>
    <row r="101" spans="9:10" ht="17.25" x14ac:dyDescent="0.15">
      <c r="I101" s="49" t="s">
        <v>215</v>
      </c>
      <c r="J101" t="s">
        <v>1228</v>
      </c>
    </row>
    <row r="102" spans="9:10" ht="17.25" x14ac:dyDescent="0.15">
      <c r="I102" s="49" t="s">
        <v>176</v>
      </c>
      <c r="J102" t="s">
        <v>1229</v>
      </c>
    </row>
    <row r="103" spans="9:10" ht="17.25" x14ac:dyDescent="0.15">
      <c r="I103" s="49" t="s">
        <v>186</v>
      </c>
      <c r="J103" t="s">
        <v>1230</v>
      </c>
    </row>
    <row r="104" spans="9:10" ht="17.25" x14ac:dyDescent="0.15">
      <c r="I104" s="49" t="s">
        <v>173</v>
      </c>
      <c r="J104" t="s">
        <v>1231</v>
      </c>
    </row>
    <row r="105" spans="9:10" ht="17.25" x14ac:dyDescent="0.15">
      <c r="I105" s="49" t="s">
        <v>216</v>
      </c>
      <c r="J105" t="s">
        <v>1232</v>
      </c>
    </row>
    <row r="106" spans="9:10" ht="17.25" x14ac:dyDescent="0.15">
      <c r="I106" s="49" t="s">
        <v>217</v>
      </c>
      <c r="J106" t="s">
        <v>1233</v>
      </c>
    </row>
    <row r="107" spans="9:10" ht="17.25" x14ac:dyDescent="0.15">
      <c r="I107" s="49" t="s">
        <v>218</v>
      </c>
      <c r="J107" t="s">
        <v>1234</v>
      </c>
    </row>
    <row r="108" spans="9:10" ht="17.25" x14ac:dyDescent="0.15">
      <c r="I108" s="49" t="s">
        <v>219</v>
      </c>
      <c r="J108" t="s">
        <v>1235</v>
      </c>
    </row>
    <row r="109" spans="9:10" ht="17.25" x14ac:dyDescent="0.15">
      <c r="I109" s="49" t="s">
        <v>796</v>
      </c>
      <c r="J109" t="s">
        <v>1236</v>
      </c>
    </row>
    <row r="110" spans="9:10" ht="17.25" x14ac:dyDescent="0.15">
      <c r="I110" s="49" t="s">
        <v>220</v>
      </c>
      <c r="J110" t="s">
        <v>1237</v>
      </c>
    </row>
    <row r="111" spans="9:10" ht="17.25" x14ac:dyDescent="0.15">
      <c r="I111" s="49" t="s">
        <v>221</v>
      </c>
      <c r="J111" t="s">
        <v>1238</v>
      </c>
    </row>
    <row r="112" spans="9:10" ht="17.25" x14ac:dyDescent="0.15">
      <c r="I112" s="49" t="s">
        <v>222</v>
      </c>
      <c r="J112" t="s">
        <v>1239</v>
      </c>
    </row>
    <row r="113" spans="9:10" ht="17.25" x14ac:dyDescent="0.15">
      <c r="I113" s="49" t="s">
        <v>223</v>
      </c>
      <c r="J113" t="s">
        <v>1240</v>
      </c>
    </row>
    <row r="114" spans="9:10" ht="17.25" x14ac:dyDescent="0.15">
      <c r="I114" s="49" t="s">
        <v>224</v>
      </c>
      <c r="J114" t="s">
        <v>1241</v>
      </c>
    </row>
    <row r="115" spans="9:10" ht="17.25" x14ac:dyDescent="0.15">
      <c r="I115" s="49" t="s">
        <v>225</v>
      </c>
      <c r="J115" t="s">
        <v>1242</v>
      </c>
    </row>
    <row r="116" spans="9:10" ht="17.25" x14ac:dyDescent="0.15">
      <c r="I116" s="49" t="s">
        <v>226</v>
      </c>
      <c r="J116" t="s">
        <v>1243</v>
      </c>
    </row>
    <row r="117" spans="9:10" ht="17.25" x14ac:dyDescent="0.15">
      <c r="I117" s="49" t="s">
        <v>227</v>
      </c>
      <c r="J117" t="s">
        <v>1244</v>
      </c>
    </row>
    <row r="118" spans="9:10" ht="17.25" x14ac:dyDescent="0.15">
      <c r="I118" s="49" t="s">
        <v>228</v>
      </c>
      <c r="J118" t="s">
        <v>1245</v>
      </c>
    </row>
    <row r="119" spans="9:10" ht="17.25" x14ac:dyDescent="0.15">
      <c r="I119" s="49" t="s">
        <v>229</v>
      </c>
      <c r="J119" t="s">
        <v>1246</v>
      </c>
    </row>
    <row r="120" spans="9:10" ht="17.25" x14ac:dyDescent="0.15">
      <c r="I120" s="49" t="s">
        <v>230</v>
      </c>
      <c r="J120" t="s">
        <v>1247</v>
      </c>
    </row>
    <row r="121" spans="9:10" ht="17.25" x14ac:dyDescent="0.15">
      <c r="I121" s="49" t="s">
        <v>231</v>
      </c>
      <c r="J121" t="s">
        <v>1248</v>
      </c>
    </row>
    <row r="122" spans="9:10" ht="17.25" x14ac:dyDescent="0.15">
      <c r="I122" s="49" t="s">
        <v>232</v>
      </c>
      <c r="J122" t="s">
        <v>1249</v>
      </c>
    </row>
    <row r="123" spans="9:10" ht="17.25" x14ac:dyDescent="0.15">
      <c r="I123" s="49" t="s">
        <v>233</v>
      </c>
      <c r="J123" t="s">
        <v>1250</v>
      </c>
    </row>
    <row r="124" spans="9:10" ht="17.25" x14ac:dyDescent="0.15">
      <c r="I124" s="49" t="s">
        <v>234</v>
      </c>
      <c r="J124" t="s">
        <v>1251</v>
      </c>
    </row>
    <row r="125" spans="9:10" ht="17.25" x14ac:dyDescent="0.15">
      <c r="I125" s="49" t="s">
        <v>235</v>
      </c>
      <c r="J125" t="s">
        <v>1252</v>
      </c>
    </row>
    <row r="126" spans="9:10" ht="17.25" x14ac:dyDescent="0.15">
      <c r="I126" s="49" t="s">
        <v>236</v>
      </c>
      <c r="J126" t="s">
        <v>1253</v>
      </c>
    </row>
    <row r="127" spans="9:10" ht="17.25" x14ac:dyDescent="0.15">
      <c r="I127" s="49" t="s">
        <v>237</v>
      </c>
      <c r="J127" t="s">
        <v>1254</v>
      </c>
    </row>
    <row r="128" spans="9:10" ht="17.25" x14ac:dyDescent="0.15">
      <c r="I128" s="49" t="s">
        <v>238</v>
      </c>
      <c r="J128" t="s">
        <v>1255</v>
      </c>
    </row>
    <row r="129" spans="9:10" ht="17.25" x14ac:dyDescent="0.15">
      <c r="I129" s="49" t="s">
        <v>239</v>
      </c>
      <c r="J129" t="s">
        <v>1256</v>
      </c>
    </row>
    <row r="130" spans="9:10" ht="17.25" x14ac:dyDescent="0.15">
      <c r="I130" s="49" t="s">
        <v>240</v>
      </c>
      <c r="J130" t="s">
        <v>1257</v>
      </c>
    </row>
    <row r="131" spans="9:10" ht="17.25" x14ac:dyDescent="0.15">
      <c r="I131" s="49" t="s">
        <v>241</v>
      </c>
      <c r="J131" t="s">
        <v>1258</v>
      </c>
    </row>
    <row r="132" spans="9:10" ht="17.25" x14ac:dyDescent="0.15">
      <c r="I132" s="49" t="s">
        <v>242</v>
      </c>
      <c r="J132" t="s">
        <v>1259</v>
      </c>
    </row>
    <row r="133" spans="9:10" ht="17.25" x14ac:dyDescent="0.15">
      <c r="I133" s="49" t="s">
        <v>243</v>
      </c>
      <c r="J133" t="s">
        <v>1260</v>
      </c>
    </row>
    <row r="134" spans="9:10" ht="17.25" x14ac:dyDescent="0.15">
      <c r="I134" s="49" t="s">
        <v>244</v>
      </c>
      <c r="J134" t="s">
        <v>1261</v>
      </c>
    </row>
    <row r="135" spans="9:10" ht="17.25" x14ac:dyDescent="0.15">
      <c r="I135" s="49" t="s">
        <v>245</v>
      </c>
      <c r="J135" t="s">
        <v>1262</v>
      </c>
    </row>
    <row r="136" spans="9:10" ht="17.25" x14ac:dyDescent="0.15">
      <c r="I136" s="49" t="s">
        <v>246</v>
      </c>
      <c r="J136" t="s">
        <v>1263</v>
      </c>
    </row>
    <row r="137" spans="9:10" ht="17.25" x14ac:dyDescent="0.15">
      <c r="I137" s="49" t="s">
        <v>247</v>
      </c>
      <c r="J137" t="s">
        <v>1264</v>
      </c>
    </row>
    <row r="138" spans="9:10" ht="17.25" x14ac:dyDescent="0.15">
      <c r="I138" s="49" t="s">
        <v>248</v>
      </c>
      <c r="J138" t="s">
        <v>1265</v>
      </c>
    </row>
    <row r="139" spans="9:10" ht="17.25" x14ac:dyDescent="0.15">
      <c r="I139" s="49" t="s">
        <v>797</v>
      </c>
      <c r="J139" t="s">
        <v>1266</v>
      </c>
    </row>
  </sheetData>
  <autoFilter ref="Q47:Q57"/>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145"/>
  <sheetViews>
    <sheetView topLeftCell="A55" workbookViewId="0">
      <selection activeCell="K65" sqref="K65"/>
    </sheetView>
  </sheetViews>
  <sheetFormatPr defaultRowHeight="13.5" x14ac:dyDescent="0.15"/>
  <cols>
    <col min="5" max="5" width="10.75" customWidth="1"/>
    <col min="11" max="11" width="15" customWidth="1"/>
    <col min="12" max="12" width="12.125" style="34" customWidth="1"/>
    <col min="13" max="14" width="11.25" style="16" customWidth="1"/>
    <col min="15" max="17" width="9" style="16"/>
    <col min="18" max="18" width="9" style="34"/>
  </cols>
  <sheetData>
    <row r="2" spans="2:24" x14ac:dyDescent="0.15">
      <c r="D2" s="34"/>
    </row>
    <row r="3" spans="2:24" x14ac:dyDescent="0.15">
      <c r="D3" s="34"/>
    </row>
    <row r="4" spans="2:24" x14ac:dyDescent="0.15">
      <c r="D4" s="34"/>
    </row>
    <row r="5" spans="2:24" x14ac:dyDescent="0.15">
      <c r="D5" s="34" t="s">
        <v>823</v>
      </c>
      <c r="E5">
        <v>322</v>
      </c>
      <c r="X5" s="12"/>
    </row>
    <row r="6" spans="2:24" x14ac:dyDescent="0.15">
      <c r="B6" s="3">
        <v>1600</v>
      </c>
      <c r="C6" s="1" t="s">
        <v>330</v>
      </c>
      <c r="D6" s="1">
        <f>VLOOKUP(C6,装备!$B$2:$J$60,9,FALSE)*0.75</f>
        <v>7.5</v>
      </c>
      <c r="E6">
        <v>1</v>
      </c>
      <c r="F6" t="s">
        <v>323</v>
      </c>
      <c r="G6" t="s">
        <v>432</v>
      </c>
      <c r="H6" s="3"/>
      <c r="I6" s="14" t="s">
        <v>384</v>
      </c>
      <c r="K6" s="12" t="s">
        <v>828</v>
      </c>
      <c r="L6" s="34" t="e">
        <f>VLOOKUP(K6,Sheet8!$A$1:$B$165,2,FALSE)</f>
        <v>#N/A</v>
      </c>
      <c r="M6" s="16" t="s">
        <v>488</v>
      </c>
      <c r="N6" s="16" t="e">
        <f>VLOOKUP(M6,Sheet8!$A$1:$B$155,2,FALSE)</f>
        <v>#N/A</v>
      </c>
      <c r="S6" s="12">
        <f>VLOOKUP(K6,ItemData!$A$4:$B$415,2,FALSE)</f>
        <v>298</v>
      </c>
      <c r="T6" s="12">
        <f>VLOOKUP(M6,ItemData!$A$4:$B$415,2,FALSE)</f>
        <v>274</v>
      </c>
      <c r="U6" s="12"/>
      <c r="V6" s="12"/>
      <c r="X6" s="12" t="str">
        <f>S6&amp;","&amp;T6&amp;IF(U6&lt;&gt;"",","&amp;U6,"")&amp;IF(V6&lt;&gt;"",","&amp;V6,"")</f>
        <v>298,274</v>
      </c>
    </row>
    <row r="7" spans="2:24" x14ac:dyDescent="0.15">
      <c r="B7" s="3">
        <v>1601</v>
      </c>
      <c r="C7" s="1" t="s">
        <v>331</v>
      </c>
      <c r="D7" s="1">
        <f>VLOOKUP(C7,装备!$B$2:$J$60,9,FALSE)*0.75</f>
        <v>20.25</v>
      </c>
      <c r="E7">
        <v>2</v>
      </c>
      <c r="F7" t="s">
        <v>324</v>
      </c>
      <c r="G7" s="12" t="s">
        <v>432</v>
      </c>
      <c r="H7" s="3" t="s">
        <v>709</v>
      </c>
      <c r="I7" s="14" t="s">
        <v>383</v>
      </c>
      <c r="K7" s="12" t="s">
        <v>330</v>
      </c>
      <c r="L7" s="34" t="e">
        <f>VLOOKUP(K7,Sheet8!$A$1:$B$155,2,FALSE)</f>
        <v>#N/A</v>
      </c>
      <c r="M7" s="16" t="s">
        <v>831</v>
      </c>
      <c r="N7" s="16" t="e">
        <f>VLOOKUP(M7,Sheet8!$A$1:$B$155,2,FALSE)</f>
        <v>#N/A</v>
      </c>
      <c r="O7" s="16" t="s">
        <v>832</v>
      </c>
      <c r="P7" s="16" t="e">
        <f>VLOOKUP(O7,Sheet8!$A$1:$B$155,2,FALSE)</f>
        <v>#N/A</v>
      </c>
      <c r="S7" s="12">
        <f>VLOOKUP(K7,ItemData!$A$4:$B$415,2,FALSE)</f>
        <v>1600</v>
      </c>
      <c r="T7" s="12">
        <f>VLOOKUP(M7,ItemData!$A$4:$B$415,2,FALSE)</f>
        <v>220</v>
      </c>
      <c r="U7" s="12">
        <f>VLOOKUP(O7,ItemData!$A$4:$B$415,2,FALSE)</f>
        <v>257</v>
      </c>
      <c r="V7" s="12"/>
      <c r="X7" s="12" t="str">
        <f>S7&amp;","&amp;T7&amp;IF(U7&lt;&gt;"",","&amp;U7,"")&amp;IF(V7&lt;&gt;"",","&amp;V7,"")</f>
        <v>1600,220,257</v>
      </c>
    </row>
    <row r="8" spans="2:24" x14ac:dyDescent="0.15">
      <c r="B8" s="3">
        <v>1602</v>
      </c>
      <c r="C8" s="1" t="s">
        <v>391</v>
      </c>
      <c r="D8" s="1">
        <f>VLOOKUP(C8,装备!$B$2:$J$60,9,FALSE)*0.75</f>
        <v>52.5</v>
      </c>
      <c r="E8">
        <v>3</v>
      </c>
      <c r="F8" t="s">
        <v>325</v>
      </c>
      <c r="G8" s="12" t="s">
        <v>432</v>
      </c>
      <c r="H8" s="24" t="s">
        <v>696</v>
      </c>
      <c r="I8" s="17" t="s">
        <v>373</v>
      </c>
      <c r="K8" s="12" t="s">
        <v>384</v>
      </c>
      <c r="L8" s="34" t="e">
        <f>VLOOKUP(K8,Sheet8!$A$1:$B$155,2,FALSE)</f>
        <v>#N/A</v>
      </c>
      <c r="M8" s="43" t="s">
        <v>460</v>
      </c>
      <c r="N8" s="16" t="e">
        <f>VLOOKUP(M8,Sheet8!$A$1:$B$155,2,FALSE)</f>
        <v>#N/A</v>
      </c>
      <c r="O8" s="16" t="s">
        <v>445</v>
      </c>
      <c r="P8" s="16" t="e">
        <f>VLOOKUP(O8,Sheet8!$A$1:$B$155,2,FALSE)</f>
        <v>#N/A</v>
      </c>
      <c r="Q8" s="16" t="s">
        <v>507</v>
      </c>
      <c r="R8" s="34" t="e">
        <f>VLOOKUP(Q8,Sheet8!$A$1:$B$155,2,FALSE)</f>
        <v>#N/A</v>
      </c>
      <c r="S8" s="12">
        <f>VLOOKUP(K8,ItemData!$A$4:$B$415,2,FALSE)</f>
        <v>1600</v>
      </c>
      <c r="T8" s="12">
        <f>VLOOKUP(M8,ItemData!$A$4:$B$415,2,FALSE)</f>
        <v>229</v>
      </c>
      <c r="U8" s="12">
        <f>VLOOKUP(O8,ItemData!$A$4:$B$415,2,FALSE)</f>
        <v>205</v>
      </c>
      <c r="V8" s="12">
        <f>VLOOKUP(Q8,ItemData!$A$4:$B$415,2,FALSE)</f>
        <v>284</v>
      </c>
      <c r="X8" s="12" t="str">
        <f t="shared" ref="X8:X54" si="0">S8&amp;","&amp;T8&amp;IF(U8&lt;&gt;"",","&amp;U8,"")&amp;IF(V8&lt;&gt;"",","&amp;V8,"")</f>
        <v>1600,229,205,284</v>
      </c>
    </row>
    <row r="9" spans="2:24" x14ac:dyDescent="0.15">
      <c r="B9" s="3">
        <v>1603</v>
      </c>
      <c r="C9" s="1" t="s">
        <v>332</v>
      </c>
      <c r="D9" s="1">
        <f>VLOOKUP(C9,装备!$B$2:$J$60,9,FALSE)*0.75</f>
        <v>47.25</v>
      </c>
      <c r="E9">
        <v>3</v>
      </c>
      <c r="F9" t="s">
        <v>326</v>
      </c>
      <c r="G9" s="12" t="s">
        <v>432</v>
      </c>
      <c r="H9" s="3" t="s">
        <v>711</v>
      </c>
      <c r="I9" s="14" t="s">
        <v>760</v>
      </c>
      <c r="K9" s="12" t="s">
        <v>330</v>
      </c>
      <c r="L9" s="34" t="e">
        <f>VLOOKUP(K9,Sheet8!$A$1:$B$155,2,FALSE)</f>
        <v>#N/A</v>
      </c>
      <c r="M9" s="16" t="s">
        <v>833</v>
      </c>
      <c r="N9" s="16" t="e">
        <f>VLOOKUP(M9,Sheet8!$A$1:$B$155,2,FALSE)</f>
        <v>#N/A</v>
      </c>
      <c r="O9" s="16" t="s">
        <v>354</v>
      </c>
      <c r="P9" s="16" t="e">
        <f>VLOOKUP(O9,Sheet8!$A$1:$B$155,2,FALSE)</f>
        <v>#N/A</v>
      </c>
      <c r="Q9" s="16" t="s">
        <v>834</v>
      </c>
      <c r="R9" s="34" t="e">
        <f>VLOOKUP(Q9,Sheet8!$A$1:$B$155,2,FALSE)</f>
        <v>#N/A</v>
      </c>
      <c r="S9" s="12">
        <f>VLOOKUP(K9,ItemData!$A$4:$B$415,2,FALSE)</f>
        <v>1600</v>
      </c>
      <c r="T9" s="12">
        <f>VLOOKUP(M9,ItemData!$A$4:$B$415,2,FALSE)</f>
        <v>218</v>
      </c>
      <c r="U9" s="12">
        <f>VLOOKUP(O9,ItemData!$A$4:$B$415,2,FALSE)</f>
        <v>299</v>
      </c>
      <c r="V9" s="12">
        <f>VLOOKUP(Q9,ItemData!$A$4:$B$415,2,FALSE)</f>
        <v>212</v>
      </c>
      <c r="X9" s="12" t="str">
        <f t="shared" si="0"/>
        <v>1600,218,299,212</v>
      </c>
    </row>
    <row r="10" spans="2:24" x14ac:dyDescent="0.15">
      <c r="B10" s="3">
        <v>1604</v>
      </c>
      <c r="C10" s="1" t="s">
        <v>392</v>
      </c>
      <c r="D10" s="1">
        <f>VLOOKUP(C10,装备!$B$2:$J$60,9,FALSE)*0.75</f>
        <v>54</v>
      </c>
      <c r="E10">
        <v>3</v>
      </c>
      <c r="G10" s="12" t="s">
        <v>432</v>
      </c>
      <c r="H10" s="24" t="s">
        <v>697</v>
      </c>
      <c r="I10" s="14" t="s">
        <v>382</v>
      </c>
      <c r="K10" s="12" t="s">
        <v>407</v>
      </c>
      <c r="L10" s="34" t="e">
        <f>VLOOKUP(K10,Sheet8!$A$1:$B$155,2,FALSE)</f>
        <v>#N/A</v>
      </c>
      <c r="M10" s="16" t="s">
        <v>479</v>
      </c>
      <c r="N10" s="16" t="e">
        <f>VLOOKUP(M10,Sheet8!$A$1:$B$155,2,FALSE)</f>
        <v>#N/A</v>
      </c>
      <c r="O10" s="16" t="s">
        <v>593</v>
      </c>
      <c r="P10" s="16" t="e">
        <f>VLOOKUP(O10,Sheet8!$A$1:$B$155,2,FALSE)</f>
        <v>#N/A</v>
      </c>
      <c r="Q10" s="16" t="s">
        <v>408</v>
      </c>
      <c r="R10" s="34" t="e">
        <f>VLOOKUP(Q10,Sheet8!$A$1:$B$155,2,FALSE)</f>
        <v>#N/A</v>
      </c>
      <c r="S10" s="12">
        <f>VLOOKUP(K10,ItemData!$A$4:$B$415,2,FALSE)</f>
        <v>1600</v>
      </c>
      <c r="T10" s="12">
        <f>VLOOKUP(M10,ItemData!$A$4:$B$415,2,FALSE)</f>
        <v>260</v>
      </c>
      <c r="U10" s="12">
        <f>VLOOKUP(O10,ItemData!$A$4:$B$415,2,FALSE)</f>
        <v>261</v>
      </c>
      <c r="V10" s="12">
        <f>VLOOKUP(Q10,ItemData!$A$4:$B$415,2,FALSE)</f>
        <v>253</v>
      </c>
      <c r="X10" s="12" t="str">
        <f t="shared" si="0"/>
        <v>1600,260,261,253</v>
      </c>
    </row>
    <row r="11" spans="2:24" x14ac:dyDescent="0.15">
      <c r="B11" s="3">
        <v>1605</v>
      </c>
      <c r="C11" s="1" t="s">
        <v>333</v>
      </c>
      <c r="D11" s="1">
        <f>VLOOKUP(C11,装备!$B$2:$J$60,9,FALSE)*0.75</f>
        <v>8.25</v>
      </c>
      <c r="E11">
        <v>1</v>
      </c>
      <c r="G11" s="12" t="s">
        <v>432</v>
      </c>
      <c r="H11" s="3"/>
      <c r="I11" s="14" t="s">
        <v>389</v>
      </c>
      <c r="K11" s="16" t="s">
        <v>347</v>
      </c>
      <c r="L11" s="34" t="e">
        <f>VLOOKUP(K11,Sheet8!$A$1:$B$155,2,FALSE)</f>
        <v>#N/A</v>
      </c>
      <c r="M11" s="16" t="s">
        <v>457</v>
      </c>
      <c r="N11" s="16" t="e">
        <f>VLOOKUP(M11,Sheet8!$A$1:$B$155,2,FALSE)</f>
        <v>#N/A</v>
      </c>
      <c r="O11" s="16" t="s">
        <v>356</v>
      </c>
      <c r="P11" s="16" t="e">
        <f>VLOOKUP(O11,Sheet8!$A$1:$B$155,2,FALSE)</f>
        <v>#N/A</v>
      </c>
      <c r="S11" s="12">
        <f>VLOOKUP(K11,ItemData!$A$4:$B$415,2,FALSE)</f>
        <v>104</v>
      </c>
      <c r="T11" s="12">
        <f>VLOOKUP(M11,ItemData!$A$4:$B$415,2,FALSE)</f>
        <v>222</v>
      </c>
      <c r="U11" s="12">
        <f>VLOOKUP(O11,ItemData!$A$4:$B$415,2,FALSE)</f>
        <v>274</v>
      </c>
      <c r="V11" s="12"/>
      <c r="X11" s="12" t="str">
        <f t="shared" si="0"/>
        <v>104,222,274</v>
      </c>
    </row>
    <row r="12" spans="2:24" x14ac:dyDescent="0.15">
      <c r="B12" s="3">
        <v>1606</v>
      </c>
      <c r="C12" s="1" t="s">
        <v>334</v>
      </c>
      <c r="D12" s="1">
        <f>VLOOKUP(C12,装备!$B$2:$J$60,9,FALSE)*0.75</f>
        <v>28.5</v>
      </c>
      <c r="E12">
        <v>2</v>
      </c>
      <c r="G12" s="12" t="s">
        <v>432</v>
      </c>
      <c r="H12" s="3" t="s">
        <v>710</v>
      </c>
      <c r="I12" s="14" t="s">
        <v>410</v>
      </c>
      <c r="J12" s="12"/>
      <c r="K12" s="1" t="s">
        <v>563</v>
      </c>
      <c r="L12" s="34" t="e">
        <f>VLOOKUP(K12,Sheet8!$A$1:$B$155,2,FALSE)</f>
        <v>#N/A</v>
      </c>
      <c r="M12" s="16" t="s">
        <v>366</v>
      </c>
      <c r="N12" s="16" t="e">
        <f>VLOOKUP(M12,Sheet8!$A$1:$B$155,2,FALSE)</f>
        <v>#N/A</v>
      </c>
      <c r="O12" s="16" t="s">
        <v>466</v>
      </c>
      <c r="P12" s="16" t="e">
        <f>VLOOKUP(O12,Sheet8!$A$1:$B$155,2,FALSE)</f>
        <v>#N/A</v>
      </c>
      <c r="Q12" s="16" t="s">
        <v>367</v>
      </c>
      <c r="R12" s="34" t="e">
        <f>VLOOKUP(Q12,Sheet8!$A$1:$B$155,2,FALSE)</f>
        <v>#N/A</v>
      </c>
      <c r="S12" s="12">
        <f>VLOOKUP(K12,ItemData!$A$4:$B$415,2,FALSE)</f>
        <v>1605</v>
      </c>
      <c r="T12" s="12">
        <f>VLOOKUP(M12,ItemData!$A$4:$B$415,2,FALSE)</f>
        <v>259</v>
      </c>
      <c r="U12" s="12">
        <f>VLOOKUP(O12,ItemData!$A$4:$B$415,2,FALSE)</f>
        <v>237</v>
      </c>
      <c r="V12" s="12">
        <f>VLOOKUP(Q12,ItemData!$A$4:$B$415,2,FALSE)</f>
        <v>239</v>
      </c>
      <c r="X12" s="12" t="str">
        <f t="shared" si="0"/>
        <v>1605,259,237,239</v>
      </c>
    </row>
    <row r="13" spans="2:24" x14ac:dyDescent="0.15">
      <c r="B13" s="3">
        <v>1607</v>
      </c>
      <c r="C13" s="1" t="s">
        <v>825</v>
      </c>
      <c r="D13" s="1">
        <f>VLOOKUP(C13,装备!$B$2:$J$60,9,FALSE)*0.75</f>
        <v>31.875</v>
      </c>
      <c r="E13">
        <v>2</v>
      </c>
      <c r="G13" s="12" t="s">
        <v>432</v>
      </c>
      <c r="H13" s="24" t="s">
        <v>699</v>
      </c>
      <c r="I13" s="14" t="s">
        <v>611</v>
      </c>
      <c r="K13" s="12" t="s">
        <v>333</v>
      </c>
      <c r="L13" s="34" t="e">
        <f>VLOOKUP(K13,Sheet8!$A$1:$B$155,2,FALSE)</f>
        <v>#N/A</v>
      </c>
      <c r="M13" s="16" t="s">
        <v>500</v>
      </c>
      <c r="N13" s="16" t="e">
        <f>VLOOKUP(M13,Sheet8!$A$1:$B$155,2,FALSE)</f>
        <v>#N/A</v>
      </c>
      <c r="O13" s="16" t="s">
        <v>573</v>
      </c>
      <c r="P13" s="16" t="e">
        <f>VLOOKUP(O13,Sheet8!$A$1:$B$155,2,FALSE)</f>
        <v>#N/A</v>
      </c>
      <c r="S13" s="12">
        <f>VLOOKUP(K13,ItemData!$A$4:$B$415,2,FALSE)</f>
        <v>1605</v>
      </c>
      <c r="T13" s="12">
        <f>VLOOKUP(M13,ItemData!$A$4:$B$415,2,FALSE)</f>
        <v>275</v>
      </c>
      <c r="U13" s="12">
        <f>VLOOKUP(O13,ItemData!$A$4:$B$415,2,FALSE)</f>
        <v>299</v>
      </c>
      <c r="V13" s="12"/>
      <c r="X13" s="12" t="str">
        <f t="shared" si="0"/>
        <v>1605,275,299</v>
      </c>
    </row>
    <row r="14" spans="2:24" x14ac:dyDescent="0.15">
      <c r="B14" s="3">
        <v>1608</v>
      </c>
      <c r="C14" s="1" t="s">
        <v>335</v>
      </c>
      <c r="D14" s="1">
        <f>VLOOKUP(C14,装备!$B$2:$J$60,9,FALSE)*0.75</f>
        <v>44.25</v>
      </c>
      <c r="E14">
        <v>3</v>
      </c>
      <c r="G14" s="12" t="s">
        <v>432</v>
      </c>
      <c r="H14" s="18" t="s">
        <v>700</v>
      </c>
      <c r="I14" s="14" t="s">
        <v>335</v>
      </c>
      <c r="K14" s="12" t="s">
        <v>333</v>
      </c>
      <c r="L14" s="34" t="e">
        <f>VLOOKUP(K14,Sheet8!$A$1:$B$155,2,FALSE)</f>
        <v>#N/A</v>
      </c>
      <c r="M14" s="16" t="s">
        <v>362</v>
      </c>
      <c r="N14" s="16" t="e">
        <f>VLOOKUP(M14,Sheet8!$A$1:$B$155,2,FALSE)</f>
        <v>#N/A</v>
      </c>
      <c r="O14" s="16" t="s">
        <v>467</v>
      </c>
      <c r="P14" s="16" t="e">
        <f>VLOOKUP(O14,Sheet8!$A$1:$B$155,2,FALSE)</f>
        <v>#N/A</v>
      </c>
      <c r="Q14" s="16" t="s">
        <v>462</v>
      </c>
      <c r="R14" s="34" t="e">
        <f>VLOOKUP(Q14,Sheet8!$A$1:$B$155,2,FALSE)</f>
        <v>#N/A</v>
      </c>
      <c r="S14" s="12">
        <f>VLOOKUP(K14,ItemData!$A$4:$B$415,2,FALSE)</f>
        <v>1605</v>
      </c>
      <c r="T14" s="12">
        <f>VLOOKUP(M14,ItemData!$A$4:$B$415,2,FALSE)</f>
        <v>227</v>
      </c>
      <c r="U14" s="12">
        <f>VLOOKUP(O14,ItemData!$A$4:$B$415,2,FALSE)</f>
        <v>240</v>
      </c>
      <c r="V14" s="12">
        <f>VLOOKUP(Q14,ItemData!$A$4:$B$415,2,FALSE)</f>
        <v>232</v>
      </c>
      <c r="X14" s="12" t="str">
        <f t="shared" si="0"/>
        <v>1605,227,240,232</v>
      </c>
    </row>
    <row r="15" spans="2:24" s="12" customFormat="1" x14ac:dyDescent="0.15">
      <c r="B15" s="3">
        <v>1609</v>
      </c>
      <c r="C15" s="1" t="s">
        <v>336</v>
      </c>
      <c r="D15" s="1">
        <f>VLOOKUP(C15,装备!$B$2:$J$60,9,FALSE)*0.75</f>
        <v>17.25</v>
      </c>
      <c r="E15" s="12">
        <v>2</v>
      </c>
      <c r="G15" s="12" t="s">
        <v>432</v>
      </c>
      <c r="H15" s="24" t="s">
        <v>698</v>
      </c>
      <c r="I15" s="9" t="s">
        <v>544</v>
      </c>
      <c r="K15" s="12" t="s">
        <v>466</v>
      </c>
      <c r="L15" s="34" t="e">
        <f>VLOOKUP(K15,Sheet8!$A$1:$B$155,2,FALSE)</f>
        <v>#N/A</v>
      </c>
      <c r="M15" s="16" t="s">
        <v>488</v>
      </c>
      <c r="N15" s="16" t="e">
        <f>VLOOKUP(M15,Sheet8!$A$1:$B$155,2,FALSE)</f>
        <v>#N/A</v>
      </c>
      <c r="O15" s="16" t="s">
        <v>753</v>
      </c>
      <c r="P15" s="16" t="e">
        <f>VLOOKUP(O15,Sheet8!$A$1:$B$155,2,FALSE)</f>
        <v>#N/A</v>
      </c>
      <c r="Q15" s="16" t="s">
        <v>559</v>
      </c>
      <c r="R15" s="34" t="e">
        <f>VLOOKUP(Q15,Sheet8!$A$1:$B$155,2,FALSE)</f>
        <v>#N/A</v>
      </c>
      <c r="S15" s="12">
        <f>VLOOKUP(K15,ItemData!$A$4:$B$415,2,FALSE)</f>
        <v>237</v>
      </c>
      <c r="T15" s="12">
        <f>VLOOKUP(M15,ItemData!$A$4:$B$415,2,FALSE)</f>
        <v>274</v>
      </c>
      <c r="U15" s="12">
        <f>VLOOKUP(O15,ItemData!$A$4:$B$415,2,FALSE)</f>
        <v>256</v>
      </c>
      <c r="V15" s="12">
        <f>VLOOKUP(Q15,ItemData!$A$4:$B$415,2,FALSE)</f>
        <v>285</v>
      </c>
      <c r="X15" s="12" t="str">
        <f t="shared" si="0"/>
        <v>237,274,256,285</v>
      </c>
    </row>
    <row r="16" spans="2:24" s="12" customFormat="1" x14ac:dyDescent="0.15">
      <c r="B16" s="3">
        <v>1610</v>
      </c>
      <c r="C16" s="1" t="s">
        <v>337</v>
      </c>
      <c r="D16" s="1">
        <f>VLOOKUP(C16,装备!$B$2:$J$60,9,FALSE)*0.75</f>
        <v>27</v>
      </c>
      <c r="E16" s="12">
        <v>3</v>
      </c>
      <c r="G16" s="12" t="s">
        <v>432</v>
      </c>
      <c r="H16" s="24" t="s">
        <v>701</v>
      </c>
      <c r="I16" s="9" t="s">
        <v>545</v>
      </c>
      <c r="K16" s="12" t="s">
        <v>511</v>
      </c>
      <c r="L16" s="34" t="e">
        <f>VLOOKUP(K16,Sheet8!$A$1:$B$155,2,FALSE)</f>
        <v>#N/A</v>
      </c>
      <c r="M16" s="16" t="s">
        <v>333</v>
      </c>
      <c r="N16" s="16" t="e">
        <f>VLOOKUP(M16,Sheet8!$A$1:$B$155,2,FALSE)</f>
        <v>#N/A</v>
      </c>
      <c r="O16" s="16" t="s">
        <v>596</v>
      </c>
      <c r="P16" s="16" t="e">
        <f>VLOOKUP(O16,Sheet8!$A$1:$B$155,2,FALSE)</f>
        <v>#N/A</v>
      </c>
      <c r="Q16" s="16" t="s">
        <v>674</v>
      </c>
      <c r="R16" s="34" t="e">
        <f>VLOOKUP(Q16,Sheet8!$A$1:$B$155,2,FALSE)</f>
        <v>#N/A</v>
      </c>
      <c r="S16" s="12">
        <f>VLOOKUP(K16,ItemData!$A$4:$B$415,2,FALSE)</f>
        <v>269</v>
      </c>
      <c r="T16" s="12">
        <f>VLOOKUP(M16,ItemData!$A$4:$B$415,2,FALSE)</f>
        <v>1605</v>
      </c>
      <c r="U16" s="12">
        <f>VLOOKUP(O16,ItemData!$A$4:$B$415,2,FALSE)</f>
        <v>264</v>
      </c>
      <c r="V16" s="12">
        <f>VLOOKUP(Q16,ItemData!$A$4:$B$415,2,FALSE)</f>
        <v>208</v>
      </c>
      <c r="X16" s="12" t="str">
        <f t="shared" si="0"/>
        <v>269,1605,264,208</v>
      </c>
    </row>
    <row r="17" spans="2:24" x14ac:dyDescent="0.15">
      <c r="B17" s="3">
        <v>1611</v>
      </c>
      <c r="C17" s="1" t="s">
        <v>338</v>
      </c>
      <c r="D17" s="1">
        <f>VLOOKUP(C17,装备!$B$2:$J$60,9,FALSE)*0.75</f>
        <v>46.5</v>
      </c>
      <c r="E17">
        <v>3</v>
      </c>
      <c r="G17" s="12" t="s">
        <v>432</v>
      </c>
      <c r="H17" s="3"/>
      <c r="I17" s="14" t="s">
        <v>518</v>
      </c>
      <c r="K17" s="12" t="s">
        <v>354</v>
      </c>
      <c r="L17" s="34" t="e">
        <f>VLOOKUP(K17,Sheet8!$A$1:$B$155,2,FALSE)</f>
        <v>#N/A</v>
      </c>
      <c r="M17" s="16" t="s">
        <v>356</v>
      </c>
      <c r="N17" s="16" t="e">
        <f>VLOOKUP(M17,Sheet8!$A$1:$B$155,2,FALSE)</f>
        <v>#N/A</v>
      </c>
      <c r="O17" s="16" t="s">
        <v>741</v>
      </c>
      <c r="P17" s="16" t="e">
        <f>VLOOKUP(O17,Sheet8!$A$1:$B$155,2,FALSE)</f>
        <v>#N/A</v>
      </c>
      <c r="S17" s="12">
        <f>VLOOKUP(K17,ItemData!$A$4:$B$415,2,FALSE)</f>
        <v>299</v>
      </c>
      <c r="T17" s="12">
        <f>VLOOKUP(M17,ItemData!$A$4:$B$415,2,FALSE)</f>
        <v>274</v>
      </c>
      <c r="U17" s="12">
        <f>VLOOKUP(O17,ItemData!$A$4:$B$415,2,FALSE)</f>
        <v>241</v>
      </c>
      <c r="V17" s="12"/>
      <c r="X17" s="12" t="str">
        <f t="shared" si="0"/>
        <v>299,274,241</v>
      </c>
    </row>
    <row r="18" spans="2:24" x14ac:dyDescent="0.15">
      <c r="B18" s="3">
        <v>1612</v>
      </c>
      <c r="C18" s="1" t="s">
        <v>339</v>
      </c>
      <c r="D18" s="1">
        <f>VLOOKUP(C18,装备!$B$2:$J$60,9,FALSE)*0.75</f>
        <v>16.5</v>
      </c>
      <c r="E18">
        <v>1</v>
      </c>
      <c r="G18" s="12" t="s">
        <v>432</v>
      </c>
      <c r="H18" s="3" t="s">
        <v>708</v>
      </c>
      <c r="I18" s="14" t="s">
        <v>388</v>
      </c>
      <c r="K18" s="12" t="s">
        <v>519</v>
      </c>
      <c r="L18" s="34" t="e">
        <f>VLOOKUP(K18,Sheet8!$A$1:$B$155,2,FALSE)</f>
        <v>#N/A</v>
      </c>
      <c r="M18" s="16" t="s">
        <v>564</v>
      </c>
      <c r="N18" s="16" t="e">
        <f>VLOOKUP(M18,Sheet8!$A$1:$B$155,2,FALSE)</f>
        <v>#N/A</v>
      </c>
      <c r="O18" s="16" t="s">
        <v>370</v>
      </c>
      <c r="P18" s="16" t="e">
        <f>VLOOKUP(O18,Sheet8!$A$1:$B$155,2,FALSE)</f>
        <v>#N/A</v>
      </c>
      <c r="S18" s="12">
        <f>VLOOKUP(K18,ItemData!$A$4:$B$415,2,FALSE)</f>
        <v>1609</v>
      </c>
      <c r="T18" s="12">
        <f>VLOOKUP(M18,ItemData!$A$4:$B$415,2,FALSE)</f>
        <v>254</v>
      </c>
      <c r="U18" s="12">
        <f>VLOOKUP(O18,ItemData!$A$4:$B$415,2,FALSE)</f>
        <v>211</v>
      </c>
      <c r="V18" s="12"/>
      <c r="X18" s="12" t="str">
        <f t="shared" si="0"/>
        <v>1609,254,211</v>
      </c>
    </row>
    <row r="19" spans="2:24" x14ac:dyDescent="0.15">
      <c r="B19" s="3">
        <v>1613</v>
      </c>
      <c r="C19" s="1" t="s">
        <v>773</v>
      </c>
      <c r="D19" s="1">
        <f>VLOOKUP(C19,装备!$B$2:$J$60,9,FALSE)*0.75</f>
        <v>13.5</v>
      </c>
      <c r="E19">
        <v>1</v>
      </c>
      <c r="G19" s="12" t="s">
        <v>432</v>
      </c>
      <c r="H19" s="24" t="s">
        <v>702</v>
      </c>
      <c r="I19" s="14" t="s">
        <v>387</v>
      </c>
      <c r="K19" s="12" t="s">
        <v>336</v>
      </c>
      <c r="L19" s="34" t="e">
        <f>VLOOKUP(K19,Sheet8!$A$1:$B$155,2,FALSE)</f>
        <v>#N/A</v>
      </c>
      <c r="M19" s="16" t="s">
        <v>366</v>
      </c>
      <c r="N19" s="16" t="e">
        <f>VLOOKUP(M19,Sheet8!$A$1:$B$155,2,FALSE)</f>
        <v>#N/A</v>
      </c>
      <c r="O19" s="16" t="s">
        <v>478</v>
      </c>
      <c r="P19" s="16" t="e">
        <f>VLOOKUP(O19,Sheet8!$A$1:$B$155,2,FALSE)</f>
        <v>#N/A</v>
      </c>
      <c r="Q19" s="16" t="s">
        <v>368</v>
      </c>
      <c r="R19" s="34" t="e">
        <f>VLOOKUP(Q19,Sheet8!$A$1:$B$155,2,FALSE)</f>
        <v>#N/A</v>
      </c>
      <c r="S19" s="12">
        <f>VLOOKUP(K19,ItemData!$A$4:$B$415,2,FALSE)</f>
        <v>1609</v>
      </c>
      <c r="T19" s="12">
        <f>VLOOKUP(M19,ItemData!$A$4:$B$415,2,FALSE)</f>
        <v>259</v>
      </c>
      <c r="U19" s="12">
        <f>VLOOKUP(O19,ItemData!$A$4:$B$415,2,FALSE)</f>
        <v>258</v>
      </c>
      <c r="V19" s="12">
        <f>VLOOKUP(Q19,ItemData!$A$4:$B$415,2,FALSE)</f>
        <v>263</v>
      </c>
      <c r="X19" s="12" t="str">
        <f t="shared" si="0"/>
        <v>1609,259,258,263</v>
      </c>
    </row>
    <row r="20" spans="2:24" x14ac:dyDescent="0.15">
      <c r="B20" s="3">
        <v>1614</v>
      </c>
      <c r="C20" s="1" t="s">
        <v>774</v>
      </c>
      <c r="D20" s="1">
        <f>VLOOKUP(C20,装备!$B$2:$J$60,9,FALSE)*0.75</f>
        <v>49.5</v>
      </c>
      <c r="E20">
        <v>2</v>
      </c>
      <c r="G20" s="12" t="s">
        <v>432</v>
      </c>
      <c r="H20" s="24" t="s">
        <v>707</v>
      </c>
      <c r="I20" s="14" t="s">
        <v>386</v>
      </c>
      <c r="K20" s="12" t="s">
        <v>336</v>
      </c>
      <c r="L20" s="34" t="e">
        <f>VLOOKUP(K20,Sheet8!$A$1:$B$155,2,FALSE)</f>
        <v>#N/A</v>
      </c>
      <c r="M20" s="16" t="s">
        <v>364</v>
      </c>
      <c r="N20" s="16" t="e">
        <f>VLOOKUP(M20,Sheet8!$A$1:$B$155,2,FALSE)</f>
        <v>#N/A</v>
      </c>
      <c r="O20" s="16" t="s">
        <v>479</v>
      </c>
      <c r="P20" s="16" t="e">
        <f>VLOOKUP(O20,Sheet8!$A$1:$B$155,2,FALSE)</f>
        <v>#N/A</v>
      </c>
      <c r="Q20" s="16" t="s">
        <v>484</v>
      </c>
      <c r="R20" s="34" t="e">
        <f>VLOOKUP(Q20,Sheet8!$A$1:$B$155,2,FALSE)</f>
        <v>#N/A</v>
      </c>
      <c r="S20" s="12">
        <f>VLOOKUP(K20,ItemData!$A$4:$B$415,2,FALSE)</f>
        <v>1609</v>
      </c>
      <c r="T20" s="12">
        <f>VLOOKUP(M20,ItemData!$A$4:$B$415,2,FALSE)</f>
        <v>253</v>
      </c>
      <c r="U20" s="12">
        <f>VLOOKUP(O20,ItemData!$A$4:$B$415,2,FALSE)</f>
        <v>260</v>
      </c>
      <c r="V20" s="12">
        <f>VLOOKUP(Q20,ItemData!$A$4:$B$415,2,FALSE)</f>
        <v>267</v>
      </c>
      <c r="X20" s="12" t="str">
        <f t="shared" si="0"/>
        <v>1609,253,260,267</v>
      </c>
    </row>
    <row r="21" spans="2:24" x14ac:dyDescent="0.15">
      <c r="B21" s="3">
        <v>1615</v>
      </c>
      <c r="C21" s="1" t="s">
        <v>341</v>
      </c>
      <c r="D21" s="1">
        <f>VLOOKUP(C21,装备!$B$2:$J$60,9,FALSE)*0.75</f>
        <v>43.5</v>
      </c>
      <c r="E21">
        <v>2</v>
      </c>
      <c r="G21" s="12" t="s">
        <v>525</v>
      </c>
      <c r="H21" s="3"/>
      <c r="I21" s="14" t="s">
        <v>579</v>
      </c>
      <c r="K21" s="12" t="s">
        <v>350</v>
      </c>
      <c r="L21" s="34" t="e">
        <f>VLOOKUP(K21,Sheet8!$A$1:$B$155,2,FALSE)</f>
        <v>#N/A</v>
      </c>
      <c r="M21" s="16" t="s">
        <v>570</v>
      </c>
      <c r="N21" s="16" t="e">
        <f>VLOOKUP(M21,Sheet8!$A$1:$B$155,2,FALSE)</f>
        <v>#N/A</v>
      </c>
      <c r="O21" s="16" t="s">
        <v>583</v>
      </c>
      <c r="P21" s="16" t="e">
        <f>VLOOKUP(O21,Sheet8!$A$1:$B$155,2,FALSE)</f>
        <v>#N/A</v>
      </c>
      <c r="S21" s="12">
        <f>VLOOKUP(K21,ItemData!$A$4:$B$415,2,FALSE)</f>
        <v>238</v>
      </c>
      <c r="T21" s="12">
        <f>VLOOKUP(M21,ItemData!$A$4:$B$415,2,FALSE)</f>
        <v>276</v>
      </c>
      <c r="U21" s="12">
        <f>VLOOKUP(O21,ItemData!$A$4:$B$415,2,FALSE)</f>
        <v>214</v>
      </c>
      <c r="V21" s="12"/>
      <c r="X21" s="12" t="str">
        <f t="shared" si="0"/>
        <v>238,276,214</v>
      </c>
    </row>
    <row r="22" spans="2:24" x14ac:dyDescent="0.15">
      <c r="B22" s="3">
        <v>1616</v>
      </c>
      <c r="C22" s="1" t="s">
        <v>342</v>
      </c>
      <c r="D22" s="1">
        <f>VLOOKUP(C22,装备!$B$2:$J$60,9,FALSE)*0.75</f>
        <v>73.5</v>
      </c>
      <c r="E22">
        <v>3</v>
      </c>
      <c r="G22" s="12" t="s">
        <v>525</v>
      </c>
      <c r="H22" s="3"/>
      <c r="I22" s="14" t="s">
        <v>571</v>
      </c>
      <c r="K22" s="12" t="s">
        <v>456</v>
      </c>
      <c r="L22" s="34" t="e">
        <f>VLOOKUP(K22,Sheet8!$A$1:$B$155,2,FALSE)</f>
        <v>#N/A</v>
      </c>
      <c r="M22" s="16" t="s">
        <v>359</v>
      </c>
      <c r="N22" s="16" t="e">
        <f>VLOOKUP(M22,Sheet8!$A$1:$B$155,2,FALSE)</f>
        <v>#N/A</v>
      </c>
      <c r="O22" s="16" t="s">
        <v>583</v>
      </c>
      <c r="P22" s="16" t="e">
        <f>VLOOKUP(O22,Sheet8!$A$1:$B$155,2,FALSE)</f>
        <v>#N/A</v>
      </c>
      <c r="S22" s="12">
        <f>VLOOKUP(K22,ItemData!$A$4:$B$415,2,FALSE)</f>
        <v>221</v>
      </c>
      <c r="T22" s="12">
        <f>VLOOKUP(M22,ItemData!$A$4:$B$415,2,FALSE)</f>
        <v>276</v>
      </c>
      <c r="U22" s="12">
        <f>VLOOKUP(O22,ItemData!$A$4:$B$415,2,FALSE)</f>
        <v>214</v>
      </c>
      <c r="V22" s="12"/>
      <c r="X22" s="12" t="str">
        <f t="shared" si="0"/>
        <v>221,276,214</v>
      </c>
    </row>
    <row r="23" spans="2:24" x14ac:dyDescent="0.15">
      <c r="B23" s="3">
        <v>1617</v>
      </c>
      <c r="C23" s="1" t="s">
        <v>616</v>
      </c>
      <c r="D23" s="1">
        <f>VLOOKUP(C23,装备!$B$2:$J$60,9,FALSE)*0.75</f>
        <v>62.25</v>
      </c>
      <c r="E23">
        <v>4</v>
      </c>
      <c r="G23" s="12" t="s">
        <v>525</v>
      </c>
      <c r="H23" s="24" t="s">
        <v>703</v>
      </c>
      <c r="I23" s="14" t="s">
        <v>598</v>
      </c>
      <c r="K23" s="1" t="s">
        <v>773</v>
      </c>
      <c r="L23" s="34" t="e">
        <f>VLOOKUP(K23,Sheet8!$A$1:$B$155,2,FALSE)</f>
        <v>#N/A</v>
      </c>
      <c r="M23" s="16" t="s">
        <v>561</v>
      </c>
      <c r="N23" s="16" t="e">
        <f>VLOOKUP(M23,Sheet8!$A$1:$B$155,2,FALSE)</f>
        <v>#N/A</v>
      </c>
      <c r="O23" s="16" t="s">
        <v>750</v>
      </c>
      <c r="P23" s="16" t="e">
        <f>VLOOKUP(O23,Sheet8!$A$1:$B$155,2,FALSE)</f>
        <v>#N/A</v>
      </c>
      <c r="S23" s="34">
        <f>VLOOKUP(K23,ItemData!$A$4:$B$415,2,FALSE)</f>
        <v>1613</v>
      </c>
      <c r="T23" s="12">
        <f>VLOOKUP(M23,ItemData!$A$4:$B$415,2,FALSE)</f>
        <v>213</v>
      </c>
      <c r="U23" s="12">
        <f>VLOOKUP(O23,ItemData!$A$4:$B$415,2,FALSE)</f>
        <v>246</v>
      </c>
      <c r="V23" s="12"/>
      <c r="X23" s="12" t="str">
        <f t="shared" si="0"/>
        <v>1613,213,246</v>
      </c>
    </row>
    <row r="24" spans="2:24" x14ac:dyDescent="0.15">
      <c r="B24" s="3">
        <v>1618</v>
      </c>
      <c r="C24" s="1" t="s">
        <v>617</v>
      </c>
      <c r="D24" s="1">
        <f>VLOOKUP(C24,装备!$B$2:$J$60,9,FALSE)*0.75</f>
        <v>70.5</v>
      </c>
      <c r="E24">
        <v>4</v>
      </c>
      <c r="G24" s="12" t="s">
        <v>525</v>
      </c>
      <c r="H24" s="24" t="s">
        <v>704</v>
      </c>
      <c r="I24" s="14" t="s">
        <v>597</v>
      </c>
      <c r="K24" s="12" t="s">
        <v>339</v>
      </c>
      <c r="L24" s="34" t="e">
        <f>VLOOKUP(K24,Sheet8!$A$1:$B$155,2,FALSE)</f>
        <v>#N/A</v>
      </c>
      <c r="M24" s="16" t="s">
        <v>405</v>
      </c>
      <c r="N24" s="16" t="e">
        <f>VLOOKUP(M24,Sheet8!$A$1:$B$155,2,FALSE)</f>
        <v>#N/A</v>
      </c>
      <c r="O24" s="16" t="s">
        <v>339</v>
      </c>
      <c r="P24" s="16" t="e">
        <f>VLOOKUP(O24,Sheet8!$A$1:$B$155,2,FALSE)</f>
        <v>#N/A</v>
      </c>
      <c r="S24" s="34">
        <f>VLOOKUP(K24,ItemData!$A$4:$B$415,2,FALSE)</f>
        <v>1612</v>
      </c>
      <c r="T24" s="12">
        <f>VLOOKUP(M24,ItemData!$A$4:$B$415,2,FALSE)</f>
        <v>211</v>
      </c>
      <c r="U24" s="12">
        <f>VLOOKUP(O24,ItemData!$A$4:$B$415,2,FALSE)</f>
        <v>1612</v>
      </c>
      <c r="V24" s="12"/>
      <c r="X24" s="12" t="str">
        <f t="shared" si="0"/>
        <v>1612,211,1612</v>
      </c>
    </row>
    <row r="25" spans="2:24" s="12" customFormat="1" x14ac:dyDescent="0.15">
      <c r="B25" s="3">
        <v>1619</v>
      </c>
      <c r="C25" s="1" t="s">
        <v>618</v>
      </c>
      <c r="D25" s="1">
        <f>VLOOKUP(C25,装备!$B$2:$J$60,9,FALSE)*0.75</f>
        <v>64.5</v>
      </c>
      <c r="E25" s="12">
        <v>4</v>
      </c>
      <c r="G25" s="12" t="s">
        <v>432</v>
      </c>
      <c r="H25" s="24" t="s">
        <v>705</v>
      </c>
      <c r="I25" s="9" t="s">
        <v>548</v>
      </c>
      <c r="K25" s="12" t="s">
        <v>508</v>
      </c>
      <c r="L25" s="34" t="e">
        <f>VLOOKUP(K25,Sheet8!$A$1:$B$155,2,FALSE)</f>
        <v>#N/A</v>
      </c>
      <c r="M25" s="16" t="s">
        <v>458</v>
      </c>
      <c r="N25" s="16" t="e">
        <f>VLOOKUP(M25,Sheet8!$A$1:$B$155,2,FALSE)</f>
        <v>#N/A</v>
      </c>
      <c r="O25" s="16" t="s">
        <v>605</v>
      </c>
      <c r="P25" s="16" t="e">
        <f>VLOOKUP(O25,Sheet8!$A$1:$B$155,2,FALSE)</f>
        <v>#N/A</v>
      </c>
      <c r="Q25" s="1" t="s">
        <v>774</v>
      </c>
      <c r="R25" s="34" t="e">
        <f>VLOOKUP(Q25,Sheet8!$A$1:$B$155,2,FALSE)</f>
        <v>#N/A</v>
      </c>
      <c r="S25" s="12">
        <f>VLOOKUP(K25,ItemData!$A$4:$B$415,2,FALSE)</f>
        <v>270</v>
      </c>
      <c r="T25" s="12">
        <f>VLOOKUP(M25,ItemData!$A$4:$B$415,2,FALSE)</f>
        <v>225</v>
      </c>
      <c r="U25" s="12">
        <f>VLOOKUP(O25,ItemData!$A$4:$B$415,2,FALSE)</f>
        <v>239</v>
      </c>
      <c r="V25" s="12">
        <f>VLOOKUP(Q25,ItemData!$A$4:$B$415,2,FALSE)</f>
        <v>1614</v>
      </c>
      <c r="X25" s="12" t="str">
        <f t="shared" si="0"/>
        <v>270,225,239,1614</v>
      </c>
    </row>
    <row r="26" spans="2:24" s="12" customFormat="1" x14ac:dyDescent="0.15">
      <c r="B26" s="3">
        <v>1620</v>
      </c>
      <c r="C26" s="1" t="s">
        <v>619</v>
      </c>
      <c r="D26" s="1">
        <f>VLOOKUP(C26,装备!$B$2:$J$60,9,FALSE)*0.75</f>
        <v>69</v>
      </c>
      <c r="E26" s="12">
        <v>4</v>
      </c>
      <c r="G26" s="12" t="s">
        <v>432</v>
      </c>
      <c r="H26" s="24" t="s">
        <v>706</v>
      </c>
      <c r="I26" s="9" t="s">
        <v>547</v>
      </c>
      <c r="K26" s="12" t="s">
        <v>469</v>
      </c>
      <c r="L26" s="34" t="e">
        <f>VLOOKUP(K26,Sheet8!$A$1:$B$155,2,FALSE)</f>
        <v>#N/A</v>
      </c>
      <c r="M26" s="16" t="s">
        <v>606</v>
      </c>
      <c r="N26" s="16" t="e">
        <f>VLOOKUP(M26,Sheet8!$A$1:$B$155,2,FALSE)</f>
        <v>#N/A</v>
      </c>
      <c r="O26" s="16" t="s">
        <v>485</v>
      </c>
      <c r="P26" s="16" t="e">
        <f>VLOOKUP(O26,Sheet8!$A$1:$B$155,2,FALSE)</f>
        <v>#N/A</v>
      </c>
      <c r="Q26" s="16" t="s">
        <v>341</v>
      </c>
      <c r="R26" s="34" t="e">
        <f>VLOOKUP(Q26,Sheet8!$A$1:$B$155,2,FALSE)</f>
        <v>#N/A</v>
      </c>
      <c r="S26" s="12">
        <f>VLOOKUP(K26,ItemData!$A$4:$B$415,2,FALSE)</f>
        <v>245</v>
      </c>
      <c r="T26" s="12">
        <f>VLOOKUP(M26,ItemData!$A$4:$B$415,2,FALSE)</f>
        <v>255</v>
      </c>
      <c r="U26" s="12">
        <f>VLOOKUP(O26,ItemData!$A$4:$B$415,2,FALSE)</f>
        <v>268</v>
      </c>
      <c r="V26" s="12">
        <f>VLOOKUP(Q26,ItemData!$A$4:$B$415,2,FALSE)</f>
        <v>1615</v>
      </c>
      <c r="X26" s="12" t="str">
        <f t="shared" si="0"/>
        <v>245,255,268,1615</v>
      </c>
    </row>
    <row r="27" spans="2:24" x14ac:dyDescent="0.15">
      <c r="B27" s="3">
        <v>1650</v>
      </c>
      <c r="C27" s="1" t="s">
        <v>351</v>
      </c>
      <c r="D27" s="1">
        <f>VLOOKUP(C27,装备!$B$2:$J$60,9,FALSE)*0.75</f>
        <v>3.75</v>
      </c>
      <c r="E27">
        <v>1</v>
      </c>
      <c r="G27" t="s">
        <v>525</v>
      </c>
      <c r="H27" s="24"/>
      <c r="I27" s="17" t="s">
        <v>607</v>
      </c>
      <c r="K27" s="12" t="s">
        <v>829</v>
      </c>
      <c r="L27" s="34" t="e">
        <f>VLOOKUP(K27,Sheet8!$A$1:$B$155,2,FALSE)</f>
        <v>#N/A</v>
      </c>
      <c r="M27" s="16" t="s">
        <v>412</v>
      </c>
      <c r="N27" s="16" t="e">
        <f>VLOOKUP(M27,Sheet8!$A$1:$B$155,2,FALSE)</f>
        <v>#N/A</v>
      </c>
      <c r="S27" s="12">
        <f>VLOOKUP(K27,ItemData!$A$4:$B$415,2,FALSE)</f>
        <v>204</v>
      </c>
      <c r="T27" s="12">
        <f>VLOOKUP(M27,ItemData!$A$4:$B$415,2,FALSE)</f>
        <v>277</v>
      </c>
      <c r="U27" s="12"/>
      <c r="V27" s="12"/>
      <c r="X27" s="12" t="str">
        <f t="shared" si="0"/>
        <v>204,277</v>
      </c>
    </row>
    <row r="28" spans="2:24" x14ac:dyDescent="0.15">
      <c r="B28" s="3">
        <v>1651</v>
      </c>
      <c r="C28" s="1" t="s">
        <v>349</v>
      </c>
      <c r="D28" s="1">
        <f>VLOOKUP(C28,装备!$B$2:$J$60,9,FALSE)*0.75</f>
        <v>7.5</v>
      </c>
      <c r="E28">
        <v>1</v>
      </c>
      <c r="G28" s="12" t="s">
        <v>525</v>
      </c>
      <c r="H28" s="3"/>
      <c r="I28" s="17" t="s">
        <v>600</v>
      </c>
      <c r="K28" s="12" t="s">
        <v>584</v>
      </c>
      <c r="L28" s="34" t="e">
        <f>VLOOKUP(K28,Sheet8!$A$1:$B$155,2,FALSE)</f>
        <v>#N/A</v>
      </c>
      <c r="M28" s="16" t="s">
        <v>578</v>
      </c>
      <c r="N28" s="16" t="e">
        <f>VLOOKUP(M28,Sheet8!$A$1:$B$155,2,FALSE)</f>
        <v>#N/A</v>
      </c>
      <c r="O28" s="16" t="s">
        <v>601</v>
      </c>
      <c r="P28" s="16" t="e">
        <f>VLOOKUP(O28,Sheet8!$A$1:$B$155,2,FALSE)</f>
        <v>#N/A</v>
      </c>
      <c r="S28" s="12">
        <f>VLOOKUP(K28,ItemData!$A$4:$B$415,2,FALSE)</f>
        <v>271</v>
      </c>
      <c r="T28" s="12">
        <f>VLOOKUP(M28,ItemData!$A$4:$B$415,2,FALSE)</f>
        <v>278</v>
      </c>
      <c r="U28" s="12">
        <f>VLOOKUP(O28,ItemData!$A$4:$B$415,2,FALSE)</f>
        <v>214</v>
      </c>
      <c r="V28" s="12"/>
      <c r="X28" s="12" t="str">
        <f t="shared" si="0"/>
        <v>271,278,214</v>
      </c>
    </row>
    <row r="29" spans="2:24" x14ac:dyDescent="0.15">
      <c r="B29" s="3">
        <v>1652</v>
      </c>
      <c r="C29" s="1" t="s">
        <v>394</v>
      </c>
      <c r="D29" s="1">
        <f>VLOOKUP(C29,装备!$B$2:$J$60,9,FALSE)*0.75</f>
        <v>14.25</v>
      </c>
      <c r="E29">
        <v>2</v>
      </c>
      <c r="G29" s="12" t="s">
        <v>525</v>
      </c>
      <c r="H29" s="3"/>
      <c r="I29" s="17" t="s">
        <v>374</v>
      </c>
      <c r="K29" s="12" t="s">
        <v>349</v>
      </c>
      <c r="L29" s="34" t="e">
        <f>VLOOKUP(K29,Sheet8!$A$1:$B$155,2,FALSE)</f>
        <v>#N/A</v>
      </c>
      <c r="M29" s="16" t="s">
        <v>362</v>
      </c>
      <c r="N29" s="16" t="e">
        <f>VLOOKUP(M29,Sheet8!$A$1:$B$155,2,FALSE)</f>
        <v>#N/A</v>
      </c>
      <c r="O29" s="16" t="s">
        <v>354</v>
      </c>
      <c r="P29" s="16" t="e">
        <f>VLOOKUP(O29,Sheet8!$A$1:$B$155,2,FALSE)</f>
        <v>#N/A</v>
      </c>
      <c r="S29" s="12">
        <f>VLOOKUP(K29,ItemData!$A$4:$B$415,2,FALSE)</f>
        <v>1651</v>
      </c>
      <c r="T29" s="12">
        <f>VLOOKUP(M29,ItemData!$A$4:$B$415,2,FALSE)</f>
        <v>227</v>
      </c>
      <c r="U29" s="12">
        <f>VLOOKUP(O29,ItemData!$A$4:$B$415,2,FALSE)</f>
        <v>299</v>
      </c>
      <c r="V29" s="12"/>
      <c r="X29" s="12" t="str">
        <f t="shared" si="0"/>
        <v>1651,227,299</v>
      </c>
    </row>
    <row r="30" spans="2:24" ht="14.25" customHeight="1" x14ac:dyDescent="0.15">
      <c r="B30" s="3">
        <v>1653</v>
      </c>
      <c r="C30" s="1" t="s">
        <v>395</v>
      </c>
      <c r="D30" s="1">
        <f>VLOOKUP(C30,装备!$B$2:$J$60,9,FALSE)*0.75</f>
        <v>22.5</v>
      </c>
      <c r="E30">
        <v>2</v>
      </c>
      <c r="G30" s="12" t="s">
        <v>525</v>
      </c>
      <c r="H30" s="3"/>
      <c r="I30" s="17" t="s">
        <v>343</v>
      </c>
      <c r="K30" t="s">
        <v>349</v>
      </c>
      <c r="L30" s="34" t="e">
        <f>VLOOKUP(K30,Sheet8!$A$1:$B$155,2,FALSE)</f>
        <v>#N/A</v>
      </c>
      <c r="M30" s="16" t="s">
        <v>948</v>
      </c>
      <c r="N30" s="16" t="e">
        <f>VLOOKUP(M30,Sheet8!$A$1:$B$155,2,FALSE)</f>
        <v>#N/A</v>
      </c>
      <c r="O30" s="16" t="s">
        <v>749</v>
      </c>
      <c r="P30" s="16" t="e">
        <f>VLOOKUP(O30,Sheet8!$A$1:$B$155,2,FALSE)</f>
        <v>#N/A</v>
      </c>
      <c r="S30" s="12">
        <f>VLOOKUP(K30,ItemData!$A$4:$B$415,2,FALSE)</f>
        <v>1651</v>
      </c>
      <c r="T30" s="12">
        <f>VLOOKUP(M30,ItemData!$A$4:$B$415,2,FALSE)</f>
        <v>223</v>
      </c>
      <c r="U30" s="12">
        <f>VLOOKUP(O30,ItemData!$A$4:$B$415,2,FALSE)</f>
        <v>301</v>
      </c>
      <c r="V30" s="12"/>
      <c r="X30" s="12" t="str">
        <f t="shared" si="0"/>
        <v>1651,223,301</v>
      </c>
    </row>
    <row r="31" spans="2:24" x14ac:dyDescent="0.15">
      <c r="B31" s="3">
        <v>1654</v>
      </c>
      <c r="C31" s="1" t="s">
        <v>353</v>
      </c>
      <c r="D31" s="1">
        <f>VLOOKUP(C31,装备!$B$2:$J$60,9,FALSE)*0.75</f>
        <v>28.5</v>
      </c>
      <c r="E31">
        <v>1</v>
      </c>
      <c r="G31" s="12" t="s">
        <v>432</v>
      </c>
      <c r="H31" s="3"/>
      <c r="I31" s="17" t="s">
        <v>603</v>
      </c>
      <c r="K31" s="12" t="s">
        <v>522</v>
      </c>
      <c r="L31" s="34" t="e">
        <f>VLOOKUP(K31,Sheet8!$A$1:$B$155,2,FALSE)</f>
        <v>#N/A</v>
      </c>
      <c r="M31" s="25" t="s">
        <v>445</v>
      </c>
      <c r="N31" s="16" t="e">
        <f>VLOOKUP(M31,Sheet8!$A$1:$B$155,2,FALSE)</f>
        <v>#N/A</v>
      </c>
      <c r="S31" s="12">
        <f>VLOOKUP(K31,ItemData!$A$4:$B$415,2,FALSE)</f>
        <v>298</v>
      </c>
      <c r="T31" s="12">
        <f>VLOOKUP(M31,ItemData!$A$4:$B$415,2,FALSE)</f>
        <v>205</v>
      </c>
      <c r="U31" s="12"/>
      <c r="V31" s="12"/>
      <c r="X31" s="12" t="str">
        <f t="shared" si="0"/>
        <v>298,205</v>
      </c>
    </row>
    <row r="32" spans="2:24" x14ac:dyDescent="0.15">
      <c r="B32" s="3">
        <v>1655</v>
      </c>
      <c r="C32" s="1" t="s">
        <v>396</v>
      </c>
      <c r="D32" s="1">
        <f>VLOOKUP(C32,装备!$B$2:$J$60,9,FALSE)*0.75</f>
        <v>36</v>
      </c>
      <c r="E32">
        <v>3</v>
      </c>
      <c r="G32" s="12" t="s">
        <v>432</v>
      </c>
      <c r="H32" s="3"/>
      <c r="I32" s="17" t="s">
        <v>375</v>
      </c>
      <c r="K32" s="12" t="s">
        <v>353</v>
      </c>
      <c r="L32" s="34" t="e">
        <f>VLOOKUP(K32,Sheet8!$A$1:$B$155,2,FALSE)</f>
        <v>#N/A</v>
      </c>
      <c r="M32" s="16" t="s">
        <v>587</v>
      </c>
      <c r="N32" s="16" t="e">
        <f>VLOOKUP(M32,Sheet8!$A$1:$B$155,2,FALSE)</f>
        <v>#N/A</v>
      </c>
      <c r="O32" s="16" t="s">
        <v>460</v>
      </c>
      <c r="P32" s="16" t="e">
        <f>VLOOKUP(O32,Sheet8!$A$1:$B$155,2,FALSE)</f>
        <v>#N/A</v>
      </c>
      <c r="Q32" s="16" t="s">
        <v>557</v>
      </c>
      <c r="R32" s="34" t="e">
        <f>VLOOKUP(Q32,Sheet8!$A$1:$B$155,2,FALSE)</f>
        <v>#N/A</v>
      </c>
      <c r="S32" s="12">
        <f>VLOOKUP(K32,ItemData!$A$4:$B$415,2,FALSE)</f>
        <v>1654</v>
      </c>
      <c r="T32" s="12">
        <f>VLOOKUP(M32,ItemData!$A$4:$B$415,2,FALSE)</f>
        <v>250</v>
      </c>
      <c r="U32" s="12">
        <f>VLOOKUP(O32,ItemData!$A$4:$B$415,2,FALSE)</f>
        <v>229</v>
      </c>
      <c r="V32" s="12">
        <f>VLOOKUP(Q32,ItemData!$A$4:$B$415,2,FALSE)</f>
        <v>286</v>
      </c>
      <c r="X32" s="12" t="str">
        <f t="shared" si="0"/>
        <v>1654,250,229,286</v>
      </c>
    </row>
    <row r="33" spans="2:24" s="12" customFormat="1" x14ac:dyDescent="0.15">
      <c r="B33" s="3">
        <v>1656</v>
      </c>
      <c r="C33" s="1" t="s">
        <v>667</v>
      </c>
      <c r="D33" s="1">
        <f>VLOOKUP(C33,装备!$B$2:$J$60,9,FALSE)*0.75</f>
        <v>34.5</v>
      </c>
      <c r="E33" s="12">
        <v>2</v>
      </c>
      <c r="G33" s="12" t="s">
        <v>432</v>
      </c>
      <c r="H33" s="3"/>
      <c r="I33" s="17" t="s">
        <v>668</v>
      </c>
      <c r="K33" s="12" t="s">
        <v>444</v>
      </c>
      <c r="L33" s="34" t="e">
        <f>VLOOKUP(K33,Sheet8!$A$1:$B$155,2,FALSE)</f>
        <v>#N/A</v>
      </c>
      <c r="M33" s="16" t="s">
        <v>353</v>
      </c>
      <c r="N33" s="16" t="e">
        <f>VLOOKUP(M33,Sheet8!$A$1:$B$155,2,FALSE)</f>
        <v>#N/A</v>
      </c>
      <c r="O33" s="16" t="s">
        <v>448</v>
      </c>
      <c r="P33" s="16" t="e">
        <f>VLOOKUP(O33,Sheet8!$A$1:$B$155,2,FALSE)</f>
        <v>#N/A</v>
      </c>
      <c r="Q33" s="16"/>
      <c r="R33" s="34"/>
      <c r="S33" s="12">
        <f>VLOOKUP(K33,ItemData!$A$4:$B$415,2,FALSE)</f>
        <v>202</v>
      </c>
      <c r="T33" s="12">
        <f>VLOOKUP(M33,ItemData!$A$4:$B$415,2,FALSE)</f>
        <v>1654</v>
      </c>
      <c r="U33" s="12">
        <f>VLOOKUP(O33,ItemData!$A$4:$B$415,2,FALSE)</f>
        <v>210</v>
      </c>
      <c r="X33" s="12" t="str">
        <f t="shared" si="0"/>
        <v>202,1654,210</v>
      </c>
    </row>
    <row r="34" spans="2:24" x14ac:dyDescent="0.15">
      <c r="B34" s="3">
        <v>1657</v>
      </c>
      <c r="C34" s="1" t="s">
        <v>355</v>
      </c>
      <c r="D34" s="1">
        <f>VLOOKUP(C34,装备!$B$2:$J$60,9,FALSE)*0.75</f>
        <v>31.5</v>
      </c>
      <c r="E34">
        <v>3</v>
      </c>
      <c r="G34" s="12" t="s">
        <v>525</v>
      </c>
      <c r="H34" s="3"/>
      <c r="I34" s="17" t="s">
        <v>344</v>
      </c>
      <c r="K34" s="12" t="s">
        <v>585</v>
      </c>
      <c r="L34" s="34" t="e">
        <f>VLOOKUP(K34,Sheet8!$A$1:$B$155,2,FALSE)</f>
        <v>#N/A</v>
      </c>
      <c r="M34" s="16" t="s">
        <v>748</v>
      </c>
      <c r="N34" s="16" t="e">
        <f>VLOOKUP(M34,Sheet8!$A$1:$B$155,2,FALSE)</f>
        <v>#N/A</v>
      </c>
      <c r="O34" s="16" t="s">
        <v>582</v>
      </c>
      <c r="P34" s="16" t="e">
        <f>VLOOKUP(O34,Sheet8!$A$1:$B$155,2,FALSE)</f>
        <v>#N/A</v>
      </c>
      <c r="Q34" s="16" t="s">
        <v>716</v>
      </c>
      <c r="R34" s="34" t="e">
        <f>VLOOKUP(Q34,Sheet8!$A$1:$B$155,2,FALSE)</f>
        <v>#N/A</v>
      </c>
      <c r="S34" s="12">
        <f>VLOOKUP(K34,ItemData!$A$4:$B$415,2,FALSE)</f>
        <v>272</v>
      </c>
      <c r="T34" s="12">
        <f>VLOOKUP(M34,ItemData!$A$4:$B$415,2,FALSE)</f>
        <v>228</v>
      </c>
      <c r="U34" s="12">
        <f>VLOOKUP(O34,ItemData!$A$4:$B$415,2,FALSE)</f>
        <v>277</v>
      </c>
      <c r="V34" s="12"/>
      <c r="X34" s="12" t="str">
        <f t="shared" si="0"/>
        <v>272,228,277</v>
      </c>
    </row>
    <row r="35" spans="2:24" x14ac:dyDescent="0.15">
      <c r="B35" s="3">
        <v>1658</v>
      </c>
      <c r="C35" s="1" t="s">
        <v>397</v>
      </c>
      <c r="D35" s="1">
        <f>VLOOKUP(C35,装备!$B$2:$J$60,9,FALSE)*0.75</f>
        <v>36</v>
      </c>
      <c r="E35">
        <v>2</v>
      </c>
      <c r="G35" s="12" t="s">
        <v>525</v>
      </c>
      <c r="H35" s="3"/>
      <c r="I35" s="17" t="s">
        <v>345</v>
      </c>
      <c r="K35" s="12" t="s">
        <v>516</v>
      </c>
      <c r="L35" s="34" t="e">
        <f>VLOOKUP(K35,Sheet8!$A$1:$B$155,2,FALSE)</f>
        <v>#N/A</v>
      </c>
      <c r="M35" s="16" t="s">
        <v>578</v>
      </c>
      <c r="N35" s="16" t="e">
        <f>VLOOKUP(M35,Sheet8!$A$1:$B$155,2,FALSE)</f>
        <v>#N/A</v>
      </c>
      <c r="O35" s="16" t="s">
        <v>584</v>
      </c>
      <c r="P35" s="16" t="e">
        <f>VLOOKUP(O35,Sheet8!$A$1:$B$155,2,FALSE)</f>
        <v>#N/A</v>
      </c>
      <c r="S35" s="12">
        <f>VLOOKUP(K35,ItemData!$A$4:$B$415,2,FALSE)</f>
        <v>273</v>
      </c>
      <c r="T35" s="12">
        <f>VLOOKUP(M35,ItemData!$A$4:$B$415,2,FALSE)</f>
        <v>278</v>
      </c>
      <c r="U35" s="12">
        <f>VLOOKUP(O35,ItemData!$A$4:$B$415,2,FALSE)</f>
        <v>271</v>
      </c>
      <c r="V35" s="12"/>
      <c r="X35" s="12" t="str">
        <f t="shared" si="0"/>
        <v>273,278,271</v>
      </c>
    </row>
    <row r="36" spans="2:24" x14ac:dyDescent="0.15">
      <c r="B36" s="3">
        <v>1659</v>
      </c>
      <c r="C36" s="1" t="s">
        <v>398</v>
      </c>
      <c r="D36" s="1">
        <f>VLOOKUP(C36,装备!$B$2:$J$60,9,FALSE)*0.75</f>
        <v>31.5</v>
      </c>
      <c r="E36">
        <v>3</v>
      </c>
      <c r="G36" s="12" t="s">
        <v>525</v>
      </c>
      <c r="H36" s="3"/>
      <c r="I36" s="17" t="s">
        <v>380</v>
      </c>
      <c r="K36" s="12" t="s">
        <v>517</v>
      </c>
      <c r="L36" s="34" t="e">
        <f>VLOOKUP(K36,Sheet8!$A$1:$B$155,2,FALSE)</f>
        <v>#N/A</v>
      </c>
      <c r="M36" s="16" t="s">
        <v>582</v>
      </c>
      <c r="N36" s="16" t="e">
        <f>VLOOKUP(M36,Sheet8!$A$1:$B$155,2,FALSE)</f>
        <v>#N/A</v>
      </c>
      <c r="O36" s="16" t="s">
        <v>409</v>
      </c>
      <c r="P36" s="16" t="e">
        <f>VLOOKUP(O36,Sheet8!$A$1:$B$155,2,FALSE)</f>
        <v>#N/A</v>
      </c>
      <c r="Q36" s="16" t="s">
        <v>371</v>
      </c>
      <c r="R36" s="34" t="e">
        <f>VLOOKUP(Q36,Sheet8!$A$1:$B$155,2,FALSE)</f>
        <v>#N/A</v>
      </c>
      <c r="S36" s="12">
        <f>VLOOKUP(K36,ItemData!$A$4:$B$415,2,FALSE)</f>
        <v>264</v>
      </c>
      <c r="T36" s="12">
        <f>VLOOKUP(M36,ItemData!$A$4:$B$415,2,FALSE)</f>
        <v>277</v>
      </c>
      <c r="U36" s="12">
        <f>VLOOKUP(O36,ItemData!$A$4:$B$415,2,FALSE)</f>
        <v>255</v>
      </c>
      <c r="V36" s="12">
        <f>VLOOKUP(Q36,ItemData!$A$4:$B$415,2,FALSE)</f>
        <v>246</v>
      </c>
      <c r="X36" s="12" t="str">
        <f t="shared" si="0"/>
        <v>264,277,255,246</v>
      </c>
    </row>
    <row r="37" spans="2:24" x14ac:dyDescent="0.15">
      <c r="B37" s="3">
        <v>1660</v>
      </c>
      <c r="C37" s="1" t="s">
        <v>399</v>
      </c>
      <c r="D37" s="1">
        <f>VLOOKUP(C37,装备!$B$2:$J$60,9,FALSE)*0.75</f>
        <v>36.75</v>
      </c>
      <c r="E37">
        <v>3</v>
      </c>
      <c r="G37" s="12" t="s">
        <v>525</v>
      </c>
      <c r="H37" s="3"/>
      <c r="I37" s="17" t="s">
        <v>381</v>
      </c>
      <c r="K37" s="12" t="s">
        <v>351</v>
      </c>
      <c r="L37" s="34" t="e">
        <f>VLOOKUP(K37,Sheet8!$A$1:$B$155,2,FALSE)</f>
        <v>#N/A</v>
      </c>
      <c r="M37" s="16" t="s">
        <v>447</v>
      </c>
      <c r="N37" s="16" t="e">
        <f>VLOOKUP(M37,Sheet8!$A$1:$B$155,2,FALSE)</f>
        <v>#N/A</v>
      </c>
      <c r="O37" s="16" t="s">
        <v>755</v>
      </c>
      <c r="P37" s="16" t="e">
        <f>VLOOKUP(O37,Sheet8!$A$1:$B$155,2,FALSE)</f>
        <v>#N/A</v>
      </c>
      <c r="S37" s="12">
        <f>VLOOKUP(K37,ItemData!$A$4:$B$415,2,FALSE)</f>
        <v>1650</v>
      </c>
      <c r="T37" s="12">
        <f>VLOOKUP(M37,ItemData!$A$4:$B$415,2,FALSE)</f>
        <v>208</v>
      </c>
      <c r="U37" s="12">
        <f>VLOOKUP(O37,ItemData!$A$4:$B$415,2,FALSE)</f>
        <v>224</v>
      </c>
      <c r="W37" s="12"/>
      <c r="X37" s="12" t="str">
        <f t="shared" si="0"/>
        <v>1650,208,224</v>
      </c>
    </row>
    <row r="38" spans="2:24" x14ac:dyDescent="0.15">
      <c r="B38" s="3">
        <v>1661</v>
      </c>
      <c r="C38" s="1" t="s">
        <v>400</v>
      </c>
      <c r="D38" s="1">
        <f>VLOOKUP(C38,装备!$B$2:$J$60,9,FALSE)*0.75</f>
        <v>53.25</v>
      </c>
      <c r="E38">
        <v>4</v>
      </c>
      <c r="G38" s="12" t="s">
        <v>525</v>
      </c>
      <c r="H38" s="3"/>
      <c r="I38" s="17" t="s">
        <v>377</v>
      </c>
      <c r="K38" s="12" t="s">
        <v>604</v>
      </c>
      <c r="L38" s="34" t="e">
        <f>VLOOKUP(K38,Sheet8!$A$1:$B$155,2,FALSE)</f>
        <v>#N/A</v>
      </c>
      <c r="M38" s="16" t="s">
        <v>365</v>
      </c>
      <c r="N38" s="16" t="e">
        <f>VLOOKUP(M38,Sheet8!$A$1:$B$155,2,FALSE)</f>
        <v>#N/A</v>
      </c>
      <c r="O38" s="16" t="s">
        <v>745</v>
      </c>
      <c r="P38" s="16" t="e">
        <f>VLOOKUP(O38,Sheet8!$A$1:$B$155,2,FALSE)</f>
        <v>#N/A</v>
      </c>
      <c r="Q38" s="16" t="s">
        <v>742</v>
      </c>
      <c r="R38" s="34" t="e">
        <f>VLOOKUP(Q38,Sheet8!$A$1:$B$155,2,FALSE)</f>
        <v>#N/A</v>
      </c>
      <c r="S38" s="12">
        <f>VLOOKUP(K38,ItemData!$A$4:$B$415,2,FALSE)</f>
        <v>1651</v>
      </c>
      <c r="T38" s="12">
        <f>VLOOKUP(M38,ItemData!$A$4:$B$415,2,FALSE)</f>
        <v>242</v>
      </c>
      <c r="U38" s="12">
        <f>VLOOKUP(O38,ItemData!$A$4:$B$415,2,FALSE)</f>
        <v>247</v>
      </c>
      <c r="V38" s="12">
        <f>VLOOKUP(Q38,ItemData!$A$4:$B$415,2,FALSE)</f>
        <v>241</v>
      </c>
      <c r="X38" s="12" t="str">
        <f t="shared" si="0"/>
        <v>1651,242,247,241</v>
      </c>
    </row>
    <row r="39" spans="2:24" x14ac:dyDescent="0.15">
      <c r="B39" s="3">
        <v>1662</v>
      </c>
      <c r="C39" s="1" t="s">
        <v>401</v>
      </c>
      <c r="D39" s="1">
        <f>VLOOKUP(C39,装备!$B$2:$J$60,9,FALSE)*0.75</f>
        <v>57</v>
      </c>
      <c r="E39">
        <v>4</v>
      </c>
      <c r="G39" s="12" t="s">
        <v>432</v>
      </c>
      <c r="H39" s="3"/>
      <c r="I39" s="17" t="s">
        <v>376</v>
      </c>
      <c r="K39" s="12" t="s">
        <v>353</v>
      </c>
      <c r="L39" s="34" t="e">
        <f>VLOOKUP(K39,Sheet8!$A$1:$B$155,2,FALSE)</f>
        <v>#N/A</v>
      </c>
      <c r="M39" s="16" t="s">
        <v>356</v>
      </c>
      <c r="N39" s="16" t="e">
        <f>VLOOKUP(M39,Sheet8!$A$1:$B$155,2,FALSE)</f>
        <v>#N/A</v>
      </c>
      <c r="O39" s="16" t="s">
        <v>406</v>
      </c>
      <c r="P39" s="16" t="e">
        <f>VLOOKUP(O39,Sheet8!$A$1:$B$155,2,FALSE)</f>
        <v>#N/A</v>
      </c>
      <c r="Q39" s="16" t="s">
        <v>454</v>
      </c>
      <c r="R39" s="34" t="e">
        <f>VLOOKUP(Q39,Sheet8!$A$1:$B$155,2,FALSE)</f>
        <v>#N/A</v>
      </c>
      <c r="S39" s="12">
        <f>VLOOKUP(K39,ItemData!$A$4:$B$415,2,FALSE)</f>
        <v>1654</v>
      </c>
      <c r="T39" s="12">
        <f>VLOOKUP(M39,ItemData!$A$4:$B$415,2,FALSE)</f>
        <v>274</v>
      </c>
      <c r="U39" s="12">
        <f>VLOOKUP(O39,ItemData!$A$4:$B$415,2,FALSE)</f>
        <v>299</v>
      </c>
      <c r="V39" s="12">
        <f>VLOOKUP(Q39,ItemData!$A$4:$B$415,2,FALSE)</f>
        <v>218</v>
      </c>
      <c r="X39" s="12" t="str">
        <f t="shared" si="0"/>
        <v>1654,274,299,218</v>
      </c>
    </row>
    <row r="40" spans="2:24" x14ac:dyDescent="0.15">
      <c r="B40" s="3">
        <v>1663</v>
      </c>
      <c r="C40" s="1" t="s">
        <v>402</v>
      </c>
      <c r="D40" s="1">
        <f>VLOOKUP(C40,装备!$B$2:$J$60,9,FALSE)*0.75</f>
        <v>42.75</v>
      </c>
      <c r="E40">
        <v>4</v>
      </c>
      <c r="G40" s="12" t="s">
        <v>525</v>
      </c>
      <c r="H40" s="3"/>
      <c r="I40" s="17" t="s">
        <v>378</v>
      </c>
      <c r="K40" s="12" t="s">
        <v>352</v>
      </c>
      <c r="L40" s="34" t="e">
        <f>VLOOKUP(K40,Sheet8!$A$1:$B$155,2,FALSE)</f>
        <v>#N/A</v>
      </c>
      <c r="M40" s="16" t="s">
        <v>357</v>
      </c>
      <c r="N40" s="16" t="e">
        <f>VLOOKUP(M40,Sheet8!$A$1:$B$155,2,FALSE)</f>
        <v>#N/A</v>
      </c>
      <c r="O40" s="16" t="s">
        <v>361</v>
      </c>
      <c r="P40" s="16" t="e">
        <f>VLOOKUP(O40,Sheet8!$A$1:$B$155,2,FALSE)</f>
        <v>#N/A</v>
      </c>
      <c r="S40" s="12">
        <f>VLOOKUP(K40,ItemData!$A$4:$B$415,2,FALSE)</f>
        <v>204</v>
      </c>
      <c r="T40" s="12">
        <f>VLOOKUP(M40,ItemData!$A$4:$B$415,2,FALSE)</f>
        <v>214</v>
      </c>
      <c r="U40" s="12">
        <f>VLOOKUP(O40,ItemData!$A$4:$B$415,2,FALSE)</f>
        <v>228</v>
      </c>
      <c r="W40" s="12"/>
      <c r="X40" s="12" t="str">
        <f t="shared" si="0"/>
        <v>204,214,228</v>
      </c>
    </row>
    <row r="41" spans="2:24" x14ac:dyDescent="0.15">
      <c r="B41" s="3">
        <v>1664</v>
      </c>
      <c r="C41" s="1" t="s">
        <v>403</v>
      </c>
      <c r="D41" s="1">
        <f>VLOOKUP(C41,装备!$B$2:$J$60,9,FALSE)*0.75</f>
        <v>42.75</v>
      </c>
      <c r="E41">
        <v>4</v>
      </c>
      <c r="G41" s="12" t="s">
        <v>525</v>
      </c>
      <c r="H41" s="3"/>
      <c r="I41" s="17" t="s">
        <v>379</v>
      </c>
      <c r="K41" s="12" t="s">
        <v>351</v>
      </c>
      <c r="L41" s="34" t="e">
        <f>VLOOKUP(K41,Sheet8!$A$1:$B$155,2,FALSE)</f>
        <v>#N/A</v>
      </c>
      <c r="M41" s="16" t="s">
        <v>527</v>
      </c>
      <c r="N41" s="16" t="e">
        <f>VLOOKUP(M41,Sheet8!$A$1:$B$155,2,FALSE)</f>
        <v>#N/A</v>
      </c>
      <c r="O41" s="43" t="s">
        <v>532</v>
      </c>
      <c r="P41" s="16" t="e">
        <f>VLOOKUP(O41,Sheet8!$A$1:$B$155,2,FALSE)</f>
        <v>#N/A</v>
      </c>
      <c r="S41" s="12">
        <f>VLOOKUP(K41,ItemData!$A$4:$B$415,2,FALSE)</f>
        <v>1650</v>
      </c>
      <c r="T41" s="12">
        <f>VLOOKUP(M41,ItemData!$A$4:$B$415,2,FALSE)</f>
        <v>232</v>
      </c>
      <c r="U41" s="12">
        <f>VLOOKUP(O41,ItemData!$A$4:$B$415,2,FALSE)</f>
        <v>282</v>
      </c>
      <c r="W41" s="12"/>
      <c r="X41" s="12" t="str">
        <f t="shared" si="0"/>
        <v>1650,232,282</v>
      </c>
    </row>
    <row r="42" spans="2:24" x14ac:dyDescent="0.15">
      <c r="B42" s="3">
        <v>1665</v>
      </c>
      <c r="C42" s="1" t="s">
        <v>390</v>
      </c>
      <c r="D42" s="1">
        <f>VLOOKUP(C42,装备!$B$2:$J$60,9,FALSE)*0.75</f>
        <v>41.25</v>
      </c>
      <c r="E42">
        <v>4</v>
      </c>
      <c r="G42" s="12" t="s">
        <v>525</v>
      </c>
      <c r="H42" s="3"/>
      <c r="I42" s="17" t="s">
        <v>390</v>
      </c>
      <c r="K42" s="12" t="s">
        <v>355</v>
      </c>
      <c r="L42" s="34" t="e">
        <f>VLOOKUP(K42,Sheet8!$A$1:$B$155,2,FALSE)</f>
        <v>#N/A</v>
      </c>
      <c r="M42" s="16" t="s">
        <v>502</v>
      </c>
      <c r="N42" s="16" t="e">
        <f>VLOOKUP(M42,Sheet8!$A$1:$B$155,2,FALSE)</f>
        <v>#N/A</v>
      </c>
      <c r="O42" s="16" t="s">
        <v>463</v>
      </c>
      <c r="P42" s="16" t="e">
        <f>VLOOKUP(O42,Sheet8!$A$1:$B$155,2,FALSE)</f>
        <v>#N/A</v>
      </c>
      <c r="Q42" s="16" t="s">
        <v>372</v>
      </c>
      <c r="R42" s="34" t="e">
        <f>VLOOKUP(Q42,Sheet8!$A$1:$B$155,2,FALSE)</f>
        <v>#N/A</v>
      </c>
      <c r="S42" s="12">
        <f>VLOOKUP(K42,ItemData!$A$4:$B$415,2,FALSE)</f>
        <v>1657</v>
      </c>
      <c r="T42" s="12">
        <f>VLOOKUP(M42,ItemData!$A$4:$B$415,2,FALSE)</f>
        <v>279</v>
      </c>
      <c r="U42" s="12">
        <f>VLOOKUP(O42,ItemData!$A$4:$B$415,2,FALSE)</f>
        <v>234</v>
      </c>
      <c r="V42" s="12">
        <f>VLOOKUP(Q42,ItemData!$A$4:$B$415,2,FALSE)</f>
        <v>247</v>
      </c>
      <c r="X42" s="12" t="str">
        <f t="shared" si="0"/>
        <v>1657,279,234,247</v>
      </c>
    </row>
    <row r="43" spans="2:24" s="12" customFormat="1" x14ac:dyDescent="0.15">
      <c r="B43" s="3">
        <v>1666</v>
      </c>
      <c r="C43" s="1" t="s">
        <v>620</v>
      </c>
      <c r="D43" s="1">
        <f>VLOOKUP(C43,装备!$B$2:$J$60,9,FALSE)*0.75</f>
        <v>41.25</v>
      </c>
      <c r="E43" s="12">
        <v>4</v>
      </c>
      <c r="G43" s="12" t="s">
        <v>525</v>
      </c>
      <c r="H43" s="3"/>
      <c r="I43" s="18" t="s">
        <v>550</v>
      </c>
      <c r="K43" s="12" t="s">
        <v>746</v>
      </c>
      <c r="L43" s="34" t="e">
        <f>VLOOKUP(K43,Sheet8!$A$1:$B$155,2,FALSE)</f>
        <v>#N/A</v>
      </c>
      <c r="M43" s="16" t="s">
        <v>351</v>
      </c>
      <c r="N43" s="16" t="e">
        <f>VLOOKUP(M43,Sheet8!$A$1:$B$155,2,FALSE)</f>
        <v>#N/A</v>
      </c>
      <c r="O43" s="16" t="s">
        <v>469</v>
      </c>
      <c r="P43" s="16" t="e">
        <f>VLOOKUP(O43,Sheet8!$A$1:$B$155,2,FALSE)</f>
        <v>#N/A</v>
      </c>
      <c r="Q43" s="16" t="s">
        <v>722</v>
      </c>
      <c r="R43" s="34" t="e">
        <f>VLOOKUP(Q43,Sheet8!$A$1:$B$155,2,FALSE)</f>
        <v>#N/A</v>
      </c>
      <c r="S43" s="12">
        <f>VLOOKUP(K43,ItemData!$A$4:$B$415,2,FALSE)</f>
        <v>248</v>
      </c>
      <c r="T43" s="12">
        <f>VLOOKUP(M43,ItemData!$A$4:$B$415,2,FALSE)</f>
        <v>1650</v>
      </c>
      <c r="U43" s="12">
        <f>VLOOKUP(O43,ItemData!$A$4:$B$415,2,FALSE)</f>
        <v>245</v>
      </c>
      <c r="V43" s="12">
        <f>VLOOKUP(Q43,ItemData!$A$4:$B$415,2,FALSE)</f>
        <v>285</v>
      </c>
      <c r="X43" s="12" t="str">
        <f t="shared" si="0"/>
        <v>248,1650,245,285</v>
      </c>
    </row>
    <row r="44" spans="2:24" x14ac:dyDescent="0.15">
      <c r="B44" s="3">
        <v>1700</v>
      </c>
      <c r="C44" s="1" t="s">
        <v>425</v>
      </c>
      <c r="D44" s="1">
        <f>VLOOKUP(C44,装备!$B$2:$J$60,9,FALSE)*0.75</f>
        <v>3</v>
      </c>
      <c r="E44">
        <v>1</v>
      </c>
      <c r="G44" s="12" t="s">
        <v>525</v>
      </c>
      <c r="H44" s="3"/>
      <c r="I44" s="18" t="s">
        <v>426</v>
      </c>
      <c r="K44" t="s">
        <v>434</v>
      </c>
      <c r="L44" s="34" t="e">
        <f>VLOOKUP(K44,Sheet8!$A$1:$B$155,2,FALSE)</f>
        <v>#N/A</v>
      </c>
      <c r="M44" s="16" t="s">
        <v>759</v>
      </c>
      <c r="N44" s="16" t="e">
        <f>VLOOKUP(M44,Sheet8!$A$1:$B$165,2,FALSE)</f>
        <v>#N/A</v>
      </c>
      <c r="O44" s="16" t="s">
        <v>830</v>
      </c>
      <c r="P44" s="16" t="e">
        <f>VLOOKUP(O44,Sheet8!$A$1:$B$155,2,FALSE)</f>
        <v>#N/A</v>
      </c>
      <c r="S44" s="12">
        <f>VLOOKUP(K44,ItemData!$A$4:$B$415,2,FALSE)</f>
        <v>204</v>
      </c>
      <c r="T44" s="12">
        <f>VLOOKUP(M44,ItemData!$A$4:$B$415,2,FALSE)</f>
        <v>302</v>
      </c>
      <c r="U44" s="12">
        <f>VLOOKUP(O44,ItemData!$A$4:$B$415,2,FALSE)</f>
        <v>278</v>
      </c>
      <c r="W44" s="12"/>
      <c r="X44" s="12" t="str">
        <f t="shared" si="0"/>
        <v>204,302,278</v>
      </c>
    </row>
    <row r="45" spans="2:24" x14ac:dyDescent="0.15">
      <c r="B45" s="3">
        <v>1701</v>
      </c>
      <c r="C45" s="1" t="s">
        <v>422</v>
      </c>
      <c r="D45" s="1">
        <f>VLOOKUP(C45,装备!$B$2:$J$60,9,FALSE)*0.75</f>
        <v>9</v>
      </c>
      <c r="E45">
        <v>1</v>
      </c>
      <c r="G45" s="12" t="s">
        <v>525</v>
      </c>
      <c r="H45" s="3"/>
      <c r="I45" s="18" t="s">
        <v>577</v>
      </c>
      <c r="K45" t="s">
        <v>440</v>
      </c>
      <c r="L45" s="34" t="e">
        <f>VLOOKUP(K45,Sheet8!$A$1:$B$155,2,FALSE)</f>
        <v>#N/A</v>
      </c>
      <c r="M45" s="16" t="s">
        <v>457</v>
      </c>
      <c r="N45" s="16" t="e">
        <f>VLOOKUP(M45,Sheet8!$A$1:$B$155,2,FALSE)</f>
        <v>#N/A</v>
      </c>
      <c r="O45" s="16" t="s">
        <v>526</v>
      </c>
      <c r="P45" s="16" t="e">
        <f>VLOOKUP(O45,Sheet8!$A$1:$B$155,2,FALSE)</f>
        <v>#N/A</v>
      </c>
      <c r="S45" s="12">
        <f>VLOOKUP(K45,ItemData!$A$4:$B$415,2,FALSE)</f>
        <v>271</v>
      </c>
      <c r="T45" s="12">
        <f>VLOOKUP(M45,ItemData!$A$4:$B$415,2,FALSE)</f>
        <v>222</v>
      </c>
      <c r="U45" s="12">
        <f>VLOOKUP(O45,ItemData!$A$4:$B$415,2,FALSE)</f>
        <v>278</v>
      </c>
      <c r="W45" s="12"/>
      <c r="X45" s="12" t="str">
        <f t="shared" si="0"/>
        <v>271,222,278</v>
      </c>
    </row>
    <row r="46" spans="2:24" x14ac:dyDescent="0.15">
      <c r="B46" s="3">
        <v>1702</v>
      </c>
      <c r="C46" s="1" t="s">
        <v>423</v>
      </c>
      <c r="D46" s="1">
        <f>VLOOKUP(C46,装备!$B$2:$J$60,9,FALSE)*0.75</f>
        <v>14.25</v>
      </c>
      <c r="E46">
        <v>2</v>
      </c>
      <c r="G46" s="12" t="s">
        <v>432</v>
      </c>
      <c r="H46" s="3"/>
      <c r="I46" s="18" t="s">
        <v>435</v>
      </c>
      <c r="K46" s="12" t="s">
        <v>419</v>
      </c>
      <c r="L46" s="34" t="e">
        <f>VLOOKUP(K46,Sheet8!$A$1:$B$155,2,FALSE)</f>
        <v>#N/A</v>
      </c>
      <c r="M46" s="16" t="s">
        <v>567</v>
      </c>
      <c r="N46" s="16" t="e">
        <f>VLOOKUP(M46,Sheet8!$A$1:$B$155,2,FALSE)</f>
        <v>#N/A</v>
      </c>
      <c r="O46" s="16" t="s">
        <v>444</v>
      </c>
      <c r="P46" s="16" t="e">
        <f>VLOOKUP(O46,Sheet8!$A$1:$B$155,2,FALSE)</f>
        <v>#N/A</v>
      </c>
      <c r="S46" s="12">
        <f>VLOOKUP(K46,ItemData!$A$4:$B$415,2,FALSE)</f>
        <v>298</v>
      </c>
      <c r="T46" s="12">
        <f>VLOOKUP(M46,ItemData!$A$4:$B$415,2,FALSE)</f>
        <v>210</v>
      </c>
      <c r="U46" s="12">
        <f>VLOOKUP(O46,ItemData!$A$4:$B$415,2,FALSE)</f>
        <v>202</v>
      </c>
      <c r="W46" s="12"/>
      <c r="X46" s="12" t="str">
        <f t="shared" si="0"/>
        <v>298,210,202</v>
      </c>
    </row>
    <row r="47" spans="2:24" ht="27" x14ac:dyDescent="0.15">
      <c r="B47" s="3">
        <v>1703</v>
      </c>
      <c r="C47" s="1" t="s">
        <v>424</v>
      </c>
      <c r="D47" s="1">
        <f>VLOOKUP(C47,装备!$B$2:$J$60,9,FALSE)*0.75</f>
        <v>8.25</v>
      </c>
      <c r="E47">
        <v>3</v>
      </c>
      <c r="G47" s="12" t="s">
        <v>525</v>
      </c>
      <c r="H47" s="3"/>
      <c r="I47" s="18" t="s">
        <v>594</v>
      </c>
      <c r="K47" s="12" t="s">
        <v>422</v>
      </c>
      <c r="L47" s="34" t="e">
        <f>VLOOKUP(K47,Sheet8!$A$1:$B$155,2,FALSE)</f>
        <v>#N/A</v>
      </c>
      <c r="M47" s="16" t="s">
        <v>516</v>
      </c>
      <c r="N47" s="16" t="e">
        <f>VLOOKUP(M47,Sheet8!$A$1:$B$155,2,FALSE)</f>
        <v>#N/A</v>
      </c>
      <c r="O47" s="16" t="s">
        <v>350</v>
      </c>
      <c r="P47" s="16" t="e">
        <f>VLOOKUP(O47,Sheet8!$A$1:$B$155,2,FALSE)</f>
        <v>#N/A</v>
      </c>
      <c r="Q47" s="16" t="s">
        <v>714</v>
      </c>
      <c r="R47" s="34" t="e">
        <f>VLOOKUP(Q47,Sheet8!$A$1:$B$155,2,FALSE)</f>
        <v>#N/A</v>
      </c>
      <c r="S47" s="12">
        <f>VLOOKUP(K47,ItemData!$A$4:$B$415,2,FALSE)</f>
        <v>1701</v>
      </c>
      <c r="T47" s="12">
        <f>VLOOKUP(M47,ItemData!$A$4:$B$415,2,FALSE)</f>
        <v>273</v>
      </c>
      <c r="U47" s="12">
        <f>VLOOKUP(O47,ItemData!$A$4:$B$415,2,FALSE)</f>
        <v>238</v>
      </c>
      <c r="W47" s="12"/>
      <c r="X47" s="12" t="str">
        <f t="shared" si="0"/>
        <v>1701,273,238</v>
      </c>
    </row>
    <row r="48" spans="2:24" x14ac:dyDescent="0.15">
      <c r="B48" s="3">
        <v>1704</v>
      </c>
      <c r="C48" s="1" t="s">
        <v>427</v>
      </c>
      <c r="D48" s="1">
        <f>VLOOKUP(C48,装备!$B$2:$J$60,9,FALSE)*0.75</f>
        <v>15</v>
      </c>
      <c r="E48">
        <v>2</v>
      </c>
      <c r="G48" s="12" t="s">
        <v>525</v>
      </c>
      <c r="H48" s="3"/>
      <c r="I48" s="18" t="s">
        <v>591</v>
      </c>
      <c r="K48" s="12" t="s">
        <v>426</v>
      </c>
      <c r="L48" s="34" t="e">
        <f>VLOOKUP(K48,Sheet8!$A$1:$B$155,2,FALSE)</f>
        <v>#N/A</v>
      </c>
      <c r="M48" s="16" t="s">
        <v>714</v>
      </c>
      <c r="N48" s="16" t="e">
        <f>VLOOKUP(M48,Sheet8!$A$1:$B$155,2,FALSE)</f>
        <v>#N/A</v>
      </c>
      <c r="O48" s="16" t="s">
        <v>357</v>
      </c>
      <c r="P48" s="16" t="e">
        <f>VLOOKUP(O48,Sheet8!$A$1:$B$155,2,FALSE)</f>
        <v>#N/A</v>
      </c>
      <c r="S48" s="12">
        <f>VLOOKUP(K48,ItemData!$A$4:$B$415,2,FALSE)</f>
        <v>1700</v>
      </c>
      <c r="T48" s="12">
        <f>VLOOKUP(M48,ItemData!$A$4:$B$415,2,FALSE)</f>
        <v>301</v>
      </c>
      <c r="U48" s="12">
        <f>VLOOKUP(O48,ItemData!$A$4:$B$415,2,FALSE)</f>
        <v>214</v>
      </c>
      <c r="W48" s="12"/>
      <c r="X48" s="12" t="str">
        <f t="shared" si="0"/>
        <v>1700,301,214</v>
      </c>
    </row>
    <row r="49" spans="2:24" x14ac:dyDescent="0.15">
      <c r="B49" s="3">
        <v>1705</v>
      </c>
      <c r="C49" s="1" t="s">
        <v>431</v>
      </c>
      <c r="D49" s="1">
        <f>VLOOKUP(C49,装备!$B$2:$J$60,9,FALSE)*0.75</f>
        <v>23.25</v>
      </c>
      <c r="E49">
        <v>3</v>
      </c>
      <c r="G49" s="12" t="s">
        <v>525</v>
      </c>
      <c r="H49" s="3"/>
      <c r="I49" s="18" t="s">
        <v>501</v>
      </c>
      <c r="K49" s="12" t="s">
        <v>422</v>
      </c>
      <c r="L49" s="34" t="e">
        <f>VLOOKUP(K49,Sheet8!$A$1:$B$155,2,FALSE)</f>
        <v>#N/A</v>
      </c>
      <c r="M49" s="16" t="s">
        <v>756</v>
      </c>
      <c r="N49" s="16" t="e">
        <f>VLOOKUP(M49,Sheet8!$A$1:$B$155,2,FALSE)</f>
        <v>#N/A</v>
      </c>
      <c r="O49" s="16" t="s">
        <v>348</v>
      </c>
      <c r="P49" s="16" t="e">
        <f>VLOOKUP(O49,Sheet8!$A$1:$B$155,2,FALSE)</f>
        <v>#N/A</v>
      </c>
      <c r="Q49" s="16" t="s">
        <v>502</v>
      </c>
      <c r="R49" s="34" t="e">
        <f>VLOOKUP(Q49,Sheet8!$A$1:$B$155,2,FALSE)</f>
        <v>#N/A</v>
      </c>
      <c r="S49" s="12">
        <f>VLOOKUP(K49,ItemData!$A$4:$B$415,2,FALSE)</f>
        <v>1701</v>
      </c>
      <c r="T49" s="12">
        <f>VLOOKUP(M49,ItemData!$A$4:$B$415,2,FALSE)</f>
        <v>234</v>
      </c>
      <c r="U49" s="12">
        <f>VLOOKUP(O49,ItemData!$A$4:$B$415,2,FALSE)</f>
        <v>223</v>
      </c>
      <c r="V49" s="12">
        <f>VLOOKUP(Q49,ItemData!$A$4:$B$415,2,FALSE)</f>
        <v>279</v>
      </c>
      <c r="X49" s="12" t="str">
        <f t="shared" si="0"/>
        <v>1701,234,223,279</v>
      </c>
    </row>
    <row r="50" spans="2:24" s="12" customFormat="1" x14ac:dyDescent="0.15">
      <c r="B50" s="3">
        <v>1706</v>
      </c>
      <c r="C50" s="1" t="s">
        <v>430</v>
      </c>
      <c r="D50" s="1">
        <f>VLOOKUP(C50,装备!$B$2:$J$60,9,FALSE)*0.75</f>
        <v>22.5</v>
      </c>
      <c r="E50" s="12">
        <v>3</v>
      </c>
      <c r="G50" s="12" t="s">
        <v>525</v>
      </c>
      <c r="H50" s="3"/>
      <c r="I50" s="18" t="s">
        <v>436</v>
      </c>
      <c r="K50" s="12" t="s">
        <v>425</v>
      </c>
      <c r="L50" s="34" t="e">
        <f>VLOOKUP(K50,Sheet8!$A$1:$B$155,2,FALSE)</f>
        <v>#N/A</v>
      </c>
      <c r="M50" s="16" t="s">
        <v>489</v>
      </c>
      <c r="N50" s="16" t="e">
        <f>VLOOKUP(M50,Sheet8!$A$1:$B$155,2,FALSE)</f>
        <v>#N/A</v>
      </c>
      <c r="O50" s="16" t="s">
        <v>592</v>
      </c>
      <c r="P50" s="16" t="e">
        <f>VLOOKUP(O50,Sheet8!$A$1:$B$155,2,FALSE)</f>
        <v>#N/A</v>
      </c>
      <c r="Q50" s="16" t="s">
        <v>738</v>
      </c>
      <c r="R50" s="34" t="e">
        <f>VLOOKUP(Q50,Sheet8!$A$1:$B$155,2,FALSE)</f>
        <v>#N/A</v>
      </c>
      <c r="S50" s="12">
        <f>VLOOKUP(K50,ItemData!$A$4:$B$415,2,FALSE)</f>
        <v>1700</v>
      </c>
      <c r="T50" s="12">
        <f>VLOOKUP(M50,ItemData!$A$4:$B$415,2,FALSE)</f>
        <v>280</v>
      </c>
      <c r="U50" s="12">
        <f>VLOOKUP(O50,ItemData!$A$4:$B$415,2,FALSE)</f>
        <v>232</v>
      </c>
      <c r="V50" s="12">
        <f>VLOOKUP(Q50,ItemData!$A$4:$B$415,2,FALSE)</f>
        <v>272</v>
      </c>
      <c r="X50" s="12" t="str">
        <f t="shared" si="0"/>
        <v>1700,280,232,272</v>
      </c>
    </row>
    <row r="51" spans="2:24" s="12" customFormat="1" x14ac:dyDescent="0.15">
      <c r="B51" s="3">
        <v>1707</v>
      </c>
      <c r="C51" s="1" t="s">
        <v>429</v>
      </c>
      <c r="D51" s="1">
        <f>VLOOKUP(C51,装备!$B$2:$J$60,9,FALSE)*0.75</f>
        <v>34.5</v>
      </c>
      <c r="E51" s="12">
        <v>4</v>
      </c>
      <c r="G51" s="12" t="s">
        <v>432</v>
      </c>
      <c r="H51" s="3"/>
      <c r="I51" s="18" t="s">
        <v>437</v>
      </c>
      <c r="K51" s="18" t="s">
        <v>435</v>
      </c>
      <c r="L51" s="34" t="e">
        <f>VLOOKUP(K51,Sheet8!$A$1:$B$155,2,FALSE)</f>
        <v>#N/A</v>
      </c>
      <c r="M51" s="16" t="s">
        <v>500</v>
      </c>
      <c r="N51" s="16" t="e">
        <f>VLOOKUP(M51,Sheet8!$A$1:$B$155,2,FALSE)</f>
        <v>#N/A</v>
      </c>
      <c r="O51" s="16" t="s">
        <v>467</v>
      </c>
      <c r="P51" s="16" t="e">
        <f>VLOOKUP(O51,Sheet8!$A$1:$B$155,2,FALSE)</f>
        <v>#N/A</v>
      </c>
      <c r="Q51" s="16" t="s">
        <v>573</v>
      </c>
      <c r="R51" s="34" t="e">
        <f>VLOOKUP(Q51,Sheet8!$A$1:$B$155,2,FALSE)</f>
        <v>#N/A</v>
      </c>
      <c r="S51" s="12">
        <f>VLOOKUP(K51,ItemData!$A$4:$B$415,2,FALSE)</f>
        <v>1702</v>
      </c>
      <c r="T51" s="12">
        <f>VLOOKUP(M51,ItemData!$A$4:$B$415,2,FALSE)</f>
        <v>275</v>
      </c>
      <c r="U51" s="12">
        <f>VLOOKUP(O51,ItemData!$A$4:$B$415,2,FALSE)</f>
        <v>240</v>
      </c>
      <c r="V51" s="12">
        <f>VLOOKUP(Q51,ItemData!$A$4:$B$415,2,FALSE)</f>
        <v>299</v>
      </c>
      <c r="X51" s="12" t="str">
        <f t="shared" si="0"/>
        <v>1702,275,240,299</v>
      </c>
    </row>
    <row r="52" spans="2:24" s="12" customFormat="1" x14ac:dyDescent="0.15">
      <c r="B52" s="3">
        <v>1708</v>
      </c>
      <c r="C52" s="1" t="s">
        <v>433</v>
      </c>
      <c r="D52" s="1">
        <f>VLOOKUP(C52,装备!$B$2:$J$60,9,FALSE)*0.75</f>
        <v>30</v>
      </c>
      <c r="E52" s="12">
        <v>4</v>
      </c>
      <c r="G52" s="12" t="s">
        <v>525</v>
      </c>
      <c r="H52" s="3"/>
      <c r="I52" s="18" t="s">
        <v>504</v>
      </c>
      <c r="K52" s="12" t="s">
        <v>426</v>
      </c>
      <c r="L52" s="34" t="e">
        <f>VLOOKUP(K52,Sheet8!$A$1:$B$155,2,FALSE)</f>
        <v>#N/A</v>
      </c>
      <c r="M52" s="16" t="s">
        <v>589</v>
      </c>
      <c r="N52" s="16" t="e">
        <f>VLOOKUP(M52,Sheet8!$A$1:$B$155,2,FALSE)</f>
        <v>#N/A</v>
      </c>
      <c r="O52" s="16" t="s">
        <v>757</v>
      </c>
      <c r="P52" s="16" t="e">
        <f>VLOOKUP(O52,Sheet8!$A$1:$B$155,2,FALSE)</f>
        <v>#N/A</v>
      </c>
      <c r="Q52" s="16" t="s">
        <v>751</v>
      </c>
      <c r="R52" s="34" t="e">
        <f>VLOOKUP(Q52,Sheet8!$A$1:$B$155,2,FALSE)</f>
        <v>#N/A</v>
      </c>
      <c r="S52" s="12">
        <f>VLOOKUP(K52,ItemData!$A$4:$B$415,2,FALSE)</f>
        <v>1700</v>
      </c>
      <c r="T52" s="12">
        <f>VLOOKUP(M52,ItemData!$A$4:$B$415,2,FALSE)</f>
        <v>281</v>
      </c>
      <c r="U52" s="12">
        <f>VLOOKUP(O52,ItemData!$A$4:$B$415,2,FALSE)</f>
        <v>251</v>
      </c>
      <c r="V52" s="12">
        <f>VLOOKUP(Q52,ItemData!$A$4:$B$415,2,FALSE)</f>
        <v>282</v>
      </c>
      <c r="X52" s="12" t="str">
        <f t="shared" si="0"/>
        <v>1700,281,251,282</v>
      </c>
    </row>
    <row r="53" spans="2:24" x14ac:dyDescent="0.15">
      <c r="B53" s="3">
        <v>1709</v>
      </c>
      <c r="C53" s="1" t="s">
        <v>428</v>
      </c>
      <c r="D53" s="1">
        <f>VLOOKUP(C53,装备!$B$2:$J$60,9,FALSE)*0.75</f>
        <v>30</v>
      </c>
      <c r="E53">
        <v>4</v>
      </c>
      <c r="G53" s="12" t="s">
        <v>525</v>
      </c>
      <c r="H53" s="3"/>
      <c r="I53" s="18" t="s">
        <v>505</v>
      </c>
      <c r="K53" t="s">
        <v>369</v>
      </c>
      <c r="L53" s="34" t="e">
        <f>VLOOKUP(K53,Sheet8!$A$1:$B$155,2,FALSE)</f>
        <v>#N/A</v>
      </c>
      <c r="M53" s="16" t="s">
        <v>427</v>
      </c>
      <c r="N53" s="16" t="e">
        <f>VLOOKUP(M53,Sheet8!$A$1:$B$155,2,FALSE)</f>
        <v>#N/A</v>
      </c>
      <c r="O53" s="16" t="s">
        <v>747</v>
      </c>
      <c r="P53" s="16" t="e">
        <f>VLOOKUP(O53,Sheet8!$A$1:$B$155,2,FALSE)</f>
        <v>#N/A</v>
      </c>
      <c r="Q53" s="16" t="s">
        <v>478</v>
      </c>
      <c r="R53" s="34" t="e">
        <f>VLOOKUP(Q53,Sheet8!$A$1:$B$155,2,FALSE)</f>
        <v>#N/A</v>
      </c>
      <c r="S53" s="12">
        <f>VLOOKUP(K53,ItemData!$A$4:$B$415,2,FALSE)</f>
        <v>224</v>
      </c>
      <c r="T53" s="12">
        <f>VLOOKUP(M53,ItemData!$A$4:$B$415,2,FALSE)</f>
        <v>1704</v>
      </c>
      <c r="U53" s="12">
        <f>VLOOKUP(O53,ItemData!$A$4:$B$415,2,FALSE)</f>
        <v>264</v>
      </c>
      <c r="V53" s="12">
        <f>VLOOKUP(Q53,ItemData!$A$4:$B$415,2,FALSE)</f>
        <v>258</v>
      </c>
      <c r="X53" s="12" t="str">
        <f t="shared" si="0"/>
        <v>224,1704,264,258</v>
      </c>
    </row>
    <row r="54" spans="2:24" s="12" customFormat="1" x14ac:dyDescent="0.15">
      <c r="B54" s="3">
        <v>1710</v>
      </c>
      <c r="C54" s="1" t="s">
        <v>621</v>
      </c>
      <c r="D54" s="1">
        <f>VLOOKUP(C54,装备!$B$2:$J$60,9,FALSE)*0.75</f>
        <v>37.5</v>
      </c>
      <c r="E54" s="12">
        <v>4</v>
      </c>
      <c r="G54" s="12" t="s">
        <v>758</v>
      </c>
      <c r="I54" s="18" t="s">
        <v>551</v>
      </c>
      <c r="K54" s="12" t="s">
        <v>424</v>
      </c>
      <c r="L54" s="34" t="e">
        <f>VLOOKUP(K54,Sheet8!$A$1:$B$155,2,FALSE)</f>
        <v>#N/A</v>
      </c>
      <c r="M54" s="16" t="s">
        <v>554</v>
      </c>
      <c r="N54" s="16" t="e">
        <f>VLOOKUP(M54,Sheet8!$A$1:$B$155,2,FALSE)</f>
        <v>#N/A</v>
      </c>
      <c r="O54" s="16" t="s">
        <v>462</v>
      </c>
      <c r="P54" s="16" t="e">
        <f>VLOOKUP(O54,Sheet8!$A$1:$B$155,2,FALSE)</f>
        <v>#N/A</v>
      </c>
      <c r="Q54" s="16" t="s">
        <v>484</v>
      </c>
      <c r="R54" s="34" t="e">
        <f>VLOOKUP(Q54,Sheet8!$A$1:$B$155,2,FALSE)</f>
        <v>#N/A</v>
      </c>
      <c r="S54" s="12">
        <f>VLOOKUP(K54,ItemData!$A$4:$B$415,2,FALSE)</f>
        <v>1703</v>
      </c>
      <c r="T54" s="12">
        <f>VLOOKUP(M54,ItemData!$A$4:$B$415,2,FALSE)</f>
        <v>282</v>
      </c>
      <c r="U54" s="12">
        <f>VLOOKUP(O54,ItemData!$A$4:$B$415,2,FALSE)</f>
        <v>232</v>
      </c>
      <c r="V54" s="12">
        <f>VLOOKUP(Q54,ItemData!$A$4:$B$415,2,FALSE)</f>
        <v>267</v>
      </c>
      <c r="X54" s="12" t="str">
        <f t="shared" si="0"/>
        <v>1703,282,232,267</v>
      </c>
    </row>
    <row r="55" spans="2:24" s="12" customFormat="1" x14ac:dyDescent="0.15">
      <c r="D55" s="34"/>
      <c r="L55" s="34"/>
      <c r="M55" s="16"/>
      <c r="N55" s="16"/>
      <c r="O55" s="16"/>
      <c r="P55" s="16"/>
      <c r="Q55" s="16"/>
      <c r="R55" s="34"/>
    </row>
    <row r="56" spans="2:24" s="12" customFormat="1" x14ac:dyDescent="0.15">
      <c r="D56" s="34"/>
      <c r="I56" s="12" t="s">
        <v>492</v>
      </c>
      <c r="L56" s="34"/>
      <c r="M56" s="16"/>
      <c r="N56" s="16"/>
      <c r="O56" s="16"/>
      <c r="P56" s="16"/>
      <c r="Q56" s="16"/>
      <c r="R56" s="34"/>
    </row>
    <row r="57" spans="2:24" s="12" customFormat="1" x14ac:dyDescent="0.15">
      <c r="D57" s="34"/>
      <c r="I57" s="12" t="s">
        <v>494</v>
      </c>
      <c r="L57" s="34"/>
      <c r="M57" s="16"/>
      <c r="N57" s="16"/>
      <c r="O57" s="16"/>
      <c r="P57" s="16"/>
      <c r="Q57" s="16"/>
      <c r="R57" s="34"/>
    </row>
    <row r="58" spans="2:24" x14ac:dyDescent="0.15">
      <c r="B58" s="12"/>
      <c r="C58" s="12"/>
      <c r="D58" s="34"/>
      <c r="I58" s="12" t="s">
        <v>493</v>
      </c>
      <c r="X58" s="12"/>
    </row>
    <row r="59" spans="2:24" s="12" customFormat="1" x14ac:dyDescent="0.15">
      <c r="B59"/>
      <c r="C59"/>
      <c r="D59" s="34"/>
      <c r="L59" s="34"/>
      <c r="M59" s="16"/>
      <c r="N59" s="16"/>
      <c r="O59" s="16"/>
      <c r="P59" s="16"/>
      <c r="Q59" s="16"/>
      <c r="R59" s="34"/>
    </row>
    <row r="60" spans="2:24" s="12" customFormat="1" x14ac:dyDescent="0.15">
      <c r="D60" s="34"/>
      <c r="L60" s="34"/>
      <c r="M60" s="16"/>
      <c r="N60" s="16"/>
      <c r="O60" s="16"/>
      <c r="P60" s="16"/>
      <c r="Q60" s="16"/>
      <c r="R60" s="34"/>
    </row>
    <row r="61" spans="2:24" x14ac:dyDescent="0.15">
      <c r="B61" s="12"/>
      <c r="C61" s="12"/>
      <c r="W61" s="12"/>
    </row>
    <row r="62" spans="2:24" x14ac:dyDescent="0.15">
      <c r="D62" s="20" t="s">
        <v>528</v>
      </c>
      <c r="F62" t="s">
        <v>663</v>
      </c>
      <c r="H62" t="s">
        <v>412</v>
      </c>
      <c r="J62" t="s">
        <v>160</v>
      </c>
      <c r="W62" s="12"/>
    </row>
    <row r="63" spans="2:24" x14ac:dyDescent="0.15">
      <c r="D63" s="20" t="s">
        <v>754</v>
      </c>
      <c r="F63" s="12" t="s">
        <v>663</v>
      </c>
      <c r="H63" t="s">
        <v>411</v>
      </c>
      <c r="J63" t="s">
        <v>412</v>
      </c>
      <c r="W63" s="12"/>
    </row>
    <row r="64" spans="2:24" x14ac:dyDescent="0.15">
      <c r="D64" s="20" t="s">
        <v>510</v>
      </c>
      <c r="F64" s="12" t="s">
        <v>663</v>
      </c>
      <c r="H64" t="s">
        <v>416</v>
      </c>
      <c r="J64" t="s">
        <v>418</v>
      </c>
      <c r="W64" s="12"/>
    </row>
    <row r="65" spans="4:23" x14ac:dyDescent="0.15">
      <c r="D65" s="20" t="s">
        <v>546</v>
      </c>
      <c r="F65" s="19" t="s">
        <v>432</v>
      </c>
      <c r="H65" t="s">
        <v>439</v>
      </c>
      <c r="J65" t="s">
        <v>420</v>
      </c>
      <c r="K65" t="s">
        <v>421</v>
      </c>
      <c r="W65" s="12"/>
    </row>
    <row r="66" spans="4:23" x14ac:dyDescent="0.15">
      <c r="D66" s="22" t="s">
        <v>514</v>
      </c>
      <c r="F66" s="19" t="s">
        <v>432</v>
      </c>
      <c r="H66" s="12" t="s">
        <v>419</v>
      </c>
      <c r="J66" t="s">
        <v>521</v>
      </c>
      <c r="K66" s="12" t="s">
        <v>421</v>
      </c>
      <c r="W66" s="12"/>
    </row>
    <row r="67" spans="4:23" x14ac:dyDescent="0.15">
      <c r="D67" s="21" t="s">
        <v>752</v>
      </c>
      <c r="F67" s="19" t="s">
        <v>432</v>
      </c>
      <c r="H67" s="12" t="s">
        <v>520</v>
      </c>
      <c r="I67" s="12"/>
      <c r="J67" s="12" t="s">
        <v>523</v>
      </c>
      <c r="K67" s="12" t="s">
        <v>421</v>
      </c>
      <c r="W67" s="12"/>
    </row>
    <row r="68" spans="4:23" x14ac:dyDescent="0.15">
      <c r="D68" s="21" t="s">
        <v>610</v>
      </c>
      <c r="J68" s="19"/>
      <c r="W68" s="12"/>
    </row>
    <row r="69" spans="4:23" x14ac:dyDescent="0.15">
      <c r="D69" s="20" t="s">
        <v>503</v>
      </c>
      <c r="F69" t="s">
        <v>662</v>
      </c>
      <c r="H69" s="23" t="s">
        <v>495</v>
      </c>
      <c r="J69" s="19" t="s">
        <v>721</v>
      </c>
      <c r="K69" s="12" t="s">
        <v>530</v>
      </c>
      <c r="M69" s="16" t="s">
        <v>468</v>
      </c>
      <c r="Q69" s="16">
        <f>VLOOKUP(J69,ItemData!$A$4:$B$415,2,FALSE)</f>
        <v>290</v>
      </c>
      <c r="S69" s="12">
        <f>VLOOKUP(K69,ItemData!$A$4:$B$415,2,FALSE)</f>
        <v>292</v>
      </c>
      <c r="T69" s="12">
        <f>VLOOKUP(M69,ItemData!$A$4:$B$415,2,FALSE)</f>
        <v>244</v>
      </c>
      <c r="V69" t="str">
        <f>Q69&amp;","&amp;S69&amp;","&amp;T69</f>
        <v>290,292,244</v>
      </c>
      <c r="W69" s="12"/>
    </row>
    <row r="70" spans="4:23" x14ac:dyDescent="0.15">
      <c r="D70" s="20" t="s">
        <v>549</v>
      </c>
      <c r="F70" s="12" t="s">
        <v>662</v>
      </c>
      <c r="H70" s="23" t="s">
        <v>498</v>
      </c>
      <c r="J70" s="19" t="s">
        <v>515</v>
      </c>
      <c r="K70" t="s">
        <v>482</v>
      </c>
      <c r="M70" s="16" t="s">
        <v>446</v>
      </c>
      <c r="Q70" s="16">
        <f>VLOOKUP(J70,ItemData!$A$4:$B$415,2,FALSE)</f>
        <v>294</v>
      </c>
      <c r="S70" s="12">
        <f>VLOOKUP(K70,ItemData!$A$4:$B$415,2,FALSE)</f>
        <v>265</v>
      </c>
      <c r="T70" s="12">
        <f>VLOOKUP(M70,ItemData!$A$4:$B$415,2,FALSE)</f>
        <v>207</v>
      </c>
      <c r="V70" s="12" t="str">
        <f t="shared" ref="V70:V79" si="1">Q70&amp;","&amp;S70&amp;","&amp;T70</f>
        <v>294,265,207</v>
      </c>
      <c r="W70" s="12"/>
    </row>
    <row r="71" spans="4:23" x14ac:dyDescent="0.15">
      <c r="D71" s="22" t="s">
        <v>535</v>
      </c>
      <c r="F71" s="12" t="s">
        <v>662</v>
      </c>
      <c r="H71" s="23" t="s">
        <v>539</v>
      </c>
      <c r="J71" s="19" t="s">
        <v>590</v>
      </c>
      <c r="K71" t="s">
        <v>528</v>
      </c>
      <c r="M71" s="16" t="s">
        <v>477</v>
      </c>
      <c r="Q71" s="16">
        <f>VLOOKUP(J71,ItemData!$A$4:$B$415,2,FALSE)</f>
        <v>251</v>
      </c>
      <c r="S71" s="12">
        <f>VLOOKUP(K71,ItemData!$A$4:$B$415,2,FALSE)</f>
        <v>287</v>
      </c>
      <c r="T71" s="12">
        <f>VLOOKUP(M71,ItemData!$A$4:$B$415,2,FALSE)</f>
        <v>257</v>
      </c>
      <c r="V71" s="12" t="str">
        <f t="shared" si="1"/>
        <v>251,287,257</v>
      </c>
      <c r="W71" s="12"/>
    </row>
    <row r="72" spans="4:23" x14ac:dyDescent="0.15">
      <c r="D72" s="22" t="s">
        <v>490</v>
      </c>
      <c r="F72" s="12" t="s">
        <v>662</v>
      </c>
      <c r="H72" s="23" t="s">
        <v>537</v>
      </c>
      <c r="J72" t="s">
        <v>565</v>
      </c>
      <c r="K72" t="s">
        <v>531</v>
      </c>
      <c r="M72" s="16" t="s">
        <v>490</v>
      </c>
      <c r="Q72" s="16">
        <f>VLOOKUP(J72,ItemData!$A$4:$B$415,2,FALSE)</f>
        <v>290</v>
      </c>
      <c r="S72" s="12">
        <f>VLOOKUP(K72,ItemData!$A$4:$B$415,2,FALSE)</f>
        <v>225</v>
      </c>
      <c r="T72" s="12">
        <f>VLOOKUP(M72,ItemData!$A$4:$B$415,2,FALSE)</f>
        <v>286</v>
      </c>
      <c r="V72" s="12" t="str">
        <f t="shared" si="1"/>
        <v>290,225,286</v>
      </c>
      <c r="W72" s="12"/>
    </row>
    <row r="73" spans="4:23" x14ac:dyDescent="0.15">
      <c r="D73" s="22" t="s">
        <v>534</v>
      </c>
      <c r="F73" s="12" t="s">
        <v>662</v>
      </c>
      <c r="H73" s="23" t="s">
        <v>496</v>
      </c>
      <c r="J73" s="19" t="s">
        <v>484</v>
      </c>
      <c r="K73" t="s">
        <v>672</v>
      </c>
      <c r="M73" s="16" t="s">
        <v>490</v>
      </c>
      <c r="Q73" s="16">
        <f>VLOOKUP(J73,ItemData!$A$4:$B$415,2,FALSE)</f>
        <v>267</v>
      </c>
      <c r="S73" s="12">
        <f>VLOOKUP(K73,ItemData!$A$4:$B$415,2,FALSE)</f>
        <v>261</v>
      </c>
      <c r="T73" s="12">
        <f>VLOOKUP(M73,ItemData!$A$4:$B$415,2,FALSE)</f>
        <v>286</v>
      </c>
      <c r="V73" s="12" t="str">
        <f t="shared" si="1"/>
        <v>267,261,286</v>
      </c>
      <c r="W73" s="12"/>
    </row>
    <row r="74" spans="4:23" x14ac:dyDescent="0.15">
      <c r="D74" s="22" t="s">
        <v>572</v>
      </c>
      <c r="F74" s="12" t="s">
        <v>662</v>
      </c>
      <c r="H74" s="23" t="s">
        <v>497</v>
      </c>
      <c r="J74" s="19" t="s">
        <v>580</v>
      </c>
      <c r="K74" s="12" t="s">
        <v>673</v>
      </c>
      <c r="M74" s="16" t="s">
        <v>490</v>
      </c>
      <c r="Q74" s="16">
        <f>VLOOKUP(J74,ItemData!$A$4:$B$415,2,FALSE)</f>
        <v>284</v>
      </c>
      <c r="S74" s="12">
        <f>VLOOKUP(K74,ItemData!$A$4:$B$415,2,FALSE)</f>
        <v>291</v>
      </c>
      <c r="T74" s="12">
        <f>VLOOKUP(M74,ItemData!$A$4:$B$415,2,FALSE)</f>
        <v>286</v>
      </c>
      <c r="V74" s="12" t="str">
        <f t="shared" si="1"/>
        <v>284,291,286</v>
      </c>
      <c r="W74" s="12"/>
    </row>
    <row r="75" spans="4:23" x14ac:dyDescent="0.15">
      <c r="D75" s="20"/>
      <c r="F75" s="12" t="s">
        <v>662</v>
      </c>
      <c r="H75" s="23" t="s">
        <v>538</v>
      </c>
      <c r="J75" s="19" t="s">
        <v>368</v>
      </c>
      <c r="K75" t="s">
        <v>602</v>
      </c>
      <c r="M75" s="16" t="s">
        <v>448</v>
      </c>
      <c r="Q75" s="16">
        <f>VLOOKUP(J75,ItemData!$A$4:$B$415,2,FALSE)</f>
        <v>263</v>
      </c>
      <c r="S75" s="12">
        <f>VLOOKUP(K75,ItemData!$A$4:$B$415,2,FALSE)</f>
        <v>255</v>
      </c>
      <c r="T75" s="12">
        <f>VLOOKUP(M75,ItemData!$A$4:$B$415,2,FALSE)</f>
        <v>210</v>
      </c>
      <c r="V75" s="12" t="str">
        <f t="shared" si="1"/>
        <v>263,255,210</v>
      </c>
      <c r="W75" s="12"/>
    </row>
    <row r="76" spans="4:23" x14ac:dyDescent="0.15">
      <c r="D76" s="22" t="s">
        <v>661</v>
      </c>
      <c r="F76" s="12" t="s">
        <v>662</v>
      </c>
      <c r="H76" s="23" t="s">
        <v>541</v>
      </c>
      <c r="J76" s="19" t="s">
        <v>465</v>
      </c>
      <c r="K76" t="s">
        <v>366</v>
      </c>
      <c r="M76" s="16" t="s">
        <v>472</v>
      </c>
      <c r="Q76" s="16">
        <f>VLOOKUP(J76,ItemData!$A$4:$B$415,2,FALSE)</f>
        <v>236</v>
      </c>
      <c r="S76" s="12">
        <f>VLOOKUP(K76,ItemData!$A$4:$B$415,2,FALSE)</f>
        <v>259</v>
      </c>
      <c r="T76" s="12">
        <f>VLOOKUP(M76,ItemData!$A$4:$B$415,2,FALSE)</f>
        <v>250</v>
      </c>
      <c r="V76" s="12" t="str">
        <f t="shared" si="1"/>
        <v>236,259,250</v>
      </c>
      <c r="W76" s="12"/>
    </row>
    <row r="77" spans="4:23" x14ac:dyDescent="0.15">
      <c r="D77" s="22" t="s">
        <v>533</v>
      </c>
      <c r="F77" s="12" t="s">
        <v>662</v>
      </c>
      <c r="H77" s="23" t="s">
        <v>542</v>
      </c>
      <c r="J77" s="26" t="s">
        <v>447</v>
      </c>
      <c r="K77" t="s">
        <v>526</v>
      </c>
      <c r="M77" s="16" t="s">
        <v>506</v>
      </c>
      <c r="Q77" s="16">
        <f>VLOOKUP(J77,ItemData!$A$4:$B$415,2,FALSE)</f>
        <v>208</v>
      </c>
      <c r="S77" s="12">
        <f>VLOOKUP(K77,ItemData!$A$4:$B$415,2,FALSE)</f>
        <v>278</v>
      </c>
      <c r="T77" s="12">
        <f>VLOOKUP(M77,ItemData!$A$4:$B$415,2,FALSE)</f>
        <v>281</v>
      </c>
      <c r="V77" s="12" t="str">
        <f t="shared" si="1"/>
        <v>208,278,281</v>
      </c>
      <c r="W77" s="12"/>
    </row>
    <row r="78" spans="4:23" x14ac:dyDescent="0.15">
      <c r="D78" s="22" t="s">
        <v>595</v>
      </c>
      <c r="F78" s="12" t="s">
        <v>662</v>
      </c>
      <c r="H78" s="23" t="s">
        <v>543</v>
      </c>
      <c r="J78" s="19" t="s">
        <v>513</v>
      </c>
      <c r="K78" t="s">
        <v>575</v>
      </c>
      <c r="M78" s="16" t="s">
        <v>467</v>
      </c>
      <c r="Q78" s="16">
        <f>VLOOKUP(J78,ItemData!$A$4:$B$415,2,FALSE)</f>
        <v>288</v>
      </c>
      <c r="S78" s="12">
        <f>VLOOKUP(K78,ItemData!$A$4:$B$415,2,FALSE)</f>
        <v>256</v>
      </c>
      <c r="T78" s="12">
        <f>VLOOKUP(M78,ItemData!$A$4:$B$415,2,FALSE)</f>
        <v>240</v>
      </c>
      <c r="V78" s="12" t="str">
        <f t="shared" si="1"/>
        <v>288,256,240</v>
      </c>
      <c r="W78" s="12"/>
    </row>
    <row r="79" spans="4:23" x14ac:dyDescent="0.15">
      <c r="D79" s="22" t="s">
        <v>536</v>
      </c>
      <c r="F79" s="12" t="s">
        <v>662</v>
      </c>
      <c r="H79" s="23" t="s">
        <v>540</v>
      </c>
      <c r="J79" t="s">
        <v>512</v>
      </c>
      <c r="K79" t="s">
        <v>609</v>
      </c>
      <c r="M79" s="16" t="s">
        <v>474</v>
      </c>
      <c r="Q79" s="16">
        <f>VLOOKUP(J79,ItemData!$A$4:$B$415,2,FALSE)</f>
        <v>293</v>
      </c>
      <c r="S79" s="12">
        <f>VLOOKUP(K79,ItemData!$A$4:$B$415,2,FALSE)</f>
        <v>289</v>
      </c>
      <c r="T79" s="12">
        <f>VLOOKUP(M79,ItemData!$A$4:$B$415,2,FALSE)</f>
        <v>254</v>
      </c>
      <c r="V79" s="12" t="str">
        <f t="shared" si="1"/>
        <v>293,289,254</v>
      </c>
      <c r="W79" s="12"/>
    </row>
    <row r="80" spans="4:23" x14ac:dyDescent="0.15">
      <c r="H80" s="23" t="s">
        <v>671</v>
      </c>
      <c r="J80" s="12" t="s">
        <v>369</v>
      </c>
      <c r="K80" t="s">
        <v>511</v>
      </c>
      <c r="M80" s="16" t="s">
        <v>491</v>
      </c>
      <c r="Q80" s="16">
        <f>VLOOKUP(J80,ItemData!$A$4:$B$415,2,FALSE)</f>
        <v>224</v>
      </c>
      <c r="S80" s="12">
        <f>VLOOKUP(K80,ItemData!$A$4:$B$415,2,FALSE)</f>
        <v>269</v>
      </c>
      <c r="T80" s="12">
        <f>VLOOKUP(M80,ItemData!$A$4:$B$415,2,FALSE)</f>
        <v>291</v>
      </c>
      <c r="U80" s="12"/>
      <c r="V80" s="12" t="str">
        <f t="shared" ref="V80" si="2">Q80&amp;","&amp;S80&amp;","&amp;T80</f>
        <v>224,269,291</v>
      </c>
      <c r="W80" s="12"/>
    </row>
    <row r="81" spans="4:23" x14ac:dyDescent="0.15">
      <c r="D81" s="23" t="s">
        <v>499</v>
      </c>
      <c r="W81" s="12"/>
    </row>
    <row r="82" spans="4:23" x14ac:dyDescent="0.15">
      <c r="T82" s="12"/>
      <c r="W82" s="12"/>
    </row>
    <row r="83" spans="4:23" x14ac:dyDescent="0.15">
      <c r="F83" s="12" t="s">
        <v>525</v>
      </c>
      <c r="H83" s="23" t="s">
        <v>730</v>
      </c>
      <c r="I83" s="1">
        <f>VLOOKUP(H83,装备!$B$2:$J$60,9,FALSE)</f>
        <v>10</v>
      </c>
      <c r="J83" t="s">
        <v>718</v>
      </c>
      <c r="K83" t="s">
        <v>719</v>
      </c>
      <c r="Q83" s="16">
        <f>VLOOKUP(J83,ItemData!$A$4:$B$415,2,FALSE)</f>
        <v>105</v>
      </c>
      <c r="S83" s="12">
        <f>VLOOKUP(K83,ItemData!$A$4:$B$415,2,FALSE)</f>
        <v>204</v>
      </c>
      <c r="T83" s="12"/>
      <c r="U83" s="12"/>
      <c r="W83" s="12" t="str">
        <f t="shared" ref="W83:W91" si="3">Q83&amp;","&amp;S83&amp;IF(T83&lt;&gt;"",","&amp;T83,"")&amp;IF(U83&lt;&gt;"",","&amp;U83,"")</f>
        <v>105,204</v>
      </c>
    </row>
    <row r="84" spans="4:23" x14ac:dyDescent="0.15">
      <c r="F84" s="12" t="s">
        <v>525</v>
      </c>
      <c r="H84" s="23" t="s">
        <v>777</v>
      </c>
      <c r="I84" s="1">
        <f>VLOOKUP(H84,装备!$B$2:$J$60,9,FALSE)</f>
        <v>20</v>
      </c>
      <c r="J84" t="s">
        <v>720</v>
      </c>
      <c r="K84" t="s">
        <v>722</v>
      </c>
      <c r="Q84" s="16">
        <f>VLOOKUP(J84,ItemData!$A$4:$B$415,2,FALSE)</f>
        <v>1800</v>
      </c>
      <c r="S84" s="12">
        <f>VLOOKUP(K84,ItemData!$A$4:$B$415,2,FALSE)</f>
        <v>285</v>
      </c>
      <c r="T84" s="12"/>
      <c r="W84" s="12" t="str">
        <f t="shared" si="3"/>
        <v>1800,285</v>
      </c>
    </row>
    <row r="85" spans="4:23" x14ac:dyDescent="0.15">
      <c r="F85" s="12" t="s">
        <v>525</v>
      </c>
      <c r="H85" s="23" t="s">
        <v>731</v>
      </c>
      <c r="I85" s="1">
        <f>VLOOKUP(H85,装备!$B$2:$J$60,9,FALSE)</f>
        <v>20</v>
      </c>
      <c r="J85" s="12" t="s">
        <v>719</v>
      </c>
      <c r="K85" t="s">
        <v>557</v>
      </c>
      <c r="M85" s="16" t="s">
        <v>476</v>
      </c>
      <c r="Q85" s="16">
        <f>VLOOKUP(J85,ItemData!$A$4:$B$415,2,FALSE)</f>
        <v>204</v>
      </c>
      <c r="S85" s="12">
        <f>VLOOKUP(K85,ItemData!$A$4:$B$415,2,FALSE)</f>
        <v>286</v>
      </c>
      <c r="T85" s="12">
        <f>VLOOKUP(M85,ItemData!$A$4:$B$415,2,FALSE)</f>
        <v>256</v>
      </c>
      <c r="W85" s="12" t="str">
        <f t="shared" si="3"/>
        <v>204,286,256</v>
      </c>
    </row>
    <row r="86" spans="4:23" x14ac:dyDescent="0.15">
      <c r="F86" s="12" t="s">
        <v>432</v>
      </c>
      <c r="H86" s="23" t="s">
        <v>726</v>
      </c>
      <c r="I86" s="1">
        <f>VLOOKUP(H86,装备!$B$2:$J$60,9,FALSE)</f>
        <v>25</v>
      </c>
      <c r="J86" t="s">
        <v>739</v>
      </c>
      <c r="K86" t="s">
        <v>740</v>
      </c>
      <c r="Q86" s="16">
        <f>VLOOKUP(J86,ItemData!$A$4:$B$415,2,FALSE)</f>
        <v>298</v>
      </c>
      <c r="S86" s="12">
        <f>VLOOKUP(K86,ItemData!$A$4:$B$415,2,FALSE)</f>
        <v>271</v>
      </c>
      <c r="T86" s="12"/>
      <c r="W86" s="12" t="str">
        <f t="shared" si="3"/>
        <v>298,271</v>
      </c>
    </row>
    <row r="87" spans="4:23" x14ac:dyDescent="0.15">
      <c r="F87" s="12" t="s">
        <v>432</v>
      </c>
      <c r="H87" s="23" t="s">
        <v>744</v>
      </c>
      <c r="I87" s="1">
        <f>VLOOKUP(H87,装备!$B$2:$J$60,9,FALSE)</f>
        <v>35</v>
      </c>
      <c r="J87" t="s">
        <v>743</v>
      </c>
      <c r="K87" t="s">
        <v>363</v>
      </c>
      <c r="M87" s="16" t="s">
        <v>450</v>
      </c>
      <c r="Q87" s="16">
        <f>VLOOKUP(J87,ItemData!$A$4:$B$415,2,FALSE)</f>
        <v>1803</v>
      </c>
      <c r="S87" s="12">
        <f>VLOOKUP(K87,ItemData!$A$4:$B$415,2,FALSE)</f>
        <v>241</v>
      </c>
      <c r="T87" s="12">
        <f>VLOOKUP(M87,ItemData!$A$4:$B$415,2,FALSE)</f>
        <v>213</v>
      </c>
      <c r="W87" s="12" t="str">
        <f t="shared" si="3"/>
        <v>1803,241,213</v>
      </c>
    </row>
    <row r="88" spans="4:23" x14ac:dyDescent="0.15">
      <c r="F88" s="12" t="s">
        <v>525</v>
      </c>
      <c r="H88" s="23" t="s">
        <v>734</v>
      </c>
      <c r="I88" s="1">
        <f>VLOOKUP(H88,装备!$B$2:$J$60,9,FALSE)</f>
        <v>30</v>
      </c>
      <c r="J88" t="s">
        <v>555</v>
      </c>
      <c r="K88" t="s">
        <v>470</v>
      </c>
      <c r="M88" s="16" t="s">
        <v>369</v>
      </c>
      <c r="Q88" s="16">
        <f>VLOOKUP(J88,ItemData!$A$4:$B$415,2,FALSE)</f>
        <v>272</v>
      </c>
      <c r="S88" s="12">
        <f>VLOOKUP(K88,ItemData!$A$4:$B$415,2,FALSE)</f>
        <v>248</v>
      </c>
      <c r="T88" s="12">
        <f>VLOOKUP(M88,ItemData!$A$4:$B$415,2,FALSE)</f>
        <v>224</v>
      </c>
      <c r="W88" s="12" t="str">
        <f t="shared" si="3"/>
        <v>272,248,224</v>
      </c>
    </row>
    <row r="89" spans="4:23" x14ac:dyDescent="0.15">
      <c r="F89" s="12" t="s">
        <v>525</v>
      </c>
      <c r="H89" s="23" t="s">
        <v>735</v>
      </c>
      <c r="I89" s="1">
        <f>VLOOKUP(H89,装备!$B$2:$J$60,9,FALSE)</f>
        <v>30</v>
      </c>
      <c r="J89" s="12" t="s">
        <v>555</v>
      </c>
      <c r="K89" s="12" t="s">
        <v>361</v>
      </c>
      <c r="M89" s="16" t="s">
        <v>473</v>
      </c>
      <c r="Q89" s="16">
        <f>VLOOKUP(J89,ItemData!$A$4:$B$415,2,FALSE)</f>
        <v>272</v>
      </c>
      <c r="S89" s="12">
        <f>VLOOKUP(K89,ItemData!$A$4:$B$415,2,FALSE)</f>
        <v>228</v>
      </c>
      <c r="T89" s="12">
        <f>VLOOKUP(M89,ItemData!$A$4:$B$415,2,FALSE)</f>
        <v>251</v>
      </c>
      <c r="W89" s="12" t="str">
        <f t="shared" si="3"/>
        <v>272,228,251</v>
      </c>
    </row>
    <row r="90" spans="4:23" x14ac:dyDescent="0.15">
      <c r="F90" s="12" t="s">
        <v>525</v>
      </c>
      <c r="H90" s="23" t="s">
        <v>737</v>
      </c>
      <c r="I90" s="1">
        <f>VLOOKUP(H90,装备!$B$2:$J$60,9,FALSE)</f>
        <v>40</v>
      </c>
      <c r="J90" t="s">
        <v>555</v>
      </c>
      <c r="K90" t="s">
        <v>502</v>
      </c>
      <c r="M90" s="16" t="s">
        <v>463</v>
      </c>
      <c r="Q90" s="16">
        <f>VLOOKUP(J90,ItemData!$A$4:$B$415,2,FALSE)</f>
        <v>272</v>
      </c>
      <c r="S90" s="12">
        <f>VLOOKUP(K90,ItemData!$A$4:$B$415,2,FALSE)</f>
        <v>279</v>
      </c>
      <c r="T90" s="12">
        <f>VLOOKUP(M90,ItemData!$A$4:$B$415,2,FALSE)</f>
        <v>234</v>
      </c>
      <c r="W90" s="12" t="str">
        <f t="shared" si="3"/>
        <v>272,279,234</v>
      </c>
    </row>
    <row r="91" spans="4:23" x14ac:dyDescent="0.15">
      <c r="F91" s="12" t="s">
        <v>432</v>
      </c>
      <c r="H91" s="23" t="s">
        <v>733</v>
      </c>
      <c r="I91" s="1">
        <f>VLOOKUP(H91,装备!$B$2:$J$60,9,FALSE)</f>
        <v>55</v>
      </c>
      <c r="J91" t="s">
        <v>732</v>
      </c>
      <c r="K91" t="s">
        <v>513</v>
      </c>
      <c r="M91" s="16" t="s">
        <v>372</v>
      </c>
      <c r="Q91" s="16">
        <f>VLOOKUP(J91,ItemData!$A$4:$B$415,2,FALSE)</f>
        <v>1804</v>
      </c>
      <c r="S91" s="12">
        <f>VLOOKUP(K91,ItemData!$A$4:$B$415,2,FALSE)</f>
        <v>288</v>
      </c>
      <c r="T91" s="12">
        <f>VLOOKUP(M91,ItemData!$A$4:$B$415,2,FALSE)</f>
        <v>247</v>
      </c>
      <c r="W91" s="12" t="str">
        <f t="shared" si="3"/>
        <v>1804,288,247</v>
      </c>
    </row>
    <row r="92" spans="4:23" x14ac:dyDescent="0.15">
      <c r="W92" s="12"/>
    </row>
    <row r="93" spans="4:23" x14ac:dyDescent="0.15">
      <c r="W93" s="12"/>
    </row>
    <row r="94" spans="4:23" x14ac:dyDescent="0.15">
      <c r="W94" s="12"/>
    </row>
    <row r="95" spans="4:23" x14ac:dyDescent="0.15">
      <c r="W95" s="12"/>
    </row>
    <row r="96" spans="4:23" x14ac:dyDescent="0.15">
      <c r="G96" t="s">
        <v>599</v>
      </c>
      <c r="W96" s="12"/>
    </row>
    <row r="97" spans="7:23" x14ac:dyDescent="0.15">
      <c r="G97" s="12" t="s">
        <v>525</v>
      </c>
      <c r="W97" s="12"/>
    </row>
    <row r="98" spans="7:23" x14ac:dyDescent="0.15">
      <c r="G98" s="12" t="s">
        <v>525</v>
      </c>
    </row>
    <row r="99" spans="7:23" x14ac:dyDescent="0.15">
      <c r="G99" s="12" t="s">
        <v>525</v>
      </c>
    </row>
    <row r="100" spans="7:23" x14ac:dyDescent="0.15">
      <c r="G100" s="12" t="s">
        <v>525</v>
      </c>
    </row>
    <row r="101" spans="7:23" x14ac:dyDescent="0.15">
      <c r="G101" s="12" t="s">
        <v>525</v>
      </c>
    </row>
    <row r="102" spans="7:23" x14ac:dyDescent="0.15">
      <c r="G102" s="12" t="s">
        <v>525</v>
      </c>
    </row>
    <row r="103" spans="7:23" x14ac:dyDescent="0.15">
      <c r="G103" s="12" t="s">
        <v>525</v>
      </c>
    </row>
    <row r="104" spans="7:23" x14ac:dyDescent="0.15">
      <c r="G104" s="12" t="s">
        <v>525</v>
      </c>
    </row>
    <row r="105" spans="7:23" x14ac:dyDescent="0.15">
      <c r="G105" s="12" t="s">
        <v>525</v>
      </c>
    </row>
    <row r="106" spans="7:23" x14ac:dyDescent="0.15">
      <c r="G106" s="12" t="s">
        <v>525</v>
      </c>
    </row>
    <row r="107" spans="7:23" x14ac:dyDescent="0.15">
      <c r="G107" s="12" t="s">
        <v>525</v>
      </c>
    </row>
    <row r="108" spans="7:23" x14ac:dyDescent="0.15">
      <c r="G108" s="12" t="s">
        <v>525</v>
      </c>
    </row>
    <row r="109" spans="7:23" x14ac:dyDescent="0.15">
      <c r="G109" s="12" t="s">
        <v>525</v>
      </c>
    </row>
    <row r="110" spans="7:23" x14ac:dyDescent="0.15">
      <c r="G110" s="12" t="s">
        <v>525</v>
      </c>
    </row>
    <row r="111" spans="7:23" x14ac:dyDescent="0.15">
      <c r="G111" s="12" t="s">
        <v>525</v>
      </c>
    </row>
    <row r="112" spans="7:23" x14ac:dyDescent="0.15">
      <c r="G112" s="12" t="s">
        <v>525</v>
      </c>
    </row>
    <row r="113" spans="7:7" x14ac:dyDescent="0.15">
      <c r="G113" s="12" t="s">
        <v>525</v>
      </c>
    </row>
    <row r="114" spans="7:7" x14ac:dyDescent="0.15">
      <c r="G114" s="12" t="s">
        <v>525</v>
      </c>
    </row>
    <row r="115" spans="7:7" x14ac:dyDescent="0.15">
      <c r="G115" s="12" t="s">
        <v>525</v>
      </c>
    </row>
    <row r="116" spans="7:7" x14ac:dyDescent="0.15">
      <c r="G116" s="12" t="s">
        <v>525</v>
      </c>
    </row>
    <row r="117" spans="7:7" x14ac:dyDescent="0.15">
      <c r="G117" s="12" t="s">
        <v>525</v>
      </c>
    </row>
    <row r="118" spans="7:7" x14ac:dyDescent="0.15">
      <c r="G118" s="12" t="s">
        <v>525</v>
      </c>
    </row>
    <row r="119" spans="7:7" x14ac:dyDescent="0.15">
      <c r="G119" s="12" t="s">
        <v>525</v>
      </c>
    </row>
    <row r="120" spans="7:7" x14ac:dyDescent="0.15">
      <c r="G120" s="12" t="s">
        <v>525</v>
      </c>
    </row>
    <row r="121" spans="7:7" x14ac:dyDescent="0.15">
      <c r="G121" s="12" t="s">
        <v>525</v>
      </c>
    </row>
    <row r="122" spans="7:7" x14ac:dyDescent="0.15">
      <c r="G122" s="12" t="s">
        <v>525</v>
      </c>
    </row>
    <row r="123" spans="7:7" x14ac:dyDescent="0.15">
      <c r="G123" s="12" t="s">
        <v>525</v>
      </c>
    </row>
    <row r="124" spans="7:7" x14ac:dyDescent="0.15">
      <c r="G124" s="12" t="s">
        <v>525</v>
      </c>
    </row>
    <row r="125" spans="7:7" x14ac:dyDescent="0.15">
      <c r="G125" s="12" t="s">
        <v>432</v>
      </c>
    </row>
    <row r="126" spans="7:7" x14ac:dyDescent="0.15">
      <c r="G126" s="12" t="s">
        <v>432</v>
      </c>
    </row>
    <row r="127" spans="7:7" x14ac:dyDescent="0.15">
      <c r="G127" s="12" t="s">
        <v>432</v>
      </c>
    </row>
    <row r="128" spans="7:7" x14ac:dyDescent="0.15">
      <c r="G128" s="12" t="s">
        <v>432</v>
      </c>
    </row>
    <row r="129" spans="7:7" x14ac:dyDescent="0.15">
      <c r="G129" s="12" t="s">
        <v>432</v>
      </c>
    </row>
    <row r="130" spans="7:7" x14ac:dyDescent="0.15">
      <c r="G130" s="12" t="s">
        <v>432</v>
      </c>
    </row>
    <row r="131" spans="7:7" x14ac:dyDescent="0.15">
      <c r="G131" s="12" t="s">
        <v>432</v>
      </c>
    </row>
    <row r="132" spans="7:7" x14ac:dyDescent="0.15">
      <c r="G132" s="12" t="s">
        <v>432</v>
      </c>
    </row>
    <row r="133" spans="7:7" x14ac:dyDescent="0.15">
      <c r="G133" s="12" t="s">
        <v>432</v>
      </c>
    </row>
    <row r="134" spans="7:7" x14ac:dyDescent="0.15">
      <c r="G134" s="12" t="s">
        <v>432</v>
      </c>
    </row>
    <row r="135" spans="7:7" x14ac:dyDescent="0.15">
      <c r="G135" s="12" t="s">
        <v>432</v>
      </c>
    </row>
    <row r="136" spans="7:7" x14ac:dyDescent="0.15">
      <c r="G136" s="12" t="s">
        <v>432</v>
      </c>
    </row>
    <row r="137" spans="7:7" x14ac:dyDescent="0.15">
      <c r="G137" s="12" t="s">
        <v>432</v>
      </c>
    </row>
    <row r="138" spans="7:7" x14ac:dyDescent="0.15">
      <c r="G138" s="12" t="s">
        <v>432</v>
      </c>
    </row>
    <row r="139" spans="7:7" x14ac:dyDescent="0.15">
      <c r="G139" s="12" t="s">
        <v>432</v>
      </c>
    </row>
    <row r="140" spans="7:7" x14ac:dyDescent="0.15">
      <c r="G140" s="12" t="s">
        <v>432</v>
      </c>
    </row>
    <row r="141" spans="7:7" x14ac:dyDescent="0.15">
      <c r="G141" s="12" t="s">
        <v>432</v>
      </c>
    </row>
    <row r="142" spans="7:7" x14ac:dyDescent="0.15">
      <c r="G142" s="12" t="s">
        <v>432</v>
      </c>
    </row>
    <row r="143" spans="7:7" x14ac:dyDescent="0.15">
      <c r="G143" s="12" t="s">
        <v>432</v>
      </c>
    </row>
    <row r="144" spans="7:7" x14ac:dyDescent="0.15">
      <c r="G144" s="12" t="s">
        <v>432</v>
      </c>
    </row>
    <row r="145" spans="7:7" x14ac:dyDescent="0.15">
      <c r="G145" s="12" t="s">
        <v>432</v>
      </c>
    </row>
  </sheetData>
  <autoFilter ref="B5:W54"/>
  <phoneticPr fontId="1" type="noConversion"/>
  <conditionalFormatting sqref="C19:C20">
    <cfRule type="duplicateValues" dxfId="23" priority="3"/>
  </conditionalFormatting>
  <conditionalFormatting sqref="K23">
    <cfRule type="duplicateValues" dxfId="22" priority="2"/>
  </conditionalFormatting>
  <conditionalFormatting sqref="Q25">
    <cfRule type="duplicateValues" dxfId="21" priority="1"/>
  </conditionalFormatting>
  <pageMargins left="0.7" right="0.7" top="0.75" bottom="0.75" header="0.3" footer="0.3"/>
  <pageSetup paperSize="9" orientation="portrait"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4:Z73"/>
  <sheetViews>
    <sheetView topLeftCell="A10" workbookViewId="0">
      <selection activeCell="E28" sqref="E28"/>
    </sheetView>
  </sheetViews>
  <sheetFormatPr defaultRowHeight="13.5" x14ac:dyDescent="0.15"/>
  <cols>
    <col min="6" max="7" width="9" style="12"/>
    <col min="14" max="14" width="9" customWidth="1"/>
  </cols>
  <sheetData>
    <row r="4" spans="5:26" x14ac:dyDescent="0.15">
      <c r="P4" s="12"/>
    </row>
    <row r="5" spans="5:26" x14ac:dyDescent="0.15">
      <c r="E5" s="14" t="s">
        <v>384</v>
      </c>
      <c r="F5" s="14"/>
      <c r="G5" s="12" t="str">
        <f>$I5&amp;","&amp;$J5&amp;","&amp;$K5&amp;","&amp;$L5</f>
        <v>铁块,刀刃,,</v>
      </c>
      <c r="I5" s="12" t="s">
        <v>419</v>
      </c>
      <c r="J5" s="12" t="s">
        <v>488</v>
      </c>
      <c r="K5" s="12"/>
      <c r="L5" s="12"/>
      <c r="N5" t="s">
        <v>635</v>
      </c>
      <c r="O5" s="12"/>
      <c r="P5" s="12" t="s">
        <v>636</v>
      </c>
      <c r="Q5" s="12" t="s">
        <v>636</v>
      </c>
      <c r="T5" t="s">
        <v>635</v>
      </c>
      <c r="U5" s="12" t="s">
        <v>356</v>
      </c>
      <c r="V5" s="12"/>
      <c r="W5" s="12"/>
      <c r="Z5" s="12" t="str">
        <f>T5&amp;","&amp;U5&amp;","&amp;V5&amp;","&amp;W5</f>
        <v>铸造,废铁,焦炭,,刀刃,,</v>
      </c>
    </row>
    <row r="6" spans="5:26" x14ac:dyDescent="0.15">
      <c r="E6" s="14" t="s">
        <v>383</v>
      </c>
      <c r="F6" s="14"/>
      <c r="G6" s="12" t="str">
        <f t="shared" ref="G6:G69" si="0">$I6&amp;","&amp;$J6&amp;","&amp;$K6&amp;","&amp;$L6</f>
        <v>长剑,眼球,诅咒宝珠,</v>
      </c>
      <c r="I6" s="12" t="s">
        <v>330</v>
      </c>
      <c r="J6" s="12" t="s">
        <v>360</v>
      </c>
      <c r="K6" s="12" t="s">
        <v>477</v>
      </c>
      <c r="L6" s="12"/>
      <c r="N6" s="12" t="s">
        <v>637</v>
      </c>
      <c r="O6" s="12"/>
      <c r="P6" s="12"/>
      <c r="Q6" s="12" t="s">
        <v>636</v>
      </c>
      <c r="T6" s="12" t="s">
        <v>637</v>
      </c>
      <c r="U6" s="12" t="s">
        <v>360</v>
      </c>
      <c r="V6" s="12" t="s">
        <v>477</v>
      </c>
      <c r="W6" s="12"/>
      <c r="Z6" s="12" t="str">
        <f t="shared" ref="Z6:Z53" si="1">T6&amp;","&amp;U6&amp;","&amp;V6&amp;","&amp;W6</f>
        <v>铁块,刀刃,,,眼球,诅咒宝珠,</v>
      </c>
    </row>
    <row r="7" spans="5:26" x14ac:dyDescent="0.15">
      <c r="E7" s="17" t="s">
        <v>373</v>
      </c>
      <c r="F7" s="17"/>
      <c r="G7" s="12" t="str">
        <f t="shared" si="0"/>
        <v>长剑,火晶石,石英砂,白磷粉末</v>
      </c>
      <c r="I7" s="12" t="s">
        <v>384</v>
      </c>
      <c r="J7" s="7" t="s">
        <v>460</v>
      </c>
      <c r="K7" s="12" t="s">
        <v>445</v>
      </c>
      <c r="L7" s="12" t="s">
        <v>507</v>
      </c>
      <c r="N7" s="12" t="s">
        <v>637</v>
      </c>
      <c r="O7" s="12"/>
      <c r="P7" s="12"/>
      <c r="Q7" s="12"/>
      <c r="T7" s="12" t="s">
        <v>637</v>
      </c>
      <c r="U7" s="12" t="s">
        <v>460</v>
      </c>
      <c r="V7" s="12" t="s">
        <v>445</v>
      </c>
      <c r="W7" s="12" t="s">
        <v>507</v>
      </c>
      <c r="Z7" s="12" t="str">
        <f t="shared" si="1"/>
        <v>铁块,刀刃,,,火晶石,石英砂,白磷粉末</v>
      </c>
    </row>
    <row r="8" spans="5:26" x14ac:dyDescent="0.15">
      <c r="E8" s="14" t="s">
        <v>385</v>
      </c>
      <c r="F8" s="14"/>
      <c r="G8" s="12" t="str">
        <f t="shared" si="0"/>
        <v>长剑,土晶石,钢,粘土</v>
      </c>
      <c r="I8" s="12" t="s">
        <v>330</v>
      </c>
      <c r="J8" s="12" t="s">
        <v>454</v>
      </c>
      <c r="K8" s="12" t="s">
        <v>354</v>
      </c>
      <c r="L8" s="12" t="s">
        <v>449</v>
      </c>
      <c r="N8" s="12" t="s">
        <v>637</v>
      </c>
      <c r="O8" s="12"/>
      <c r="P8" s="12" t="s">
        <v>638</v>
      </c>
      <c r="Q8" s="12"/>
      <c r="T8" s="12" t="s">
        <v>637</v>
      </c>
      <c r="U8" s="12" t="s">
        <v>454</v>
      </c>
      <c r="V8" s="12" t="s">
        <v>638</v>
      </c>
      <c r="W8" s="12" t="s">
        <v>449</v>
      </c>
      <c r="Z8" s="12" t="str">
        <f t="shared" si="1"/>
        <v>铁块,刀刃,,,土晶石,铸造,铁块,焦炭,,粘土</v>
      </c>
    </row>
    <row r="9" spans="5:26" x14ac:dyDescent="0.15">
      <c r="E9" s="14" t="s">
        <v>382</v>
      </c>
      <c r="F9" s="14"/>
      <c r="G9" s="12" t="str">
        <f t="shared" si="0"/>
        <v>长剑,冰晶石,冰的结晶,雪球</v>
      </c>
      <c r="I9" s="12" t="s">
        <v>407</v>
      </c>
      <c r="J9" s="12" t="s">
        <v>479</v>
      </c>
      <c r="K9" s="12" t="s">
        <v>586</v>
      </c>
      <c r="L9" s="12" t="s">
        <v>408</v>
      </c>
      <c r="N9" s="12" t="s">
        <v>637</v>
      </c>
      <c r="O9" s="12"/>
      <c r="P9" s="12"/>
      <c r="Q9" s="12"/>
      <c r="T9" s="12" t="s">
        <v>637</v>
      </c>
      <c r="U9" s="12" t="s">
        <v>479</v>
      </c>
      <c r="V9" s="12" t="s">
        <v>480</v>
      </c>
      <c r="W9" s="12" t="s">
        <v>364</v>
      </c>
      <c r="Z9" s="12" t="str">
        <f t="shared" si="1"/>
        <v>铁块,刀刃,,,冰晶石,冰的结晶,雪球</v>
      </c>
    </row>
    <row r="10" spans="5:26" x14ac:dyDescent="0.15">
      <c r="E10" s="14" t="s">
        <v>389</v>
      </c>
      <c r="F10" s="14"/>
      <c r="G10" s="12" t="str">
        <f t="shared" si="0"/>
        <v>木棒,铁块,刀刃,</v>
      </c>
      <c r="I10" s="16" t="s">
        <v>347</v>
      </c>
      <c r="J10" s="16" t="s">
        <v>522</v>
      </c>
      <c r="K10" s="16" t="s">
        <v>356</v>
      </c>
      <c r="L10" s="12"/>
      <c r="N10" s="12"/>
      <c r="O10" s="12" t="s">
        <v>635</v>
      </c>
      <c r="P10" s="12"/>
      <c r="Q10" s="12" t="s">
        <v>636</v>
      </c>
      <c r="T10" s="12" t="s">
        <v>347</v>
      </c>
      <c r="U10" s="12" t="s">
        <v>635</v>
      </c>
      <c r="V10" s="12" t="s">
        <v>356</v>
      </c>
      <c r="W10" s="12"/>
      <c r="Z10" s="12" t="str">
        <f t="shared" si="1"/>
        <v>木棒,铸造,废铁,焦炭,,刀刃,</v>
      </c>
    </row>
    <row r="11" spans="5:26" x14ac:dyDescent="0.15">
      <c r="E11" s="14" t="s">
        <v>410</v>
      </c>
      <c r="F11" s="14"/>
      <c r="G11" s="12" t="str">
        <f t="shared" si="0"/>
        <v>铁枪,魔族之血,银块,蜂刺</v>
      </c>
      <c r="I11" s="1" t="s">
        <v>563</v>
      </c>
      <c r="J11" s="16" t="s">
        <v>366</v>
      </c>
      <c r="K11" s="16" t="s">
        <v>466</v>
      </c>
      <c r="L11" s="12" t="s">
        <v>367</v>
      </c>
      <c r="N11" s="12" t="s">
        <v>639</v>
      </c>
      <c r="O11" s="12"/>
      <c r="P11" s="12"/>
      <c r="Q11" s="12"/>
      <c r="T11" s="12" t="s">
        <v>639</v>
      </c>
      <c r="U11" s="12" t="s">
        <v>366</v>
      </c>
      <c r="V11" s="12" t="s">
        <v>466</v>
      </c>
      <c r="W11" s="12" t="s">
        <v>367</v>
      </c>
      <c r="Z11" s="12" t="str">
        <f t="shared" si="1"/>
        <v>木棒,铁块,刀刃,,魔族之血,银块,蜂刺</v>
      </c>
    </row>
    <row r="12" spans="5:26" x14ac:dyDescent="0.15">
      <c r="E12" s="14" t="s">
        <v>611</v>
      </c>
      <c r="F12" s="14"/>
      <c r="G12" s="12" t="str">
        <f t="shared" si="0"/>
        <v>铁枪,骑士之证,钢,</v>
      </c>
      <c r="I12" s="12" t="s">
        <v>333</v>
      </c>
      <c r="J12" s="12" t="s">
        <v>500</v>
      </c>
      <c r="K12" s="16" t="s">
        <v>573</v>
      </c>
      <c r="L12" s="12"/>
      <c r="N12" s="12" t="s">
        <v>639</v>
      </c>
      <c r="O12" s="12"/>
      <c r="P12" s="12" t="s">
        <v>638</v>
      </c>
      <c r="Q12" s="12" t="s">
        <v>636</v>
      </c>
      <c r="T12" s="12" t="s">
        <v>639</v>
      </c>
      <c r="U12" s="12" t="s">
        <v>500</v>
      </c>
      <c r="V12" s="12" t="s">
        <v>638</v>
      </c>
      <c r="W12" s="12"/>
      <c r="Z12" s="12" t="str">
        <f t="shared" si="1"/>
        <v>木棒,铁块,刀刃,,骑士之证,铸造,铁块,焦炭,,</v>
      </c>
    </row>
    <row r="13" spans="5:26" x14ac:dyDescent="0.15">
      <c r="E13" s="14" t="s">
        <v>335</v>
      </c>
      <c r="F13" s="14"/>
      <c r="G13" s="12" t="str">
        <f t="shared" si="0"/>
        <v>铁枪,珊瑚,象牙,水晶石</v>
      </c>
      <c r="I13" s="12" t="s">
        <v>333</v>
      </c>
      <c r="J13" s="12" t="s">
        <v>362</v>
      </c>
      <c r="K13" s="12" t="s">
        <v>467</v>
      </c>
      <c r="L13" s="12" t="s">
        <v>462</v>
      </c>
      <c r="N13" s="12" t="s">
        <v>639</v>
      </c>
      <c r="O13" s="12"/>
      <c r="P13" s="12"/>
      <c r="Q13" s="12"/>
      <c r="T13" s="12" t="s">
        <v>639</v>
      </c>
      <c r="U13" s="12" t="s">
        <v>362</v>
      </c>
      <c r="V13" s="12" t="s">
        <v>467</v>
      </c>
      <c r="W13" s="12" t="s">
        <v>462</v>
      </c>
      <c r="Z13" s="12" t="str">
        <f t="shared" si="1"/>
        <v>木棒,铁块,刀刃,,珊瑚,象牙,水晶石</v>
      </c>
    </row>
    <row r="14" spans="5:26" x14ac:dyDescent="0.15">
      <c r="E14" s="9" t="s">
        <v>544</v>
      </c>
      <c r="F14" s="9"/>
      <c r="G14" s="12" t="str">
        <f t="shared" si="0"/>
        <v>银块,刀刃,咒术药水,暮光结晶</v>
      </c>
      <c r="I14" s="12" t="s">
        <v>466</v>
      </c>
      <c r="J14" s="12" t="s">
        <v>488</v>
      </c>
      <c r="K14" s="12" t="s">
        <v>476</v>
      </c>
      <c r="L14" s="12" t="s">
        <v>559</v>
      </c>
      <c r="N14" s="12"/>
      <c r="O14" s="12"/>
      <c r="P14" s="12"/>
      <c r="Q14" s="12"/>
      <c r="T14" s="12" t="s">
        <v>466</v>
      </c>
      <c r="U14" s="12" t="s">
        <v>356</v>
      </c>
      <c r="V14" s="12" t="s">
        <v>476</v>
      </c>
      <c r="W14" s="12" t="s">
        <v>559</v>
      </c>
      <c r="Z14" s="12" t="str">
        <f t="shared" si="1"/>
        <v>银块,刀刃,咒术药水,暮光结晶</v>
      </c>
    </row>
    <row r="15" spans="5:26" x14ac:dyDescent="0.15">
      <c r="E15" s="9" t="s">
        <v>545</v>
      </c>
      <c r="F15" s="9"/>
      <c r="G15" s="12" t="str">
        <f t="shared" si="0"/>
        <v>幻影水晶,铁枪,夜之幕,风晶石</v>
      </c>
      <c r="I15" s="12" t="s">
        <v>511</v>
      </c>
      <c r="J15" s="12" t="s">
        <v>333</v>
      </c>
      <c r="K15" s="12" t="s">
        <v>596</v>
      </c>
      <c r="L15" s="12" t="s">
        <v>447</v>
      </c>
      <c r="N15" s="12"/>
      <c r="O15" s="12" t="s">
        <v>639</v>
      </c>
      <c r="P15" s="12"/>
      <c r="Q15" s="12"/>
      <c r="T15" s="12" t="s">
        <v>511</v>
      </c>
      <c r="U15" s="12" t="s">
        <v>639</v>
      </c>
      <c r="V15" s="12" t="s">
        <v>481</v>
      </c>
      <c r="W15" s="12" t="s">
        <v>447</v>
      </c>
      <c r="Z15" s="12" t="str">
        <f t="shared" si="1"/>
        <v>幻影水晶,木棒,铁块,刀刃,,夜之幕,风晶石</v>
      </c>
    </row>
    <row r="16" spans="5:26" x14ac:dyDescent="0.15">
      <c r="E16" s="14" t="s">
        <v>518</v>
      </c>
      <c r="F16" s="14"/>
      <c r="G16" s="12" t="str">
        <f t="shared" si="0"/>
        <v>钢,刀刃,兽角,</v>
      </c>
      <c r="I16" s="12" t="s">
        <v>354</v>
      </c>
      <c r="J16" s="12" t="s">
        <v>356</v>
      </c>
      <c r="K16" s="12" t="s">
        <v>576</v>
      </c>
      <c r="L16" s="12"/>
      <c r="N16" s="12" t="s">
        <v>638</v>
      </c>
      <c r="O16" s="12"/>
      <c r="P16" s="12"/>
      <c r="Q16" s="12" t="s">
        <v>636</v>
      </c>
      <c r="T16" s="12" t="s">
        <v>638</v>
      </c>
      <c r="U16" s="12" t="s">
        <v>356</v>
      </c>
      <c r="V16" s="12" t="s">
        <v>363</v>
      </c>
      <c r="W16" s="12"/>
      <c r="Z16" s="12" t="str">
        <f t="shared" si="1"/>
        <v>铸造,铁块,焦炭,,刀刃,兽角,</v>
      </c>
    </row>
    <row r="17" spans="5:26" x14ac:dyDescent="0.15">
      <c r="E17" s="14" t="s">
        <v>388</v>
      </c>
      <c r="F17" s="14"/>
      <c r="G17" s="12" t="str">
        <f t="shared" si="0"/>
        <v>战斧,毒淤泥,狼牙,</v>
      </c>
      <c r="I17" s="12" t="s">
        <v>518</v>
      </c>
      <c r="J17" s="12" t="s">
        <v>564</v>
      </c>
      <c r="K17" s="12" t="s">
        <v>370</v>
      </c>
      <c r="L17" s="12"/>
      <c r="N17" s="12" t="s">
        <v>640</v>
      </c>
      <c r="O17" s="12"/>
      <c r="P17" s="12"/>
      <c r="Q17" s="12" t="s">
        <v>636</v>
      </c>
      <c r="T17" s="12" t="s">
        <v>640</v>
      </c>
      <c r="U17" s="12" t="s">
        <v>474</v>
      </c>
      <c r="V17" s="12" t="s">
        <v>370</v>
      </c>
      <c r="W17" s="12"/>
      <c r="Z17" s="12" t="str">
        <f t="shared" si="1"/>
        <v>钢,刀刃,兽角,,毒淤泥,狼牙,</v>
      </c>
    </row>
    <row r="18" spans="5:26" x14ac:dyDescent="0.15">
      <c r="E18" s="14" t="s">
        <v>387</v>
      </c>
      <c r="F18" s="14"/>
      <c r="G18" s="12" t="str">
        <f t="shared" si="0"/>
        <v>战斧,魔族之血,人狼之证,石化之眼</v>
      </c>
      <c r="I18" s="12" t="s">
        <v>336</v>
      </c>
      <c r="J18" s="12" t="s">
        <v>366</v>
      </c>
      <c r="K18" s="12" t="s">
        <v>478</v>
      </c>
      <c r="L18" s="12" t="s">
        <v>368</v>
      </c>
      <c r="N18" s="12" t="s">
        <v>640</v>
      </c>
      <c r="O18" s="12"/>
      <c r="P18" s="12"/>
      <c r="Q18" s="12"/>
      <c r="T18" s="12" t="s">
        <v>640</v>
      </c>
      <c r="U18" s="12" t="s">
        <v>366</v>
      </c>
      <c r="V18" s="12" t="s">
        <v>478</v>
      </c>
      <c r="W18" s="12" t="s">
        <v>368</v>
      </c>
      <c r="Z18" s="12" t="str">
        <f t="shared" si="1"/>
        <v>钢,刀刃,兽角,,魔族之血,人狼之证,石化之眼</v>
      </c>
    </row>
    <row r="19" spans="5:26" x14ac:dyDescent="0.15">
      <c r="E19" s="14" t="s">
        <v>386</v>
      </c>
      <c r="F19" s="14"/>
      <c r="G19" s="12" t="str">
        <f t="shared" si="0"/>
        <v>战斧,雪球,冰晶石,寒冰气息</v>
      </c>
      <c r="I19" s="12" t="s">
        <v>336</v>
      </c>
      <c r="J19" s="12" t="s">
        <v>364</v>
      </c>
      <c r="K19" s="12" t="s">
        <v>479</v>
      </c>
      <c r="L19" s="12" t="s">
        <v>484</v>
      </c>
      <c r="N19" s="12" t="s">
        <v>640</v>
      </c>
      <c r="O19" s="12"/>
      <c r="P19" s="12"/>
      <c r="Q19" s="12"/>
      <c r="T19" s="12" t="s">
        <v>640</v>
      </c>
      <c r="U19" s="12" t="s">
        <v>364</v>
      </c>
      <c r="V19" s="12" t="s">
        <v>479</v>
      </c>
      <c r="W19" s="12" t="s">
        <v>484</v>
      </c>
      <c r="Z19" s="12" t="str">
        <f t="shared" si="1"/>
        <v>钢,刀刃,兽角,,雪球,冰晶石,寒冰气息</v>
      </c>
    </row>
    <row r="20" spans="5:26" x14ac:dyDescent="0.15">
      <c r="E20" s="14" t="s">
        <v>579</v>
      </c>
      <c r="F20" s="14"/>
      <c r="G20" s="12" t="str">
        <f t="shared" si="0"/>
        <v>蛇皮,马尾,蛛丝,</v>
      </c>
      <c r="I20" s="12" t="s">
        <v>350</v>
      </c>
      <c r="J20" s="12" t="s">
        <v>570</v>
      </c>
      <c r="K20" s="12" t="s">
        <v>583</v>
      </c>
      <c r="L20" s="12"/>
      <c r="N20" s="12"/>
      <c r="O20" s="12"/>
      <c r="P20" s="12"/>
      <c r="Q20" s="12" t="s">
        <v>636</v>
      </c>
      <c r="T20" s="12" t="s">
        <v>350</v>
      </c>
      <c r="U20" s="12" t="s">
        <v>359</v>
      </c>
      <c r="V20" s="12" t="s">
        <v>357</v>
      </c>
      <c r="W20" s="12"/>
      <c r="Z20" s="12" t="str">
        <f t="shared" si="1"/>
        <v>蛇皮,马尾,蛛丝,</v>
      </c>
    </row>
    <row r="21" spans="5:26" x14ac:dyDescent="0.15">
      <c r="E21" s="14" t="s">
        <v>571</v>
      </c>
      <c r="F21" s="14"/>
      <c r="G21" s="12" t="str">
        <f t="shared" si="0"/>
        <v>植物的藤,马尾,蛛丝,</v>
      </c>
      <c r="I21" s="12" t="s">
        <v>456</v>
      </c>
      <c r="J21" s="12" t="s">
        <v>359</v>
      </c>
      <c r="K21" s="12" t="s">
        <v>583</v>
      </c>
      <c r="L21" s="12"/>
      <c r="N21" s="12"/>
      <c r="O21" s="12"/>
      <c r="P21" s="12"/>
      <c r="Q21" s="12" t="s">
        <v>636</v>
      </c>
      <c r="T21" s="12" t="s">
        <v>456</v>
      </c>
      <c r="U21" s="12" t="s">
        <v>359</v>
      </c>
      <c r="V21" s="12" t="s">
        <v>357</v>
      </c>
      <c r="W21" s="12"/>
      <c r="Z21" s="12" t="str">
        <f t="shared" si="1"/>
        <v>植物的藤,马尾,蛛丝,</v>
      </c>
    </row>
    <row r="22" spans="5:26" x14ac:dyDescent="0.15">
      <c r="E22" s="14" t="s">
        <v>598</v>
      </c>
      <c r="F22" s="14"/>
      <c r="G22" s="12" t="str">
        <f t="shared" si="0"/>
        <v>藤鞭,尖刺,幽魂,</v>
      </c>
      <c r="I22" s="12" t="s">
        <v>340</v>
      </c>
      <c r="J22" s="12" t="s">
        <v>561</v>
      </c>
      <c r="K22" s="12" t="s">
        <v>371</v>
      </c>
      <c r="L22" s="12"/>
      <c r="N22" s="12" t="s">
        <v>641</v>
      </c>
      <c r="O22" s="12"/>
      <c r="P22" s="12"/>
      <c r="Q22" s="12" t="s">
        <v>636</v>
      </c>
      <c r="T22" s="12" t="s">
        <v>641</v>
      </c>
      <c r="U22" s="12" t="s">
        <v>450</v>
      </c>
      <c r="V22" s="12" t="s">
        <v>371</v>
      </c>
      <c r="W22" s="12"/>
      <c r="Z22" s="12" t="str">
        <f t="shared" si="1"/>
        <v>植物的藤,马尾,蛛丝,,尖刺,幽魂,</v>
      </c>
    </row>
    <row r="23" spans="5:26" x14ac:dyDescent="0.15">
      <c r="E23" s="14" t="s">
        <v>597</v>
      </c>
      <c r="F23" s="14"/>
      <c r="G23" s="12" t="str">
        <f t="shared" si="0"/>
        <v>蛇皮鞭,狼牙,,</v>
      </c>
      <c r="I23" s="12" t="s">
        <v>339</v>
      </c>
      <c r="J23" s="12" t="s">
        <v>405</v>
      </c>
      <c r="K23" s="12"/>
      <c r="L23" s="12"/>
      <c r="N23" s="12" t="s">
        <v>642</v>
      </c>
      <c r="O23" s="12"/>
      <c r="P23" s="12" t="s">
        <v>642</v>
      </c>
      <c r="Q23" s="12" t="s">
        <v>636</v>
      </c>
      <c r="T23" s="12" t="s">
        <v>642</v>
      </c>
      <c r="U23" s="12" t="s">
        <v>370</v>
      </c>
      <c r="V23" s="12" t="s">
        <v>642</v>
      </c>
      <c r="W23" s="12"/>
      <c r="Z23" s="12" t="str">
        <f t="shared" si="1"/>
        <v>蛇皮,马尾,蛛丝,,狼牙,蛇皮,马尾,蛛丝,,</v>
      </c>
    </row>
    <row r="24" spans="5:26" x14ac:dyDescent="0.15">
      <c r="E24" s="9" t="s">
        <v>548</v>
      </c>
      <c r="F24" s="9"/>
      <c r="G24" s="12" t="str">
        <f t="shared" si="0"/>
        <v>雷鸣宝珠,电偶瓶,蜂刺,女王鞭</v>
      </c>
      <c r="I24" s="12" t="s">
        <v>508</v>
      </c>
      <c r="J24" s="12" t="s">
        <v>458</v>
      </c>
      <c r="K24" s="12" t="s">
        <v>569</v>
      </c>
      <c r="L24" s="12" t="s">
        <v>393</v>
      </c>
      <c r="N24" s="12"/>
      <c r="O24" s="12"/>
      <c r="P24" s="12"/>
      <c r="Q24" s="12" t="s">
        <v>654</v>
      </c>
      <c r="T24" s="12" t="s">
        <v>508</v>
      </c>
      <c r="U24" s="12" t="s">
        <v>458</v>
      </c>
      <c r="V24" s="12" t="s">
        <v>367</v>
      </c>
      <c r="W24" s="12" t="s">
        <v>653</v>
      </c>
      <c r="Z24" s="12" t="str">
        <f t="shared" si="1"/>
        <v>雷鸣宝珠,电偶瓶,蜂刺,植物的藤,马尾,蛛丝,尖刺,幽魂,</v>
      </c>
    </row>
    <row r="25" spans="5:26" x14ac:dyDescent="0.15">
      <c r="E25" s="9" t="s">
        <v>547</v>
      </c>
      <c r="F25" s="9"/>
      <c r="G25" s="12" t="str">
        <f t="shared" si="0"/>
        <v>脏绷带,亡者之土,寒冰火种,蛇牙鞭</v>
      </c>
      <c r="I25" s="12" t="s">
        <v>469</v>
      </c>
      <c r="J25" s="12" t="s">
        <v>606</v>
      </c>
      <c r="K25" s="12" t="s">
        <v>485</v>
      </c>
      <c r="L25" s="12" t="s">
        <v>341</v>
      </c>
      <c r="N25" s="12"/>
      <c r="O25" s="12"/>
      <c r="P25" s="12"/>
      <c r="Q25" s="12" t="s">
        <v>656</v>
      </c>
      <c r="T25" s="12" t="s">
        <v>469</v>
      </c>
      <c r="U25" s="12" t="s">
        <v>475</v>
      </c>
      <c r="V25" s="12" t="s">
        <v>485</v>
      </c>
      <c r="W25" s="12" t="s">
        <v>655</v>
      </c>
      <c r="Z25" s="12" t="str">
        <f t="shared" si="1"/>
        <v>脏绷带,亡者之土,寒冰火种,蛇皮,马尾,蛛丝,,狼牙,</v>
      </c>
    </row>
    <row r="26" spans="5:26" x14ac:dyDescent="0.15">
      <c r="E26" s="17" t="s">
        <v>607</v>
      </c>
      <c r="F26" s="17"/>
      <c r="G26" s="12" t="str">
        <f t="shared" si="0"/>
        <v>布片,毛线,,</v>
      </c>
      <c r="I26" s="12" t="s">
        <v>404</v>
      </c>
      <c r="J26" s="12" t="s">
        <v>582</v>
      </c>
      <c r="K26" s="12"/>
      <c r="L26" s="12"/>
      <c r="N26" s="12" t="s">
        <v>643</v>
      </c>
      <c r="O26" s="12" t="s">
        <v>644</v>
      </c>
      <c r="P26" s="12" t="s">
        <v>636</v>
      </c>
      <c r="Q26" s="12" t="s">
        <v>636</v>
      </c>
      <c r="T26" s="12" t="s">
        <v>643</v>
      </c>
      <c r="U26" s="12" t="s">
        <v>644</v>
      </c>
      <c r="V26" s="12"/>
      <c r="W26" s="12"/>
      <c r="Z26" s="12" t="str">
        <f t="shared" si="1"/>
        <v>纺织,毛线,,,纺线,羊毛,,,,</v>
      </c>
    </row>
    <row r="27" spans="5:26" x14ac:dyDescent="0.15">
      <c r="E27" s="17" t="s">
        <v>600</v>
      </c>
      <c r="F27" s="17"/>
      <c r="G27" s="12" t="str">
        <f t="shared" si="0"/>
        <v>皮革,粘液,蛛丝,</v>
      </c>
      <c r="I27" s="12" t="s">
        <v>584</v>
      </c>
      <c r="J27" s="12" t="s">
        <v>574</v>
      </c>
      <c r="K27" s="12" t="s">
        <v>601</v>
      </c>
      <c r="L27" s="12"/>
      <c r="N27" s="12" t="s">
        <v>645</v>
      </c>
      <c r="O27" s="12"/>
      <c r="P27" s="12"/>
      <c r="Q27" s="12" t="s">
        <v>636</v>
      </c>
      <c r="T27" s="12" t="s">
        <v>645</v>
      </c>
      <c r="U27" s="12" t="s">
        <v>526</v>
      </c>
      <c r="V27" s="12" t="s">
        <v>357</v>
      </c>
      <c r="W27" s="12"/>
      <c r="Z27" s="12" t="str">
        <f t="shared" si="1"/>
        <v>鞣制,兽皮,,,粘液,蛛丝,</v>
      </c>
    </row>
    <row r="28" spans="5:26" x14ac:dyDescent="0.15">
      <c r="E28" s="17" t="s">
        <v>374</v>
      </c>
      <c r="F28" s="17"/>
      <c r="G28" s="12" t="str">
        <f t="shared" si="0"/>
        <v>皮铠,珊瑚,钢,</v>
      </c>
      <c r="I28" s="12" t="s">
        <v>349</v>
      </c>
      <c r="J28" s="12" t="s">
        <v>362</v>
      </c>
      <c r="K28" s="12" t="s">
        <v>354</v>
      </c>
      <c r="L28" s="12"/>
      <c r="N28" s="12" t="s">
        <v>646</v>
      </c>
      <c r="O28" s="12"/>
      <c r="P28" s="12" t="s">
        <v>638</v>
      </c>
      <c r="Q28" s="12" t="s">
        <v>636</v>
      </c>
      <c r="T28" s="12" t="s">
        <v>646</v>
      </c>
      <c r="U28" s="12" t="s">
        <v>362</v>
      </c>
      <c r="V28" s="12" t="s">
        <v>638</v>
      </c>
      <c r="W28" s="12"/>
      <c r="Z28" s="12" t="str">
        <f t="shared" si="1"/>
        <v>皮革,粘液,蛛丝,,珊瑚,铸造,铁块,焦炭,,</v>
      </c>
    </row>
    <row r="29" spans="5:26" x14ac:dyDescent="0.15">
      <c r="E29" s="17" t="s">
        <v>343</v>
      </c>
      <c r="F29" s="17"/>
      <c r="G29" s="12" t="str">
        <f t="shared" si="0"/>
        <v>皮铠,魔兽皮毛,羊毛,</v>
      </c>
      <c r="I29" s="12" t="s">
        <v>349</v>
      </c>
      <c r="J29" s="12" t="s">
        <v>348</v>
      </c>
      <c r="K29" s="12" t="s">
        <v>358</v>
      </c>
      <c r="L29" s="12"/>
      <c r="N29" s="12" t="s">
        <v>646</v>
      </c>
      <c r="O29" s="12"/>
      <c r="P29" s="12"/>
      <c r="Q29" s="12" t="s">
        <v>636</v>
      </c>
      <c r="T29" s="12" t="s">
        <v>646</v>
      </c>
      <c r="U29" s="12" t="s">
        <v>348</v>
      </c>
      <c r="V29" s="12" t="s">
        <v>358</v>
      </c>
      <c r="W29" s="12"/>
      <c r="Z29" s="12" t="str">
        <f t="shared" si="1"/>
        <v>皮革,粘液,蛛丝,,魔兽皮毛,羊毛,</v>
      </c>
    </row>
    <row r="30" spans="5:26" x14ac:dyDescent="0.15">
      <c r="E30" s="17" t="s">
        <v>603</v>
      </c>
      <c r="F30" s="17"/>
      <c r="G30" s="12" t="str">
        <f t="shared" si="0"/>
        <v>铁块,石英砂,,</v>
      </c>
      <c r="I30" s="12" t="s">
        <v>522</v>
      </c>
      <c r="J30" s="12" t="s">
        <v>445</v>
      </c>
      <c r="K30" s="12"/>
      <c r="L30" s="12"/>
      <c r="N30" s="12" t="s">
        <v>635</v>
      </c>
      <c r="O30" s="12"/>
      <c r="P30" s="12" t="s">
        <v>636</v>
      </c>
      <c r="Q30" s="12" t="s">
        <v>636</v>
      </c>
      <c r="T30" s="12" t="s">
        <v>635</v>
      </c>
      <c r="U30" s="12" t="s">
        <v>445</v>
      </c>
      <c r="V30" s="12"/>
      <c r="W30" s="12"/>
      <c r="Z30" s="12" t="str">
        <f t="shared" si="1"/>
        <v>铸造,废铁,焦炭,,石英砂,,</v>
      </c>
    </row>
    <row r="31" spans="5:26" x14ac:dyDescent="0.15">
      <c r="E31" s="17" t="s">
        <v>375</v>
      </c>
      <c r="F31" s="17"/>
      <c r="G31" s="12" t="str">
        <f t="shared" si="0"/>
        <v>铁铠甲,遗骨,火晶石,魔力之土</v>
      </c>
      <c r="I31" s="12" t="s">
        <v>353</v>
      </c>
      <c r="J31" s="12" t="s">
        <v>568</v>
      </c>
      <c r="K31" s="12" t="s">
        <v>460</v>
      </c>
      <c r="L31" s="12" t="s">
        <v>557</v>
      </c>
      <c r="N31" s="12" t="s">
        <v>647</v>
      </c>
      <c r="O31" s="12"/>
      <c r="P31" s="12"/>
      <c r="Q31" s="12"/>
      <c r="T31" s="12" t="s">
        <v>647</v>
      </c>
      <c r="U31" s="12" t="s">
        <v>472</v>
      </c>
      <c r="V31" s="12" t="s">
        <v>460</v>
      </c>
      <c r="W31" s="12" t="s">
        <v>557</v>
      </c>
      <c r="Z31" s="12" t="str">
        <f t="shared" si="1"/>
        <v>铁块,石英砂,,,遗骨,火晶石,魔力之土</v>
      </c>
    </row>
    <row r="32" spans="5:26" x14ac:dyDescent="0.15">
      <c r="E32" s="17" t="s">
        <v>560</v>
      </c>
      <c r="F32" s="17"/>
      <c r="G32" s="12" t="str">
        <f t="shared" si="0"/>
        <v>龟壳,铁铠甲,琥珀,</v>
      </c>
      <c r="I32" s="12" t="s">
        <v>444</v>
      </c>
      <c r="J32" s="12" t="s">
        <v>353</v>
      </c>
      <c r="K32" s="12" t="s">
        <v>448</v>
      </c>
      <c r="L32" s="12"/>
      <c r="N32" s="12"/>
      <c r="O32" s="12" t="s">
        <v>647</v>
      </c>
      <c r="P32" s="12"/>
      <c r="Q32" s="12" t="s">
        <v>636</v>
      </c>
      <c r="T32" s="12" t="s">
        <v>444</v>
      </c>
      <c r="U32" s="12" t="s">
        <v>647</v>
      </c>
      <c r="V32" s="12" t="s">
        <v>448</v>
      </c>
      <c r="W32" s="12"/>
      <c r="Z32" s="12" t="str">
        <f t="shared" si="1"/>
        <v>龟壳,铁块,石英砂,,,琥珀,</v>
      </c>
    </row>
    <row r="33" spans="5:26" x14ac:dyDescent="0.15">
      <c r="E33" s="17" t="s">
        <v>344</v>
      </c>
      <c r="F33" s="17"/>
      <c r="G33" s="12" t="str">
        <f t="shared" si="0"/>
        <v>彩色的布,彩色羽毛,毛线,</v>
      </c>
      <c r="I33" s="12" t="s">
        <v>562</v>
      </c>
      <c r="J33" s="12" t="s">
        <v>361</v>
      </c>
      <c r="K33" s="12" t="s">
        <v>582</v>
      </c>
      <c r="L33" s="12"/>
      <c r="N33" s="12"/>
      <c r="O33" s="12"/>
      <c r="P33" s="12" t="s">
        <v>644</v>
      </c>
      <c r="Q33" s="12" t="s">
        <v>636</v>
      </c>
      <c r="T33" s="12" t="s">
        <v>555</v>
      </c>
      <c r="U33" s="12" t="s">
        <v>361</v>
      </c>
      <c r="V33" s="12" t="s">
        <v>644</v>
      </c>
      <c r="W33" s="12"/>
      <c r="Z33" s="12" t="str">
        <f t="shared" si="1"/>
        <v>彩色的布,彩色羽毛,纺线,羊毛,,,</v>
      </c>
    </row>
    <row r="34" spans="5:26" x14ac:dyDescent="0.15">
      <c r="E34" s="17" t="s">
        <v>345</v>
      </c>
      <c r="F34" s="17"/>
      <c r="G34" s="12" t="str">
        <f t="shared" si="0"/>
        <v>鳞片,粘液,皮革,</v>
      </c>
      <c r="I34" s="12" t="s">
        <v>516</v>
      </c>
      <c r="J34" s="12" t="s">
        <v>574</v>
      </c>
      <c r="K34" s="12" t="s">
        <v>584</v>
      </c>
      <c r="L34" s="12"/>
      <c r="N34" s="12"/>
      <c r="O34" s="12"/>
      <c r="P34" s="12" t="s">
        <v>645</v>
      </c>
      <c r="Q34" s="12" t="s">
        <v>636</v>
      </c>
      <c r="T34" s="12" t="s">
        <v>516</v>
      </c>
      <c r="U34" s="12" t="s">
        <v>526</v>
      </c>
      <c r="V34" s="12" t="s">
        <v>645</v>
      </c>
      <c r="W34" s="12"/>
      <c r="Z34" s="12" t="str">
        <f t="shared" si="1"/>
        <v>鳞片,粘液,鞣制,兽皮,,,</v>
      </c>
    </row>
    <row r="35" spans="5:26" x14ac:dyDescent="0.15">
      <c r="E35" s="17" t="s">
        <v>380</v>
      </c>
      <c r="F35" s="17"/>
      <c r="G35" s="12" t="str">
        <f t="shared" si="0"/>
        <v>夜之幕,毛线,亡者之土,幽魂</v>
      </c>
      <c r="I35" s="12" t="s">
        <v>517</v>
      </c>
      <c r="J35" s="12" t="s">
        <v>582</v>
      </c>
      <c r="K35" s="12" t="s">
        <v>409</v>
      </c>
      <c r="L35" s="12" t="s">
        <v>371</v>
      </c>
      <c r="N35" s="12"/>
      <c r="O35" s="12" t="s">
        <v>644</v>
      </c>
      <c r="P35" s="12"/>
      <c r="Q35" s="12"/>
      <c r="T35" s="12" t="s">
        <v>481</v>
      </c>
      <c r="U35" s="12" t="s">
        <v>644</v>
      </c>
      <c r="V35" s="12" t="s">
        <v>475</v>
      </c>
      <c r="W35" s="12" t="s">
        <v>371</v>
      </c>
      <c r="Z35" s="12" t="str">
        <f t="shared" si="1"/>
        <v>夜之幕,纺线,羊毛,,,亡者之土,幽魂</v>
      </c>
    </row>
    <row r="36" spans="5:26" x14ac:dyDescent="0.15">
      <c r="E36" s="17" t="s">
        <v>381</v>
      </c>
      <c r="F36" s="17"/>
      <c r="G36" s="12" t="str">
        <f t="shared" si="0"/>
        <v>布衣,风晶石,奇美拉之翼,</v>
      </c>
      <c r="I36" s="12" t="s">
        <v>351</v>
      </c>
      <c r="J36" s="12" t="s">
        <v>447</v>
      </c>
      <c r="K36" s="12" t="s">
        <v>524</v>
      </c>
      <c r="L36" s="12"/>
      <c r="N36" s="12" t="s">
        <v>648</v>
      </c>
      <c r="O36" s="12"/>
      <c r="P36" s="12"/>
      <c r="Q36" s="12" t="s">
        <v>636</v>
      </c>
      <c r="T36" s="12" t="s">
        <v>648</v>
      </c>
      <c r="U36" s="12" t="s">
        <v>447</v>
      </c>
      <c r="V36" s="12" t="s">
        <v>369</v>
      </c>
      <c r="W36" s="12"/>
      <c r="Z36" s="12" t="str">
        <f t="shared" si="1"/>
        <v>布片,毛线,,,风晶石,奇美拉之翼,</v>
      </c>
    </row>
    <row r="37" spans="5:26" x14ac:dyDescent="0.15">
      <c r="E37" s="17" t="s">
        <v>377</v>
      </c>
      <c r="F37" s="17"/>
      <c r="G37" s="12" t="str">
        <f t="shared" si="0"/>
        <v>皮铠,水晶球,金块,兽角</v>
      </c>
      <c r="I37" s="12" t="s">
        <v>600</v>
      </c>
      <c r="J37" s="12" t="s">
        <v>365</v>
      </c>
      <c r="K37" s="12" t="s">
        <v>372</v>
      </c>
      <c r="L37" s="12" t="s">
        <v>363</v>
      </c>
      <c r="N37" s="12" t="s">
        <v>646</v>
      </c>
      <c r="O37" s="12"/>
      <c r="P37" s="12"/>
      <c r="Q37" s="12"/>
      <c r="T37" s="12" t="s">
        <v>646</v>
      </c>
      <c r="U37" s="12" t="s">
        <v>365</v>
      </c>
      <c r="V37" s="12" t="s">
        <v>372</v>
      </c>
      <c r="W37" s="12" t="s">
        <v>363</v>
      </c>
      <c r="Z37" s="12" t="str">
        <f t="shared" si="1"/>
        <v>皮革,粘液,蛛丝,,水晶球,金块,兽角</v>
      </c>
    </row>
    <row r="38" spans="5:26" x14ac:dyDescent="0.15">
      <c r="E38" s="17" t="s">
        <v>376</v>
      </c>
      <c r="F38" s="17"/>
      <c r="G38" s="12" t="str">
        <f t="shared" si="0"/>
        <v>铁铠甲,刀刃,钢,土晶石</v>
      </c>
      <c r="I38" s="12" t="s">
        <v>353</v>
      </c>
      <c r="J38" s="12" t="s">
        <v>356</v>
      </c>
      <c r="K38" s="12" t="s">
        <v>406</v>
      </c>
      <c r="L38" s="12" t="s">
        <v>454</v>
      </c>
      <c r="N38" s="12" t="s">
        <v>647</v>
      </c>
      <c r="O38" s="12"/>
      <c r="P38" s="12" t="s">
        <v>638</v>
      </c>
      <c r="Q38" s="12"/>
      <c r="T38" s="12" t="s">
        <v>647</v>
      </c>
      <c r="U38" s="12" t="s">
        <v>356</v>
      </c>
      <c r="V38" s="12" t="s">
        <v>638</v>
      </c>
      <c r="W38" s="12" t="s">
        <v>454</v>
      </c>
      <c r="Z38" s="12" t="str">
        <f t="shared" si="1"/>
        <v>铁块,石英砂,,,刀刃,铸造,铁块,焦炭,,土晶石</v>
      </c>
    </row>
    <row r="39" spans="5:26" x14ac:dyDescent="0.15">
      <c r="E39" s="17" t="s">
        <v>378</v>
      </c>
      <c r="F39" s="17"/>
      <c r="G39" s="12" t="str">
        <f t="shared" si="0"/>
        <v>布片,蛛丝,彩色羽毛,</v>
      </c>
      <c r="I39" s="12" t="s">
        <v>352</v>
      </c>
      <c r="J39" s="12" t="s">
        <v>357</v>
      </c>
      <c r="K39" s="12" t="s">
        <v>361</v>
      </c>
      <c r="L39" s="12"/>
      <c r="N39" s="12" t="s">
        <v>643</v>
      </c>
      <c r="O39" s="12"/>
      <c r="P39" s="12"/>
      <c r="Q39" s="12" t="s">
        <v>636</v>
      </c>
      <c r="T39" s="12" t="s">
        <v>643</v>
      </c>
      <c r="U39" s="12" t="s">
        <v>357</v>
      </c>
      <c r="V39" s="12" t="s">
        <v>361</v>
      </c>
      <c r="W39" s="12"/>
      <c r="Z39" s="12" t="str">
        <f t="shared" si="1"/>
        <v>纺织,毛线,,,蛛丝,彩色羽毛,</v>
      </c>
    </row>
    <row r="40" spans="5:26" x14ac:dyDescent="0.15">
      <c r="E40" s="17" t="s">
        <v>379</v>
      </c>
      <c r="F40" s="17"/>
      <c r="G40" s="12" t="str">
        <f t="shared" si="0"/>
        <v>布衣,水晶石,防水皮革,</v>
      </c>
      <c r="I40" s="12" t="s">
        <v>351</v>
      </c>
      <c r="J40" s="12" t="s">
        <v>527</v>
      </c>
      <c r="K40" s="7" t="s">
        <v>532</v>
      </c>
      <c r="L40" s="12"/>
      <c r="N40" s="12" t="s">
        <v>648</v>
      </c>
      <c r="O40" s="12"/>
      <c r="P40" s="12"/>
      <c r="Q40" s="12" t="s">
        <v>636</v>
      </c>
      <c r="T40" s="12" t="s">
        <v>648</v>
      </c>
      <c r="U40" s="12" t="s">
        <v>462</v>
      </c>
      <c r="V40" s="12" t="s">
        <v>554</v>
      </c>
      <c r="W40" s="12"/>
      <c r="Z40" s="12" t="str">
        <f t="shared" si="1"/>
        <v>布片,毛线,,,水晶石,防水皮革,</v>
      </c>
    </row>
    <row r="41" spans="5:26" x14ac:dyDescent="0.15">
      <c r="E41" s="17" t="s">
        <v>390</v>
      </c>
      <c r="F41" s="17"/>
      <c r="G41" s="12" t="str">
        <f t="shared" si="0"/>
        <v>华丽背心,贵族徽章,珍珠,金块</v>
      </c>
      <c r="I41" s="12" t="s">
        <v>355</v>
      </c>
      <c r="J41" s="12" t="s">
        <v>502</v>
      </c>
      <c r="K41" s="12" t="s">
        <v>463</v>
      </c>
      <c r="L41" s="12" t="s">
        <v>372</v>
      </c>
      <c r="N41" s="12" t="s">
        <v>649</v>
      </c>
      <c r="O41" s="12"/>
      <c r="P41" s="12"/>
      <c r="Q41" s="12"/>
      <c r="T41" s="12" t="s">
        <v>649</v>
      </c>
      <c r="U41" s="12" t="s">
        <v>502</v>
      </c>
      <c r="V41" s="12" t="s">
        <v>463</v>
      </c>
      <c r="W41" s="12" t="s">
        <v>372</v>
      </c>
      <c r="Z41" s="12" t="str">
        <f t="shared" si="1"/>
        <v>彩色的布,彩色羽毛,毛线,,贵族徽章,珍珠,金块</v>
      </c>
    </row>
    <row r="42" spans="5:26" x14ac:dyDescent="0.15">
      <c r="E42" s="18" t="s">
        <v>550</v>
      </c>
      <c r="F42" s="18"/>
      <c r="G42" s="12" t="str">
        <f t="shared" si="0"/>
        <v>远古的硬币,布衣,脏绷带,暮光结晶</v>
      </c>
      <c r="I42" s="12" t="s">
        <v>470</v>
      </c>
      <c r="J42" s="12" t="s">
        <v>351</v>
      </c>
      <c r="K42" s="12" t="s">
        <v>469</v>
      </c>
      <c r="L42" s="12" t="s">
        <v>559</v>
      </c>
      <c r="N42" s="12"/>
      <c r="O42" s="12" t="s">
        <v>648</v>
      </c>
      <c r="P42" s="12"/>
      <c r="Q42" s="12"/>
      <c r="T42" s="12" t="s">
        <v>470</v>
      </c>
      <c r="U42" s="12" t="s">
        <v>648</v>
      </c>
      <c r="V42" s="12" t="s">
        <v>469</v>
      </c>
      <c r="W42" s="12" t="s">
        <v>559</v>
      </c>
      <c r="Z42" s="12" t="str">
        <f t="shared" si="1"/>
        <v>远古的硬币,布片,毛线,,,脏绷带,暮光结晶</v>
      </c>
    </row>
    <row r="43" spans="5:26" x14ac:dyDescent="0.15">
      <c r="E43" s="18" t="s">
        <v>426</v>
      </c>
      <c r="F43" s="18"/>
      <c r="G43" s="12" t="str">
        <f>$I43&amp;","&amp;$J43&amp;","&amp;$K43&amp;","&amp;$L43</f>
        <v>布片,鹿角,粘液,</v>
      </c>
      <c r="I43" s="12" t="s">
        <v>434</v>
      </c>
      <c r="J43" s="12" t="s">
        <v>457</v>
      </c>
      <c r="K43" s="12" t="s">
        <v>526</v>
      </c>
      <c r="L43" s="12"/>
      <c r="N43" s="12" t="s">
        <v>643</v>
      </c>
      <c r="O43" s="12"/>
      <c r="P43" s="12"/>
      <c r="Q43" s="12" t="s">
        <v>636</v>
      </c>
      <c r="T43" s="12" t="s">
        <v>643</v>
      </c>
      <c r="U43" s="12" t="s">
        <v>457</v>
      </c>
      <c r="V43" s="12" t="s">
        <v>526</v>
      </c>
      <c r="W43" s="12"/>
      <c r="Z43" s="12" t="str">
        <f t="shared" si="1"/>
        <v>纺织,毛线,,,鹿角,粘液,</v>
      </c>
    </row>
    <row r="44" spans="5:26" x14ac:dyDescent="0.15">
      <c r="E44" s="18" t="s">
        <v>577</v>
      </c>
      <c r="F44" s="18"/>
      <c r="G44" s="12" t="str">
        <f t="shared" si="0"/>
        <v>皮革,鹿角,粘液,</v>
      </c>
      <c r="I44" s="12" t="s">
        <v>440</v>
      </c>
      <c r="J44" s="12" t="s">
        <v>457</v>
      </c>
      <c r="K44" s="12" t="s">
        <v>526</v>
      </c>
      <c r="L44" s="12"/>
      <c r="N44" s="12" t="s">
        <v>645</v>
      </c>
      <c r="O44" s="12"/>
      <c r="P44" s="12"/>
      <c r="Q44" s="12" t="s">
        <v>636</v>
      </c>
      <c r="T44" s="12" t="s">
        <v>645</v>
      </c>
      <c r="U44" s="12" t="s">
        <v>457</v>
      </c>
      <c r="V44" s="12" t="s">
        <v>526</v>
      </c>
      <c r="W44" s="12"/>
      <c r="Z44" s="12" t="str">
        <f t="shared" si="1"/>
        <v>鞣制,兽皮,,,鹿角,粘液,</v>
      </c>
    </row>
    <row r="45" spans="5:26" x14ac:dyDescent="0.15">
      <c r="E45" s="18" t="s">
        <v>435</v>
      </c>
      <c r="F45" s="18"/>
      <c r="G45" s="12" t="str">
        <f t="shared" si="0"/>
        <v>铁块,琥珀,龟壳,</v>
      </c>
      <c r="I45" s="12" t="s">
        <v>419</v>
      </c>
      <c r="J45" s="12" t="s">
        <v>566</v>
      </c>
      <c r="K45" s="12" t="s">
        <v>444</v>
      </c>
      <c r="L45" s="12"/>
      <c r="N45" s="12" t="s">
        <v>635</v>
      </c>
      <c r="O45" s="12"/>
      <c r="P45" s="12"/>
      <c r="Q45" s="12" t="s">
        <v>636</v>
      </c>
      <c r="T45" s="12" t="s">
        <v>635</v>
      </c>
      <c r="U45" s="12" t="s">
        <v>448</v>
      </c>
      <c r="V45" s="12" t="s">
        <v>444</v>
      </c>
      <c r="W45" s="12"/>
      <c r="Z45" s="12" t="str">
        <f t="shared" si="1"/>
        <v>铸造,废铁,焦炭,,琥珀,龟壳,</v>
      </c>
    </row>
    <row r="46" spans="5:26" x14ac:dyDescent="0.15">
      <c r="E46" s="18" t="s">
        <v>594</v>
      </c>
      <c r="F46" s="18"/>
      <c r="G46" s="12" t="str">
        <f t="shared" si="0"/>
        <v>皮鞋,鳞片,蛇皮,</v>
      </c>
      <c r="I46" s="12" t="s">
        <v>422</v>
      </c>
      <c r="J46" s="12" t="s">
        <v>516</v>
      </c>
      <c r="K46" s="12" t="s">
        <v>350</v>
      </c>
      <c r="L46" s="12"/>
      <c r="N46" s="12" t="s">
        <v>650</v>
      </c>
      <c r="O46" s="12"/>
      <c r="P46" s="12"/>
      <c r="Q46" s="12" t="s">
        <v>636</v>
      </c>
      <c r="T46" s="12" t="s">
        <v>650</v>
      </c>
      <c r="U46" s="12" t="s">
        <v>516</v>
      </c>
      <c r="V46" s="12" t="s">
        <v>350</v>
      </c>
      <c r="W46" s="12"/>
      <c r="Z46" s="12" t="str">
        <f t="shared" si="1"/>
        <v>皮革,鹿角,粘液,,鳞片,蛇皮,</v>
      </c>
    </row>
    <row r="47" spans="5:26" x14ac:dyDescent="0.15">
      <c r="E47" s="18" t="s">
        <v>591</v>
      </c>
      <c r="F47" s="18"/>
      <c r="G47" s="12" t="str">
        <f t="shared" si="0"/>
        <v>布鞋,风晶石,蛛丝,</v>
      </c>
      <c r="I47" s="12" t="s">
        <v>426</v>
      </c>
      <c r="J47" s="12" t="s">
        <v>447</v>
      </c>
      <c r="K47" s="12" t="s">
        <v>357</v>
      </c>
      <c r="L47" s="12"/>
      <c r="N47" s="12" t="s">
        <v>651</v>
      </c>
      <c r="O47" s="12"/>
      <c r="P47" s="12"/>
      <c r="Q47" s="12" t="s">
        <v>636</v>
      </c>
      <c r="T47" s="12" t="s">
        <v>651</v>
      </c>
      <c r="U47" s="12" t="s">
        <v>447</v>
      </c>
      <c r="V47" s="12" t="s">
        <v>357</v>
      </c>
      <c r="W47" s="12"/>
      <c r="Z47" s="12" t="str">
        <f t="shared" si="1"/>
        <v>布片,鹿角,粘液,,风晶石,蛛丝,</v>
      </c>
    </row>
    <row r="48" spans="5:26" x14ac:dyDescent="0.15">
      <c r="E48" s="18" t="s">
        <v>501</v>
      </c>
      <c r="F48" s="18"/>
      <c r="G48" s="12" t="str">
        <f t="shared" si="0"/>
        <v>皮鞋,珍珠,魔兽皮毛,贵族徽章</v>
      </c>
      <c r="I48" s="12" t="s">
        <v>422</v>
      </c>
      <c r="J48" s="12" t="s">
        <v>463</v>
      </c>
      <c r="K48" s="12" t="s">
        <v>348</v>
      </c>
      <c r="L48" s="12" t="s">
        <v>502</v>
      </c>
      <c r="N48" s="12" t="s">
        <v>650</v>
      </c>
      <c r="O48" s="12"/>
      <c r="P48" s="12"/>
      <c r="Q48" s="12"/>
      <c r="T48" s="12" t="s">
        <v>650</v>
      </c>
      <c r="U48" s="12" t="s">
        <v>463</v>
      </c>
      <c r="V48" s="12" t="s">
        <v>348</v>
      </c>
      <c r="W48" s="12" t="s">
        <v>502</v>
      </c>
      <c r="Z48" s="12" t="str">
        <f t="shared" si="1"/>
        <v>皮革,鹿角,粘液,,珍珠,魔兽皮毛,贵族徽章</v>
      </c>
    </row>
    <row r="49" spans="5:26" x14ac:dyDescent="0.15">
      <c r="E49" s="18" t="s">
        <v>436</v>
      </c>
      <c r="F49" s="18"/>
      <c r="G49" s="12" t="str">
        <f t="shared" si="0"/>
        <v>布鞋,武道精华,水晶石,彩色的布</v>
      </c>
      <c r="I49" s="12" t="s">
        <v>425</v>
      </c>
      <c r="J49" s="12" t="s">
        <v>489</v>
      </c>
      <c r="K49" s="12" t="s">
        <v>527</v>
      </c>
      <c r="L49" s="12" t="s">
        <v>562</v>
      </c>
      <c r="N49" s="12" t="s">
        <v>651</v>
      </c>
      <c r="O49" s="12"/>
      <c r="P49" s="12"/>
      <c r="Q49" s="12"/>
      <c r="T49" s="12" t="s">
        <v>651</v>
      </c>
      <c r="U49" s="12" t="s">
        <v>489</v>
      </c>
      <c r="V49" s="12" t="s">
        <v>462</v>
      </c>
      <c r="W49" s="12" t="s">
        <v>555</v>
      </c>
      <c r="Z49" s="12" t="str">
        <f t="shared" si="1"/>
        <v>布片,鹿角,粘液,,武道精华,水晶石,彩色的布</v>
      </c>
    </row>
    <row r="50" spans="5:26" x14ac:dyDescent="0.15">
      <c r="E50" s="18" t="s">
        <v>437</v>
      </c>
      <c r="F50" s="18"/>
      <c r="G50" s="12" t="str">
        <f t="shared" si="0"/>
        <v>士兵长靴,骑士之证,象牙,钢</v>
      </c>
      <c r="I50" s="18" t="s">
        <v>435</v>
      </c>
      <c r="J50" s="12" t="s">
        <v>500</v>
      </c>
      <c r="K50" s="12" t="s">
        <v>467</v>
      </c>
      <c r="L50" s="12" t="s">
        <v>573</v>
      </c>
      <c r="N50" s="12" t="s">
        <v>652</v>
      </c>
      <c r="O50" s="12"/>
      <c r="P50" s="12"/>
      <c r="Q50" s="12" t="s">
        <v>638</v>
      </c>
      <c r="T50" s="12" t="s">
        <v>652</v>
      </c>
      <c r="U50" s="12" t="s">
        <v>500</v>
      </c>
      <c r="V50" s="12" t="s">
        <v>467</v>
      </c>
      <c r="W50" s="12" t="s">
        <v>638</v>
      </c>
      <c r="Z50" s="12" t="str">
        <f t="shared" si="1"/>
        <v>铁块,琥珀,龟壳,,骑士之证,象牙,铸造,铁块,焦炭,</v>
      </c>
    </row>
    <row r="51" spans="5:26" x14ac:dyDescent="0.15">
      <c r="E51" s="18" t="s">
        <v>504</v>
      </c>
      <c r="F51" s="18"/>
      <c r="G51" s="12" t="str">
        <f t="shared" si="0"/>
        <v>布鞋,贤者晶石,妖精粉,防水皮革</v>
      </c>
      <c r="I51" s="12" t="s">
        <v>426</v>
      </c>
      <c r="J51" s="12" t="s">
        <v>589</v>
      </c>
      <c r="K51" s="12" t="s">
        <v>473</v>
      </c>
      <c r="L51" s="12" t="s">
        <v>554</v>
      </c>
      <c r="N51" s="12" t="s">
        <v>651</v>
      </c>
      <c r="O51" s="12"/>
      <c r="P51" s="12"/>
      <c r="Q51" s="12"/>
      <c r="T51" s="12" t="s">
        <v>651</v>
      </c>
      <c r="U51" s="12" t="s">
        <v>506</v>
      </c>
      <c r="V51" s="12" t="s">
        <v>473</v>
      </c>
      <c r="W51" s="12" t="s">
        <v>554</v>
      </c>
      <c r="Z51" s="12" t="str">
        <f t="shared" si="1"/>
        <v>布片,鹿角,粘液,,贤者晶石,妖精粉,防水皮革</v>
      </c>
    </row>
    <row r="52" spans="5:26" x14ac:dyDescent="0.15">
      <c r="E52" s="18" t="s">
        <v>505</v>
      </c>
      <c r="F52" s="18"/>
      <c r="G52" s="12" t="str">
        <f t="shared" si="0"/>
        <v>奇美拉之翼,运动鞋,夜之幕,人狼之证</v>
      </c>
      <c r="I52" s="12" t="s">
        <v>369</v>
      </c>
      <c r="J52" s="12" t="s">
        <v>427</v>
      </c>
      <c r="K52" s="12" t="s">
        <v>481</v>
      </c>
      <c r="L52" s="12" t="s">
        <v>478</v>
      </c>
      <c r="N52" s="12"/>
      <c r="O52" s="12" t="s">
        <v>658</v>
      </c>
      <c r="P52" s="12"/>
      <c r="Q52" s="12"/>
      <c r="S52" s="12"/>
      <c r="T52" s="12" t="s">
        <v>369</v>
      </c>
      <c r="U52" s="12" t="s">
        <v>657</v>
      </c>
      <c r="V52" s="12" t="s">
        <v>481</v>
      </c>
      <c r="W52" s="12" t="s">
        <v>478</v>
      </c>
      <c r="Z52" s="12" t="str">
        <f t="shared" si="1"/>
        <v>奇美拉之翼,布片,鹿角,粘液,,风晶石,蛛丝,,夜之幕,人狼之证</v>
      </c>
    </row>
    <row r="53" spans="5:26" x14ac:dyDescent="0.15">
      <c r="E53" s="18" t="s">
        <v>551</v>
      </c>
      <c r="F53" s="18"/>
      <c r="G53" s="12" t="str">
        <f t="shared" si="0"/>
        <v>登山者之靴,防水皮革,水晶石,寒冰气息</v>
      </c>
      <c r="I53" s="12" t="s">
        <v>424</v>
      </c>
      <c r="J53" s="12" t="s">
        <v>554</v>
      </c>
      <c r="K53" s="12" t="s">
        <v>462</v>
      </c>
      <c r="L53" s="12" t="s">
        <v>484</v>
      </c>
      <c r="N53" s="12" t="s">
        <v>660</v>
      </c>
      <c r="O53" s="12"/>
      <c r="P53" s="12"/>
      <c r="Q53" s="12"/>
      <c r="S53" s="12"/>
      <c r="T53" s="12" t="s">
        <v>659</v>
      </c>
      <c r="U53" s="12" t="s">
        <v>554</v>
      </c>
      <c r="V53" s="12" t="s">
        <v>462</v>
      </c>
      <c r="W53" s="12" t="s">
        <v>484</v>
      </c>
      <c r="Z53" s="12" t="str">
        <f t="shared" si="1"/>
        <v>皮革,鹿角,粘液,,鳞片,蛇皮,,防水皮革,水晶石,寒冰气息</v>
      </c>
    </row>
    <row r="54" spans="5:26" x14ac:dyDescent="0.15">
      <c r="E54" s="12"/>
      <c r="G54" s="12" t="str">
        <f t="shared" si="0"/>
        <v>,,,</v>
      </c>
      <c r="I54" s="12"/>
      <c r="J54" s="12"/>
      <c r="K54" s="12"/>
      <c r="L54" s="12"/>
      <c r="P54" s="12"/>
      <c r="S54" s="12"/>
    </row>
    <row r="55" spans="5:26" x14ac:dyDescent="0.15">
      <c r="E55" s="12"/>
      <c r="G55" s="12" t="str">
        <f t="shared" si="0"/>
        <v>,,,</v>
      </c>
      <c r="I55" s="12"/>
      <c r="J55" s="12"/>
      <c r="K55" s="12"/>
      <c r="L55" s="12"/>
      <c r="P55" s="12"/>
      <c r="S55" s="12"/>
    </row>
    <row r="56" spans="5:26" x14ac:dyDescent="0.15">
      <c r="E56" s="12" t="s">
        <v>414</v>
      </c>
      <c r="G56" s="12" t="str">
        <f t="shared" si="0"/>
        <v>纺线,羊毛,,</v>
      </c>
      <c r="I56" s="19" t="s">
        <v>415</v>
      </c>
      <c r="J56" s="12" t="s">
        <v>160</v>
      </c>
      <c r="K56" s="12"/>
      <c r="L56" s="12"/>
      <c r="P56" s="12"/>
    </row>
    <row r="57" spans="5:26" x14ac:dyDescent="0.15">
      <c r="E57" s="12" t="s">
        <v>411</v>
      </c>
      <c r="G57" s="12" t="str">
        <f t="shared" si="0"/>
        <v>纺织,毛线,,</v>
      </c>
      <c r="I57" s="19" t="s">
        <v>413</v>
      </c>
      <c r="J57" s="12" t="s">
        <v>412</v>
      </c>
      <c r="K57" s="12"/>
      <c r="L57" s="12"/>
      <c r="P57" s="12"/>
    </row>
    <row r="58" spans="5:26" x14ac:dyDescent="0.15">
      <c r="E58" s="12" t="s">
        <v>416</v>
      </c>
      <c r="G58" s="12" t="str">
        <f t="shared" si="0"/>
        <v>鞣制,兽皮,,</v>
      </c>
      <c r="I58" s="19" t="s">
        <v>417</v>
      </c>
      <c r="J58" s="12" t="s">
        <v>418</v>
      </c>
      <c r="K58" s="12"/>
      <c r="L58" s="12"/>
      <c r="P58" s="12"/>
    </row>
    <row r="59" spans="5:26" x14ac:dyDescent="0.15">
      <c r="E59" s="12" t="s">
        <v>439</v>
      </c>
      <c r="G59" s="12" t="str">
        <f t="shared" si="0"/>
        <v>铸造,废铁,焦炭,</v>
      </c>
      <c r="I59" s="19" t="s">
        <v>438</v>
      </c>
      <c r="J59" s="12" t="s">
        <v>420</v>
      </c>
      <c r="K59" s="12" t="s">
        <v>608</v>
      </c>
      <c r="L59" s="12"/>
      <c r="P59" s="12"/>
    </row>
    <row r="60" spans="5:26" x14ac:dyDescent="0.15">
      <c r="E60" s="12" t="s">
        <v>419</v>
      </c>
      <c r="G60" s="12" t="str">
        <f t="shared" si="0"/>
        <v>铸造,铁矿,焦炭,</v>
      </c>
      <c r="I60" s="19" t="s">
        <v>438</v>
      </c>
      <c r="J60" s="12" t="s">
        <v>521</v>
      </c>
      <c r="K60" s="12" t="s">
        <v>421</v>
      </c>
      <c r="L60" s="12"/>
      <c r="P60" s="12"/>
    </row>
    <row r="61" spans="5:26" x14ac:dyDescent="0.15">
      <c r="E61" s="12" t="s">
        <v>520</v>
      </c>
      <c r="G61" s="12" t="str">
        <f t="shared" si="0"/>
        <v>铸造,铁块,焦炭,</v>
      </c>
      <c r="I61" s="19" t="s">
        <v>432</v>
      </c>
      <c r="J61" s="12" t="s">
        <v>523</v>
      </c>
      <c r="K61" s="12" t="s">
        <v>421</v>
      </c>
      <c r="L61" s="12"/>
      <c r="P61" s="12"/>
    </row>
    <row r="62" spans="5:26" x14ac:dyDescent="0.15">
      <c r="E62" s="12"/>
      <c r="G62" s="12" t="str">
        <f t="shared" si="0"/>
        <v>,,,</v>
      </c>
      <c r="I62" s="19"/>
      <c r="J62" s="12"/>
      <c r="K62" s="12"/>
      <c r="L62" s="12"/>
      <c r="P62" s="12"/>
    </row>
    <row r="63" spans="5:26" x14ac:dyDescent="0.15">
      <c r="E63" s="23" t="s">
        <v>495</v>
      </c>
      <c r="F63" s="23"/>
      <c r="G63" s="12" t="str">
        <f t="shared" si="0"/>
        <v>月之光华,暗夜之露,仙人掌,</v>
      </c>
      <c r="I63" s="19" t="s">
        <v>556</v>
      </c>
      <c r="J63" s="12" t="s">
        <v>530</v>
      </c>
      <c r="K63" s="12" t="s">
        <v>468</v>
      </c>
      <c r="L63" s="12"/>
      <c r="P63" s="12"/>
    </row>
    <row r="64" spans="5:26" x14ac:dyDescent="0.15">
      <c r="E64" s="23" t="s">
        <v>498</v>
      </c>
      <c r="F64" s="23"/>
      <c r="G64" s="12" t="str">
        <f t="shared" si="0"/>
        <v>图腾号角,星的眼泪,草药茶,</v>
      </c>
      <c r="I64" s="19" t="s">
        <v>515</v>
      </c>
      <c r="J64" s="12" t="s">
        <v>482</v>
      </c>
      <c r="K64" s="12" t="s">
        <v>446</v>
      </c>
      <c r="L64" s="12"/>
      <c r="P64" s="12"/>
    </row>
    <row r="65" spans="5:16" x14ac:dyDescent="0.15">
      <c r="E65" s="23" t="s">
        <v>539</v>
      </c>
      <c r="F65" s="23"/>
      <c r="G65" s="12" t="str">
        <f t="shared" si="0"/>
        <v>妖精粉,迷幻孢子,诅咒宝珠,</v>
      </c>
      <c r="I65" s="19" t="s">
        <v>588</v>
      </c>
      <c r="J65" s="12" t="s">
        <v>528</v>
      </c>
      <c r="K65" s="12" t="s">
        <v>477</v>
      </c>
      <c r="L65" s="12"/>
      <c r="P65" s="12"/>
    </row>
    <row r="66" spans="5:16" x14ac:dyDescent="0.15">
      <c r="E66" s="23" t="s">
        <v>537</v>
      </c>
      <c r="F66" s="23"/>
      <c r="G66" s="12" t="str">
        <f t="shared" si="0"/>
        <v>月之光华,电偶瓶,魔力之土,</v>
      </c>
      <c r="I66" s="12" t="s">
        <v>565</v>
      </c>
      <c r="J66" s="12" t="s">
        <v>531</v>
      </c>
      <c r="K66" s="19" t="s">
        <v>490</v>
      </c>
      <c r="L66" s="12"/>
      <c r="P66" s="12"/>
    </row>
    <row r="67" spans="5:16" x14ac:dyDescent="0.15">
      <c r="E67" s="23" t="s">
        <v>496</v>
      </c>
      <c r="F67" s="23"/>
      <c r="G67" s="12" t="str">
        <f t="shared" si="0"/>
        <v>寒冰气息,冰的结晶,魔力之土,</v>
      </c>
      <c r="I67" s="19" t="s">
        <v>484</v>
      </c>
      <c r="J67" s="12" t="s">
        <v>480</v>
      </c>
      <c r="K67" s="19" t="s">
        <v>490</v>
      </c>
      <c r="L67" s="12"/>
      <c r="P67" s="12"/>
    </row>
    <row r="68" spans="5:16" x14ac:dyDescent="0.15">
      <c r="E68" s="23" t="s">
        <v>497</v>
      </c>
      <c r="F68" s="23"/>
      <c r="G68" s="12" t="str">
        <f t="shared" si="0"/>
        <v>白磷粉末,萤火树汁,魔力之土,</v>
      </c>
      <c r="I68" s="19" t="s">
        <v>580</v>
      </c>
      <c r="J68" s="12" t="s">
        <v>491</v>
      </c>
      <c r="K68" s="19" t="s">
        <v>490</v>
      </c>
      <c r="L68" s="12"/>
      <c r="P68" s="12"/>
    </row>
    <row r="69" spans="5:16" x14ac:dyDescent="0.15">
      <c r="E69" s="23" t="s">
        <v>538</v>
      </c>
      <c r="F69" s="23"/>
      <c r="G69" s="12" t="str">
        <f t="shared" si="0"/>
        <v>石化之眼,亡者之土,琥珀,</v>
      </c>
      <c r="I69" s="19" t="s">
        <v>368</v>
      </c>
      <c r="J69" s="12" t="s">
        <v>602</v>
      </c>
      <c r="K69" s="12" t="s">
        <v>448</v>
      </c>
      <c r="L69" s="12"/>
      <c r="P69" s="12"/>
    </row>
    <row r="70" spans="5:16" x14ac:dyDescent="0.15">
      <c r="E70" s="23" t="s">
        <v>541</v>
      </c>
      <c r="F70" s="23"/>
      <c r="G70" s="12" t="str">
        <f t="shared" ref="G70:G73" si="2">$I70&amp;","&amp;$J70&amp;","&amp;$K70&amp;","&amp;$L70</f>
        <v>神奇泥浆,魔族之血,遗骨,</v>
      </c>
      <c r="I70" s="19" t="s">
        <v>465</v>
      </c>
      <c r="J70" s="12" t="s">
        <v>366</v>
      </c>
      <c r="K70" s="12" t="s">
        <v>472</v>
      </c>
      <c r="L70" s="12"/>
      <c r="P70" s="12"/>
    </row>
    <row r="71" spans="5:16" x14ac:dyDescent="0.15">
      <c r="E71" s="23" t="s">
        <v>542</v>
      </c>
      <c r="F71" s="23"/>
      <c r="G71" s="12" t="str">
        <f t="shared" si="2"/>
        <v>暮光结晶,粘液,贤者晶石,</v>
      </c>
      <c r="I71" s="19" t="s">
        <v>529</v>
      </c>
      <c r="J71" s="12" t="s">
        <v>526</v>
      </c>
      <c r="K71" s="12" t="s">
        <v>506</v>
      </c>
      <c r="L71" s="12"/>
      <c r="P71" s="12"/>
    </row>
    <row r="72" spans="5:16" x14ac:dyDescent="0.15">
      <c r="E72" s="23" t="s">
        <v>543</v>
      </c>
      <c r="F72" s="23"/>
      <c r="G72" s="12" t="str">
        <f t="shared" si="2"/>
        <v>力量果实,咒术药水,象牙,</v>
      </c>
      <c r="I72" s="19" t="s">
        <v>513</v>
      </c>
      <c r="J72" s="12" t="s">
        <v>575</v>
      </c>
      <c r="K72" s="12" t="s">
        <v>467</v>
      </c>
      <c r="L72" s="12"/>
      <c r="P72" s="12"/>
    </row>
    <row r="73" spans="5:16" x14ac:dyDescent="0.15">
      <c r="E73" s="23" t="s">
        <v>540</v>
      </c>
      <c r="F73" s="23"/>
      <c r="G73" s="12" t="str">
        <f t="shared" si="2"/>
        <v>魅惑药水,恶魔花瓣,毒淤泥,</v>
      </c>
      <c r="I73" s="12" t="s">
        <v>512</v>
      </c>
      <c r="J73" s="12" t="s">
        <v>510</v>
      </c>
      <c r="K73" s="12" t="s">
        <v>474</v>
      </c>
      <c r="L73" s="12"/>
      <c r="P73" s="1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K84"/>
  <sheetViews>
    <sheetView topLeftCell="A10" workbookViewId="0">
      <selection activeCell="D5" sqref="D5:D84"/>
    </sheetView>
  </sheetViews>
  <sheetFormatPr defaultRowHeight="13.5" x14ac:dyDescent="0.15"/>
  <sheetData>
    <row r="3" spans="3:11" x14ac:dyDescent="0.15">
      <c r="C3">
        <v>1</v>
      </c>
      <c r="D3">
        <v>2</v>
      </c>
      <c r="E3" s="34">
        <v>3</v>
      </c>
      <c r="F3" s="34">
        <v>4</v>
      </c>
      <c r="G3" s="34">
        <v>5</v>
      </c>
      <c r="H3" s="34">
        <v>6</v>
      </c>
      <c r="I3" s="34">
        <v>7</v>
      </c>
      <c r="J3" s="34">
        <v>8</v>
      </c>
    </row>
    <row r="4" spans="3:11" x14ac:dyDescent="0.15">
      <c r="C4" s="34"/>
      <c r="D4" s="34" t="s">
        <v>787</v>
      </c>
      <c r="E4" s="34" t="s">
        <v>788</v>
      </c>
      <c r="F4" s="34" t="s">
        <v>789</v>
      </c>
      <c r="G4" s="34" t="s">
        <v>790</v>
      </c>
      <c r="H4" s="34" t="s">
        <v>791</v>
      </c>
      <c r="I4" s="34" t="s">
        <v>792</v>
      </c>
      <c r="J4" s="34" t="s">
        <v>793</v>
      </c>
      <c r="K4" s="34"/>
    </row>
    <row r="5" spans="3:11" x14ac:dyDescent="0.15">
      <c r="C5" s="34" t="s">
        <v>794</v>
      </c>
      <c r="D5" s="34">
        <v>15</v>
      </c>
      <c r="E5" s="34"/>
      <c r="F5" s="34"/>
      <c r="G5" s="34"/>
      <c r="H5" s="34"/>
      <c r="I5" s="34"/>
      <c r="J5" s="34"/>
    </row>
    <row r="6" spans="3:11" x14ac:dyDescent="0.15">
      <c r="C6" s="34" t="s">
        <v>163</v>
      </c>
      <c r="D6" s="34">
        <v>50</v>
      </c>
      <c r="E6" s="34"/>
      <c r="F6" s="34"/>
      <c r="G6" s="34"/>
      <c r="H6" s="34"/>
      <c r="I6" s="34"/>
      <c r="J6" s="34"/>
    </row>
    <row r="7" spans="3:11" x14ac:dyDescent="0.15">
      <c r="C7" s="34" t="s">
        <v>184</v>
      </c>
      <c r="D7" s="34"/>
      <c r="E7" s="34"/>
      <c r="F7" s="34">
        <v>80</v>
      </c>
      <c r="G7" s="34"/>
      <c r="H7" s="34"/>
      <c r="I7" s="34">
        <v>25</v>
      </c>
      <c r="J7" s="34"/>
    </row>
    <row r="8" spans="3:11" x14ac:dyDescent="0.15">
      <c r="C8" s="34" t="s">
        <v>166</v>
      </c>
      <c r="D8" s="34">
        <v>20</v>
      </c>
      <c r="E8" s="34"/>
      <c r="F8" s="34"/>
      <c r="G8" s="34"/>
      <c r="H8" s="34"/>
      <c r="I8" s="34"/>
      <c r="J8" s="34"/>
    </row>
    <row r="9" spans="3:11" x14ac:dyDescent="0.15">
      <c r="C9" s="34" t="s">
        <v>182</v>
      </c>
      <c r="D9" s="34"/>
      <c r="E9" s="34"/>
      <c r="F9" s="34">
        <v>120</v>
      </c>
      <c r="G9" s="34"/>
      <c r="H9" s="34"/>
      <c r="I9" s="34"/>
      <c r="J9" s="34"/>
    </row>
    <row r="10" spans="3:11" x14ac:dyDescent="0.15">
      <c r="C10" s="34" t="s">
        <v>194</v>
      </c>
      <c r="D10" s="34"/>
      <c r="E10" s="34"/>
      <c r="F10" s="34">
        <v>100</v>
      </c>
      <c r="G10" s="34"/>
      <c r="H10" s="34"/>
      <c r="I10" s="34"/>
      <c r="J10" s="34"/>
    </row>
    <row r="11" spans="3:11" x14ac:dyDescent="0.15">
      <c r="C11" s="34" t="s">
        <v>195</v>
      </c>
      <c r="D11" s="34"/>
      <c r="E11" s="34"/>
      <c r="F11" s="34">
        <v>140</v>
      </c>
      <c r="G11" s="34"/>
      <c r="H11" s="34"/>
      <c r="I11" s="34"/>
      <c r="J11" s="34"/>
    </row>
    <row r="12" spans="3:11" x14ac:dyDescent="0.15">
      <c r="C12" s="34" t="s">
        <v>165</v>
      </c>
      <c r="D12" s="34">
        <v>25</v>
      </c>
      <c r="E12" s="34"/>
      <c r="F12" s="34"/>
      <c r="G12" s="34"/>
      <c r="H12" s="34"/>
      <c r="I12" s="34"/>
      <c r="J12" s="34"/>
    </row>
    <row r="13" spans="3:11" x14ac:dyDescent="0.15">
      <c r="C13" s="34" t="s">
        <v>167</v>
      </c>
      <c r="D13" s="34">
        <v>35</v>
      </c>
      <c r="E13" s="34"/>
      <c r="F13" s="34"/>
      <c r="G13" s="34"/>
      <c r="H13" s="34"/>
      <c r="I13" s="34"/>
      <c r="J13" s="34"/>
    </row>
    <row r="14" spans="3:11" x14ac:dyDescent="0.15">
      <c r="C14" s="34" t="s">
        <v>196</v>
      </c>
      <c r="D14" s="34"/>
      <c r="E14" s="34">
        <v>10</v>
      </c>
      <c r="F14" s="34"/>
      <c r="G14" s="34"/>
      <c r="H14" s="34"/>
      <c r="I14" s="34"/>
      <c r="J14" s="34"/>
    </row>
    <row r="15" spans="3:11" x14ac:dyDescent="0.15">
      <c r="C15" s="34" t="s">
        <v>164</v>
      </c>
      <c r="D15" s="34"/>
      <c r="E15" s="34"/>
      <c r="F15" s="34"/>
      <c r="G15" s="34"/>
      <c r="H15" s="34">
        <v>40</v>
      </c>
      <c r="I15" s="34"/>
      <c r="J15" s="34"/>
    </row>
    <row r="16" spans="3:11" x14ac:dyDescent="0.15">
      <c r="C16" s="34" t="s">
        <v>197</v>
      </c>
      <c r="D16" s="34"/>
      <c r="E16" s="34"/>
      <c r="F16" s="34">
        <v>20</v>
      </c>
      <c r="G16" s="34"/>
      <c r="H16" s="34"/>
      <c r="I16" s="34"/>
      <c r="J16" s="34"/>
    </row>
    <row r="17" spans="3:10" x14ac:dyDescent="0.15">
      <c r="C17" s="34" t="s">
        <v>795</v>
      </c>
      <c r="D17" s="34"/>
      <c r="E17" s="34"/>
      <c r="F17" s="34">
        <v>60</v>
      </c>
      <c r="G17" s="34"/>
      <c r="H17" s="34"/>
      <c r="I17" s="34"/>
      <c r="J17" s="34"/>
    </row>
    <row r="18" spans="3:10" x14ac:dyDescent="0.15">
      <c r="C18" s="34" t="s">
        <v>198</v>
      </c>
      <c r="D18" s="34"/>
      <c r="E18" s="34"/>
      <c r="F18" s="34"/>
      <c r="G18" s="34"/>
      <c r="H18" s="34"/>
      <c r="I18" s="34">
        <v>7</v>
      </c>
      <c r="J18" s="34"/>
    </row>
    <row r="19" spans="3:10" x14ac:dyDescent="0.15">
      <c r="C19" s="34" t="s">
        <v>171</v>
      </c>
      <c r="D19" s="34"/>
      <c r="E19" s="34"/>
      <c r="F19" s="34"/>
      <c r="G19" s="34"/>
      <c r="H19" s="34">
        <v>55</v>
      </c>
      <c r="I19" s="34"/>
      <c r="J19" s="34"/>
    </row>
    <row r="20" spans="3:10" x14ac:dyDescent="0.15">
      <c r="C20" s="34" t="s">
        <v>199</v>
      </c>
      <c r="D20" s="34"/>
      <c r="E20" s="34"/>
      <c r="F20" s="34">
        <v>160</v>
      </c>
      <c r="G20" s="34"/>
      <c r="H20" s="34"/>
      <c r="I20" s="34"/>
      <c r="J20" s="34"/>
    </row>
    <row r="21" spans="3:10" x14ac:dyDescent="0.15">
      <c r="C21" s="34" t="s">
        <v>200</v>
      </c>
      <c r="D21" s="34"/>
      <c r="E21" s="34">
        <v>50</v>
      </c>
      <c r="F21" s="34"/>
      <c r="G21" s="34"/>
      <c r="H21" s="34"/>
      <c r="I21" s="34"/>
      <c r="J21" s="34"/>
    </row>
    <row r="22" spans="3:10" x14ac:dyDescent="0.15">
      <c r="C22" s="34" t="s">
        <v>170</v>
      </c>
      <c r="D22" s="34">
        <v>80</v>
      </c>
      <c r="E22" s="34"/>
      <c r="F22" s="34"/>
      <c r="G22" s="34"/>
      <c r="H22" s="34"/>
      <c r="I22" s="34"/>
      <c r="J22" s="34"/>
    </row>
    <row r="23" spans="3:10" x14ac:dyDescent="0.15">
      <c r="C23" s="34" t="s">
        <v>201</v>
      </c>
      <c r="D23" s="34"/>
      <c r="E23" s="34"/>
      <c r="F23" s="34">
        <v>180</v>
      </c>
      <c r="G23" s="34"/>
      <c r="H23" s="34"/>
      <c r="I23" s="34"/>
      <c r="J23" s="34"/>
    </row>
    <row r="24" spans="3:10" x14ac:dyDescent="0.15">
      <c r="C24" s="34" t="s">
        <v>172</v>
      </c>
      <c r="D24" s="34">
        <v>100</v>
      </c>
      <c r="E24" s="34"/>
      <c r="F24" s="34"/>
      <c r="G24" s="34"/>
      <c r="H24" s="34"/>
      <c r="I24" s="34"/>
      <c r="J24" s="34"/>
    </row>
    <row r="25" spans="3:10" x14ac:dyDescent="0.15">
      <c r="C25" s="34" t="s">
        <v>202</v>
      </c>
      <c r="D25" s="34"/>
      <c r="E25" s="34"/>
      <c r="F25" s="34"/>
      <c r="G25" s="34"/>
      <c r="H25" s="34"/>
      <c r="I25" s="34">
        <v>10</v>
      </c>
      <c r="J25" s="34"/>
    </row>
    <row r="26" spans="3:10" x14ac:dyDescent="0.15">
      <c r="C26" s="34" t="s">
        <v>185</v>
      </c>
      <c r="D26" s="34"/>
      <c r="E26" s="34"/>
      <c r="F26" s="34"/>
      <c r="G26" s="34"/>
      <c r="H26" s="34"/>
      <c r="I26" s="34"/>
      <c r="J26" s="34">
        <v>15</v>
      </c>
    </row>
    <row r="27" spans="3:10" x14ac:dyDescent="0.15">
      <c r="C27" s="34" t="s">
        <v>168</v>
      </c>
      <c r="D27" s="34"/>
      <c r="E27" s="34"/>
      <c r="F27" s="34"/>
      <c r="G27" s="34"/>
      <c r="H27" s="34"/>
      <c r="I27" s="34"/>
      <c r="J27" s="34">
        <v>20</v>
      </c>
    </row>
    <row r="28" spans="3:10" x14ac:dyDescent="0.15">
      <c r="C28" s="34" t="s">
        <v>175</v>
      </c>
      <c r="D28" s="34"/>
      <c r="E28" s="34"/>
      <c r="F28" s="34"/>
      <c r="G28" s="34"/>
      <c r="H28" s="34"/>
      <c r="I28" s="34"/>
      <c r="J28" s="34">
        <v>26</v>
      </c>
    </row>
    <row r="29" spans="3:10" x14ac:dyDescent="0.15">
      <c r="C29" s="34" t="s">
        <v>177</v>
      </c>
      <c r="D29" s="34"/>
      <c r="E29" s="34"/>
      <c r="F29" s="34"/>
      <c r="G29" s="34"/>
      <c r="H29" s="34"/>
      <c r="I29" s="34"/>
      <c r="J29" s="34">
        <v>25</v>
      </c>
    </row>
    <row r="30" spans="3:10" x14ac:dyDescent="0.15">
      <c r="C30" s="34" t="s">
        <v>179</v>
      </c>
      <c r="D30" s="34"/>
      <c r="E30" s="34"/>
      <c r="F30" s="34"/>
      <c r="G30" s="34"/>
      <c r="H30" s="34"/>
      <c r="I30" s="34"/>
      <c r="J30" s="34">
        <v>28</v>
      </c>
    </row>
    <row r="31" spans="3:10" x14ac:dyDescent="0.15">
      <c r="C31" s="34" t="s">
        <v>180</v>
      </c>
      <c r="D31" s="34"/>
      <c r="E31" s="34"/>
      <c r="F31" s="34"/>
      <c r="G31" s="34"/>
      <c r="H31" s="34"/>
      <c r="I31" s="34"/>
      <c r="J31" s="34">
        <v>28</v>
      </c>
    </row>
    <row r="32" spans="3:10" x14ac:dyDescent="0.15">
      <c r="C32" s="34" t="s">
        <v>203</v>
      </c>
      <c r="D32" s="34"/>
      <c r="E32" s="34"/>
      <c r="F32" s="34"/>
      <c r="G32" s="34"/>
      <c r="H32" s="34"/>
      <c r="I32" s="34">
        <v>15</v>
      </c>
      <c r="J32" s="34"/>
    </row>
    <row r="33" spans="3:10" x14ac:dyDescent="0.15">
      <c r="C33" s="34" t="s">
        <v>204</v>
      </c>
      <c r="D33" s="34">
        <v>140</v>
      </c>
      <c r="E33" s="34"/>
      <c r="F33" s="34"/>
      <c r="G33" s="34"/>
      <c r="H33" s="34"/>
      <c r="I33" s="34"/>
      <c r="J33" s="34"/>
    </row>
    <row r="34" spans="3:10" x14ac:dyDescent="0.15">
      <c r="C34" s="34" t="s">
        <v>181</v>
      </c>
      <c r="D34" s="34"/>
      <c r="E34" s="34"/>
      <c r="F34" s="34"/>
      <c r="G34" s="34"/>
      <c r="H34" s="34"/>
      <c r="I34" s="34">
        <v>35</v>
      </c>
      <c r="J34" s="34"/>
    </row>
    <row r="35" spans="3:10" x14ac:dyDescent="0.15">
      <c r="C35" s="35" t="s">
        <v>206</v>
      </c>
      <c r="D35" s="34"/>
      <c r="E35" s="34"/>
      <c r="F35" s="34"/>
      <c r="G35" s="34"/>
      <c r="H35" s="34"/>
      <c r="I35" s="34"/>
      <c r="J35" s="34"/>
    </row>
    <row r="36" spans="3:10" x14ac:dyDescent="0.15">
      <c r="C36" s="34" t="s">
        <v>207</v>
      </c>
      <c r="D36" s="34">
        <v>90</v>
      </c>
      <c r="E36" s="34"/>
      <c r="F36" s="34"/>
      <c r="G36" s="34"/>
      <c r="H36" s="34"/>
      <c r="I36" s="34"/>
      <c r="J36" s="34"/>
    </row>
    <row r="37" spans="3:10" x14ac:dyDescent="0.15">
      <c r="C37" s="34" t="s">
        <v>183</v>
      </c>
      <c r="D37" s="34">
        <v>80</v>
      </c>
      <c r="E37" s="34">
        <v>30</v>
      </c>
      <c r="F37" s="34">
        <v>80</v>
      </c>
      <c r="G37" s="34"/>
      <c r="H37" s="34"/>
      <c r="I37" s="34"/>
      <c r="J37" s="34"/>
    </row>
    <row r="38" spans="3:10" x14ac:dyDescent="0.15">
      <c r="C38" s="34" t="s">
        <v>208</v>
      </c>
      <c r="D38" s="34">
        <v>140</v>
      </c>
      <c r="E38" s="34">
        <v>80</v>
      </c>
      <c r="F38" s="34"/>
      <c r="G38" s="34"/>
      <c r="H38" s="34"/>
      <c r="I38" s="34"/>
      <c r="J38" s="34"/>
    </row>
    <row r="39" spans="3:10" x14ac:dyDescent="0.15">
      <c r="C39" s="34" t="s">
        <v>209</v>
      </c>
      <c r="D39" s="34">
        <v>40</v>
      </c>
      <c r="E39" s="34"/>
      <c r="F39" s="34"/>
      <c r="G39" s="34"/>
      <c r="H39" s="34"/>
      <c r="I39" s="34"/>
      <c r="J39" s="34"/>
    </row>
    <row r="40" spans="3:10" x14ac:dyDescent="0.15">
      <c r="C40" s="34" t="s">
        <v>210</v>
      </c>
      <c r="D40" s="34"/>
      <c r="E40" s="34">
        <v>70</v>
      </c>
      <c r="F40" s="34"/>
      <c r="G40" s="34"/>
      <c r="H40" s="34"/>
      <c r="I40" s="34"/>
      <c r="J40" s="34"/>
    </row>
    <row r="41" spans="3:10" x14ac:dyDescent="0.15">
      <c r="C41" s="34" t="s">
        <v>169</v>
      </c>
      <c r="D41" s="34"/>
      <c r="E41" s="34">
        <v>80</v>
      </c>
      <c r="F41" s="34"/>
      <c r="G41" s="34"/>
      <c r="H41" s="34"/>
      <c r="I41" s="34"/>
      <c r="J41" s="34"/>
    </row>
    <row r="42" spans="3:10" x14ac:dyDescent="0.15">
      <c r="C42" s="34" t="s">
        <v>211</v>
      </c>
      <c r="D42" s="34"/>
      <c r="E42" s="34">
        <v>100</v>
      </c>
      <c r="F42" s="34"/>
      <c r="G42" s="34"/>
      <c r="H42" s="34"/>
      <c r="I42" s="34"/>
      <c r="J42" s="34">
        <v>35</v>
      </c>
    </row>
    <row r="43" spans="3:10" x14ac:dyDescent="0.15">
      <c r="C43" s="34" t="s">
        <v>212</v>
      </c>
      <c r="D43" s="34"/>
      <c r="E43" s="34"/>
      <c r="F43" s="34"/>
      <c r="G43" s="34"/>
      <c r="H43" s="34"/>
      <c r="I43" s="34">
        <v>30</v>
      </c>
      <c r="J43" s="34">
        <v>35</v>
      </c>
    </row>
    <row r="44" spans="3:10" x14ac:dyDescent="0.15">
      <c r="C44" s="34" t="s">
        <v>213</v>
      </c>
      <c r="D44" s="34"/>
      <c r="E44" s="34"/>
      <c r="F44" s="34">
        <v>170</v>
      </c>
      <c r="G44" s="34"/>
      <c r="H44" s="34"/>
      <c r="I44" s="34"/>
      <c r="J44" s="34"/>
    </row>
    <row r="45" spans="3:10" x14ac:dyDescent="0.15">
      <c r="C45" s="34" t="s">
        <v>214</v>
      </c>
      <c r="D45" s="34"/>
      <c r="E45" s="34">
        <v>80</v>
      </c>
      <c r="F45" s="34"/>
      <c r="G45" s="34"/>
      <c r="H45" s="34"/>
      <c r="I45" s="34"/>
      <c r="J45" s="34">
        <v>30</v>
      </c>
    </row>
    <row r="46" spans="3:10" x14ac:dyDescent="0.15">
      <c r="C46" s="34" t="s">
        <v>215</v>
      </c>
      <c r="D46" s="34"/>
      <c r="E46" s="34"/>
      <c r="F46" s="34"/>
      <c r="G46" s="34"/>
      <c r="H46" s="34"/>
      <c r="I46" s="34">
        <v>30</v>
      </c>
      <c r="J46" s="34"/>
    </row>
    <row r="47" spans="3:10" x14ac:dyDescent="0.15">
      <c r="C47" s="34" t="s">
        <v>176</v>
      </c>
      <c r="D47" s="34"/>
      <c r="E47" s="34"/>
      <c r="F47" s="34"/>
      <c r="G47" s="34">
        <v>30</v>
      </c>
      <c r="H47" s="34"/>
      <c r="I47" s="34"/>
      <c r="J47" s="34"/>
    </row>
    <row r="48" spans="3:10" x14ac:dyDescent="0.15">
      <c r="C48" s="34" t="s">
        <v>186</v>
      </c>
      <c r="D48" s="34"/>
      <c r="E48" s="34"/>
      <c r="F48" s="34"/>
      <c r="G48" s="34">
        <v>10</v>
      </c>
      <c r="H48" s="34"/>
      <c r="I48" s="34"/>
      <c r="J48" s="34"/>
    </row>
    <row r="49" spans="3:10" x14ac:dyDescent="0.15">
      <c r="C49" s="34" t="s">
        <v>173</v>
      </c>
      <c r="D49" s="34"/>
      <c r="E49" s="34"/>
      <c r="F49" s="34"/>
      <c r="G49" s="34">
        <v>25</v>
      </c>
      <c r="H49" s="34"/>
      <c r="I49" s="34"/>
      <c r="J49" s="34"/>
    </row>
    <row r="50" spans="3:10" x14ac:dyDescent="0.15">
      <c r="C50" s="34" t="s">
        <v>216</v>
      </c>
      <c r="D50" s="34"/>
      <c r="E50" s="34"/>
      <c r="F50" s="34"/>
      <c r="G50" s="34">
        <v>32</v>
      </c>
      <c r="H50" s="34"/>
      <c r="I50" s="34"/>
    </row>
    <row r="51" spans="3:10" x14ac:dyDescent="0.15">
      <c r="C51" s="34" t="s">
        <v>217</v>
      </c>
      <c r="D51" s="34"/>
      <c r="E51" s="34"/>
      <c r="F51" s="34"/>
      <c r="G51" s="34">
        <v>16</v>
      </c>
      <c r="H51" s="34"/>
      <c r="I51" s="34"/>
    </row>
    <row r="52" spans="3:10" x14ac:dyDescent="0.15">
      <c r="C52" s="34" t="s">
        <v>218</v>
      </c>
      <c r="D52" s="34"/>
      <c r="E52" s="34"/>
      <c r="F52" s="34"/>
      <c r="G52" s="34">
        <v>50</v>
      </c>
      <c r="H52" s="34"/>
      <c r="I52" s="34"/>
    </row>
    <row r="53" spans="3:10" x14ac:dyDescent="0.15">
      <c r="C53" s="34" t="s">
        <v>219</v>
      </c>
      <c r="D53" s="34"/>
      <c r="E53" s="34"/>
      <c r="F53" s="34"/>
      <c r="G53" s="34">
        <v>55</v>
      </c>
      <c r="H53" s="34"/>
      <c r="I53" s="34"/>
    </row>
    <row r="54" spans="3:10" x14ac:dyDescent="0.15">
      <c r="C54" s="34" t="s">
        <v>796</v>
      </c>
      <c r="D54" s="34"/>
      <c r="E54" s="34"/>
      <c r="F54" s="34"/>
      <c r="G54" s="34">
        <v>40</v>
      </c>
      <c r="H54" s="34"/>
      <c r="I54" s="34"/>
    </row>
    <row r="55" spans="3:10" x14ac:dyDescent="0.15">
      <c r="C55" s="34" t="s">
        <v>220</v>
      </c>
      <c r="D55" s="34"/>
      <c r="E55" s="34"/>
      <c r="F55" s="34"/>
      <c r="G55" s="34"/>
      <c r="H55" s="34">
        <v>10</v>
      </c>
      <c r="I55" s="34"/>
    </row>
    <row r="56" spans="3:10" x14ac:dyDescent="0.15">
      <c r="C56" s="34" t="s">
        <v>221</v>
      </c>
      <c r="D56" s="34"/>
      <c r="E56" s="34"/>
      <c r="F56" s="34"/>
      <c r="G56" s="34"/>
      <c r="H56" s="34">
        <v>25</v>
      </c>
      <c r="I56" s="34"/>
    </row>
    <row r="57" spans="3:10" x14ac:dyDescent="0.15">
      <c r="C57" s="34" t="s">
        <v>222</v>
      </c>
      <c r="D57" s="34"/>
      <c r="E57" s="34"/>
      <c r="F57" s="34"/>
      <c r="G57" s="34"/>
      <c r="H57" s="34">
        <v>50</v>
      </c>
      <c r="I57" s="34"/>
    </row>
    <row r="58" spans="3:10" x14ac:dyDescent="0.15">
      <c r="C58" s="34" t="s">
        <v>223</v>
      </c>
      <c r="D58" s="34"/>
      <c r="E58" s="34">
        <v>70</v>
      </c>
      <c r="F58" s="34"/>
      <c r="G58" s="34"/>
      <c r="H58" s="34"/>
      <c r="I58" s="34"/>
    </row>
    <row r="59" spans="3:10" x14ac:dyDescent="0.15">
      <c r="C59" s="34" t="s">
        <v>224</v>
      </c>
      <c r="D59" s="34"/>
      <c r="E59" s="34"/>
      <c r="F59" s="34"/>
      <c r="G59" s="34"/>
      <c r="H59" s="34">
        <v>65</v>
      </c>
      <c r="I59" s="34"/>
    </row>
    <row r="60" spans="3:10" x14ac:dyDescent="0.15">
      <c r="C60" s="34" t="s">
        <v>225</v>
      </c>
      <c r="D60" s="34"/>
      <c r="E60" s="34"/>
      <c r="F60" s="34"/>
      <c r="G60" s="34"/>
      <c r="H60" s="34">
        <v>70</v>
      </c>
      <c r="I60" s="34"/>
    </row>
    <row r="61" spans="3:10" x14ac:dyDescent="0.15">
      <c r="C61" s="34" t="s">
        <v>226</v>
      </c>
      <c r="D61" s="34"/>
      <c r="E61" s="34"/>
      <c r="F61" s="34">
        <v>30</v>
      </c>
      <c r="G61" s="34"/>
      <c r="H61" s="34"/>
      <c r="I61" s="34"/>
    </row>
    <row r="62" spans="3:10" x14ac:dyDescent="0.15">
      <c r="C62" s="34" t="s">
        <v>227</v>
      </c>
      <c r="D62" s="34"/>
      <c r="E62" s="34"/>
      <c r="F62" s="34">
        <v>40</v>
      </c>
      <c r="G62" s="34"/>
      <c r="H62" s="34"/>
      <c r="I62" s="34"/>
    </row>
    <row r="63" spans="3:10" x14ac:dyDescent="0.15">
      <c r="C63" s="34" t="s">
        <v>228</v>
      </c>
      <c r="D63" s="34"/>
      <c r="E63" s="34">
        <v>40</v>
      </c>
      <c r="F63" s="34"/>
      <c r="G63" s="34"/>
      <c r="H63" s="34"/>
      <c r="I63" s="34"/>
    </row>
    <row r="64" spans="3:10" x14ac:dyDescent="0.15">
      <c r="C64" s="34" t="s">
        <v>229</v>
      </c>
      <c r="D64" s="34">
        <v>70</v>
      </c>
      <c r="E64" s="34"/>
      <c r="F64" s="34"/>
      <c r="G64" s="34"/>
      <c r="H64" s="34"/>
      <c r="I64" s="34"/>
    </row>
    <row r="65" spans="3:9" x14ac:dyDescent="0.15">
      <c r="C65" s="34" t="s">
        <v>230</v>
      </c>
      <c r="D65" s="34">
        <v>60</v>
      </c>
      <c r="E65" s="34"/>
      <c r="F65" s="34"/>
      <c r="G65" s="34"/>
      <c r="H65" s="34"/>
      <c r="I65" s="34"/>
    </row>
    <row r="66" spans="3:9" x14ac:dyDescent="0.15">
      <c r="C66" s="34" t="s">
        <v>231</v>
      </c>
      <c r="D66" s="34">
        <v>120</v>
      </c>
      <c r="E66" s="34"/>
      <c r="F66" s="34"/>
      <c r="G66" s="34"/>
      <c r="H66" s="34"/>
      <c r="I66" s="34"/>
    </row>
    <row r="67" spans="3:9" x14ac:dyDescent="0.15">
      <c r="C67" s="34" t="s">
        <v>232</v>
      </c>
      <c r="D67" s="34">
        <v>180</v>
      </c>
      <c r="E67" s="34"/>
      <c r="F67" s="34"/>
      <c r="G67" s="34"/>
      <c r="H67" s="34"/>
      <c r="I67" s="34"/>
    </row>
    <row r="68" spans="3:9" x14ac:dyDescent="0.15">
      <c r="C68" s="34" t="s">
        <v>233</v>
      </c>
      <c r="D68" s="34"/>
      <c r="E68" s="34"/>
      <c r="F68" s="34"/>
      <c r="G68" s="34">
        <v>45</v>
      </c>
      <c r="H68" s="34"/>
      <c r="I68" s="34"/>
    </row>
    <row r="69" spans="3:9" x14ac:dyDescent="0.15">
      <c r="C69" s="34" t="s">
        <v>234</v>
      </c>
      <c r="D69" s="34"/>
      <c r="E69" s="34"/>
      <c r="F69" s="34"/>
      <c r="G69" s="34">
        <v>60</v>
      </c>
      <c r="H69" s="34"/>
      <c r="I69" s="34"/>
    </row>
    <row r="70" spans="3:9" x14ac:dyDescent="0.15">
      <c r="C70" s="34" t="s">
        <v>235</v>
      </c>
      <c r="D70" s="34"/>
      <c r="E70" s="34"/>
      <c r="F70" s="34"/>
      <c r="G70" s="34">
        <v>65</v>
      </c>
      <c r="H70" s="34"/>
      <c r="I70" s="34"/>
    </row>
    <row r="71" spans="3:9" x14ac:dyDescent="0.15">
      <c r="C71" s="34" t="s">
        <v>236</v>
      </c>
      <c r="D71" s="34"/>
      <c r="E71" s="34">
        <v>20</v>
      </c>
      <c r="F71" s="34"/>
      <c r="G71" s="34"/>
      <c r="H71" s="34">
        <v>15</v>
      </c>
      <c r="I71" s="34"/>
    </row>
    <row r="72" spans="3:9" x14ac:dyDescent="0.15">
      <c r="C72" s="34" t="s">
        <v>237</v>
      </c>
      <c r="D72" s="34"/>
      <c r="E72" s="34">
        <v>160</v>
      </c>
      <c r="F72" s="34"/>
      <c r="G72" s="34"/>
      <c r="H72" s="34"/>
      <c r="I72" s="34"/>
    </row>
    <row r="73" spans="3:9" x14ac:dyDescent="0.15">
      <c r="C73" s="34" t="s">
        <v>238</v>
      </c>
      <c r="D73" s="34"/>
      <c r="E73" s="34"/>
      <c r="F73" s="34">
        <v>50</v>
      </c>
      <c r="G73" s="34"/>
      <c r="H73" s="34">
        <v>30</v>
      </c>
      <c r="I73" s="34"/>
    </row>
    <row r="74" spans="3:9" x14ac:dyDescent="0.15">
      <c r="C74" s="34" t="s">
        <v>239</v>
      </c>
      <c r="D74" s="34">
        <v>120</v>
      </c>
      <c r="E74" s="34">
        <v>40</v>
      </c>
      <c r="F74" s="34"/>
      <c r="G74" s="34"/>
      <c r="H74" s="34"/>
      <c r="I74" s="34"/>
    </row>
    <row r="75" spans="3:9" x14ac:dyDescent="0.15">
      <c r="C75" s="34" t="s">
        <v>240</v>
      </c>
      <c r="D75" s="34"/>
      <c r="E75" s="34"/>
      <c r="F75" s="34"/>
      <c r="G75" s="34"/>
      <c r="H75" s="34">
        <v>60</v>
      </c>
      <c r="I75" s="34"/>
    </row>
    <row r="76" spans="3:9" x14ac:dyDescent="0.15">
      <c r="C76" s="34" t="s">
        <v>241</v>
      </c>
      <c r="D76" s="34"/>
      <c r="E76" s="34"/>
      <c r="F76" s="34"/>
      <c r="G76" s="34"/>
      <c r="H76" s="34"/>
      <c r="I76" s="34">
        <v>45</v>
      </c>
    </row>
    <row r="77" spans="3:9" x14ac:dyDescent="0.15">
      <c r="C77" s="34" t="s">
        <v>242</v>
      </c>
      <c r="D77" s="34"/>
      <c r="E77" s="34"/>
      <c r="F77" s="34"/>
      <c r="G77" s="34"/>
      <c r="H77" s="34">
        <v>45</v>
      </c>
      <c r="I77" s="34"/>
    </row>
    <row r="78" spans="3:9" x14ac:dyDescent="0.15">
      <c r="C78" s="34" t="s">
        <v>243</v>
      </c>
      <c r="D78" s="34"/>
      <c r="E78" s="34">
        <v>60</v>
      </c>
      <c r="F78" s="34"/>
      <c r="G78" s="34"/>
      <c r="H78" s="34"/>
      <c r="I78" s="34"/>
    </row>
    <row r="79" spans="3:9" x14ac:dyDescent="0.15">
      <c r="C79" s="34" t="s">
        <v>244</v>
      </c>
      <c r="D79" s="34"/>
      <c r="E79" s="34"/>
      <c r="F79" s="34"/>
      <c r="G79" s="34"/>
      <c r="H79" s="34"/>
      <c r="I79" s="34">
        <v>40</v>
      </c>
    </row>
    <row r="80" spans="3:9" x14ac:dyDescent="0.15">
      <c r="C80" s="34" t="s">
        <v>245</v>
      </c>
      <c r="D80" s="34"/>
      <c r="E80" s="34"/>
      <c r="F80" s="34"/>
      <c r="G80" s="34"/>
      <c r="H80" s="34"/>
      <c r="I80" s="34">
        <v>20</v>
      </c>
    </row>
    <row r="81" spans="3:10" x14ac:dyDescent="0.15">
      <c r="C81" s="34" t="s">
        <v>246</v>
      </c>
      <c r="D81" s="34">
        <v>160</v>
      </c>
      <c r="E81" s="34">
        <v>100</v>
      </c>
      <c r="F81" s="34"/>
      <c r="G81" s="34"/>
      <c r="H81" s="34"/>
      <c r="I81" s="34"/>
    </row>
    <row r="82" spans="3:10" x14ac:dyDescent="0.15">
      <c r="C82" s="34" t="s">
        <v>247</v>
      </c>
      <c r="D82" s="34"/>
      <c r="E82" s="34"/>
      <c r="F82" s="34"/>
      <c r="G82" s="34"/>
      <c r="H82" s="34"/>
      <c r="I82" s="34">
        <v>50</v>
      </c>
      <c r="J82" s="34"/>
    </row>
    <row r="83" spans="3:10" x14ac:dyDescent="0.15">
      <c r="C83" s="34" t="s">
        <v>248</v>
      </c>
      <c r="D83" s="34"/>
      <c r="E83" s="34">
        <v>200</v>
      </c>
      <c r="F83" s="34"/>
      <c r="G83" s="34"/>
      <c r="H83" s="34"/>
      <c r="I83" s="34"/>
      <c r="J83" s="34"/>
    </row>
    <row r="84" spans="3:10" x14ac:dyDescent="0.15">
      <c r="C84" s="34" t="s">
        <v>797</v>
      </c>
      <c r="D84" s="34"/>
      <c r="E84" s="34"/>
      <c r="F84" s="34"/>
      <c r="G84" s="34"/>
      <c r="H84" s="34"/>
      <c r="I84" s="34">
        <v>8</v>
      </c>
      <c r="J84" s="34">
        <v>15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10:Q53"/>
  <sheetViews>
    <sheetView topLeftCell="A31" zoomScaleNormal="100" workbookViewId="0">
      <selection activeCell="O40" sqref="O40:O53"/>
    </sheetView>
  </sheetViews>
  <sheetFormatPr defaultRowHeight="13.5" x14ac:dyDescent="0.15"/>
  <sheetData>
    <row r="10" spans="11:17" x14ac:dyDescent="0.15">
      <c r="N10">
        <v>1</v>
      </c>
      <c r="O10">
        <f>ROUND(81.431*POWER(N10,0.5173),0)</f>
        <v>81</v>
      </c>
      <c r="Q10" s="34">
        <v>82</v>
      </c>
    </row>
    <row r="11" spans="11:17" x14ac:dyDescent="0.15">
      <c r="N11">
        <v>2</v>
      </c>
      <c r="O11" s="34">
        <f t="shared" ref="O11:O25" si="0">ROUND(81.431*POWER(N11,0.5173),0)</f>
        <v>117</v>
      </c>
      <c r="P11">
        <f>O11-O10</f>
        <v>36</v>
      </c>
      <c r="Q11" s="34">
        <v>115</v>
      </c>
    </row>
    <row r="12" spans="11:17" x14ac:dyDescent="0.15">
      <c r="N12" s="34">
        <v>3</v>
      </c>
      <c r="O12" s="34">
        <f t="shared" si="0"/>
        <v>144</v>
      </c>
      <c r="P12" s="34">
        <f t="shared" ref="P12:P25" si="1">O12-O11</f>
        <v>27</v>
      </c>
      <c r="Q12" s="34">
        <v>144</v>
      </c>
    </row>
    <row r="13" spans="11:17" x14ac:dyDescent="0.15">
      <c r="K13" s="34">
        <v>82</v>
      </c>
      <c r="N13" s="34">
        <v>4</v>
      </c>
      <c r="O13" s="34">
        <f t="shared" si="0"/>
        <v>167</v>
      </c>
      <c r="P13" s="34">
        <f t="shared" si="1"/>
        <v>23</v>
      </c>
      <c r="Q13" s="34">
        <v>166</v>
      </c>
    </row>
    <row r="14" spans="11:17" x14ac:dyDescent="0.15">
      <c r="K14" s="34">
        <v>115</v>
      </c>
      <c r="L14">
        <f>K14-K13</f>
        <v>33</v>
      </c>
      <c r="N14" s="34">
        <v>5</v>
      </c>
      <c r="O14" s="34">
        <f t="shared" si="0"/>
        <v>187</v>
      </c>
      <c r="P14" s="34">
        <f t="shared" si="1"/>
        <v>20</v>
      </c>
      <c r="Q14" s="34">
        <v>189</v>
      </c>
    </row>
    <row r="15" spans="11:17" x14ac:dyDescent="0.15">
      <c r="K15" s="34">
        <v>144</v>
      </c>
      <c r="L15" s="34">
        <f t="shared" ref="L15:L21" si="2">K15-K14</f>
        <v>29</v>
      </c>
      <c r="N15" s="34">
        <v>6</v>
      </c>
      <c r="O15" s="34">
        <f t="shared" si="0"/>
        <v>206</v>
      </c>
      <c r="P15" s="34">
        <f t="shared" si="1"/>
        <v>19</v>
      </c>
      <c r="Q15" s="34">
        <v>206</v>
      </c>
    </row>
    <row r="16" spans="11:17" x14ac:dyDescent="0.15">
      <c r="K16" s="34">
        <v>166</v>
      </c>
      <c r="L16" s="34">
        <f t="shared" si="2"/>
        <v>22</v>
      </c>
      <c r="N16" s="34">
        <v>7</v>
      </c>
      <c r="O16" s="34">
        <f t="shared" si="0"/>
        <v>223</v>
      </c>
      <c r="P16" s="34">
        <f t="shared" si="1"/>
        <v>17</v>
      </c>
      <c r="Q16" s="34">
        <v>224</v>
      </c>
    </row>
    <row r="17" spans="11:17" x14ac:dyDescent="0.15">
      <c r="K17" s="34">
        <v>189</v>
      </c>
      <c r="L17" s="34">
        <f t="shared" si="2"/>
        <v>23</v>
      </c>
      <c r="N17" s="34">
        <v>8</v>
      </c>
      <c r="O17" s="34">
        <f t="shared" si="0"/>
        <v>239</v>
      </c>
      <c r="P17" s="34">
        <f t="shared" si="1"/>
        <v>16</v>
      </c>
      <c r="Q17" s="34">
        <v>238</v>
      </c>
    </row>
    <row r="18" spans="11:17" x14ac:dyDescent="0.15">
      <c r="K18" s="34">
        <v>206</v>
      </c>
      <c r="L18" s="34">
        <f t="shared" si="2"/>
        <v>17</v>
      </c>
      <c r="N18" s="34">
        <v>9</v>
      </c>
      <c r="O18" s="34">
        <f t="shared" si="0"/>
        <v>254</v>
      </c>
      <c r="P18" s="34">
        <f t="shared" si="1"/>
        <v>15</v>
      </c>
      <c r="Q18" s="34">
        <v>253</v>
      </c>
    </row>
    <row r="19" spans="11:17" x14ac:dyDescent="0.15">
      <c r="K19" s="34">
        <v>224</v>
      </c>
      <c r="L19" s="34">
        <f t="shared" si="2"/>
        <v>18</v>
      </c>
      <c r="N19" s="34">
        <v>10</v>
      </c>
      <c r="O19" s="34">
        <f t="shared" si="0"/>
        <v>268</v>
      </c>
      <c r="P19" s="34">
        <f t="shared" si="1"/>
        <v>14</v>
      </c>
    </row>
    <row r="20" spans="11:17" x14ac:dyDescent="0.15">
      <c r="K20" s="34">
        <v>238</v>
      </c>
      <c r="L20" s="34">
        <f t="shared" si="2"/>
        <v>14</v>
      </c>
      <c r="N20" s="34">
        <v>11</v>
      </c>
      <c r="O20" s="34">
        <f t="shared" si="0"/>
        <v>282</v>
      </c>
      <c r="P20" s="34">
        <f t="shared" si="1"/>
        <v>14</v>
      </c>
    </row>
    <row r="21" spans="11:17" x14ac:dyDescent="0.15">
      <c r="K21" s="34">
        <v>253</v>
      </c>
      <c r="L21" s="34">
        <f t="shared" si="2"/>
        <v>15</v>
      </c>
      <c r="N21" s="34">
        <v>12</v>
      </c>
      <c r="O21" s="34">
        <f t="shared" si="0"/>
        <v>294</v>
      </c>
      <c r="P21" s="34">
        <f t="shared" si="1"/>
        <v>12</v>
      </c>
    </row>
    <row r="22" spans="11:17" x14ac:dyDescent="0.15">
      <c r="N22" s="34">
        <v>13</v>
      </c>
      <c r="O22" s="34">
        <f t="shared" si="0"/>
        <v>307</v>
      </c>
      <c r="P22" s="34">
        <f t="shared" si="1"/>
        <v>13</v>
      </c>
    </row>
    <row r="23" spans="11:17" x14ac:dyDescent="0.15">
      <c r="N23" s="34">
        <v>14</v>
      </c>
      <c r="O23" s="34">
        <f t="shared" si="0"/>
        <v>319</v>
      </c>
      <c r="P23" s="34">
        <f t="shared" si="1"/>
        <v>12</v>
      </c>
    </row>
    <row r="24" spans="11:17" x14ac:dyDescent="0.15">
      <c r="N24" s="34">
        <v>15</v>
      </c>
      <c r="O24" s="34">
        <f t="shared" si="0"/>
        <v>331</v>
      </c>
      <c r="P24" s="34">
        <f t="shared" si="1"/>
        <v>12</v>
      </c>
    </row>
    <row r="25" spans="11:17" x14ac:dyDescent="0.15">
      <c r="N25" s="34">
        <v>16</v>
      </c>
      <c r="O25" s="34">
        <f t="shared" si="0"/>
        <v>342</v>
      </c>
      <c r="P25" s="34">
        <f t="shared" si="1"/>
        <v>11</v>
      </c>
    </row>
    <row r="40" spans="11:16" x14ac:dyDescent="0.15">
      <c r="K40" s="34">
        <v>82</v>
      </c>
      <c r="L40">
        <v>33</v>
      </c>
      <c r="N40" s="34">
        <v>1</v>
      </c>
      <c r="O40" s="34">
        <f>N40*N40*N40*2.5-N40*N40*2.5+23*N40+59</f>
        <v>82</v>
      </c>
      <c r="P40" s="34"/>
    </row>
    <row r="41" spans="11:16" x14ac:dyDescent="0.15">
      <c r="K41">
        <f>K40+L40</f>
        <v>115</v>
      </c>
      <c r="L41" s="34">
        <f>L40+M41</f>
        <v>58</v>
      </c>
      <c r="M41">
        <v>25</v>
      </c>
      <c r="N41" s="34">
        <v>2</v>
      </c>
      <c r="O41" s="34">
        <f t="shared" ref="O41:O53" si="3">N41*N41*N41*2.5-N41*N41*2.5+23*N41+59</f>
        <v>115</v>
      </c>
      <c r="P41" s="34"/>
    </row>
    <row r="42" spans="11:16" x14ac:dyDescent="0.15">
      <c r="K42" s="34">
        <f t="shared" ref="K42:K47" si="4">K41+L41</f>
        <v>173</v>
      </c>
      <c r="L42" s="34">
        <f t="shared" ref="L42:L46" si="5">L41+M42</f>
        <v>98</v>
      </c>
      <c r="M42">
        <v>40</v>
      </c>
      <c r="N42" s="34">
        <v>3</v>
      </c>
      <c r="O42" s="34">
        <f t="shared" si="3"/>
        <v>173</v>
      </c>
      <c r="P42" s="34"/>
    </row>
    <row r="43" spans="11:16" x14ac:dyDescent="0.15">
      <c r="K43" s="34">
        <f t="shared" si="4"/>
        <v>271</v>
      </c>
      <c r="L43" s="34">
        <f t="shared" si="5"/>
        <v>153</v>
      </c>
      <c r="M43" s="34">
        <v>55</v>
      </c>
      <c r="N43" s="34">
        <v>4</v>
      </c>
      <c r="O43" s="34">
        <f t="shared" si="3"/>
        <v>271</v>
      </c>
      <c r="P43" s="34"/>
    </row>
    <row r="44" spans="11:16" x14ac:dyDescent="0.15">
      <c r="K44" s="34">
        <f t="shared" si="4"/>
        <v>424</v>
      </c>
      <c r="L44" s="34">
        <f t="shared" si="5"/>
        <v>223</v>
      </c>
      <c r="M44" s="34">
        <v>70</v>
      </c>
      <c r="N44" s="34">
        <v>5</v>
      </c>
      <c r="O44" s="34">
        <f t="shared" si="3"/>
        <v>424</v>
      </c>
      <c r="P44" s="34"/>
    </row>
    <row r="45" spans="11:16" x14ac:dyDescent="0.15">
      <c r="K45" s="34">
        <f t="shared" si="4"/>
        <v>647</v>
      </c>
      <c r="L45" s="34">
        <f t="shared" si="5"/>
        <v>308</v>
      </c>
      <c r="M45" s="34">
        <v>85</v>
      </c>
      <c r="N45" s="34">
        <v>6</v>
      </c>
      <c r="O45" s="34">
        <f t="shared" si="3"/>
        <v>647</v>
      </c>
      <c r="P45" s="34"/>
    </row>
    <row r="46" spans="11:16" x14ac:dyDescent="0.15">
      <c r="K46" s="34">
        <f t="shared" si="4"/>
        <v>955</v>
      </c>
      <c r="L46" s="34">
        <f t="shared" si="5"/>
        <v>408</v>
      </c>
      <c r="M46" s="34">
        <v>100</v>
      </c>
      <c r="N46" s="34">
        <v>7</v>
      </c>
      <c r="O46" s="34">
        <f t="shared" si="3"/>
        <v>955</v>
      </c>
      <c r="P46" s="34"/>
    </row>
    <row r="47" spans="11:16" x14ac:dyDescent="0.15">
      <c r="K47" s="34">
        <f t="shared" si="4"/>
        <v>1363</v>
      </c>
      <c r="N47" s="34">
        <v>8</v>
      </c>
      <c r="O47" s="34">
        <f t="shared" si="3"/>
        <v>1363</v>
      </c>
      <c r="P47" s="34"/>
    </row>
    <row r="48" spans="11:16" x14ac:dyDescent="0.15">
      <c r="N48" s="34">
        <v>9</v>
      </c>
      <c r="O48" s="34">
        <f t="shared" si="3"/>
        <v>1886</v>
      </c>
    </row>
    <row r="49" spans="14:15" x14ac:dyDescent="0.15">
      <c r="N49" s="34">
        <v>10</v>
      </c>
      <c r="O49" s="34">
        <f t="shared" si="3"/>
        <v>2539</v>
      </c>
    </row>
    <row r="50" spans="14:15" x14ac:dyDescent="0.15">
      <c r="N50" s="34">
        <v>11</v>
      </c>
      <c r="O50" s="34">
        <f t="shared" si="3"/>
        <v>3337</v>
      </c>
    </row>
    <row r="51" spans="14:15" x14ac:dyDescent="0.15">
      <c r="N51" s="34">
        <v>12</v>
      </c>
      <c r="O51" s="34">
        <f t="shared" si="3"/>
        <v>4295</v>
      </c>
    </row>
    <row r="52" spans="14:15" x14ac:dyDescent="0.15">
      <c r="N52" s="34">
        <v>13</v>
      </c>
      <c r="O52" s="34">
        <f t="shared" si="3"/>
        <v>5428</v>
      </c>
    </row>
    <row r="53" spans="14:15" x14ac:dyDescent="0.15">
      <c r="N53" s="34">
        <v>14</v>
      </c>
      <c r="O53" s="34">
        <f t="shared" si="3"/>
        <v>6751</v>
      </c>
    </row>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U121"/>
  <sheetViews>
    <sheetView topLeftCell="A23" workbookViewId="0">
      <pane xSplit="2" ySplit="10" topLeftCell="C39" activePane="bottomRight" state="frozen"/>
      <selection activeCell="A23" sqref="A23"/>
      <selection pane="topRight" activeCell="C23" sqref="C23"/>
      <selection pane="bottomLeft" activeCell="A33" sqref="A33"/>
      <selection pane="bottomRight" activeCell="F43" sqref="F43"/>
    </sheetView>
  </sheetViews>
  <sheetFormatPr defaultRowHeight="13.5" x14ac:dyDescent="0.15"/>
  <cols>
    <col min="1" max="9" width="9" style="38"/>
    <col min="10" max="10" width="11.125" style="38" customWidth="1"/>
    <col min="11" max="11" width="9" style="38"/>
    <col min="12" max="13" width="13.875" style="38" customWidth="1"/>
    <col min="14" max="14" width="11.25" style="38" customWidth="1"/>
    <col min="15" max="16" width="13.625" style="38" customWidth="1"/>
    <col min="17" max="16384" width="9" style="38"/>
  </cols>
  <sheetData>
    <row r="3" spans="3:3" x14ac:dyDescent="0.15">
      <c r="C3" s="39" t="s">
        <v>33</v>
      </c>
    </row>
    <row r="4" spans="3:3" x14ac:dyDescent="0.15">
      <c r="C4" s="40" t="s">
        <v>34</v>
      </c>
    </row>
    <row r="5" spans="3:3" x14ac:dyDescent="0.15">
      <c r="C5" s="40" t="s">
        <v>154</v>
      </c>
    </row>
    <row r="6" spans="3:3" x14ac:dyDescent="0.15">
      <c r="C6" s="40" t="s">
        <v>35</v>
      </c>
    </row>
    <row r="7" spans="3:3" x14ac:dyDescent="0.15">
      <c r="C7" s="40" t="s">
        <v>36</v>
      </c>
    </row>
    <row r="8" spans="3:3" x14ac:dyDescent="0.15">
      <c r="C8" s="40" t="s">
        <v>37</v>
      </c>
    </row>
    <row r="9" spans="3:3" x14ac:dyDescent="0.15">
      <c r="C9" s="40" t="s">
        <v>38</v>
      </c>
    </row>
    <row r="10" spans="3:3" x14ac:dyDescent="0.15">
      <c r="C10" s="40" t="s">
        <v>39</v>
      </c>
    </row>
    <row r="11" spans="3:3" x14ac:dyDescent="0.15">
      <c r="C11" s="40" t="s">
        <v>23</v>
      </c>
    </row>
    <row r="12" spans="3:3" x14ac:dyDescent="0.15">
      <c r="C12" s="40" t="s">
        <v>40</v>
      </c>
    </row>
    <row r="13" spans="3:3" x14ac:dyDescent="0.15">
      <c r="C13" s="40" t="s">
        <v>41</v>
      </c>
    </row>
    <row r="14" spans="3:3" x14ac:dyDescent="0.15">
      <c r="C14" s="40" t="s">
        <v>42</v>
      </c>
    </row>
    <row r="15" spans="3:3" x14ac:dyDescent="0.15">
      <c r="C15" s="40" t="s">
        <v>53</v>
      </c>
    </row>
    <row r="16" spans="3:3" x14ac:dyDescent="0.15">
      <c r="C16" s="40" t="s">
        <v>54</v>
      </c>
    </row>
    <row r="17" spans="2:17" x14ac:dyDescent="0.15">
      <c r="C17" s="40" t="s">
        <v>44</v>
      </c>
    </row>
    <row r="18" spans="2:17" x14ac:dyDescent="0.15">
      <c r="C18" s="40" t="s">
        <v>25</v>
      </c>
    </row>
    <row r="19" spans="2:17" x14ac:dyDescent="0.15">
      <c r="C19" s="40" t="s">
        <v>45</v>
      </c>
    </row>
    <row r="20" spans="2:17" x14ac:dyDescent="0.15">
      <c r="C20" s="40" t="s">
        <v>22</v>
      </c>
    </row>
    <row r="21" spans="2:17" x14ac:dyDescent="0.15">
      <c r="C21" s="40" t="s">
        <v>43</v>
      </c>
    </row>
    <row r="22" spans="2:17" x14ac:dyDescent="0.15">
      <c r="C22" s="40" t="s">
        <v>771</v>
      </c>
    </row>
    <row r="23" spans="2:17" x14ac:dyDescent="0.15">
      <c r="C23" s="40" t="s">
        <v>50</v>
      </c>
    </row>
    <row r="24" spans="2:17" x14ac:dyDescent="0.15">
      <c r="C24" s="40" t="s">
        <v>24</v>
      </c>
    </row>
    <row r="25" spans="2:17" x14ac:dyDescent="0.15">
      <c r="C25" s="40" t="s">
        <v>51</v>
      </c>
    </row>
    <row r="26" spans="2:17" x14ac:dyDescent="0.15">
      <c r="C26" s="40" t="s">
        <v>52</v>
      </c>
    </row>
    <row r="27" spans="2:17" x14ac:dyDescent="0.15">
      <c r="C27" s="40" t="s">
        <v>46</v>
      </c>
    </row>
    <row r="28" spans="2:17" x14ac:dyDescent="0.15">
      <c r="C28" s="40" t="s">
        <v>47</v>
      </c>
    </row>
    <row r="29" spans="2:17" x14ac:dyDescent="0.15">
      <c r="C29" s="40" t="s">
        <v>48</v>
      </c>
      <c r="Q29" s="38">
        <f>Q33*9</f>
        <v>375</v>
      </c>
    </row>
    <row r="30" spans="2:17" x14ac:dyDescent="0.15">
      <c r="C30" s="40" t="s">
        <v>49</v>
      </c>
    </row>
    <row r="31" spans="2:17" x14ac:dyDescent="0.15">
      <c r="C31" s="40"/>
    </row>
    <row r="32" spans="2:17" x14ac:dyDescent="0.15">
      <c r="B32" s="38" t="s">
        <v>815</v>
      </c>
      <c r="C32" s="40"/>
      <c r="E32" s="38" t="s">
        <v>805</v>
      </c>
      <c r="F32" s="38" t="s">
        <v>806</v>
      </c>
      <c r="G32" s="38" t="s">
        <v>807</v>
      </c>
      <c r="H32" s="38" t="s">
        <v>809</v>
      </c>
      <c r="I32" s="38" t="s">
        <v>808</v>
      </c>
      <c r="J32" s="38" t="s">
        <v>811</v>
      </c>
      <c r="K32" s="38" t="s">
        <v>1300</v>
      </c>
      <c r="L32" s="38" t="s">
        <v>812</v>
      </c>
      <c r="M32" s="38" t="s">
        <v>814</v>
      </c>
      <c r="N32" s="38" t="s">
        <v>813</v>
      </c>
      <c r="O32" s="38" t="s">
        <v>816</v>
      </c>
      <c r="P32" s="38" t="s">
        <v>818</v>
      </c>
      <c r="Q32" s="38" t="s">
        <v>817</v>
      </c>
    </row>
    <row r="33" spans="2:21" x14ac:dyDescent="0.15">
      <c r="B33" s="38">
        <v>5</v>
      </c>
      <c r="C33" s="40" t="s">
        <v>55</v>
      </c>
      <c r="E33" s="38">
        <v>3</v>
      </c>
      <c r="F33" s="38">
        <f>ROUND(F86*0.3,0)</f>
        <v>25</v>
      </c>
      <c r="G33" s="38">
        <v>3</v>
      </c>
      <c r="H33" s="38">
        <v>1</v>
      </c>
      <c r="I33" s="38">
        <f>IF(H33=1,0,ROUND(G33*0.4,0))</f>
        <v>0</v>
      </c>
      <c r="J33" s="38">
        <f>G33+(H33-1)*I33</f>
        <v>3</v>
      </c>
      <c r="L33" s="38">
        <f>120/J33</f>
        <v>40</v>
      </c>
      <c r="M33" s="38">
        <f>L33*F33</f>
        <v>1000</v>
      </c>
      <c r="N33" s="38">
        <f>L33*E33*H33</f>
        <v>120</v>
      </c>
      <c r="O33" s="38">
        <f t="shared" ref="O33:O59" si="0">M33*B33</f>
        <v>5000</v>
      </c>
      <c r="P33" s="38">
        <f>O33-M33</f>
        <v>4000</v>
      </c>
      <c r="Q33" s="38">
        <f t="shared" ref="Q33:Q60" si="1">O33/N33</f>
        <v>41.666666666666664</v>
      </c>
      <c r="S33" s="38">
        <v>83</v>
      </c>
    </row>
    <row r="34" spans="2:21" ht="27" x14ac:dyDescent="0.15">
      <c r="B34" s="38">
        <v>5</v>
      </c>
      <c r="C34" s="41" t="s">
        <v>56</v>
      </c>
      <c r="E34" s="38">
        <v>3</v>
      </c>
      <c r="F34" s="38">
        <f t="shared" ref="F34:F60" si="2">ROUND(F87*0.3,0)</f>
        <v>25</v>
      </c>
      <c r="G34" s="38">
        <v>3</v>
      </c>
      <c r="H34" s="38">
        <v>1</v>
      </c>
      <c r="I34" s="38">
        <f t="shared" ref="I34:I60" si="3">IF(H34=1,0,ROUND(G34*0.4,0))</f>
        <v>0</v>
      </c>
      <c r="J34" s="38">
        <f t="shared" ref="J34:J60" si="4">G34+(H34-1)*I34</f>
        <v>3</v>
      </c>
      <c r="L34" s="38">
        <f t="shared" ref="L34:L60" si="5">120/J34</f>
        <v>40</v>
      </c>
      <c r="M34" s="38">
        <f t="shared" ref="M34:M60" si="6">L34*F34</f>
        <v>1000</v>
      </c>
      <c r="N34" s="38">
        <f t="shared" ref="N34:N60" si="7">L34*E34*H34</f>
        <v>120</v>
      </c>
      <c r="O34" s="38">
        <f t="shared" si="0"/>
        <v>5000</v>
      </c>
      <c r="P34" s="38">
        <f t="shared" ref="P34:P60" si="8">O34-M34</f>
        <v>4000</v>
      </c>
      <c r="Q34" s="38">
        <f t="shared" si="1"/>
        <v>41.666666666666664</v>
      </c>
      <c r="S34" s="38">
        <v>114</v>
      </c>
    </row>
    <row r="35" spans="2:21" x14ac:dyDescent="0.15">
      <c r="B35" s="38">
        <v>5</v>
      </c>
      <c r="C35" s="40" t="s">
        <v>153</v>
      </c>
      <c r="E35" s="38">
        <v>4</v>
      </c>
      <c r="F35" s="38">
        <f t="shared" si="2"/>
        <v>35</v>
      </c>
      <c r="G35" s="38">
        <v>4</v>
      </c>
      <c r="H35" s="38">
        <v>1</v>
      </c>
      <c r="I35" s="38">
        <f t="shared" si="3"/>
        <v>0</v>
      </c>
      <c r="J35" s="38">
        <f t="shared" si="4"/>
        <v>4</v>
      </c>
      <c r="L35" s="38">
        <f t="shared" si="5"/>
        <v>30</v>
      </c>
      <c r="M35" s="38">
        <f t="shared" si="6"/>
        <v>1050</v>
      </c>
      <c r="N35" s="38">
        <f t="shared" si="7"/>
        <v>120</v>
      </c>
      <c r="O35" s="38">
        <f t="shared" si="0"/>
        <v>5250</v>
      </c>
      <c r="P35" s="38">
        <f t="shared" si="8"/>
        <v>4200</v>
      </c>
      <c r="Q35" s="38">
        <f t="shared" si="1"/>
        <v>43.75</v>
      </c>
      <c r="S35" s="38">
        <v>148</v>
      </c>
    </row>
    <row r="36" spans="2:21" x14ac:dyDescent="0.15">
      <c r="B36" s="38">
        <v>5</v>
      </c>
      <c r="C36" s="41" t="s">
        <v>57</v>
      </c>
      <c r="E36" s="38">
        <v>4</v>
      </c>
      <c r="F36" s="38">
        <f t="shared" si="2"/>
        <v>35</v>
      </c>
      <c r="G36" s="38">
        <v>4</v>
      </c>
      <c r="H36" s="38">
        <v>1</v>
      </c>
      <c r="I36" s="38">
        <f t="shared" si="3"/>
        <v>0</v>
      </c>
      <c r="J36" s="38">
        <f t="shared" si="4"/>
        <v>4</v>
      </c>
      <c r="L36" s="38">
        <f t="shared" si="5"/>
        <v>30</v>
      </c>
      <c r="M36" s="38">
        <f t="shared" si="6"/>
        <v>1050</v>
      </c>
      <c r="N36" s="38">
        <f t="shared" si="7"/>
        <v>120</v>
      </c>
      <c r="O36" s="38">
        <f t="shared" si="0"/>
        <v>5250</v>
      </c>
      <c r="P36" s="38">
        <f t="shared" si="8"/>
        <v>4200</v>
      </c>
      <c r="Q36" s="38">
        <f t="shared" si="1"/>
        <v>43.75</v>
      </c>
      <c r="S36" s="38">
        <v>183</v>
      </c>
    </row>
    <row r="37" spans="2:21" ht="27" x14ac:dyDescent="0.15">
      <c r="B37" s="38">
        <v>5</v>
      </c>
      <c r="C37" s="40" t="s">
        <v>58</v>
      </c>
      <c r="E37" s="38">
        <v>3</v>
      </c>
      <c r="F37" s="38">
        <f t="shared" si="2"/>
        <v>52</v>
      </c>
      <c r="G37" s="38">
        <v>4</v>
      </c>
      <c r="H37" s="38">
        <v>1</v>
      </c>
      <c r="I37" s="38">
        <f t="shared" si="3"/>
        <v>0</v>
      </c>
      <c r="J37" s="38">
        <f t="shared" si="4"/>
        <v>4</v>
      </c>
      <c r="L37" s="38">
        <f t="shared" si="5"/>
        <v>30</v>
      </c>
      <c r="M37" s="38">
        <f t="shared" si="6"/>
        <v>1560</v>
      </c>
      <c r="N37" s="38">
        <f t="shared" si="7"/>
        <v>90</v>
      </c>
      <c r="O37" s="38">
        <f t="shared" si="0"/>
        <v>7800</v>
      </c>
      <c r="P37" s="38">
        <f t="shared" si="8"/>
        <v>6240</v>
      </c>
      <c r="Q37" s="38">
        <f t="shared" si="1"/>
        <v>86.666666666666671</v>
      </c>
      <c r="S37" s="38">
        <v>221</v>
      </c>
      <c r="U37" s="38" t="s">
        <v>923</v>
      </c>
    </row>
    <row r="38" spans="2:21" x14ac:dyDescent="0.15">
      <c r="B38" s="38">
        <v>12</v>
      </c>
      <c r="C38" s="41" t="s">
        <v>59</v>
      </c>
      <c r="E38" s="38">
        <v>4</v>
      </c>
      <c r="F38" s="38">
        <f t="shared" si="2"/>
        <v>52</v>
      </c>
      <c r="G38" s="38">
        <v>6</v>
      </c>
      <c r="H38" s="38">
        <v>3</v>
      </c>
      <c r="I38" s="38">
        <f t="shared" si="3"/>
        <v>2</v>
      </c>
      <c r="J38" s="38">
        <f t="shared" si="4"/>
        <v>10</v>
      </c>
      <c r="L38" s="38">
        <f t="shared" si="5"/>
        <v>12</v>
      </c>
      <c r="M38" s="38">
        <f t="shared" si="6"/>
        <v>624</v>
      </c>
      <c r="N38" s="38">
        <f t="shared" si="7"/>
        <v>144</v>
      </c>
      <c r="O38" s="38">
        <f t="shared" si="0"/>
        <v>7488</v>
      </c>
      <c r="P38" s="38">
        <f t="shared" si="8"/>
        <v>6864</v>
      </c>
      <c r="Q38" s="38">
        <f t="shared" si="1"/>
        <v>52</v>
      </c>
      <c r="S38" s="38">
        <v>261</v>
      </c>
      <c r="U38" s="7" t="s">
        <v>925</v>
      </c>
    </row>
    <row r="39" spans="2:21" ht="27" x14ac:dyDescent="0.15">
      <c r="B39" s="38">
        <v>5</v>
      </c>
      <c r="C39" s="41" t="s">
        <v>60</v>
      </c>
      <c r="E39" s="38">
        <v>3</v>
      </c>
      <c r="F39" s="38">
        <f t="shared" si="2"/>
        <v>52</v>
      </c>
      <c r="G39" s="38">
        <v>5</v>
      </c>
      <c r="H39" s="38">
        <v>1</v>
      </c>
      <c r="I39" s="38">
        <f t="shared" si="3"/>
        <v>0</v>
      </c>
      <c r="J39" s="38">
        <f t="shared" si="4"/>
        <v>5</v>
      </c>
      <c r="L39" s="38">
        <f t="shared" si="5"/>
        <v>24</v>
      </c>
      <c r="M39" s="38">
        <f t="shared" si="6"/>
        <v>1248</v>
      </c>
      <c r="N39" s="38">
        <f t="shared" si="7"/>
        <v>72</v>
      </c>
      <c r="O39" s="38">
        <f t="shared" si="0"/>
        <v>6240</v>
      </c>
      <c r="P39" s="38">
        <f t="shared" si="8"/>
        <v>4992</v>
      </c>
      <c r="Q39" s="38">
        <f t="shared" si="1"/>
        <v>86.666666666666671</v>
      </c>
      <c r="S39" s="38">
        <v>303</v>
      </c>
      <c r="U39" s="38" t="s">
        <v>924</v>
      </c>
    </row>
    <row r="40" spans="2:21" x14ac:dyDescent="0.15">
      <c r="B40" s="38">
        <v>12</v>
      </c>
      <c r="C40" s="41" t="s">
        <v>61</v>
      </c>
      <c r="E40" s="38">
        <v>4</v>
      </c>
      <c r="F40" s="38">
        <f t="shared" si="2"/>
        <v>81</v>
      </c>
      <c r="G40" s="38">
        <v>8</v>
      </c>
      <c r="H40" s="38">
        <v>2</v>
      </c>
      <c r="I40" s="38">
        <f t="shared" si="3"/>
        <v>3</v>
      </c>
      <c r="J40" s="38">
        <f t="shared" si="4"/>
        <v>11</v>
      </c>
      <c r="L40" s="38">
        <f t="shared" si="5"/>
        <v>10.909090909090908</v>
      </c>
      <c r="M40" s="38">
        <f t="shared" si="6"/>
        <v>883.63636363636363</v>
      </c>
      <c r="N40" s="38">
        <f t="shared" si="7"/>
        <v>87.272727272727266</v>
      </c>
      <c r="O40" s="38">
        <f t="shared" si="0"/>
        <v>10603.636363636364</v>
      </c>
      <c r="P40" s="38">
        <f t="shared" si="8"/>
        <v>9720</v>
      </c>
      <c r="Q40" s="38">
        <f t="shared" si="1"/>
        <v>121.50000000000001</v>
      </c>
      <c r="S40" s="38">
        <v>348</v>
      </c>
    </row>
    <row r="41" spans="2:21" ht="27" x14ac:dyDescent="0.15">
      <c r="B41" s="38">
        <v>5</v>
      </c>
      <c r="C41" s="41" t="s">
        <v>62</v>
      </c>
      <c r="E41" s="38">
        <v>3</v>
      </c>
      <c r="F41" s="38">
        <f t="shared" si="2"/>
        <v>81</v>
      </c>
      <c r="G41" s="38">
        <v>5</v>
      </c>
      <c r="H41" s="38">
        <v>1</v>
      </c>
      <c r="I41" s="38">
        <f t="shared" si="3"/>
        <v>0</v>
      </c>
      <c r="J41" s="38">
        <f t="shared" si="4"/>
        <v>5</v>
      </c>
      <c r="L41" s="38">
        <f t="shared" si="5"/>
        <v>24</v>
      </c>
      <c r="M41" s="38">
        <f t="shared" si="6"/>
        <v>1944</v>
      </c>
      <c r="N41" s="38">
        <f t="shared" si="7"/>
        <v>72</v>
      </c>
      <c r="O41" s="38">
        <f t="shared" si="0"/>
        <v>9720</v>
      </c>
      <c r="P41" s="38">
        <f t="shared" si="8"/>
        <v>7776</v>
      </c>
      <c r="Q41" s="38">
        <f t="shared" si="1"/>
        <v>135</v>
      </c>
      <c r="S41" s="38">
        <v>395</v>
      </c>
      <c r="U41" s="38" t="s">
        <v>358</v>
      </c>
    </row>
    <row r="42" spans="2:21" x14ac:dyDescent="0.15">
      <c r="B42" s="38">
        <v>6</v>
      </c>
      <c r="C42" s="41" t="s">
        <v>63</v>
      </c>
      <c r="E42" s="38">
        <v>2</v>
      </c>
      <c r="F42" s="38">
        <f t="shared" si="2"/>
        <v>81</v>
      </c>
      <c r="G42" s="38">
        <v>6</v>
      </c>
      <c r="H42" s="38">
        <v>1</v>
      </c>
      <c r="I42" s="38">
        <f t="shared" si="3"/>
        <v>0</v>
      </c>
      <c r="J42" s="38">
        <f t="shared" si="4"/>
        <v>6</v>
      </c>
      <c r="L42" s="38">
        <f t="shared" si="5"/>
        <v>20</v>
      </c>
      <c r="M42" s="38">
        <f t="shared" si="6"/>
        <v>1620</v>
      </c>
      <c r="N42" s="38">
        <f t="shared" si="7"/>
        <v>40</v>
      </c>
      <c r="O42" s="38">
        <f t="shared" si="0"/>
        <v>9720</v>
      </c>
      <c r="P42" s="38">
        <f t="shared" si="8"/>
        <v>8100</v>
      </c>
      <c r="Q42" s="38">
        <f t="shared" si="1"/>
        <v>243</v>
      </c>
      <c r="S42" s="38">
        <v>444</v>
      </c>
    </row>
    <row r="43" spans="2:21" x14ac:dyDescent="0.15">
      <c r="B43" s="38">
        <v>15</v>
      </c>
      <c r="C43" s="41" t="s">
        <v>64</v>
      </c>
      <c r="E43" s="38">
        <v>5</v>
      </c>
      <c r="F43" s="38">
        <f t="shared" si="2"/>
        <v>127</v>
      </c>
      <c r="G43" s="38">
        <v>10</v>
      </c>
      <c r="H43" s="38">
        <v>3</v>
      </c>
      <c r="I43" s="38">
        <f t="shared" si="3"/>
        <v>4</v>
      </c>
      <c r="J43" s="38">
        <f t="shared" si="4"/>
        <v>18</v>
      </c>
      <c r="L43" s="38">
        <f t="shared" si="5"/>
        <v>6.666666666666667</v>
      </c>
      <c r="M43" s="38">
        <f t="shared" si="6"/>
        <v>846.66666666666674</v>
      </c>
      <c r="N43" s="38">
        <f t="shared" si="7"/>
        <v>100</v>
      </c>
      <c r="O43" s="38">
        <f t="shared" si="0"/>
        <v>12700.000000000002</v>
      </c>
      <c r="P43" s="38">
        <f t="shared" si="8"/>
        <v>11853.333333333336</v>
      </c>
      <c r="Q43" s="38">
        <f t="shared" si="1"/>
        <v>127.00000000000001</v>
      </c>
      <c r="S43" s="38">
        <v>495</v>
      </c>
    </row>
    <row r="44" spans="2:21" x14ac:dyDescent="0.15">
      <c r="B44" s="38">
        <v>10</v>
      </c>
      <c r="C44" s="41" t="s">
        <v>66</v>
      </c>
      <c r="E44" s="38">
        <v>6</v>
      </c>
      <c r="F44" s="38">
        <f t="shared" si="2"/>
        <v>127</v>
      </c>
      <c r="G44" s="38">
        <v>7</v>
      </c>
      <c r="H44" s="38">
        <v>2</v>
      </c>
      <c r="I44" s="38">
        <f>IF(H44=1,0,ROUND(G44*0.4,0))</f>
        <v>3</v>
      </c>
      <c r="J44" s="38">
        <f>G44+(H44-1)*I44</f>
        <v>10</v>
      </c>
      <c r="L44" s="38">
        <f>120/J44</f>
        <v>12</v>
      </c>
      <c r="M44" s="38">
        <f>L44*F44</f>
        <v>1524</v>
      </c>
      <c r="N44" s="38">
        <f>L44*E44*H44</f>
        <v>144</v>
      </c>
      <c r="O44" s="38">
        <f>M44*B44</f>
        <v>15240</v>
      </c>
      <c r="P44" s="38">
        <f>O44-M44</f>
        <v>13716</v>
      </c>
      <c r="Q44" s="38">
        <f t="shared" si="1"/>
        <v>105.83333333333333</v>
      </c>
      <c r="S44" s="38">
        <v>548</v>
      </c>
      <c r="U44" s="38" t="s">
        <v>161</v>
      </c>
    </row>
    <row r="45" spans="2:21" ht="27" x14ac:dyDescent="0.15">
      <c r="B45" s="38">
        <v>26</v>
      </c>
      <c r="C45" s="40" t="s">
        <v>65</v>
      </c>
      <c r="E45" s="38">
        <v>3</v>
      </c>
      <c r="F45" s="38">
        <f t="shared" si="2"/>
        <v>127</v>
      </c>
      <c r="G45" s="38">
        <v>16</v>
      </c>
      <c r="H45" s="38">
        <v>4</v>
      </c>
      <c r="I45" s="38">
        <f t="shared" si="3"/>
        <v>6</v>
      </c>
      <c r="J45" s="38">
        <f t="shared" si="4"/>
        <v>34</v>
      </c>
      <c r="L45" s="38">
        <f t="shared" si="5"/>
        <v>3.5294117647058822</v>
      </c>
      <c r="M45" s="38">
        <f t="shared" si="6"/>
        <v>448.23529411764707</v>
      </c>
      <c r="N45" s="38">
        <f t="shared" si="7"/>
        <v>42.352941176470587</v>
      </c>
      <c r="O45" s="38">
        <f t="shared" si="0"/>
        <v>11654.117647058823</v>
      </c>
      <c r="P45" s="38">
        <f t="shared" si="8"/>
        <v>11205.882352941177</v>
      </c>
      <c r="Q45" s="38">
        <f t="shared" si="1"/>
        <v>275.16666666666669</v>
      </c>
      <c r="S45" s="38">
        <v>604</v>
      </c>
    </row>
    <row r="46" spans="2:21" x14ac:dyDescent="0.15">
      <c r="B46" s="38">
        <v>6</v>
      </c>
      <c r="C46" s="40" t="s">
        <v>67</v>
      </c>
      <c r="E46" s="38">
        <v>6</v>
      </c>
      <c r="F46" s="38">
        <f t="shared" si="2"/>
        <v>194</v>
      </c>
      <c r="G46" s="38">
        <v>6</v>
      </c>
      <c r="H46" s="38">
        <v>1</v>
      </c>
      <c r="I46" s="38">
        <f t="shared" si="3"/>
        <v>0</v>
      </c>
      <c r="J46" s="38">
        <f t="shared" si="4"/>
        <v>6</v>
      </c>
      <c r="L46" s="38">
        <f t="shared" si="5"/>
        <v>20</v>
      </c>
      <c r="M46" s="38">
        <f t="shared" si="6"/>
        <v>3880</v>
      </c>
      <c r="N46" s="38">
        <f t="shared" si="7"/>
        <v>120</v>
      </c>
      <c r="O46" s="38">
        <f t="shared" si="0"/>
        <v>23280</v>
      </c>
      <c r="P46" s="38">
        <f t="shared" si="8"/>
        <v>19400</v>
      </c>
      <c r="Q46" s="38">
        <f t="shared" si="1"/>
        <v>194</v>
      </c>
      <c r="S46" s="38">
        <v>662</v>
      </c>
      <c r="U46" s="38" t="s">
        <v>162</v>
      </c>
    </row>
    <row r="47" spans="2:21" x14ac:dyDescent="0.15">
      <c r="B47" s="38">
        <v>7</v>
      </c>
      <c r="C47" s="41" t="s">
        <v>68</v>
      </c>
      <c r="E47" s="38">
        <v>4</v>
      </c>
      <c r="F47" s="38">
        <f t="shared" si="2"/>
        <v>194</v>
      </c>
      <c r="G47" s="38">
        <v>8</v>
      </c>
      <c r="H47" s="38">
        <v>1</v>
      </c>
      <c r="I47" s="38">
        <f t="shared" si="3"/>
        <v>0</v>
      </c>
      <c r="J47" s="38">
        <f t="shared" si="4"/>
        <v>8</v>
      </c>
      <c r="L47" s="38">
        <f t="shared" si="5"/>
        <v>15</v>
      </c>
      <c r="M47" s="38">
        <f t="shared" si="6"/>
        <v>2910</v>
      </c>
      <c r="N47" s="38">
        <f t="shared" si="7"/>
        <v>60</v>
      </c>
      <c r="O47" s="38">
        <f t="shared" si="0"/>
        <v>20370</v>
      </c>
      <c r="P47" s="38">
        <f t="shared" si="8"/>
        <v>17460</v>
      </c>
      <c r="Q47" s="38">
        <f t="shared" si="1"/>
        <v>339.5</v>
      </c>
    </row>
    <row r="48" spans="2:21" x14ac:dyDescent="0.15">
      <c r="B48" s="38">
        <v>7</v>
      </c>
      <c r="C48" s="41" t="s">
        <v>69</v>
      </c>
      <c r="E48" s="38">
        <v>6</v>
      </c>
      <c r="F48" s="38">
        <f t="shared" si="2"/>
        <v>194</v>
      </c>
      <c r="G48" s="38">
        <v>8</v>
      </c>
      <c r="H48" s="38">
        <v>1</v>
      </c>
      <c r="I48" s="38">
        <f t="shared" si="3"/>
        <v>0</v>
      </c>
      <c r="J48" s="38">
        <f t="shared" si="4"/>
        <v>8</v>
      </c>
      <c r="L48" s="38">
        <f t="shared" si="5"/>
        <v>15</v>
      </c>
      <c r="M48" s="38">
        <f t="shared" si="6"/>
        <v>2910</v>
      </c>
      <c r="N48" s="38">
        <f t="shared" si="7"/>
        <v>90</v>
      </c>
      <c r="O48" s="38">
        <f t="shared" si="0"/>
        <v>20370</v>
      </c>
      <c r="P48" s="38">
        <f t="shared" si="8"/>
        <v>17460</v>
      </c>
      <c r="Q48" s="38">
        <f t="shared" si="1"/>
        <v>226.33333333333334</v>
      </c>
    </row>
    <row r="49" spans="2:21" s="42" customFormat="1" x14ac:dyDescent="0.15">
      <c r="B49" s="42">
        <v>6</v>
      </c>
      <c r="C49" s="41" t="s">
        <v>70</v>
      </c>
      <c r="E49" s="42">
        <v>4</v>
      </c>
      <c r="F49" s="38">
        <f t="shared" si="2"/>
        <v>287</v>
      </c>
      <c r="G49" s="42">
        <v>6</v>
      </c>
      <c r="H49" s="42">
        <v>1</v>
      </c>
      <c r="I49" s="42">
        <f t="shared" si="3"/>
        <v>0</v>
      </c>
      <c r="J49" s="42">
        <f t="shared" si="4"/>
        <v>6</v>
      </c>
      <c r="L49" s="42">
        <f t="shared" si="5"/>
        <v>20</v>
      </c>
      <c r="M49" s="42">
        <f t="shared" si="6"/>
        <v>5740</v>
      </c>
      <c r="N49" s="42">
        <f t="shared" si="7"/>
        <v>80</v>
      </c>
      <c r="O49" s="42">
        <f t="shared" si="0"/>
        <v>34440</v>
      </c>
      <c r="P49" s="38">
        <f t="shared" si="8"/>
        <v>28700</v>
      </c>
      <c r="Q49" s="42">
        <f t="shared" si="1"/>
        <v>430.5</v>
      </c>
      <c r="U49" s="42" t="s">
        <v>359</v>
      </c>
    </row>
    <row r="50" spans="2:21" x14ac:dyDescent="0.15">
      <c r="B50" s="38">
        <v>8</v>
      </c>
      <c r="C50" s="41" t="s">
        <v>810</v>
      </c>
      <c r="E50" s="38">
        <v>3</v>
      </c>
      <c r="F50" s="38">
        <f t="shared" si="2"/>
        <v>287</v>
      </c>
      <c r="G50" s="38">
        <v>7</v>
      </c>
      <c r="H50" s="38">
        <v>2</v>
      </c>
      <c r="I50" s="38">
        <f t="shared" si="3"/>
        <v>3</v>
      </c>
      <c r="J50" s="38">
        <f t="shared" si="4"/>
        <v>10</v>
      </c>
      <c r="L50" s="38">
        <f t="shared" si="5"/>
        <v>12</v>
      </c>
      <c r="M50" s="38">
        <f t="shared" si="6"/>
        <v>3444</v>
      </c>
      <c r="N50" s="38">
        <f t="shared" si="7"/>
        <v>72</v>
      </c>
      <c r="O50" s="38">
        <f t="shared" si="0"/>
        <v>27552</v>
      </c>
      <c r="P50" s="38">
        <f t="shared" si="8"/>
        <v>24108</v>
      </c>
      <c r="Q50" s="38">
        <f t="shared" si="1"/>
        <v>382.66666666666669</v>
      </c>
    </row>
    <row r="51" spans="2:21" x14ac:dyDescent="0.15">
      <c r="B51" s="38">
        <v>10</v>
      </c>
      <c r="C51" s="41" t="s">
        <v>72</v>
      </c>
      <c r="E51" s="38">
        <v>8</v>
      </c>
      <c r="F51" s="38">
        <f t="shared" si="2"/>
        <v>287</v>
      </c>
      <c r="G51" s="38">
        <v>12</v>
      </c>
      <c r="H51" s="38">
        <v>1</v>
      </c>
      <c r="I51" s="38">
        <f t="shared" si="3"/>
        <v>0</v>
      </c>
      <c r="J51" s="38">
        <f t="shared" si="4"/>
        <v>12</v>
      </c>
      <c r="L51" s="38">
        <f t="shared" si="5"/>
        <v>10</v>
      </c>
      <c r="M51" s="38">
        <f t="shared" si="6"/>
        <v>2870</v>
      </c>
      <c r="N51" s="38">
        <f t="shared" si="7"/>
        <v>80</v>
      </c>
      <c r="O51" s="38">
        <f t="shared" si="0"/>
        <v>28700</v>
      </c>
      <c r="P51" s="38">
        <f t="shared" si="8"/>
        <v>25830</v>
      </c>
      <c r="Q51" s="38">
        <f t="shared" si="1"/>
        <v>358.75</v>
      </c>
    </row>
    <row r="52" spans="2:21" x14ac:dyDescent="0.15">
      <c r="B52" s="38">
        <v>8</v>
      </c>
      <c r="C52" s="41" t="s">
        <v>73</v>
      </c>
      <c r="E52" s="38">
        <v>8</v>
      </c>
      <c r="F52" s="38">
        <f t="shared" si="2"/>
        <v>409</v>
      </c>
      <c r="G52" s="38">
        <v>12</v>
      </c>
      <c r="H52" s="38">
        <v>1</v>
      </c>
      <c r="I52" s="38">
        <f t="shared" si="3"/>
        <v>0</v>
      </c>
      <c r="J52" s="38">
        <f t="shared" si="4"/>
        <v>12</v>
      </c>
      <c r="L52" s="38">
        <f t="shared" si="5"/>
        <v>10</v>
      </c>
      <c r="M52" s="38">
        <f t="shared" si="6"/>
        <v>4090</v>
      </c>
      <c r="N52" s="38">
        <f t="shared" si="7"/>
        <v>80</v>
      </c>
      <c r="O52" s="38">
        <f t="shared" si="0"/>
        <v>32720</v>
      </c>
      <c r="P52" s="38">
        <f t="shared" si="8"/>
        <v>28630</v>
      </c>
      <c r="Q52" s="38">
        <f t="shared" si="1"/>
        <v>409</v>
      </c>
    </row>
    <row r="53" spans="2:21" ht="27" x14ac:dyDescent="0.15">
      <c r="B53" s="38">
        <v>25</v>
      </c>
      <c r="C53" s="40" t="s">
        <v>74</v>
      </c>
      <c r="E53" s="38">
        <v>8</v>
      </c>
      <c r="F53" s="38">
        <f t="shared" si="2"/>
        <v>409</v>
      </c>
      <c r="G53" s="38">
        <v>20</v>
      </c>
      <c r="H53" s="38">
        <v>4</v>
      </c>
      <c r="I53" s="38">
        <f t="shared" si="3"/>
        <v>8</v>
      </c>
      <c r="J53" s="38">
        <f t="shared" si="4"/>
        <v>44</v>
      </c>
      <c r="L53" s="38">
        <f t="shared" si="5"/>
        <v>2.7272727272727271</v>
      </c>
      <c r="M53" s="38">
        <f t="shared" si="6"/>
        <v>1115.4545454545453</v>
      </c>
      <c r="N53" s="38">
        <f t="shared" si="7"/>
        <v>87.272727272727266</v>
      </c>
      <c r="O53" s="38">
        <f t="shared" si="0"/>
        <v>27886.363636363632</v>
      </c>
      <c r="P53" s="38">
        <f t="shared" si="8"/>
        <v>26770.909090909088</v>
      </c>
      <c r="Q53" s="38">
        <f t="shared" si="1"/>
        <v>319.53125</v>
      </c>
    </row>
    <row r="54" spans="2:21" x14ac:dyDescent="0.15">
      <c r="B54" s="38">
        <v>40</v>
      </c>
      <c r="C54" s="41" t="s">
        <v>75</v>
      </c>
      <c r="E54" s="38">
        <v>8</v>
      </c>
      <c r="F54" s="38">
        <f t="shared" si="2"/>
        <v>409</v>
      </c>
      <c r="G54" s="38">
        <v>22</v>
      </c>
      <c r="H54" s="38">
        <v>6</v>
      </c>
      <c r="I54" s="38">
        <f t="shared" si="3"/>
        <v>9</v>
      </c>
      <c r="J54" s="38">
        <f t="shared" si="4"/>
        <v>67</v>
      </c>
      <c r="L54" s="38">
        <f t="shared" si="5"/>
        <v>1.791044776119403</v>
      </c>
      <c r="M54" s="38">
        <f t="shared" si="6"/>
        <v>732.53731343283584</v>
      </c>
      <c r="N54" s="38">
        <f t="shared" si="7"/>
        <v>85.97014925373135</v>
      </c>
      <c r="O54" s="38">
        <f t="shared" si="0"/>
        <v>29301.492537313432</v>
      </c>
      <c r="P54" s="38">
        <f t="shared" si="8"/>
        <v>28568.955223880595</v>
      </c>
      <c r="Q54" s="38">
        <f t="shared" si="1"/>
        <v>340.83333333333331</v>
      </c>
    </row>
    <row r="55" spans="2:21" x14ac:dyDescent="0.15">
      <c r="B55" s="38">
        <v>32</v>
      </c>
      <c r="C55" s="40" t="s">
        <v>76</v>
      </c>
      <c r="E55" s="38">
        <v>4</v>
      </c>
      <c r="F55" s="38">
        <f t="shared" si="2"/>
        <v>566</v>
      </c>
      <c r="G55" s="38">
        <v>20</v>
      </c>
      <c r="H55" s="38">
        <v>6</v>
      </c>
      <c r="I55" s="38">
        <f t="shared" si="3"/>
        <v>8</v>
      </c>
      <c r="J55" s="38">
        <f t="shared" si="4"/>
        <v>60</v>
      </c>
      <c r="L55" s="38">
        <f t="shared" si="5"/>
        <v>2</v>
      </c>
      <c r="M55" s="38">
        <f t="shared" si="6"/>
        <v>1132</v>
      </c>
      <c r="N55" s="38">
        <f t="shared" si="7"/>
        <v>48</v>
      </c>
      <c r="O55" s="38">
        <f t="shared" si="0"/>
        <v>36224</v>
      </c>
      <c r="P55" s="38">
        <f t="shared" si="8"/>
        <v>35092</v>
      </c>
      <c r="Q55" s="38">
        <f t="shared" si="1"/>
        <v>754.66666666666663</v>
      </c>
    </row>
    <row r="56" spans="2:21" x14ac:dyDescent="0.15">
      <c r="B56" s="38">
        <v>25</v>
      </c>
      <c r="C56" s="40" t="s">
        <v>77</v>
      </c>
      <c r="E56" s="38">
        <v>6</v>
      </c>
      <c r="F56" s="38">
        <f t="shared" si="2"/>
        <v>566</v>
      </c>
      <c r="G56" s="38">
        <v>20</v>
      </c>
      <c r="H56" s="38">
        <v>4</v>
      </c>
      <c r="I56" s="38">
        <f t="shared" si="3"/>
        <v>8</v>
      </c>
      <c r="J56" s="38">
        <f t="shared" si="4"/>
        <v>44</v>
      </c>
      <c r="L56" s="38">
        <f t="shared" si="5"/>
        <v>2.7272727272727271</v>
      </c>
      <c r="M56" s="38">
        <f t="shared" si="6"/>
        <v>1543.6363636363635</v>
      </c>
      <c r="N56" s="38">
        <f t="shared" si="7"/>
        <v>65.454545454545453</v>
      </c>
      <c r="O56" s="38">
        <f t="shared" si="0"/>
        <v>38590.909090909088</v>
      </c>
      <c r="P56" s="38">
        <f t="shared" si="8"/>
        <v>37047.272727272728</v>
      </c>
      <c r="Q56" s="38">
        <f t="shared" si="1"/>
        <v>589.58333333333326</v>
      </c>
    </row>
    <row r="57" spans="2:21" x14ac:dyDescent="0.15">
      <c r="B57" s="38">
        <v>14</v>
      </c>
      <c r="C57" s="41" t="s">
        <v>78</v>
      </c>
      <c r="E57" s="38">
        <v>6</v>
      </c>
      <c r="F57" s="38">
        <f t="shared" si="2"/>
        <v>566</v>
      </c>
      <c r="G57" s="38">
        <v>16</v>
      </c>
      <c r="H57" s="38">
        <v>2</v>
      </c>
      <c r="I57" s="38">
        <f t="shared" si="3"/>
        <v>6</v>
      </c>
      <c r="J57" s="38">
        <f t="shared" si="4"/>
        <v>22</v>
      </c>
      <c r="L57" s="38">
        <f t="shared" si="5"/>
        <v>5.4545454545454541</v>
      </c>
      <c r="M57" s="38">
        <f t="shared" si="6"/>
        <v>3087.272727272727</v>
      </c>
      <c r="N57" s="38">
        <f t="shared" si="7"/>
        <v>65.454545454545453</v>
      </c>
      <c r="O57" s="38">
        <f t="shared" si="0"/>
        <v>43221.818181818177</v>
      </c>
      <c r="P57" s="38">
        <f t="shared" si="8"/>
        <v>40134.545454545449</v>
      </c>
      <c r="Q57" s="38">
        <f t="shared" si="1"/>
        <v>660.33333333333326</v>
      </c>
    </row>
    <row r="58" spans="2:21" x14ac:dyDescent="0.15">
      <c r="B58" s="38">
        <v>12</v>
      </c>
      <c r="C58" s="41" t="s">
        <v>79</v>
      </c>
      <c r="E58" s="38">
        <v>6</v>
      </c>
      <c r="F58" s="38">
        <f t="shared" si="2"/>
        <v>762</v>
      </c>
      <c r="G58" s="38">
        <v>16</v>
      </c>
      <c r="H58" s="38">
        <v>2</v>
      </c>
      <c r="I58" s="38">
        <f t="shared" si="3"/>
        <v>6</v>
      </c>
      <c r="J58" s="38">
        <f t="shared" si="4"/>
        <v>22</v>
      </c>
      <c r="L58" s="38">
        <f t="shared" si="5"/>
        <v>5.4545454545454541</v>
      </c>
      <c r="M58" s="38">
        <f t="shared" si="6"/>
        <v>4156.363636363636</v>
      </c>
      <c r="N58" s="38">
        <f t="shared" si="7"/>
        <v>65.454545454545453</v>
      </c>
      <c r="O58" s="38">
        <f t="shared" si="0"/>
        <v>49876.363636363632</v>
      </c>
      <c r="P58" s="38">
        <f t="shared" si="8"/>
        <v>45720</v>
      </c>
      <c r="Q58" s="38">
        <f t="shared" si="1"/>
        <v>762</v>
      </c>
    </row>
    <row r="59" spans="2:21" x14ac:dyDescent="0.15">
      <c r="B59" s="38">
        <v>6</v>
      </c>
      <c r="C59" s="41" t="s">
        <v>80</v>
      </c>
      <c r="E59" s="38">
        <v>6</v>
      </c>
      <c r="F59" s="38">
        <f t="shared" si="2"/>
        <v>762</v>
      </c>
      <c r="G59" s="38">
        <v>9</v>
      </c>
      <c r="H59" s="38">
        <v>1</v>
      </c>
      <c r="I59" s="38">
        <f t="shared" si="3"/>
        <v>0</v>
      </c>
      <c r="J59" s="38">
        <f t="shared" si="4"/>
        <v>9</v>
      </c>
      <c r="L59" s="38">
        <f t="shared" si="5"/>
        <v>13.333333333333334</v>
      </c>
      <c r="M59" s="38">
        <f t="shared" si="6"/>
        <v>10160</v>
      </c>
      <c r="N59" s="38">
        <f t="shared" si="7"/>
        <v>80</v>
      </c>
      <c r="O59" s="38">
        <f t="shared" si="0"/>
        <v>60960</v>
      </c>
      <c r="P59" s="38">
        <f t="shared" si="8"/>
        <v>50800</v>
      </c>
      <c r="Q59" s="38">
        <f t="shared" si="1"/>
        <v>762</v>
      </c>
    </row>
    <row r="60" spans="2:21" x14ac:dyDescent="0.15">
      <c r="B60" s="38">
        <v>6</v>
      </c>
      <c r="C60" s="41" t="s">
        <v>81</v>
      </c>
      <c r="E60" s="38">
        <v>6</v>
      </c>
      <c r="F60" s="38">
        <f t="shared" si="2"/>
        <v>762</v>
      </c>
      <c r="G60" s="38">
        <v>9</v>
      </c>
      <c r="H60" s="38">
        <v>1</v>
      </c>
      <c r="I60" s="38">
        <f t="shared" si="3"/>
        <v>0</v>
      </c>
      <c r="J60" s="38">
        <f t="shared" si="4"/>
        <v>9</v>
      </c>
      <c r="L60" s="38">
        <f t="shared" si="5"/>
        <v>13.333333333333334</v>
      </c>
      <c r="M60" s="38">
        <f t="shared" si="6"/>
        <v>10160</v>
      </c>
      <c r="N60" s="38">
        <f t="shared" si="7"/>
        <v>80</v>
      </c>
      <c r="O60" s="38">
        <f>M60*B60</f>
        <v>60960</v>
      </c>
      <c r="P60" s="38">
        <f t="shared" si="8"/>
        <v>50800</v>
      </c>
      <c r="Q60" s="38">
        <f t="shared" si="1"/>
        <v>762</v>
      </c>
    </row>
    <row r="63" spans="2:21" x14ac:dyDescent="0.15">
      <c r="B63" s="44">
        <v>2</v>
      </c>
      <c r="C63" t="s">
        <v>927</v>
      </c>
      <c r="D63" s="7" t="s">
        <v>941</v>
      </c>
      <c r="E63" s="38">
        <v>2</v>
      </c>
      <c r="F63" s="38">
        <v>90</v>
      </c>
      <c r="G63" s="38">
        <v>2</v>
      </c>
      <c r="H63" s="38">
        <f>120/G63</f>
        <v>60</v>
      </c>
      <c r="I63" s="38">
        <v>2</v>
      </c>
      <c r="J63" s="38">
        <f t="shared" ref="J63:J77" si="9">G63+(H63-1)*I63</f>
        <v>120</v>
      </c>
      <c r="K63" s="38">
        <v>100</v>
      </c>
      <c r="L63" s="44">
        <f>120/J63</f>
        <v>1</v>
      </c>
      <c r="M63" s="38">
        <f>F63*J63</f>
        <v>10800</v>
      </c>
      <c r="N63" s="38">
        <f>E63*H63</f>
        <v>120</v>
      </c>
      <c r="O63" s="38">
        <f t="shared" ref="O63:O77" si="10">M63*B63</f>
        <v>21600</v>
      </c>
      <c r="P63" s="38">
        <f>O63-M63</f>
        <v>10800</v>
      </c>
      <c r="Q63" s="38">
        <f>O63/N63</f>
        <v>180</v>
      </c>
      <c r="S63" s="38">
        <f>VLOOKUP(D63,ItemData!$A$4:$B$415,2,FALSE)</f>
        <v>301</v>
      </c>
    </row>
    <row r="64" spans="2:21" x14ac:dyDescent="0.15">
      <c r="B64" s="44">
        <v>2</v>
      </c>
      <c r="C64" t="s">
        <v>926</v>
      </c>
      <c r="D64" s="7" t="s">
        <v>942</v>
      </c>
      <c r="E64" s="38">
        <v>1</v>
      </c>
      <c r="F64" s="38">
        <v>90</v>
      </c>
      <c r="G64" s="38">
        <v>1</v>
      </c>
      <c r="H64" s="38">
        <f t="shared" ref="H64:H77" si="11">120/G64</f>
        <v>120</v>
      </c>
      <c r="I64" s="38">
        <v>1</v>
      </c>
      <c r="J64" s="38">
        <f t="shared" si="9"/>
        <v>120</v>
      </c>
      <c r="K64" s="38">
        <v>100</v>
      </c>
      <c r="L64" s="44">
        <f t="shared" ref="L64:L77" si="12">120/J64</f>
        <v>1</v>
      </c>
      <c r="M64" s="38">
        <f t="shared" ref="M64:M77" si="13">F64*J64</f>
        <v>10800</v>
      </c>
      <c r="N64" s="38">
        <f t="shared" ref="N64:N77" si="14">E64*H64</f>
        <v>120</v>
      </c>
      <c r="O64" s="38">
        <f t="shared" si="10"/>
        <v>21600</v>
      </c>
      <c r="P64" s="38">
        <f t="shared" ref="P64:P77" si="15">O64-M64</f>
        <v>10800</v>
      </c>
      <c r="Q64" s="38">
        <f t="shared" ref="Q64:Q77" si="16">O64/N64</f>
        <v>180</v>
      </c>
      <c r="S64" s="38">
        <f>VLOOKUP(D64,ItemData!$A$4:$B$415,2,FALSE)</f>
        <v>3007</v>
      </c>
    </row>
    <row r="65" spans="2:19" x14ac:dyDescent="0.15">
      <c r="B65" s="44">
        <v>3</v>
      </c>
      <c r="C65" t="s">
        <v>928</v>
      </c>
      <c r="D65" s="7" t="s">
        <v>1301</v>
      </c>
      <c r="E65" s="38">
        <v>2</v>
      </c>
      <c r="F65" s="38">
        <v>90</v>
      </c>
      <c r="G65" s="38">
        <v>3</v>
      </c>
      <c r="H65" s="38">
        <f t="shared" si="11"/>
        <v>40</v>
      </c>
      <c r="I65" s="38">
        <v>3</v>
      </c>
      <c r="J65" s="38">
        <f t="shared" si="9"/>
        <v>120</v>
      </c>
      <c r="K65" s="38">
        <v>120</v>
      </c>
      <c r="L65" s="44">
        <f t="shared" si="12"/>
        <v>1</v>
      </c>
      <c r="M65" s="38">
        <f t="shared" si="13"/>
        <v>10800</v>
      </c>
      <c r="N65" s="38">
        <f t="shared" si="14"/>
        <v>80</v>
      </c>
      <c r="O65" s="38">
        <f t="shared" si="10"/>
        <v>32400</v>
      </c>
      <c r="P65" s="38">
        <f t="shared" si="15"/>
        <v>21600</v>
      </c>
      <c r="Q65" s="38">
        <f t="shared" si="16"/>
        <v>405</v>
      </c>
      <c r="S65" s="38">
        <f>VLOOKUP(D65,ItemData!$A$4:$B$415,2,FALSE)</f>
        <v>302</v>
      </c>
    </row>
    <row r="66" spans="2:19" x14ac:dyDescent="0.15">
      <c r="B66" s="44">
        <v>3</v>
      </c>
      <c r="C66" t="s">
        <v>929</v>
      </c>
      <c r="D66" s="7" t="s">
        <v>950</v>
      </c>
      <c r="E66" s="38">
        <v>7</v>
      </c>
      <c r="F66" s="38">
        <v>90</v>
      </c>
      <c r="G66" s="38">
        <v>4</v>
      </c>
      <c r="H66" s="38">
        <f t="shared" si="11"/>
        <v>30</v>
      </c>
      <c r="I66" s="38">
        <v>4</v>
      </c>
      <c r="J66" s="38">
        <f t="shared" si="9"/>
        <v>120</v>
      </c>
      <c r="K66" s="38">
        <v>180</v>
      </c>
      <c r="L66" s="44">
        <f t="shared" si="12"/>
        <v>1</v>
      </c>
      <c r="M66" s="38">
        <f t="shared" si="13"/>
        <v>10800</v>
      </c>
      <c r="N66" s="38">
        <f t="shared" si="14"/>
        <v>210</v>
      </c>
      <c r="O66" s="38">
        <f t="shared" si="10"/>
        <v>32400</v>
      </c>
      <c r="P66" s="38">
        <f t="shared" si="15"/>
        <v>21600</v>
      </c>
      <c r="Q66" s="38">
        <f t="shared" si="16"/>
        <v>154.28571428571428</v>
      </c>
      <c r="S66" s="38">
        <f>VLOOKUP(D66,ItemData!$A$4:$B$415,2,FALSE)</f>
        <v>283</v>
      </c>
    </row>
    <row r="67" spans="2:19" x14ac:dyDescent="0.15">
      <c r="B67" s="44">
        <v>3</v>
      </c>
      <c r="C67" t="s">
        <v>930</v>
      </c>
      <c r="D67" s="7" t="s">
        <v>943</v>
      </c>
      <c r="E67" s="38">
        <v>4</v>
      </c>
      <c r="F67" s="38">
        <v>90</v>
      </c>
      <c r="G67" s="38">
        <v>6</v>
      </c>
      <c r="H67" s="38">
        <f t="shared" si="11"/>
        <v>20</v>
      </c>
      <c r="I67" s="38">
        <v>6</v>
      </c>
      <c r="J67" s="38">
        <f t="shared" si="9"/>
        <v>120</v>
      </c>
      <c r="K67" s="38">
        <v>180</v>
      </c>
      <c r="L67" s="44">
        <f t="shared" si="12"/>
        <v>1</v>
      </c>
      <c r="M67" s="38">
        <f t="shared" si="13"/>
        <v>10800</v>
      </c>
      <c r="N67" s="38">
        <f t="shared" si="14"/>
        <v>80</v>
      </c>
      <c r="O67" s="38">
        <f t="shared" si="10"/>
        <v>32400</v>
      </c>
      <c r="P67" s="38">
        <f t="shared" si="15"/>
        <v>21600</v>
      </c>
      <c r="Q67" s="38">
        <f t="shared" si="16"/>
        <v>405</v>
      </c>
      <c r="S67" s="38">
        <f>VLOOKUP(D67,ItemData!$A$4:$B$415,2,FALSE)</f>
        <v>3008</v>
      </c>
    </row>
    <row r="68" spans="2:19" x14ac:dyDescent="0.15">
      <c r="B68" s="44">
        <v>4</v>
      </c>
      <c r="C68" t="s">
        <v>931</v>
      </c>
      <c r="D68" s="7" t="s">
        <v>944</v>
      </c>
      <c r="E68" s="38">
        <v>4</v>
      </c>
      <c r="F68" s="38">
        <v>90</v>
      </c>
      <c r="G68" s="38">
        <v>4</v>
      </c>
      <c r="H68" s="38">
        <f t="shared" si="11"/>
        <v>30</v>
      </c>
      <c r="I68" s="38">
        <v>4</v>
      </c>
      <c r="J68" s="38">
        <f t="shared" si="9"/>
        <v>120</v>
      </c>
      <c r="K68" s="38">
        <v>240</v>
      </c>
      <c r="L68" s="44">
        <f t="shared" si="12"/>
        <v>1</v>
      </c>
      <c r="M68" s="38">
        <f t="shared" si="13"/>
        <v>10800</v>
      </c>
      <c r="N68" s="38">
        <f t="shared" si="14"/>
        <v>120</v>
      </c>
      <c r="O68" s="38">
        <f t="shared" si="10"/>
        <v>43200</v>
      </c>
      <c r="P68" s="38">
        <f t="shared" si="15"/>
        <v>32400</v>
      </c>
      <c r="Q68" s="38">
        <f t="shared" si="16"/>
        <v>360</v>
      </c>
      <c r="S68" s="38">
        <f>VLOOKUP(D68,ItemData!$A$4:$B$415,2,FALSE)</f>
        <v>3006</v>
      </c>
    </row>
    <row r="69" spans="2:19" x14ac:dyDescent="0.15">
      <c r="B69" s="44">
        <v>4</v>
      </c>
      <c r="C69" t="s">
        <v>932</v>
      </c>
      <c r="D69" s="7" t="s">
        <v>945</v>
      </c>
      <c r="E69" s="38">
        <v>3</v>
      </c>
      <c r="F69" s="38">
        <v>90</v>
      </c>
      <c r="G69" s="38">
        <v>4</v>
      </c>
      <c r="H69" s="38">
        <f t="shared" si="11"/>
        <v>30</v>
      </c>
      <c r="I69" s="38">
        <v>4</v>
      </c>
      <c r="J69" s="38">
        <f t="shared" si="9"/>
        <v>120</v>
      </c>
      <c r="K69" s="38">
        <v>240</v>
      </c>
      <c r="L69" s="44">
        <f t="shared" si="12"/>
        <v>1</v>
      </c>
      <c r="M69" s="38">
        <f t="shared" si="13"/>
        <v>10800</v>
      </c>
      <c r="N69" s="38">
        <f t="shared" si="14"/>
        <v>90</v>
      </c>
      <c r="O69" s="38">
        <f t="shared" si="10"/>
        <v>43200</v>
      </c>
      <c r="P69" s="38">
        <f t="shared" si="15"/>
        <v>32400</v>
      </c>
      <c r="Q69" s="38">
        <f t="shared" si="16"/>
        <v>480</v>
      </c>
      <c r="S69" s="38">
        <f>VLOOKUP(D69,ItemData!$A$4:$B$415,2,FALSE)</f>
        <v>276</v>
      </c>
    </row>
    <row r="70" spans="2:19" x14ac:dyDescent="0.15">
      <c r="B70" s="44">
        <v>3</v>
      </c>
      <c r="C70" t="s">
        <v>933</v>
      </c>
      <c r="D70" s="7" t="s">
        <v>947</v>
      </c>
      <c r="E70" s="38">
        <v>3</v>
      </c>
      <c r="F70" s="38">
        <v>90</v>
      </c>
      <c r="G70" s="38">
        <v>4</v>
      </c>
      <c r="H70" s="38">
        <f t="shared" si="11"/>
        <v>30</v>
      </c>
      <c r="I70" s="38">
        <v>4</v>
      </c>
      <c r="J70" s="38">
        <f t="shared" si="9"/>
        <v>120</v>
      </c>
      <c r="K70" s="38">
        <v>100</v>
      </c>
      <c r="L70" s="44">
        <f t="shared" si="12"/>
        <v>1</v>
      </c>
      <c r="M70" s="38">
        <f t="shared" si="13"/>
        <v>10800</v>
      </c>
      <c r="N70" s="38">
        <f t="shared" si="14"/>
        <v>90</v>
      </c>
      <c r="O70" s="38">
        <f t="shared" si="10"/>
        <v>32400</v>
      </c>
      <c r="P70" s="38">
        <f t="shared" si="15"/>
        <v>21600</v>
      </c>
      <c r="Q70" s="38">
        <f t="shared" si="16"/>
        <v>360</v>
      </c>
      <c r="S70" s="38">
        <f>VLOOKUP(D70,ItemData!$A$4:$B$415,2,FALSE)</f>
        <v>235</v>
      </c>
    </row>
    <row r="71" spans="2:19" x14ac:dyDescent="0.15">
      <c r="B71" s="44">
        <v>3</v>
      </c>
      <c r="C71" t="s">
        <v>934</v>
      </c>
      <c r="D71" s="7" t="s">
        <v>1301</v>
      </c>
      <c r="E71" s="38">
        <v>2</v>
      </c>
      <c r="F71" s="38">
        <v>90</v>
      </c>
      <c r="G71" s="38">
        <v>3</v>
      </c>
      <c r="H71" s="38">
        <f t="shared" si="11"/>
        <v>40</v>
      </c>
      <c r="I71" s="38">
        <v>3</v>
      </c>
      <c r="J71" s="38">
        <f t="shared" si="9"/>
        <v>120</v>
      </c>
      <c r="K71" s="38">
        <v>100</v>
      </c>
      <c r="L71" s="44">
        <f t="shared" si="12"/>
        <v>1</v>
      </c>
      <c r="M71" s="38">
        <f t="shared" si="13"/>
        <v>10800</v>
      </c>
      <c r="N71" s="38">
        <f t="shared" si="14"/>
        <v>80</v>
      </c>
      <c r="O71" s="38">
        <f t="shared" si="10"/>
        <v>32400</v>
      </c>
      <c r="P71" s="38">
        <f t="shared" si="15"/>
        <v>21600</v>
      </c>
      <c r="Q71" s="38">
        <f t="shared" si="16"/>
        <v>405</v>
      </c>
      <c r="S71" s="38">
        <f>VLOOKUP(D71,ItemData!$A$4:$B$415,2,FALSE)</f>
        <v>302</v>
      </c>
    </row>
    <row r="72" spans="2:19" x14ac:dyDescent="0.15">
      <c r="B72" s="44">
        <v>2</v>
      </c>
      <c r="C72" t="s">
        <v>935</v>
      </c>
      <c r="D72" s="7" t="s">
        <v>552</v>
      </c>
      <c r="E72" s="38">
        <v>4</v>
      </c>
      <c r="F72" s="38">
        <v>90</v>
      </c>
      <c r="G72" s="38">
        <v>2</v>
      </c>
      <c r="H72" s="38">
        <f t="shared" si="11"/>
        <v>60</v>
      </c>
      <c r="I72" s="38">
        <v>2</v>
      </c>
      <c r="J72" s="38">
        <f t="shared" si="9"/>
        <v>120</v>
      </c>
      <c r="K72" s="38">
        <v>180</v>
      </c>
      <c r="L72" s="44">
        <f t="shared" si="12"/>
        <v>1</v>
      </c>
      <c r="M72" s="38">
        <f t="shared" si="13"/>
        <v>10800</v>
      </c>
      <c r="N72" s="38">
        <f t="shared" si="14"/>
        <v>240</v>
      </c>
      <c r="O72" s="38">
        <f t="shared" si="10"/>
        <v>21600</v>
      </c>
      <c r="P72" s="38">
        <f t="shared" si="15"/>
        <v>10800</v>
      </c>
      <c r="Q72" s="38">
        <f t="shared" si="16"/>
        <v>90</v>
      </c>
      <c r="S72" s="38">
        <f>VLOOKUP(D72,ItemData!$A$4:$B$415,2,FALSE)</f>
        <v>297</v>
      </c>
    </row>
    <row r="73" spans="2:19" ht="12" customHeight="1" x14ac:dyDescent="0.15">
      <c r="B73" s="44">
        <v>2</v>
      </c>
      <c r="C73" t="s">
        <v>936</v>
      </c>
      <c r="D73" s="7" t="s">
        <v>949</v>
      </c>
      <c r="E73" s="38">
        <v>2</v>
      </c>
      <c r="F73" s="38">
        <v>90</v>
      </c>
      <c r="G73" s="38">
        <v>2</v>
      </c>
      <c r="H73" s="38">
        <f t="shared" si="11"/>
        <v>60</v>
      </c>
      <c r="I73" s="38">
        <v>2</v>
      </c>
      <c r="J73" s="38">
        <f t="shared" si="9"/>
        <v>120</v>
      </c>
      <c r="K73" s="38">
        <v>180</v>
      </c>
      <c r="L73" s="44">
        <f t="shared" si="12"/>
        <v>1</v>
      </c>
      <c r="M73" s="38">
        <f t="shared" si="13"/>
        <v>10800</v>
      </c>
      <c r="N73" s="38">
        <f t="shared" si="14"/>
        <v>120</v>
      </c>
      <c r="O73" s="38">
        <f t="shared" si="10"/>
        <v>21600</v>
      </c>
      <c r="P73" s="38">
        <f t="shared" si="15"/>
        <v>10800</v>
      </c>
      <c r="Q73" s="38">
        <f t="shared" si="16"/>
        <v>180</v>
      </c>
      <c r="S73" s="38">
        <f>VLOOKUP(D73,ItemData!$A$4:$B$415,2,FALSE)</f>
        <v>222</v>
      </c>
    </row>
    <row r="74" spans="2:19" x14ac:dyDescent="0.15">
      <c r="B74" s="44">
        <v>4</v>
      </c>
      <c r="C74" t="s">
        <v>937</v>
      </c>
      <c r="D74" s="7" t="s">
        <v>952</v>
      </c>
      <c r="E74" s="38">
        <v>4</v>
      </c>
      <c r="F74" s="38">
        <v>90</v>
      </c>
      <c r="G74" s="38">
        <v>3</v>
      </c>
      <c r="H74" s="38">
        <f t="shared" si="11"/>
        <v>40</v>
      </c>
      <c r="I74" s="38">
        <v>3</v>
      </c>
      <c r="J74" s="38">
        <f t="shared" si="9"/>
        <v>120</v>
      </c>
      <c r="K74" s="38">
        <v>180</v>
      </c>
      <c r="L74" s="44">
        <f t="shared" si="12"/>
        <v>1</v>
      </c>
      <c r="M74" s="38">
        <f t="shared" si="13"/>
        <v>10800</v>
      </c>
      <c r="N74" s="38">
        <f t="shared" si="14"/>
        <v>160</v>
      </c>
      <c r="O74" s="38">
        <f t="shared" si="10"/>
        <v>43200</v>
      </c>
      <c r="P74" s="38">
        <f t="shared" si="15"/>
        <v>32400</v>
      </c>
      <c r="Q74" s="38">
        <f t="shared" si="16"/>
        <v>270</v>
      </c>
      <c r="S74" s="38">
        <f>VLOOKUP(D74,ItemData!$A$4:$B$415,2,FALSE)</f>
        <v>213</v>
      </c>
    </row>
    <row r="75" spans="2:19" x14ac:dyDescent="0.15">
      <c r="B75" s="44">
        <v>5</v>
      </c>
      <c r="C75" t="s">
        <v>938</v>
      </c>
      <c r="D75" s="7" t="s">
        <v>951</v>
      </c>
      <c r="E75" s="38">
        <v>2</v>
      </c>
      <c r="F75" s="38">
        <v>90</v>
      </c>
      <c r="G75" s="38">
        <v>4</v>
      </c>
      <c r="H75" s="38">
        <f t="shared" si="11"/>
        <v>30</v>
      </c>
      <c r="I75" s="38">
        <v>4</v>
      </c>
      <c r="J75" s="38">
        <f t="shared" si="9"/>
        <v>120</v>
      </c>
      <c r="K75" s="38">
        <v>240</v>
      </c>
      <c r="L75" s="44">
        <f t="shared" si="12"/>
        <v>1</v>
      </c>
      <c r="M75" s="38">
        <f t="shared" si="13"/>
        <v>10800</v>
      </c>
      <c r="N75" s="38">
        <f t="shared" si="14"/>
        <v>60</v>
      </c>
      <c r="O75" s="38">
        <f t="shared" si="10"/>
        <v>54000</v>
      </c>
      <c r="P75" s="38">
        <f t="shared" si="15"/>
        <v>43200</v>
      </c>
      <c r="Q75" s="38">
        <f t="shared" si="16"/>
        <v>900</v>
      </c>
      <c r="S75" s="38">
        <f>VLOOKUP(D75,ItemData!$A$4:$B$415,2,FALSE)</f>
        <v>240</v>
      </c>
    </row>
    <row r="76" spans="2:19" x14ac:dyDescent="0.15">
      <c r="B76" s="44">
        <v>5</v>
      </c>
      <c r="C76" t="s">
        <v>939</v>
      </c>
      <c r="D76" s="7" t="s">
        <v>1302</v>
      </c>
      <c r="E76" s="38">
        <v>2</v>
      </c>
      <c r="F76" s="38">
        <v>90</v>
      </c>
      <c r="G76" s="38">
        <v>6</v>
      </c>
      <c r="H76" s="38">
        <f t="shared" si="11"/>
        <v>20</v>
      </c>
      <c r="I76" s="38">
        <v>6</v>
      </c>
      <c r="J76" s="38">
        <f t="shared" si="9"/>
        <v>120</v>
      </c>
      <c r="K76" s="38">
        <v>240</v>
      </c>
      <c r="L76" s="44">
        <f t="shared" si="12"/>
        <v>1</v>
      </c>
      <c r="M76" s="38">
        <f t="shared" si="13"/>
        <v>10800</v>
      </c>
      <c r="N76" s="38">
        <f t="shared" si="14"/>
        <v>40</v>
      </c>
      <c r="O76" s="38">
        <f t="shared" si="10"/>
        <v>54000</v>
      </c>
      <c r="P76" s="38">
        <f t="shared" si="15"/>
        <v>43200</v>
      </c>
      <c r="Q76" s="38">
        <f t="shared" si="16"/>
        <v>1350</v>
      </c>
      <c r="S76" s="38">
        <f>VLOOKUP(D76,ItemData!$A$4:$B$415,2,FALSE)</f>
        <v>260</v>
      </c>
    </row>
    <row r="77" spans="2:19" x14ac:dyDescent="0.15">
      <c r="B77" s="44">
        <v>2.5</v>
      </c>
      <c r="C77" t="s">
        <v>940</v>
      </c>
      <c r="D77" s="7" t="s">
        <v>946</v>
      </c>
      <c r="E77" s="38">
        <v>1</v>
      </c>
      <c r="F77" s="38">
        <v>90</v>
      </c>
      <c r="G77" s="38">
        <v>1</v>
      </c>
      <c r="H77" s="38">
        <f t="shared" si="11"/>
        <v>120</v>
      </c>
      <c r="I77" s="38">
        <v>1</v>
      </c>
      <c r="J77" s="38">
        <f t="shared" si="9"/>
        <v>120</v>
      </c>
      <c r="K77" s="38">
        <v>240</v>
      </c>
      <c r="L77" s="44">
        <f t="shared" si="12"/>
        <v>1</v>
      </c>
      <c r="M77" s="38">
        <f t="shared" si="13"/>
        <v>10800</v>
      </c>
      <c r="N77" s="38">
        <f t="shared" si="14"/>
        <v>120</v>
      </c>
      <c r="O77" s="38">
        <f t="shared" si="10"/>
        <v>27000</v>
      </c>
      <c r="P77" s="38">
        <f t="shared" si="15"/>
        <v>16200</v>
      </c>
      <c r="Q77" s="38">
        <f t="shared" si="16"/>
        <v>225</v>
      </c>
      <c r="S77" s="38">
        <f>VLOOKUP(D77,ItemData!$A$4:$B$415,2,FALSE)</f>
        <v>203</v>
      </c>
    </row>
    <row r="86" spans="5:6" x14ac:dyDescent="0.15">
      <c r="E86" s="38">
        <v>82</v>
      </c>
      <c r="F86" s="38">
        <v>82</v>
      </c>
    </row>
    <row r="87" spans="5:6" x14ac:dyDescent="0.15">
      <c r="E87" s="38">
        <v>82</v>
      </c>
      <c r="F87" s="38">
        <v>82</v>
      </c>
    </row>
    <row r="88" spans="5:6" x14ac:dyDescent="0.15">
      <c r="E88" s="38">
        <v>115</v>
      </c>
      <c r="F88" s="38">
        <v>115</v>
      </c>
    </row>
    <row r="89" spans="5:6" x14ac:dyDescent="0.15">
      <c r="E89" s="38">
        <v>115</v>
      </c>
      <c r="F89" s="38">
        <v>115</v>
      </c>
    </row>
    <row r="90" spans="5:6" x14ac:dyDescent="0.15">
      <c r="E90" s="38">
        <v>173</v>
      </c>
      <c r="F90" s="38">
        <v>173</v>
      </c>
    </row>
    <row r="91" spans="5:6" x14ac:dyDescent="0.15">
      <c r="E91" s="38">
        <v>173</v>
      </c>
      <c r="F91" s="38">
        <v>173</v>
      </c>
    </row>
    <row r="92" spans="5:6" x14ac:dyDescent="0.15">
      <c r="E92" s="38">
        <v>173</v>
      </c>
      <c r="F92" s="38">
        <v>173</v>
      </c>
    </row>
    <row r="93" spans="5:6" x14ac:dyDescent="0.15">
      <c r="E93" s="38">
        <v>271</v>
      </c>
      <c r="F93" s="38">
        <v>271</v>
      </c>
    </row>
    <row r="94" spans="5:6" x14ac:dyDescent="0.15">
      <c r="E94" s="38">
        <v>271</v>
      </c>
      <c r="F94" s="38">
        <v>271</v>
      </c>
    </row>
    <row r="95" spans="5:6" x14ac:dyDescent="0.15">
      <c r="E95" s="38">
        <v>271</v>
      </c>
      <c r="F95" s="38">
        <v>271</v>
      </c>
    </row>
    <row r="96" spans="5:6" x14ac:dyDescent="0.15">
      <c r="E96" s="38">
        <v>424</v>
      </c>
      <c r="F96" s="38">
        <v>424</v>
      </c>
    </row>
    <row r="97" spans="5:6" x14ac:dyDescent="0.15">
      <c r="E97" s="38">
        <v>424</v>
      </c>
      <c r="F97" s="38">
        <v>424</v>
      </c>
    </row>
    <row r="98" spans="5:6" x14ac:dyDescent="0.15">
      <c r="E98" s="38">
        <v>424</v>
      </c>
      <c r="F98" s="38">
        <v>424</v>
      </c>
    </row>
    <row r="99" spans="5:6" x14ac:dyDescent="0.15">
      <c r="E99" s="38">
        <v>647</v>
      </c>
      <c r="F99" s="38">
        <v>647</v>
      </c>
    </row>
    <row r="100" spans="5:6" x14ac:dyDescent="0.15">
      <c r="E100" s="38">
        <v>647</v>
      </c>
      <c r="F100" s="38">
        <v>647</v>
      </c>
    </row>
    <row r="101" spans="5:6" x14ac:dyDescent="0.15">
      <c r="E101" s="38">
        <v>647</v>
      </c>
      <c r="F101" s="38">
        <v>647</v>
      </c>
    </row>
    <row r="102" spans="5:6" x14ac:dyDescent="0.15">
      <c r="E102" s="38">
        <v>955</v>
      </c>
      <c r="F102" s="38">
        <v>955</v>
      </c>
    </row>
    <row r="103" spans="5:6" x14ac:dyDescent="0.15">
      <c r="E103" s="38">
        <v>955</v>
      </c>
      <c r="F103" s="38">
        <v>955</v>
      </c>
    </row>
    <row r="104" spans="5:6" x14ac:dyDescent="0.15">
      <c r="E104" s="38">
        <v>955</v>
      </c>
      <c r="F104" s="38">
        <v>955</v>
      </c>
    </row>
    <row r="105" spans="5:6" x14ac:dyDescent="0.15">
      <c r="E105" s="38">
        <v>1363</v>
      </c>
      <c r="F105" s="38">
        <v>1363</v>
      </c>
    </row>
    <row r="106" spans="5:6" x14ac:dyDescent="0.15">
      <c r="E106" s="38">
        <v>1363</v>
      </c>
      <c r="F106" s="38">
        <v>1363</v>
      </c>
    </row>
    <row r="107" spans="5:6" x14ac:dyDescent="0.15">
      <c r="E107" s="38">
        <v>1363</v>
      </c>
      <c r="F107" s="38">
        <v>1363</v>
      </c>
    </row>
    <row r="108" spans="5:6" x14ac:dyDescent="0.15">
      <c r="E108" s="38">
        <v>1886</v>
      </c>
      <c r="F108" s="38">
        <v>1886</v>
      </c>
    </row>
    <row r="109" spans="5:6" x14ac:dyDescent="0.15">
      <c r="E109" s="38">
        <v>1886</v>
      </c>
      <c r="F109" s="38">
        <v>1886</v>
      </c>
    </row>
    <row r="110" spans="5:6" x14ac:dyDescent="0.15">
      <c r="E110" s="38">
        <v>1886</v>
      </c>
      <c r="F110" s="38">
        <v>1886</v>
      </c>
    </row>
    <row r="111" spans="5:6" x14ac:dyDescent="0.15">
      <c r="E111" s="38">
        <v>2539</v>
      </c>
      <c r="F111" s="38">
        <v>2539</v>
      </c>
    </row>
    <row r="112" spans="5:6" x14ac:dyDescent="0.15">
      <c r="E112" s="38">
        <v>2539</v>
      </c>
      <c r="F112" s="38">
        <v>2539</v>
      </c>
    </row>
    <row r="113" spans="5:6" x14ac:dyDescent="0.15">
      <c r="E113" s="38">
        <v>2539</v>
      </c>
      <c r="F113" s="38">
        <v>2539</v>
      </c>
    </row>
    <row r="114" spans="5:6" x14ac:dyDescent="0.15">
      <c r="E114" s="38">
        <v>3337</v>
      </c>
    </row>
    <row r="115" spans="5:6" x14ac:dyDescent="0.15">
      <c r="E115" s="38">
        <v>3337</v>
      </c>
    </row>
    <row r="116" spans="5:6" x14ac:dyDescent="0.15">
      <c r="E116" s="38">
        <v>4295</v>
      </c>
    </row>
    <row r="117" spans="5:6" x14ac:dyDescent="0.15">
      <c r="E117" s="38">
        <v>4295</v>
      </c>
    </row>
    <row r="118" spans="5:6" x14ac:dyDescent="0.15">
      <c r="E118" s="38">
        <v>5428</v>
      </c>
    </row>
    <row r="119" spans="5:6" x14ac:dyDescent="0.15">
      <c r="E119" s="38">
        <v>5428</v>
      </c>
    </row>
    <row r="120" spans="5:6" x14ac:dyDescent="0.15">
      <c r="E120" s="38">
        <v>6751</v>
      </c>
    </row>
    <row r="121" spans="5:6" x14ac:dyDescent="0.15">
      <c r="E121" s="38">
        <v>6751</v>
      </c>
    </row>
  </sheetData>
  <phoneticPr fontId="1" type="noConversion"/>
  <conditionalFormatting sqref="C3:C60">
    <cfRule type="duplicateValues" dxfId="20" priority="35"/>
  </conditionalFormatting>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3" sqref="E3:E17"/>
    </sheetView>
  </sheetViews>
  <sheetFormatPr defaultRowHeight="13.5" x14ac:dyDescent="0.15"/>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57"/>
  <sheetViews>
    <sheetView topLeftCell="A4" workbookViewId="0">
      <selection activeCell="O3" sqref="O3"/>
    </sheetView>
  </sheetViews>
  <sheetFormatPr defaultRowHeight="13.5" x14ac:dyDescent="0.15"/>
  <cols>
    <col min="4" max="4" width="9" style="34"/>
    <col min="9" max="12" width="9" style="34"/>
  </cols>
  <sheetData>
    <row r="1" spans="2:18" s="34" customFormat="1" x14ac:dyDescent="0.15">
      <c r="C1" s="34">
        <v>0.5</v>
      </c>
      <c r="D1" s="34">
        <v>0.5</v>
      </c>
      <c r="E1" s="34">
        <v>1</v>
      </c>
      <c r="F1" s="34">
        <v>1</v>
      </c>
      <c r="G1" s="34">
        <v>0.5</v>
      </c>
      <c r="H1" s="34">
        <v>0.2</v>
      </c>
      <c r="N1" s="34">
        <f>植物!Q29*0.1</f>
        <v>37.5</v>
      </c>
    </row>
    <row r="2" spans="2:18" x14ac:dyDescent="0.15">
      <c r="C2" s="1" t="s">
        <v>687</v>
      </c>
      <c r="D2" s="1" t="s">
        <v>688</v>
      </c>
      <c r="E2" s="1" t="s">
        <v>689</v>
      </c>
      <c r="F2" s="1" t="s">
        <v>690</v>
      </c>
      <c r="G2" s="1" t="s">
        <v>691</v>
      </c>
      <c r="H2" s="1" t="s">
        <v>692</v>
      </c>
      <c r="I2" s="1"/>
      <c r="J2" s="1" t="s">
        <v>820</v>
      </c>
      <c r="K2" s="1" t="s">
        <v>821</v>
      </c>
      <c r="L2" s="1" t="s">
        <v>822</v>
      </c>
      <c r="N2" s="1" t="s">
        <v>819</v>
      </c>
      <c r="R2">
        <f>36.9*18</f>
        <v>664.19999999999993</v>
      </c>
    </row>
    <row r="3" spans="2:18" x14ac:dyDescent="0.15">
      <c r="B3" s="1" t="s">
        <v>330</v>
      </c>
      <c r="C3" s="1">
        <v>0</v>
      </c>
      <c r="D3" s="1">
        <v>0</v>
      </c>
      <c r="E3" s="1">
        <v>10</v>
      </c>
      <c r="F3" s="1">
        <v>0</v>
      </c>
      <c r="G3" s="1">
        <v>0</v>
      </c>
      <c r="H3" s="1">
        <v>0</v>
      </c>
      <c r="I3" s="1"/>
      <c r="J3" s="1">
        <f>C3*$C$1+D3*$D$1+E3*$E$1+F3*$F$1+G3*$G$1+H3*$H$1</f>
        <v>10</v>
      </c>
      <c r="K3" s="34">
        <v>1</v>
      </c>
      <c r="L3" s="1">
        <f>J3*(1+(K3)*0.2)*0.1</f>
        <v>1.2000000000000002</v>
      </c>
      <c r="M3" s="1">
        <v>1242</v>
      </c>
      <c r="N3" s="37">
        <f>$N$1*L3*L3*L3*0.5+$N$1*L3*L3*0.75+$N$1*10*L3</f>
        <v>522.90000000000009</v>
      </c>
    </row>
    <row r="4" spans="2:18" x14ac:dyDescent="0.15">
      <c r="B4" s="1" t="s">
        <v>331</v>
      </c>
      <c r="C4" s="1">
        <v>0</v>
      </c>
      <c r="D4" s="1">
        <v>0</v>
      </c>
      <c r="E4" s="1">
        <v>32</v>
      </c>
      <c r="F4" s="1">
        <v>0</v>
      </c>
      <c r="G4" s="1">
        <v>-10</v>
      </c>
      <c r="H4" s="1">
        <v>0</v>
      </c>
      <c r="I4" s="1"/>
      <c r="J4" s="1">
        <f t="shared" ref="J4:J60" si="0">C4*$C$1+D4*$D$1+E4*$E$1+F4*$F$1+G4*$G$1+H4*$H$1</f>
        <v>27</v>
      </c>
      <c r="K4" s="34">
        <v>2</v>
      </c>
      <c r="L4" s="1">
        <f t="shared" ref="L4:L60" si="1">J4*(1+(K4)*0.2)*0.1</f>
        <v>3.78</v>
      </c>
      <c r="N4" s="37">
        <f t="shared" ref="N4:N60" si="2">$N$1*L4*L4*L4*0.5+$N$1*L4*L4*0.75+$N$1*10*L4</f>
        <v>2832.0515999999998</v>
      </c>
    </row>
    <row r="5" spans="2:18" x14ac:dyDescent="0.15">
      <c r="B5" s="1" t="s">
        <v>391</v>
      </c>
      <c r="C5" s="1">
        <v>0</v>
      </c>
      <c r="D5" s="1">
        <v>0</v>
      </c>
      <c r="E5" s="1">
        <v>70</v>
      </c>
      <c r="F5" s="1">
        <v>0</v>
      </c>
      <c r="G5" s="1">
        <v>0</v>
      </c>
      <c r="H5" s="1">
        <v>0</v>
      </c>
      <c r="I5" s="1"/>
      <c r="J5" s="1">
        <f t="shared" si="0"/>
        <v>70</v>
      </c>
      <c r="K5" s="34">
        <v>3</v>
      </c>
      <c r="L5" s="1">
        <f t="shared" si="1"/>
        <v>11.200000000000001</v>
      </c>
      <c r="N5" s="37">
        <f t="shared" si="2"/>
        <v>34070.400000000009</v>
      </c>
    </row>
    <row r="6" spans="2:18" x14ac:dyDescent="0.15">
      <c r="B6" s="1" t="s">
        <v>332</v>
      </c>
      <c r="C6" s="1">
        <v>0</v>
      </c>
      <c r="D6" s="1">
        <v>0</v>
      </c>
      <c r="E6" s="1">
        <v>53</v>
      </c>
      <c r="F6" s="1">
        <v>10</v>
      </c>
      <c r="G6" s="1">
        <v>0</v>
      </c>
      <c r="H6" s="1">
        <v>0</v>
      </c>
      <c r="I6" s="1"/>
      <c r="J6" s="1">
        <f t="shared" si="0"/>
        <v>63</v>
      </c>
      <c r="K6" s="34">
        <v>3</v>
      </c>
      <c r="L6" s="1">
        <f t="shared" si="1"/>
        <v>10.080000000000002</v>
      </c>
      <c r="N6" s="37">
        <f t="shared" si="2"/>
        <v>25841.289600000011</v>
      </c>
    </row>
    <row r="7" spans="2:18" x14ac:dyDescent="0.15">
      <c r="B7" s="1" t="s">
        <v>392</v>
      </c>
      <c r="C7" s="1">
        <v>0</v>
      </c>
      <c r="D7" s="1">
        <v>0</v>
      </c>
      <c r="E7" s="1">
        <v>73</v>
      </c>
      <c r="F7" s="1">
        <v>0</v>
      </c>
      <c r="G7" s="1">
        <v>0</v>
      </c>
      <c r="H7" s="1">
        <v>-5</v>
      </c>
      <c r="I7" s="1"/>
      <c r="J7" s="1">
        <f t="shared" si="0"/>
        <v>72</v>
      </c>
      <c r="K7" s="34">
        <v>3</v>
      </c>
      <c r="L7" s="1">
        <f t="shared" si="1"/>
        <v>11.520000000000001</v>
      </c>
      <c r="N7" s="37">
        <f t="shared" si="2"/>
        <v>36717.926400000011</v>
      </c>
    </row>
    <row r="8" spans="2:18" x14ac:dyDescent="0.15">
      <c r="B8" s="1" t="s">
        <v>333</v>
      </c>
      <c r="C8" s="1">
        <v>0</v>
      </c>
      <c r="D8" s="1">
        <v>0</v>
      </c>
      <c r="E8" s="1">
        <v>12</v>
      </c>
      <c r="F8" s="1">
        <v>0</v>
      </c>
      <c r="G8" s="1">
        <v>0</v>
      </c>
      <c r="H8" s="1">
        <v>-5</v>
      </c>
      <c r="I8" s="1"/>
      <c r="J8" s="1">
        <f t="shared" si="0"/>
        <v>11</v>
      </c>
      <c r="K8" s="34">
        <v>1</v>
      </c>
      <c r="L8" s="1">
        <f t="shared" si="1"/>
        <v>1.32</v>
      </c>
      <c r="N8" s="37">
        <f t="shared" si="2"/>
        <v>587.12940000000003</v>
      </c>
    </row>
    <row r="9" spans="2:18" x14ac:dyDescent="0.15">
      <c r="B9" s="1" t="s">
        <v>334</v>
      </c>
      <c r="C9" s="1">
        <v>0</v>
      </c>
      <c r="D9" s="1">
        <v>0</v>
      </c>
      <c r="E9" s="1">
        <v>34</v>
      </c>
      <c r="F9" s="1">
        <v>5</v>
      </c>
      <c r="G9" s="1">
        <v>0</v>
      </c>
      <c r="H9" s="1">
        <v>-5</v>
      </c>
      <c r="I9" s="1"/>
      <c r="J9" s="1">
        <f t="shared" si="0"/>
        <v>38</v>
      </c>
      <c r="K9" s="34">
        <v>2</v>
      </c>
      <c r="L9" s="1">
        <f t="shared" si="1"/>
        <v>5.32</v>
      </c>
      <c r="N9" s="37">
        <f t="shared" si="2"/>
        <v>5614.1694000000007</v>
      </c>
    </row>
    <row r="10" spans="2:18" x14ac:dyDescent="0.15">
      <c r="B10" s="1" t="s">
        <v>826</v>
      </c>
      <c r="C10" s="1">
        <v>0</v>
      </c>
      <c r="D10" s="1">
        <v>0</v>
      </c>
      <c r="E10" s="1">
        <v>46</v>
      </c>
      <c r="F10" s="1">
        <v>0</v>
      </c>
      <c r="G10" s="1">
        <v>-5</v>
      </c>
      <c r="H10" s="1">
        <v>-5</v>
      </c>
      <c r="I10" s="1"/>
      <c r="J10" s="1">
        <f t="shared" si="0"/>
        <v>42.5</v>
      </c>
      <c r="K10" s="34">
        <v>2</v>
      </c>
      <c r="L10" s="1">
        <f t="shared" si="1"/>
        <v>5.9499999999999993</v>
      </c>
      <c r="N10" s="37">
        <f t="shared" si="2"/>
        <v>7176.5367187499978</v>
      </c>
    </row>
    <row r="11" spans="2:18" x14ac:dyDescent="0.15">
      <c r="B11" s="1" t="s">
        <v>335</v>
      </c>
      <c r="C11" s="1">
        <v>0</v>
      </c>
      <c r="D11" s="1">
        <v>0</v>
      </c>
      <c r="E11" s="1">
        <v>60</v>
      </c>
      <c r="F11" s="1">
        <v>0</v>
      </c>
      <c r="G11" s="1">
        <v>0</v>
      </c>
      <c r="H11" s="1">
        <v>-5</v>
      </c>
      <c r="I11" s="1"/>
      <c r="J11" s="1">
        <f t="shared" si="0"/>
        <v>59</v>
      </c>
      <c r="K11" s="34">
        <v>3</v>
      </c>
      <c r="L11" s="1">
        <f t="shared" si="1"/>
        <v>9.4400000000000013</v>
      </c>
      <c r="N11" s="37">
        <f t="shared" si="2"/>
        <v>21819.427200000009</v>
      </c>
    </row>
    <row r="12" spans="2:18" x14ac:dyDescent="0.15">
      <c r="B12" s="1" t="s">
        <v>336</v>
      </c>
      <c r="C12" s="1">
        <v>0</v>
      </c>
      <c r="D12" s="1">
        <v>0</v>
      </c>
      <c r="E12" s="1">
        <v>25</v>
      </c>
      <c r="F12" s="1">
        <v>0</v>
      </c>
      <c r="G12" s="1">
        <v>0</v>
      </c>
      <c r="H12" s="1">
        <v>-10</v>
      </c>
      <c r="I12" s="1"/>
      <c r="J12" s="1">
        <f t="shared" si="0"/>
        <v>23</v>
      </c>
      <c r="K12" s="34">
        <v>2</v>
      </c>
      <c r="L12" s="1">
        <f t="shared" si="1"/>
        <v>3.2199999999999998</v>
      </c>
      <c r="N12" s="37">
        <f t="shared" si="2"/>
        <v>2125.1034</v>
      </c>
    </row>
    <row r="13" spans="2:18" x14ac:dyDescent="0.15">
      <c r="B13" s="1" t="s">
        <v>337</v>
      </c>
      <c r="C13" s="1">
        <v>0</v>
      </c>
      <c r="D13" s="1">
        <v>0</v>
      </c>
      <c r="E13" s="1">
        <v>38</v>
      </c>
      <c r="F13" s="1">
        <v>0</v>
      </c>
      <c r="G13" s="1">
        <v>0</v>
      </c>
      <c r="H13" s="1">
        <v>-10</v>
      </c>
      <c r="I13" s="1"/>
      <c r="J13" s="1">
        <f t="shared" si="0"/>
        <v>36</v>
      </c>
      <c r="K13" s="34">
        <v>3</v>
      </c>
      <c r="L13" s="1">
        <f t="shared" si="1"/>
        <v>5.7600000000000007</v>
      </c>
      <c r="N13" s="37">
        <f t="shared" si="2"/>
        <v>6676.3008000000027</v>
      </c>
    </row>
    <row r="14" spans="2:18" x14ac:dyDescent="0.15">
      <c r="B14" s="1" t="s">
        <v>338</v>
      </c>
      <c r="C14" s="1">
        <v>0</v>
      </c>
      <c r="D14" s="1">
        <v>0</v>
      </c>
      <c r="E14" s="1">
        <v>64</v>
      </c>
      <c r="F14" s="1">
        <v>0</v>
      </c>
      <c r="G14" s="1">
        <v>0</v>
      </c>
      <c r="H14" s="1">
        <v>-10</v>
      </c>
      <c r="I14" s="1"/>
      <c r="J14" s="1">
        <f t="shared" si="0"/>
        <v>62</v>
      </c>
      <c r="K14" s="34">
        <v>3</v>
      </c>
      <c r="L14" s="1">
        <f t="shared" si="1"/>
        <v>9.9200000000000017</v>
      </c>
      <c r="N14" s="37">
        <f t="shared" si="2"/>
        <v>24791.270400000009</v>
      </c>
    </row>
    <row r="15" spans="2:18" x14ac:dyDescent="0.15">
      <c r="B15" s="1" t="s">
        <v>339</v>
      </c>
      <c r="C15" s="1">
        <v>0</v>
      </c>
      <c r="D15" s="1">
        <v>0</v>
      </c>
      <c r="E15" s="1">
        <v>20</v>
      </c>
      <c r="F15" s="1">
        <v>0</v>
      </c>
      <c r="G15" s="1">
        <v>0</v>
      </c>
      <c r="H15" s="1">
        <v>10</v>
      </c>
      <c r="I15" s="1"/>
      <c r="J15" s="1">
        <f t="shared" si="0"/>
        <v>22</v>
      </c>
      <c r="K15" s="34">
        <v>1</v>
      </c>
      <c r="L15" s="1">
        <f t="shared" si="1"/>
        <v>2.64</v>
      </c>
      <c r="N15" s="37">
        <f t="shared" si="2"/>
        <v>1531.0152</v>
      </c>
    </row>
    <row r="16" spans="2:18" x14ac:dyDescent="0.15">
      <c r="B16" s="1" t="s">
        <v>773</v>
      </c>
      <c r="C16" s="1">
        <v>0</v>
      </c>
      <c r="D16" s="1">
        <v>0</v>
      </c>
      <c r="E16" s="1">
        <v>16</v>
      </c>
      <c r="F16" s="1">
        <v>0</v>
      </c>
      <c r="G16" s="1">
        <v>0</v>
      </c>
      <c r="H16" s="1">
        <v>10</v>
      </c>
      <c r="I16" s="1"/>
      <c r="J16" s="1">
        <f t="shared" si="0"/>
        <v>18</v>
      </c>
      <c r="K16" s="34">
        <v>1</v>
      </c>
      <c r="L16" s="1">
        <f t="shared" si="1"/>
        <v>2.1599999999999997</v>
      </c>
      <c r="N16" s="37">
        <f t="shared" si="2"/>
        <v>1130.1767999999997</v>
      </c>
    </row>
    <row r="17" spans="2:14" x14ac:dyDescent="0.15">
      <c r="B17" s="1" t="s">
        <v>774</v>
      </c>
      <c r="C17" s="1">
        <v>0</v>
      </c>
      <c r="D17" s="1">
        <v>0</v>
      </c>
      <c r="E17" s="1">
        <v>64</v>
      </c>
      <c r="F17" s="1">
        <v>0</v>
      </c>
      <c r="G17" s="1">
        <v>0</v>
      </c>
      <c r="H17" s="1">
        <v>10</v>
      </c>
      <c r="I17" s="1"/>
      <c r="J17" s="1">
        <f t="shared" si="0"/>
        <v>66</v>
      </c>
      <c r="K17" s="34">
        <v>2</v>
      </c>
      <c r="L17" s="1">
        <f t="shared" si="1"/>
        <v>9.24</v>
      </c>
      <c r="N17" s="37">
        <f t="shared" si="2"/>
        <v>20657.914199999999</v>
      </c>
    </row>
    <row r="18" spans="2:14" x14ac:dyDescent="0.15">
      <c r="B18" s="1" t="s">
        <v>341</v>
      </c>
      <c r="C18" s="1">
        <v>0</v>
      </c>
      <c r="D18" s="1">
        <v>0</v>
      </c>
      <c r="E18" s="1">
        <v>56</v>
      </c>
      <c r="F18" s="1">
        <v>0</v>
      </c>
      <c r="G18" s="1">
        <v>0</v>
      </c>
      <c r="H18" s="1">
        <v>10</v>
      </c>
      <c r="I18" s="1"/>
      <c r="J18" s="1">
        <f t="shared" si="0"/>
        <v>58</v>
      </c>
      <c r="K18" s="34">
        <v>2</v>
      </c>
      <c r="L18" s="1">
        <f t="shared" si="1"/>
        <v>8.1199999999999992</v>
      </c>
      <c r="N18" s="37">
        <f t="shared" si="2"/>
        <v>14937.917399999998</v>
      </c>
    </row>
    <row r="19" spans="2:14" x14ac:dyDescent="0.15">
      <c r="B19" s="1" t="s">
        <v>342</v>
      </c>
      <c r="C19" s="1">
        <v>0</v>
      </c>
      <c r="D19" s="1">
        <v>0</v>
      </c>
      <c r="E19" s="1">
        <v>100</v>
      </c>
      <c r="F19" s="1">
        <v>0</v>
      </c>
      <c r="G19" s="1">
        <v>0</v>
      </c>
      <c r="H19" s="1">
        <v>-10</v>
      </c>
      <c r="I19" s="1"/>
      <c r="J19" s="1">
        <f t="shared" si="0"/>
        <v>98</v>
      </c>
      <c r="K19" s="34">
        <v>3</v>
      </c>
      <c r="L19" s="1">
        <f t="shared" si="1"/>
        <v>15.680000000000001</v>
      </c>
      <c r="N19" s="37">
        <f t="shared" si="2"/>
        <v>85078.425600000017</v>
      </c>
    </row>
    <row r="20" spans="2:14" x14ac:dyDescent="0.15">
      <c r="B20" s="1" t="s">
        <v>616</v>
      </c>
      <c r="C20" s="1">
        <v>0</v>
      </c>
      <c r="D20" s="1">
        <v>0</v>
      </c>
      <c r="E20" s="1">
        <v>78</v>
      </c>
      <c r="F20" s="1">
        <v>0</v>
      </c>
      <c r="G20" s="1">
        <v>10</v>
      </c>
      <c r="H20" s="1">
        <v>0</v>
      </c>
      <c r="I20" s="1"/>
      <c r="J20" s="1">
        <f t="shared" si="0"/>
        <v>83</v>
      </c>
      <c r="K20" s="34">
        <v>4</v>
      </c>
      <c r="L20" s="1">
        <f t="shared" si="1"/>
        <v>14.940000000000001</v>
      </c>
      <c r="N20" s="37">
        <f t="shared" si="2"/>
        <v>74405.00970000001</v>
      </c>
    </row>
    <row r="21" spans="2:14" x14ac:dyDescent="0.15">
      <c r="B21" s="1" t="s">
        <v>617</v>
      </c>
      <c r="C21" s="1">
        <v>0</v>
      </c>
      <c r="D21" s="1">
        <v>0</v>
      </c>
      <c r="E21" s="1">
        <v>95</v>
      </c>
      <c r="F21" s="1">
        <v>0</v>
      </c>
      <c r="G21" s="1">
        <v>0</v>
      </c>
      <c r="H21" s="1">
        <v>-5</v>
      </c>
      <c r="I21" s="1"/>
      <c r="J21" s="1">
        <f t="shared" si="0"/>
        <v>94</v>
      </c>
      <c r="K21" s="34">
        <v>4</v>
      </c>
      <c r="L21" s="1">
        <f t="shared" si="1"/>
        <v>16.920000000000002</v>
      </c>
      <c r="N21" s="37">
        <f t="shared" si="2"/>
        <v>105221.16540000004</v>
      </c>
    </row>
    <row r="22" spans="2:14" x14ac:dyDescent="0.15">
      <c r="B22" s="1" t="s">
        <v>618</v>
      </c>
      <c r="C22" s="1">
        <v>0</v>
      </c>
      <c r="D22" s="1">
        <v>0</v>
      </c>
      <c r="E22" s="1">
        <v>84</v>
      </c>
      <c r="F22" s="1">
        <v>0</v>
      </c>
      <c r="G22" s="1">
        <v>0</v>
      </c>
      <c r="H22" s="1">
        <v>10</v>
      </c>
      <c r="I22" s="1"/>
      <c r="J22" s="1">
        <f t="shared" si="0"/>
        <v>86</v>
      </c>
      <c r="K22" s="34">
        <v>4</v>
      </c>
      <c r="L22" s="1">
        <f t="shared" si="1"/>
        <v>15.480000000000002</v>
      </c>
      <c r="N22" s="37">
        <f t="shared" si="2"/>
        <v>82097.328600000023</v>
      </c>
    </row>
    <row r="23" spans="2:14" x14ac:dyDescent="0.15">
      <c r="B23" s="1" t="s">
        <v>619</v>
      </c>
      <c r="C23" s="1">
        <v>0</v>
      </c>
      <c r="D23" s="1">
        <v>0</v>
      </c>
      <c r="E23" s="1">
        <v>90</v>
      </c>
      <c r="F23" s="1">
        <v>0</v>
      </c>
      <c r="G23" s="1">
        <v>0</v>
      </c>
      <c r="H23" s="1">
        <v>10</v>
      </c>
      <c r="I23" s="1"/>
      <c r="J23" s="1">
        <f t="shared" si="0"/>
        <v>92</v>
      </c>
      <c r="K23" s="34">
        <v>4</v>
      </c>
      <c r="L23" s="1">
        <f t="shared" si="1"/>
        <v>16.559999999999999</v>
      </c>
      <c r="N23" s="37">
        <f t="shared" si="2"/>
        <v>99072.352799999979</v>
      </c>
    </row>
    <row r="24" spans="2:14" x14ac:dyDescent="0.15">
      <c r="B24" s="1" t="s">
        <v>351</v>
      </c>
      <c r="C24" s="1">
        <v>0</v>
      </c>
      <c r="D24" s="1">
        <v>0</v>
      </c>
      <c r="E24" s="1">
        <v>0</v>
      </c>
      <c r="F24" s="1">
        <v>5</v>
      </c>
      <c r="G24" s="1">
        <v>0</v>
      </c>
      <c r="H24" s="1">
        <v>0</v>
      </c>
      <c r="I24" s="1"/>
      <c r="J24" s="1">
        <f t="shared" si="0"/>
        <v>5</v>
      </c>
      <c r="K24" s="34">
        <v>1</v>
      </c>
      <c r="L24" s="1">
        <f t="shared" si="1"/>
        <v>0.60000000000000009</v>
      </c>
      <c r="N24" s="37">
        <f t="shared" si="2"/>
        <v>239.17500000000004</v>
      </c>
    </row>
    <row r="25" spans="2:14" x14ac:dyDescent="0.15">
      <c r="B25" s="1" t="s">
        <v>349</v>
      </c>
      <c r="C25" s="1">
        <v>0</v>
      </c>
      <c r="D25" s="1">
        <v>0</v>
      </c>
      <c r="E25" s="1">
        <v>0</v>
      </c>
      <c r="F25" s="1">
        <v>10</v>
      </c>
      <c r="G25" s="1">
        <v>0</v>
      </c>
      <c r="H25" s="1">
        <v>0</v>
      </c>
      <c r="I25" s="1"/>
      <c r="J25" s="1">
        <f t="shared" si="0"/>
        <v>10</v>
      </c>
      <c r="K25" s="34">
        <v>1</v>
      </c>
      <c r="L25" s="1">
        <f t="shared" si="1"/>
        <v>1.2000000000000002</v>
      </c>
      <c r="N25" s="37">
        <f t="shared" si="2"/>
        <v>522.90000000000009</v>
      </c>
    </row>
    <row r="26" spans="2:14" x14ac:dyDescent="0.15">
      <c r="B26" s="1" t="s">
        <v>394</v>
      </c>
      <c r="C26" s="1">
        <v>0</v>
      </c>
      <c r="D26" s="1">
        <v>0</v>
      </c>
      <c r="E26" s="1">
        <v>0</v>
      </c>
      <c r="F26" s="1">
        <v>20</v>
      </c>
      <c r="G26" s="1">
        <v>0</v>
      </c>
      <c r="H26" s="1">
        <v>-5</v>
      </c>
      <c r="I26" s="1"/>
      <c r="J26" s="1">
        <f t="shared" si="0"/>
        <v>19</v>
      </c>
      <c r="K26" s="34">
        <v>2</v>
      </c>
      <c r="L26" s="1">
        <f t="shared" si="1"/>
        <v>2.66</v>
      </c>
      <c r="N26" s="37">
        <f t="shared" si="2"/>
        <v>1549.3968</v>
      </c>
    </row>
    <row r="27" spans="2:14" x14ac:dyDescent="0.15">
      <c r="B27" s="1" t="s">
        <v>395</v>
      </c>
      <c r="C27" s="1">
        <v>0</v>
      </c>
      <c r="D27" s="1">
        <v>0</v>
      </c>
      <c r="E27" s="1">
        <v>0</v>
      </c>
      <c r="F27" s="1">
        <v>30</v>
      </c>
      <c r="G27" s="1">
        <v>0</v>
      </c>
      <c r="H27" s="1">
        <v>0</v>
      </c>
      <c r="I27" s="1"/>
      <c r="J27" s="1">
        <f t="shared" si="0"/>
        <v>30</v>
      </c>
      <c r="K27" s="34">
        <v>2</v>
      </c>
      <c r="L27" s="1">
        <f t="shared" si="1"/>
        <v>4.2</v>
      </c>
      <c r="N27" s="37">
        <f t="shared" si="2"/>
        <v>3460.2750000000001</v>
      </c>
    </row>
    <row r="28" spans="2:14" x14ac:dyDescent="0.15">
      <c r="B28" s="1" t="s">
        <v>353</v>
      </c>
      <c r="C28" s="1">
        <v>0</v>
      </c>
      <c r="D28" s="1">
        <v>0</v>
      </c>
      <c r="E28" s="1">
        <v>0</v>
      </c>
      <c r="F28" s="1">
        <v>40</v>
      </c>
      <c r="G28" s="1">
        <v>0</v>
      </c>
      <c r="H28" s="1">
        <v>-10</v>
      </c>
      <c r="I28" s="1"/>
      <c r="J28" s="1">
        <f t="shared" si="0"/>
        <v>38</v>
      </c>
      <c r="K28" s="34">
        <v>1</v>
      </c>
      <c r="L28" s="1">
        <f t="shared" si="1"/>
        <v>4.5600000000000005</v>
      </c>
      <c r="N28" s="37">
        <f t="shared" si="2"/>
        <v>4072.6728000000012</v>
      </c>
    </row>
    <row r="29" spans="2:14" x14ac:dyDescent="0.15">
      <c r="B29" s="1" t="s">
        <v>396</v>
      </c>
      <c r="C29" s="1">
        <v>0</v>
      </c>
      <c r="D29" s="1">
        <v>0</v>
      </c>
      <c r="E29" s="1">
        <v>10</v>
      </c>
      <c r="F29" s="1">
        <v>40</v>
      </c>
      <c r="G29" s="1">
        <v>0</v>
      </c>
      <c r="H29" s="1">
        <v>-10</v>
      </c>
      <c r="I29" s="1"/>
      <c r="J29" s="1">
        <f t="shared" si="0"/>
        <v>48</v>
      </c>
      <c r="K29" s="34">
        <v>3</v>
      </c>
      <c r="L29" s="1">
        <f t="shared" si="1"/>
        <v>7.6800000000000015</v>
      </c>
      <c r="N29" s="37">
        <f t="shared" si="2"/>
        <v>13032.345600000006</v>
      </c>
    </row>
    <row r="30" spans="2:14" x14ac:dyDescent="0.15">
      <c r="B30" s="1" t="s">
        <v>667</v>
      </c>
      <c r="C30" s="1">
        <v>0</v>
      </c>
      <c r="D30" s="1">
        <v>0</v>
      </c>
      <c r="E30" s="1">
        <v>0</v>
      </c>
      <c r="F30" s="1">
        <v>50</v>
      </c>
      <c r="G30" s="1">
        <v>0</v>
      </c>
      <c r="H30" s="1">
        <v>-20</v>
      </c>
      <c r="I30" s="1"/>
      <c r="J30" s="1">
        <f t="shared" si="0"/>
        <v>46</v>
      </c>
      <c r="K30" s="34">
        <v>2</v>
      </c>
      <c r="L30" s="1">
        <f t="shared" si="1"/>
        <v>6.4399999999999995</v>
      </c>
      <c r="N30" s="37">
        <f t="shared" si="2"/>
        <v>8589.3821999999982</v>
      </c>
    </row>
    <row r="31" spans="2:14" x14ac:dyDescent="0.15">
      <c r="B31" s="1" t="s">
        <v>355</v>
      </c>
      <c r="C31" s="1">
        <v>0</v>
      </c>
      <c r="D31" s="1">
        <v>0</v>
      </c>
      <c r="E31" s="1">
        <v>0</v>
      </c>
      <c r="F31" s="1">
        <v>30</v>
      </c>
      <c r="G31" s="1">
        <v>20</v>
      </c>
      <c r="H31" s="1">
        <v>10</v>
      </c>
      <c r="I31" s="1"/>
      <c r="J31" s="1">
        <f t="shared" si="0"/>
        <v>42</v>
      </c>
      <c r="K31" s="34">
        <v>3</v>
      </c>
      <c r="L31" s="1">
        <f t="shared" si="1"/>
        <v>6.7200000000000006</v>
      </c>
      <c r="N31" s="37">
        <f t="shared" si="2"/>
        <v>9480.0384000000013</v>
      </c>
    </row>
    <row r="32" spans="2:14" x14ac:dyDescent="0.15">
      <c r="B32" s="1" t="s">
        <v>397</v>
      </c>
      <c r="C32" s="1">
        <v>0</v>
      </c>
      <c r="D32" s="1">
        <v>0</v>
      </c>
      <c r="E32" s="1">
        <v>0</v>
      </c>
      <c r="F32" s="1">
        <v>50</v>
      </c>
      <c r="G32" s="1">
        <v>0</v>
      </c>
      <c r="H32" s="1">
        <v>-10</v>
      </c>
      <c r="I32" s="1"/>
      <c r="J32" s="1">
        <f t="shared" si="0"/>
        <v>48</v>
      </c>
      <c r="K32" s="34">
        <v>2</v>
      </c>
      <c r="L32" s="1">
        <f t="shared" si="1"/>
        <v>6.7199999999999989</v>
      </c>
      <c r="N32" s="37">
        <f t="shared" si="2"/>
        <v>9480.0383999999958</v>
      </c>
    </row>
    <row r="33" spans="2:14" x14ac:dyDescent="0.15">
      <c r="B33" s="1" t="s">
        <v>398</v>
      </c>
      <c r="C33" s="1">
        <v>20</v>
      </c>
      <c r="D33" s="1">
        <v>0</v>
      </c>
      <c r="E33" s="1">
        <v>0</v>
      </c>
      <c r="F33" s="1">
        <v>40</v>
      </c>
      <c r="G33" s="1">
        <v>-20</v>
      </c>
      <c r="H33" s="1">
        <v>10</v>
      </c>
      <c r="I33" s="1"/>
      <c r="J33" s="1">
        <f t="shared" si="0"/>
        <v>42</v>
      </c>
      <c r="K33" s="34">
        <v>3</v>
      </c>
      <c r="L33" s="1">
        <f t="shared" si="1"/>
        <v>6.7200000000000006</v>
      </c>
      <c r="N33" s="37">
        <f t="shared" si="2"/>
        <v>9480.0384000000013</v>
      </c>
    </row>
    <row r="34" spans="2:14" x14ac:dyDescent="0.15">
      <c r="B34" s="1" t="s">
        <v>399</v>
      </c>
      <c r="C34" s="1">
        <v>0</v>
      </c>
      <c r="D34" s="1">
        <v>0</v>
      </c>
      <c r="E34" s="1">
        <v>0</v>
      </c>
      <c r="F34" s="1">
        <v>40</v>
      </c>
      <c r="G34" s="1">
        <v>10</v>
      </c>
      <c r="H34" s="1">
        <v>20</v>
      </c>
      <c r="I34" s="1"/>
      <c r="J34" s="1">
        <f t="shared" si="0"/>
        <v>49</v>
      </c>
      <c r="K34" s="34">
        <v>3</v>
      </c>
      <c r="L34" s="1">
        <f t="shared" si="1"/>
        <v>7.8400000000000007</v>
      </c>
      <c r="N34" s="37">
        <f t="shared" si="2"/>
        <v>13704.163200000001</v>
      </c>
    </row>
    <row r="35" spans="2:14" x14ac:dyDescent="0.15">
      <c r="B35" s="1" t="s">
        <v>400</v>
      </c>
      <c r="C35" s="1">
        <v>40</v>
      </c>
      <c r="D35" s="1">
        <v>0</v>
      </c>
      <c r="E35" s="1">
        <v>0</v>
      </c>
      <c r="F35" s="1">
        <v>60</v>
      </c>
      <c r="G35" s="1">
        <v>-10</v>
      </c>
      <c r="H35" s="1">
        <v>-20</v>
      </c>
      <c r="I35" s="1"/>
      <c r="J35" s="1">
        <f t="shared" si="0"/>
        <v>71</v>
      </c>
      <c r="K35" s="34">
        <v>4</v>
      </c>
      <c r="L35" s="1">
        <f t="shared" si="1"/>
        <v>12.780000000000001</v>
      </c>
      <c r="N35" s="37">
        <f t="shared" si="2"/>
        <v>48523.679100000016</v>
      </c>
    </row>
    <row r="36" spans="2:14" x14ac:dyDescent="0.15">
      <c r="B36" s="1" t="s">
        <v>401</v>
      </c>
      <c r="C36" s="1">
        <v>0</v>
      </c>
      <c r="D36" s="1">
        <v>0</v>
      </c>
      <c r="E36" s="1">
        <v>20</v>
      </c>
      <c r="F36" s="1">
        <v>60</v>
      </c>
      <c r="G36" s="1">
        <v>0</v>
      </c>
      <c r="H36" s="1">
        <v>-20</v>
      </c>
      <c r="I36" s="1"/>
      <c r="J36" s="1">
        <f t="shared" si="0"/>
        <v>76</v>
      </c>
      <c r="K36" s="34">
        <v>4</v>
      </c>
      <c r="L36" s="1">
        <f t="shared" si="1"/>
        <v>13.680000000000001</v>
      </c>
      <c r="N36" s="37">
        <f t="shared" si="2"/>
        <v>58395.405600000013</v>
      </c>
    </row>
    <row r="37" spans="2:14" x14ac:dyDescent="0.15">
      <c r="B37" s="1" t="s">
        <v>402</v>
      </c>
      <c r="C37" s="1">
        <v>20</v>
      </c>
      <c r="D37" s="1">
        <v>0</v>
      </c>
      <c r="E37" s="1">
        <v>0</v>
      </c>
      <c r="F37" s="1">
        <v>40</v>
      </c>
      <c r="G37" s="1">
        <v>10</v>
      </c>
      <c r="H37" s="1">
        <v>10</v>
      </c>
      <c r="I37" s="1"/>
      <c r="J37" s="1">
        <f t="shared" si="0"/>
        <v>57</v>
      </c>
      <c r="K37" s="34">
        <v>4</v>
      </c>
      <c r="L37" s="1">
        <f t="shared" si="1"/>
        <v>10.260000000000002</v>
      </c>
      <c r="N37" s="37">
        <f t="shared" si="2"/>
        <v>27059.005800000014</v>
      </c>
    </row>
    <row r="38" spans="2:14" x14ac:dyDescent="0.15">
      <c r="B38" s="1" t="s">
        <v>403</v>
      </c>
      <c r="C38" s="1">
        <v>30</v>
      </c>
      <c r="D38" s="1">
        <v>0</v>
      </c>
      <c r="E38" s="1">
        <v>0</v>
      </c>
      <c r="F38" s="1">
        <v>40</v>
      </c>
      <c r="G38" s="1">
        <v>0</v>
      </c>
      <c r="H38" s="1">
        <v>10</v>
      </c>
      <c r="I38" s="1"/>
      <c r="J38" s="1">
        <f t="shared" si="0"/>
        <v>57</v>
      </c>
      <c r="K38" s="34">
        <v>4</v>
      </c>
      <c r="L38" s="1">
        <f t="shared" si="1"/>
        <v>10.260000000000002</v>
      </c>
      <c r="N38" s="37">
        <f t="shared" si="2"/>
        <v>27059.005800000014</v>
      </c>
    </row>
    <row r="39" spans="2:14" x14ac:dyDescent="0.15">
      <c r="B39" s="1" t="s">
        <v>390</v>
      </c>
      <c r="C39" s="1">
        <v>20</v>
      </c>
      <c r="D39" s="1">
        <v>0</v>
      </c>
      <c r="E39" s="1">
        <v>0</v>
      </c>
      <c r="F39" s="1">
        <v>40</v>
      </c>
      <c r="G39" s="1">
        <v>10</v>
      </c>
      <c r="H39" s="1">
        <v>0</v>
      </c>
      <c r="I39" s="1"/>
      <c r="J39" s="1">
        <f t="shared" si="0"/>
        <v>55</v>
      </c>
      <c r="K39" s="34">
        <v>4</v>
      </c>
      <c r="L39" s="1">
        <f t="shared" si="1"/>
        <v>9.9</v>
      </c>
      <c r="N39" s="37">
        <f t="shared" si="2"/>
        <v>24662.137500000001</v>
      </c>
    </row>
    <row r="40" spans="2:14" x14ac:dyDescent="0.15">
      <c r="B40" s="1" t="s">
        <v>620</v>
      </c>
      <c r="C40" s="1">
        <v>0</v>
      </c>
      <c r="D40" s="1">
        <v>0</v>
      </c>
      <c r="E40" s="1">
        <v>0</v>
      </c>
      <c r="F40" s="1">
        <v>40</v>
      </c>
      <c r="G40" s="1">
        <v>30</v>
      </c>
      <c r="H40" s="1">
        <v>0</v>
      </c>
      <c r="I40" s="1"/>
      <c r="J40" s="1">
        <f t="shared" si="0"/>
        <v>55</v>
      </c>
      <c r="K40" s="34">
        <v>4</v>
      </c>
      <c r="L40" s="1">
        <f t="shared" si="1"/>
        <v>9.9</v>
      </c>
      <c r="N40" s="37">
        <f t="shared" si="2"/>
        <v>24662.137500000001</v>
      </c>
    </row>
    <row r="41" spans="2:14" x14ac:dyDescent="0.15">
      <c r="B41" s="9" t="s">
        <v>425</v>
      </c>
      <c r="C41" s="9">
        <v>0</v>
      </c>
      <c r="D41" s="9">
        <v>0</v>
      </c>
      <c r="E41" s="9">
        <v>0</v>
      </c>
      <c r="F41" s="9">
        <v>0</v>
      </c>
      <c r="G41" s="9">
        <v>0</v>
      </c>
      <c r="H41" s="9">
        <v>20</v>
      </c>
      <c r="I41" s="9"/>
      <c r="J41" s="1">
        <f t="shared" si="0"/>
        <v>4</v>
      </c>
      <c r="K41" s="34">
        <v>1</v>
      </c>
      <c r="L41" s="1">
        <f t="shared" si="1"/>
        <v>0.48</v>
      </c>
      <c r="N41" s="37">
        <f t="shared" si="2"/>
        <v>188.55359999999999</v>
      </c>
    </row>
    <row r="42" spans="2:14" x14ac:dyDescent="0.15">
      <c r="B42" s="9" t="s">
        <v>422</v>
      </c>
      <c r="C42" s="9">
        <v>0</v>
      </c>
      <c r="D42" s="9">
        <v>0</v>
      </c>
      <c r="E42" s="9">
        <v>0</v>
      </c>
      <c r="F42" s="9">
        <v>10</v>
      </c>
      <c r="G42" s="9">
        <v>0</v>
      </c>
      <c r="H42" s="9">
        <v>10</v>
      </c>
      <c r="I42" s="9"/>
      <c r="J42" s="1">
        <f t="shared" si="0"/>
        <v>12</v>
      </c>
      <c r="K42" s="34">
        <v>1</v>
      </c>
      <c r="L42" s="1">
        <f t="shared" si="1"/>
        <v>1.44</v>
      </c>
      <c r="N42" s="37">
        <f t="shared" si="2"/>
        <v>654.30719999999997</v>
      </c>
    </row>
    <row r="43" spans="2:14" x14ac:dyDescent="0.15">
      <c r="B43" s="9" t="s">
        <v>423</v>
      </c>
      <c r="C43" s="9">
        <v>0</v>
      </c>
      <c r="D43" s="9">
        <v>0</v>
      </c>
      <c r="E43" s="9">
        <v>0</v>
      </c>
      <c r="F43" s="9">
        <v>15</v>
      </c>
      <c r="G43" s="9">
        <v>0</v>
      </c>
      <c r="H43" s="9">
        <v>20</v>
      </c>
      <c r="I43" s="9"/>
      <c r="J43" s="1">
        <f t="shared" si="0"/>
        <v>19</v>
      </c>
      <c r="K43" s="34">
        <v>2</v>
      </c>
      <c r="L43" s="1">
        <f t="shared" si="1"/>
        <v>2.66</v>
      </c>
      <c r="N43" s="37">
        <f t="shared" si="2"/>
        <v>1549.3968</v>
      </c>
    </row>
    <row r="44" spans="2:14" ht="27" x14ac:dyDescent="0.15">
      <c r="B44" s="9" t="s">
        <v>424</v>
      </c>
      <c r="C44" s="9">
        <v>0</v>
      </c>
      <c r="D44" s="9">
        <v>0</v>
      </c>
      <c r="E44" s="9">
        <v>0</v>
      </c>
      <c r="F44" s="9">
        <v>5</v>
      </c>
      <c r="G44" s="9">
        <v>0</v>
      </c>
      <c r="H44" s="9">
        <v>30</v>
      </c>
      <c r="I44" s="9"/>
      <c r="J44" s="1">
        <f t="shared" si="0"/>
        <v>11</v>
      </c>
      <c r="K44" s="34">
        <v>3</v>
      </c>
      <c r="L44" s="1">
        <f t="shared" si="1"/>
        <v>1.7600000000000002</v>
      </c>
      <c r="N44" s="37">
        <f t="shared" si="2"/>
        <v>849.34080000000017</v>
      </c>
    </row>
    <row r="45" spans="2:14" x14ac:dyDescent="0.15">
      <c r="B45" s="9" t="s">
        <v>427</v>
      </c>
      <c r="C45" s="9">
        <v>0</v>
      </c>
      <c r="D45" s="9">
        <v>0</v>
      </c>
      <c r="E45" s="9">
        <v>0</v>
      </c>
      <c r="F45" s="9">
        <v>10</v>
      </c>
      <c r="G45" s="9">
        <v>0</v>
      </c>
      <c r="H45" s="9">
        <v>50</v>
      </c>
      <c r="I45" s="9"/>
      <c r="J45" s="1">
        <f t="shared" si="0"/>
        <v>20</v>
      </c>
      <c r="K45" s="34">
        <v>2</v>
      </c>
      <c r="L45" s="1">
        <f t="shared" si="1"/>
        <v>2.8000000000000003</v>
      </c>
      <c r="N45" s="37">
        <f t="shared" si="2"/>
        <v>1682.1000000000001</v>
      </c>
    </row>
    <row r="46" spans="2:14" x14ac:dyDescent="0.15">
      <c r="B46" s="9" t="s">
        <v>431</v>
      </c>
      <c r="C46" s="9">
        <v>0</v>
      </c>
      <c r="D46" s="9">
        <v>0</v>
      </c>
      <c r="E46" s="9">
        <v>0</v>
      </c>
      <c r="F46" s="9">
        <v>20</v>
      </c>
      <c r="G46" s="9">
        <v>10</v>
      </c>
      <c r="H46" s="9">
        <v>30</v>
      </c>
      <c r="I46" s="9"/>
      <c r="J46" s="1">
        <f t="shared" si="0"/>
        <v>31</v>
      </c>
      <c r="K46" s="34">
        <v>3</v>
      </c>
      <c r="L46" s="1">
        <f t="shared" si="1"/>
        <v>4.9600000000000009</v>
      </c>
      <c r="N46" s="37">
        <f t="shared" si="2"/>
        <v>4839.8688000000011</v>
      </c>
    </row>
    <row r="47" spans="2:14" x14ac:dyDescent="0.15">
      <c r="B47" s="9" t="s">
        <v>430</v>
      </c>
      <c r="C47" s="9">
        <v>0</v>
      </c>
      <c r="D47" s="9">
        <v>0</v>
      </c>
      <c r="E47" s="9">
        <v>10</v>
      </c>
      <c r="F47" s="9">
        <v>0</v>
      </c>
      <c r="G47" s="9">
        <v>0</v>
      </c>
      <c r="H47" s="9">
        <v>100</v>
      </c>
      <c r="I47" s="9"/>
      <c r="J47" s="1">
        <f t="shared" si="0"/>
        <v>30</v>
      </c>
      <c r="K47" s="34">
        <v>3</v>
      </c>
      <c r="L47" s="1">
        <f t="shared" si="1"/>
        <v>4.8000000000000007</v>
      </c>
      <c r="N47" s="37">
        <f t="shared" si="2"/>
        <v>4521.6000000000013</v>
      </c>
    </row>
    <row r="48" spans="2:14" x14ac:dyDescent="0.15">
      <c r="B48" s="9" t="s">
        <v>429</v>
      </c>
      <c r="C48" s="9">
        <v>0</v>
      </c>
      <c r="D48" s="9">
        <v>0</v>
      </c>
      <c r="E48" s="9">
        <v>0</v>
      </c>
      <c r="F48" s="9">
        <v>30</v>
      </c>
      <c r="G48" s="9">
        <v>0</v>
      </c>
      <c r="H48" s="9">
        <v>80</v>
      </c>
      <c r="I48" s="9"/>
      <c r="J48" s="1">
        <f t="shared" si="0"/>
        <v>46</v>
      </c>
      <c r="K48" s="34">
        <v>4</v>
      </c>
      <c r="L48" s="1">
        <f t="shared" si="1"/>
        <v>8.2799999999999994</v>
      </c>
      <c r="N48" s="37">
        <f t="shared" si="2"/>
        <v>15676.896599999998</v>
      </c>
    </row>
    <row r="49" spans="2:14" x14ac:dyDescent="0.15">
      <c r="B49" s="9" t="s">
        <v>433</v>
      </c>
      <c r="C49" s="9">
        <v>0</v>
      </c>
      <c r="D49" s="9">
        <v>0</v>
      </c>
      <c r="E49" s="9">
        <v>0</v>
      </c>
      <c r="F49" s="9">
        <v>0</v>
      </c>
      <c r="G49" s="9">
        <v>20</v>
      </c>
      <c r="H49" s="9">
        <v>150</v>
      </c>
      <c r="I49" s="9"/>
      <c r="J49" s="1">
        <f t="shared" si="0"/>
        <v>40</v>
      </c>
      <c r="K49" s="34">
        <v>4</v>
      </c>
      <c r="L49" s="1">
        <f t="shared" si="1"/>
        <v>7.2</v>
      </c>
      <c r="N49" s="37">
        <f t="shared" si="2"/>
        <v>11156.400000000001</v>
      </c>
    </row>
    <row r="50" spans="2:14" x14ac:dyDescent="0.15">
      <c r="B50" s="9" t="s">
        <v>428</v>
      </c>
      <c r="C50" s="9">
        <v>0</v>
      </c>
      <c r="D50" s="9">
        <v>0</v>
      </c>
      <c r="E50" s="9">
        <v>0</v>
      </c>
      <c r="F50" s="9">
        <v>0</v>
      </c>
      <c r="G50" s="9">
        <v>0</v>
      </c>
      <c r="H50" s="9">
        <v>200</v>
      </c>
      <c r="I50" s="9"/>
      <c r="J50" s="1">
        <f t="shared" si="0"/>
        <v>40</v>
      </c>
      <c r="K50" s="34">
        <v>4</v>
      </c>
      <c r="L50" s="1">
        <f t="shared" si="1"/>
        <v>7.2</v>
      </c>
      <c r="N50" s="37">
        <f t="shared" si="2"/>
        <v>11156.400000000001</v>
      </c>
    </row>
    <row r="51" spans="2:14" x14ac:dyDescent="0.15">
      <c r="B51" s="9" t="s">
        <v>621</v>
      </c>
      <c r="C51" s="9">
        <v>0</v>
      </c>
      <c r="D51" s="9">
        <v>0</v>
      </c>
      <c r="E51" s="9">
        <v>0</v>
      </c>
      <c r="F51" s="9">
        <v>20</v>
      </c>
      <c r="G51" s="9">
        <v>0</v>
      </c>
      <c r="H51" s="9">
        <v>150</v>
      </c>
      <c r="I51" s="9"/>
      <c r="J51" s="1">
        <f t="shared" si="0"/>
        <v>50</v>
      </c>
      <c r="K51" s="34">
        <v>4</v>
      </c>
      <c r="L51" s="1">
        <f t="shared" si="1"/>
        <v>9</v>
      </c>
      <c r="N51" s="37">
        <f t="shared" si="2"/>
        <v>19321.875</v>
      </c>
    </row>
    <row r="52" spans="2:14" x14ac:dyDescent="0.15">
      <c r="B52" s="1" t="s">
        <v>717</v>
      </c>
      <c r="C52" s="1">
        <v>20</v>
      </c>
      <c r="D52" s="1">
        <v>0</v>
      </c>
      <c r="E52" s="1">
        <v>0</v>
      </c>
      <c r="F52" s="1">
        <v>0</v>
      </c>
      <c r="G52" s="1">
        <v>0</v>
      </c>
      <c r="H52" s="1">
        <v>0</v>
      </c>
      <c r="I52" s="1"/>
      <c r="J52" s="1">
        <f t="shared" si="0"/>
        <v>10</v>
      </c>
      <c r="K52" s="34">
        <v>1</v>
      </c>
      <c r="L52" s="1">
        <f t="shared" si="1"/>
        <v>1.2000000000000002</v>
      </c>
      <c r="N52" s="37">
        <f t="shared" si="2"/>
        <v>522.90000000000009</v>
      </c>
    </row>
    <row r="53" spans="2:14" x14ac:dyDescent="0.15">
      <c r="B53" s="1" t="s">
        <v>824</v>
      </c>
      <c r="C53" s="1">
        <v>20</v>
      </c>
      <c r="D53" s="1">
        <v>20</v>
      </c>
      <c r="E53" s="1">
        <v>0</v>
      </c>
      <c r="F53" s="1">
        <v>0</v>
      </c>
      <c r="G53" s="1">
        <v>0</v>
      </c>
      <c r="H53" s="1">
        <v>0</v>
      </c>
      <c r="I53" s="1"/>
      <c r="J53" s="1">
        <f t="shared" si="0"/>
        <v>20</v>
      </c>
      <c r="K53" s="34">
        <v>2</v>
      </c>
      <c r="L53" s="1">
        <f t="shared" si="1"/>
        <v>2.8000000000000003</v>
      </c>
      <c r="N53" s="37">
        <f t="shared" si="2"/>
        <v>1682.1000000000001</v>
      </c>
    </row>
    <row r="54" spans="2:14" x14ac:dyDescent="0.15">
      <c r="B54" s="1" t="s">
        <v>724</v>
      </c>
      <c r="C54" s="1">
        <v>40</v>
      </c>
      <c r="D54" s="1">
        <v>0</v>
      </c>
      <c r="E54" s="1">
        <v>0</v>
      </c>
      <c r="F54" s="1">
        <v>0</v>
      </c>
      <c r="G54" s="1">
        <v>0</v>
      </c>
      <c r="H54" s="1">
        <v>0</v>
      </c>
      <c r="I54" s="1"/>
      <c r="J54" s="1">
        <f t="shared" si="0"/>
        <v>20</v>
      </c>
      <c r="K54" s="34">
        <v>2</v>
      </c>
      <c r="L54" s="1">
        <f t="shared" si="1"/>
        <v>2.8000000000000003</v>
      </c>
      <c r="N54" s="37">
        <f t="shared" si="2"/>
        <v>1682.1000000000001</v>
      </c>
    </row>
    <row r="55" spans="2:14" x14ac:dyDescent="0.15">
      <c r="B55" s="1" t="s">
        <v>725</v>
      </c>
      <c r="C55" s="1">
        <v>30</v>
      </c>
      <c r="D55" s="1">
        <v>0</v>
      </c>
      <c r="E55" s="1">
        <v>5</v>
      </c>
      <c r="F55" s="1">
        <v>5</v>
      </c>
      <c r="G55" s="1">
        <v>0</v>
      </c>
      <c r="H55" s="1">
        <v>0</v>
      </c>
      <c r="I55" s="1"/>
      <c r="J55" s="1">
        <f t="shared" si="0"/>
        <v>25</v>
      </c>
      <c r="K55" s="34">
        <v>1</v>
      </c>
      <c r="L55" s="1">
        <f t="shared" si="1"/>
        <v>3</v>
      </c>
      <c r="N55" s="37">
        <f t="shared" si="2"/>
        <v>1884.375</v>
      </c>
    </row>
    <row r="56" spans="2:14" x14ac:dyDescent="0.15">
      <c r="B56" s="1" t="s">
        <v>732</v>
      </c>
      <c r="C56" s="1">
        <v>50</v>
      </c>
      <c r="D56" s="1">
        <v>0</v>
      </c>
      <c r="E56" s="1">
        <v>10</v>
      </c>
      <c r="F56" s="1">
        <v>0</v>
      </c>
      <c r="G56" s="1">
        <v>0</v>
      </c>
      <c r="H56" s="1">
        <v>0</v>
      </c>
      <c r="I56" s="1"/>
      <c r="J56" s="1">
        <f t="shared" si="0"/>
        <v>35</v>
      </c>
      <c r="K56" s="34">
        <v>2</v>
      </c>
      <c r="L56" s="1">
        <f t="shared" si="1"/>
        <v>4.9000000000000004</v>
      </c>
      <c r="N56" s="37">
        <f t="shared" si="2"/>
        <v>4718.7000000000007</v>
      </c>
    </row>
    <row r="57" spans="2:14" x14ac:dyDescent="0.15">
      <c r="B57" s="1" t="s">
        <v>728</v>
      </c>
      <c r="C57" s="1">
        <v>40</v>
      </c>
      <c r="D57" s="1">
        <v>0</v>
      </c>
      <c r="E57" s="1">
        <v>0</v>
      </c>
      <c r="F57" s="1">
        <v>0</v>
      </c>
      <c r="G57" s="1">
        <v>20</v>
      </c>
      <c r="H57" s="1">
        <v>0</v>
      </c>
      <c r="I57" s="1"/>
      <c r="J57" s="1">
        <f t="shared" si="0"/>
        <v>30</v>
      </c>
      <c r="K57" s="34">
        <v>3</v>
      </c>
      <c r="L57" s="1">
        <f t="shared" si="1"/>
        <v>4.8000000000000007</v>
      </c>
      <c r="N57" s="37">
        <f t="shared" si="2"/>
        <v>4521.6000000000013</v>
      </c>
    </row>
    <row r="58" spans="2:14" x14ac:dyDescent="0.15">
      <c r="B58" s="1" t="s">
        <v>727</v>
      </c>
      <c r="C58" s="1">
        <v>60</v>
      </c>
      <c r="D58" s="1">
        <v>0</v>
      </c>
      <c r="E58" s="1">
        <v>0</v>
      </c>
      <c r="F58" s="1">
        <v>0</v>
      </c>
      <c r="G58" s="1">
        <v>0</v>
      </c>
      <c r="H58" s="1">
        <v>0</v>
      </c>
      <c r="I58" s="1"/>
      <c r="J58" s="1">
        <f t="shared" si="0"/>
        <v>30</v>
      </c>
      <c r="K58" s="34">
        <v>3</v>
      </c>
      <c r="L58" s="1">
        <f t="shared" si="1"/>
        <v>4.8000000000000007</v>
      </c>
      <c r="N58" s="37">
        <f t="shared" si="2"/>
        <v>4521.6000000000013</v>
      </c>
    </row>
    <row r="59" spans="2:14" x14ac:dyDescent="0.15">
      <c r="B59" s="1" t="s">
        <v>736</v>
      </c>
      <c r="C59" s="1">
        <v>80</v>
      </c>
      <c r="D59" s="1">
        <v>0</v>
      </c>
      <c r="E59" s="1">
        <v>0</v>
      </c>
      <c r="F59" s="1">
        <v>0</v>
      </c>
      <c r="G59" s="1">
        <v>0</v>
      </c>
      <c r="H59" s="1">
        <v>0</v>
      </c>
      <c r="I59" s="1"/>
      <c r="J59" s="1">
        <f t="shared" si="0"/>
        <v>40</v>
      </c>
      <c r="K59" s="34">
        <v>3</v>
      </c>
      <c r="L59" s="1">
        <f t="shared" si="1"/>
        <v>6.4</v>
      </c>
      <c r="N59" s="37">
        <f t="shared" si="2"/>
        <v>8467.2000000000007</v>
      </c>
    </row>
    <row r="60" spans="2:14" x14ac:dyDescent="0.15">
      <c r="B60" s="1" t="s">
        <v>729</v>
      </c>
      <c r="C60" s="1">
        <v>50</v>
      </c>
      <c r="D60" s="1">
        <v>0</v>
      </c>
      <c r="E60" s="1">
        <v>20</v>
      </c>
      <c r="F60" s="1">
        <v>10</v>
      </c>
      <c r="G60" s="1">
        <v>0</v>
      </c>
      <c r="H60" s="1">
        <v>0</v>
      </c>
      <c r="I60" s="1"/>
      <c r="J60" s="1">
        <f t="shared" si="0"/>
        <v>55</v>
      </c>
      <c r="K60" s="34">
        <v>4</v>
      </c>
      <c r="L60" s="1">
        <f t="shared" si="1"/>
        <v>9.9</v>
      </c>
      <c r="N60" s="37">
        <f t="shared" si="2"/>
        <v>24662.137500000001</v>
      </c>
    </row>
    <row r="61" spans="2:14" x14ac:dyDescent="0.15">
      <c r="B61" s="34" t="s">
        <v>675</v>
      </c>
    </row>
    <row r="62" spans="2:14" x14ac:dyDescent="0.15">
      <c r="B62" s="34" t="s">
        <v>443</v>
      </c>
    </row>
    <row r="63" spans="2:14" x14ac:dyDescent="0.15">
      <c r="B63" s="34" t="s">
        <v>444</v>
      </c>
    </row>
    <row r="64" spans="2:14" x14ac:dyDescent="0.15">
      <c r="B64" s="34" t="s">
        <v>346</v>
      </c>
    </row>
    <row r="65" spans="2:2" x14ac:dyDescent="0.15">
      <c r="B65" s="34" t="s">
        <v>352</v>
      </c>
    </row>
    <row r="66" spans="2:2" x14ac:dyDescent="0.15">
      <c r="B66" s="34" t="s">
        <v>445</v>
      </c>
    </row>
    <row r="67" spans="2:2" x14ac:dyDescent="0.15">
      <c r="B67" s="34" t="s">
        <v>446</v>
      </c>
    </row>
    <row r="68" spans="2:2" x14ac:dyDescent="0.15">
      <c r="B68" s="34" t="s">
        <v>447</v>
      </c>
    </row>
    <row r="69" spans="2:2" x14ac:dyDescent="0.15">
      <c r="B69" s="34" t="s">
        <v>448</v>
      </c>
    </row>
    <row r="70" spans="2:2" x14ac:dyDescent="0.15">
      <c r="B70" s="34" t="s">
        <v>370</v>
      </c>
    </row>
    <row r="71" spans="2:2" x14ac:dyDescent="0.15">
      <c r="B71" s="34" t="s">
        <v>449</v>
      </c>
    </row>
    <row r="72" spans="2:2" x14ac:dyDescent="0.15">
      <c r="B72" s="34" t="s">
        <v>450</v>
      </c>
    </row>
    <row r="73" spans="2:2" x14ac:dyDescent="0.15">
      <c r="B73" s="34" t="s">
        <v>357</v>
      </c>
    </row>
    <row r="74" spans="2:2" x14ac:dyDescent="0.15">
      <c r="B74" s="34" t="s">
        <v>521</v>
      </c>
    </row>
    <row r="75" spans="2:2" x14ac:dyDescent="0.15">
      <c r="B75" s="34" t="s">
        <v>665</v>
      </c>
    </row>
    <row r="76" spans="2:2" x14ac:dyDescent="0.15">
      <c r="B76" s="34" t="s">
        <v>453</v>
      </c>
    </row>
    <row r="77" spans="2:2" x14ac:dyDescent="0.15">
      <c r="B77" s="34" t="s">
        <v>454</v>
      </c>
    </row>
    <row r="78" spans="2:2" x14ac:dyDescent="0.15">
      <c r="B78" s="34" t="s">
        <v>455</v>
      </c>
    </row>
    <row r="79" spans="2:2" x14ac:dyDescent="0.15">
      <c r="B79" s="34" t="s">
        <v>360</v>
      </c>
    </row>
    <row r="80" spans="2:2" x14ac:dyDescent="0.15">
      <c r="B80" s="34" t="s">
        <v>456</v>
      </c>
    </row>
    <row r="81" spans="2:2" x14ac:dyDescent="0.15">
      <c r="B81" s="34" t="s">
        <v>457</v>
      </c>
    </row>
    <row r="82" spans="2:2" x14ac:dyDescent="0.15">
      <c r="B82" s="34" t="s">
        <v>348</v>
      </c>
    </row>
    <row r="83" spans="2:2" x14ac:dyDescent="0.15">
      <c r="B83" s="34" t="s">
        <v>369</v>
      </c>
    </row>
    <row r="84" spans="2:2" x14ac:dyDescent="0.15">
      <c r="B84" s="34" t="s">
        <v>458</v>
      </c>
    </row>
    <row r="85" spans="2:2" x14ac:dyDescent="0.15">
      <c r="B85" s="34" t="s">
        <v>459</v>
      </c>
    </row>
    <row r="86" spans="2:2" x14ac:dyDescent="0.15">
      <c r="B86" s="34" t="s">
        <v>362</v>
      </c>
    </row>
    <row r="87" spans="2:2" x14ac:dyDescent="0.15">
      <c r="B87" s="34" t="s">
        <v>361</v>
      </c>
    </row>
    <row r="88" spans="2:2" x14ac:dyDescent="0.15">
      <c r="B88" s="34" t="s">
        <v>460</v>
      </c>
    </row>
    <row r="89" spans="2:2" x14ac:dyDescent="0.15">
      <c r="B89" s="34" t="s">
        <v>461</v>
      </c>
    </row>
    <row r="90" spans="2:2" x14ac:dyDescent="0.15">
      <c r="B90" s="34" t="s">
        <v>462</v>
      </c>
    </row>
    <row r="91" spans="2:2" x14ac:dyDescent="0.15">
      <c r="B91" s="34" t="s">
        <v>463</v>
      </c>
    </row>
    <row r="92" spans="2:2" x14ac:dyDescent="0.15">
      <c r="B92" s="34" t="s">
        <v>723</v>
      </c>
    </row>
    <row r="93" spans="2:2" x14ac:dyDescent="0.15">
      <c r="B93" s="34" t="s">
        <v>465</v>
      </c>
    </row>
    <row r="94" spans="2:2" x14ac:dyDescent="0.15">
      <c r="B94" s="34" t="s">
        <v>466</v>
      </c>
    </row>
    <row r="95" spans="2:2" x14ac:dyDescent="0.15">
      <c r="B95" s="34" t="s">
        <v>350</v>
      </c>
    </row>
    <row r="96" spans="2:2" x14ac:dyDescent="0.15">
      <c r="B96" s="34" t="s">
        <v>367</v>
      </c>
    </row>
    <row r="97" spans="2:2" x14ac:dyDescent="0.15">
      <c r="B97" s="34" t="s">
        <v>467</v>
      </c>
    </row>
    <row r="98" spans="2:2" x14ac:dyDescent="0.15">
      <c r="B98" s="34" t="s">
        <v>363</v>
      </c>
    </row>
    <row r="99" spans="2:2" x14ac:dyDescent="0.15">
      <c r="B99" s="34" t="s">
        <v>487</v>
      </c>
    </row>
    <row r="100" spans="2:2" x14ac:dyDescent="0.15">
      <c r="B100" s="34" t="s">
        <v>486</v>
      </c>
    </row>
    <row r="101" spans="2:2" x14ac:dyDescent="0.15">
      <c r="B101" s="34" t="s">
        <v>468</v>
      </c>
    </row>
    <row r="102" spans="2:2" x14ac:dyDescent="0.15">
      <c r="B102" s="34" t="s">
        <v>469</v>
      </c>
    </row>
    <row r="103" spans="2:2" x14ac:dyDescent="0.15">
      <c r="B103" s="34" t="s">
        <v>371</v>
      </c>
    </row>
    <row r="104" spans="2:2" x14ac:dyDescent="0.15">
      <c r="B104" s="34" t="s">
        <v>372</v>
      </c>
    </row>
    <row r="105" spans="2:2" x14ac:dyDescent="0.15">
      <c r="B105" s="34" t="s">
        <v>470</v>
      </c>
    </row>
    <row r="106" spans="2:2" x14ac:dyDescent="0.15">
      <c r="B106" s="34" t="s">
        <v>471</v>
      </c>
    </row>
    <row r="107" spans="2:2" x14ac:dyDescent="0.15">
      <c r="B107" s="34" t="s">
        <v>472</v>
      </c>
    </row>
    <row r="108" spans="2:2" x14ac:dyDescent="0.15">
      <c r="B108" s="34" t="s">
        <v>473</v>
      </c>
    </row>
    <row r="109" spans="2:2" x14ac:dyDescent="0.15">
      <c r="B109" s="34" t="s">
        <v>364</v>
      </c>
    </row>
    <row r="110" spans="2:2" x14ac:dyDescent="0.15">
      <c r="B110" s="34" t="s">
        <v>474</v>
      </c>
    </row>
    <row r="111" spans="2:2" x14ac:dyDescent="0.15">
      <c r="B111" s="34" t="s">
        <v>475</v>
      </c>
    </row>
    <row r="112" spans="2:2" x14ac:dyDescent="0.15">
      <c r="B112" s="34" t="s">
        <v>476</v>
      </c>
    </row>
    <row r="113" spans="2:2" x14ac:dyDescent="0.15">
      <c r="B113" s="34" t="s">
        <v>477</v>
      </c>
    </row>
    <row r="114" spans="2:2" x14ac:dyDescent="0.15">
      <c r="B114" s="34" t="s">
        <v>478</v>
      </c>
    </row>
    <row r="115" spans="2:2" x14ac:dyDescent="0.15">
      <c r="B115" s="34" t="s">
        <v>366</v>
      </c>
    </row>
    <row r="116" spans="2:2" x14ac:dyDescent="0.15">
      <c r="B116" s="34" t="s">
        <v>479</v>
      </c>
    </row>
    <row r="117" spans="2:2" x14ac:dyDescent="0.15">
      <c r="B117" s="34" t="s">
        <v>480</v>
      </c>
    </row>
    <row r="118" spans="2:2" x14ac:dyDescent="0.15">
      <c r="B118" s="34" t="s">
        <v>368</v>
      </c>
    </row>
    <row r="119" spans="2:2" x14ac:dyDescent="0.15">
      <c r="B119" s="34" t="s">
        <v>481</v>
      </c>
    </row>
    <row r="120" spans="2:2" x14ac:dyDescent="0.15">
      <c r="B120" s="34" t="s">
        <v>482</v>
      </c>
    </row>
    <row r="121" spans="2:2" x14ac:dyDescent="0.15">
      <c r="B121" s="34" t="s">
        <v>483</v>
      </c>
    </row>
    <row r="122" spans="2:2" x14ac:dyDescent="0.15">
      <c r="B122" s="34" t="s">
        <v>484</v>
      </c>
    </row>
    <row r="123" spans="2:2" x14ac:dyDescent="0.15">
      <c r="B123" s="34" t="s">
        <v>485</v>
      </c>
    </row>
    <row r="124" spans="2:2" x14ac:dyDescent="0.15">
      <c r="B124" s="34" t="s">
        <v>511</v>
      </c>
    </row>
    <row r="125" spans="2:2" x14ac:dyDescent="0.15">
      <c r="B125" s="34" t="s">
        <v>508</v>
      </c>
    </row>
    <row r="126" spans="2:2" x14ac:dyDescent="0.15">
      <c r="B126" s="34" t="s">
        <v>440</v>
      </c>
    </row>
    <row r="127" spans="2:2" x14ac:dyDescent="0.15">
      <c r="B127" s="34" t="s">
        <v>555</v>
      </c>
    </row>
    <row r="128" spans="2:2" x14ac:dyDescent="0.15">
      <c r="B128" s="34" t="s">
        <v>516</v>
      </c>
    </row>
    <row r="129" spans="2:2" x14ac:dyDescent="0.15">
      <c r="B129" s="34" t="s">
        <v>356</v>
      </c>
    </row>
    <row r="130" spans="2:2" x14ac:dyDescent="0.15">
      <c r="B130" s="34" t="s">
        <v>500</v>
      </c>
    </row>
    <row r="131" spans="2:2" x14ac:dyDescent="0.15">
      <c r="B131" s="34" t="s">
        <v>359</v>
      </c>
    </row>
    <row r="132" spans="2:2" x14ac:dyDescent="0.15">
      <c r="B132" s="34" t="s">
        <v>581</v>
      </c>
    </row>
    <row r="133" spans="2:2" x14ac:dyDescent="0.15">
      <c r="B133" s="34" t="s">
        <v>526</v>
      </c>
    </row>
    <row r="134" spans="2:2" x14ac:dyDescent="0.15">
      <c r="B134" s="34" t="s">
        <v>502</v>
      </c>
    </row>
    <row r="135" spans="2:2" x14ac:dyDescent="0.15">
      <c r="B135" s="34" t="s">
        <v>489</v>
      </c>
    </row>
    <row r="136" spans="2:2" x14ac:dyDescent="0.15">
      <c r="B136" s="34" t="s">
        <v>506</v>
      </c>
    </row>
    <row r="137" spans="2:2" x14ac:dyDescent="0.15">
      <c r="B137" s="34" t="s">
        <v>554</v>
      </c>
    </row>
    <row r="138" spans="2:2" x14ac:dyDescent="0.15">
      <c r="B138" s="34" t="s">
        <v>358</v>
      </c>
    </row>
    <row r="139" spans="2:2" x14ac:dyDescent="0.15">
      <c r="B139" s="34" t="s">
        <v>507</v>
      </c>
    </row>
    <row r="140" spans="2:2" x14ac:dyDescent="0.15">
      <c r="B140" s="34" t="s">
        <v>559</v>
      </c>
    </row>
    <row r="141" spans="2:2" x14ac:dyDescent="0.15">
      <c r="B141" s="34" t="s">
        <v>557</v>
      </c>
    </row>
    <row r="142" spans="2:2" x14ac:dyDescent="0.15">
      <c r="B142" s="34" t="s">
        <v>553</v>
      </c>
    </row>
    <row r="143" spans="2:2" x14ac:dyDescent="0.15">
      <c r="B143" s="34" t="s">
        <v>513</v>
      </c>
    </row>
    <row r="144" spans="2:2" x14ac:dyDescent="0.15">
      <c r="B144" s="34" t="s">
        <v>509</v>
      </c>
    </row>
    <row r="145" spans="2:2" x14ac:dyDescent="0.15">
      <c r="B145" s="34" t="s">
        <v>556</v>
      </c>
    </row>
    <row r="146" spans="2:2" x14ac:dyDescent="0.15">
      <c r="B146" s="34" t="s">
        <v>491</v>
      </c>
    </row>
    <row r="147" spans="2:2" x14ac:dyDescent="0.15">
      <c r="B147" s="34" t="s">
        <v>558</v>
      </c>
    </row>
    <row r="148" spans="2:2" x14ac:dyDescent="0.15">
      <c r="B148" s="34" t="s">
        <v>512</v>
      </c>
    </row>
    <row r="149" spans="2:2" x14ac:dyDescent="0.15">
      <c r="B149" s="34" t="s">
        <v>515</v>
      </c>
    </row>
    <row r="150" spans="2:2" x14ac:dyDescent="0.15">
      <c r="B150" s="34" t="s">
        <v>499</v>
      </c>
    </row>
    <row r="151" spans="2:2" x14ac:dyDescent="0.15">
      <c r="B151" s="34" t="s">
        <v>622</v>
      </c>
    </row>
    <row r="152" spans="2:2" x14ac:dyDescent="0.15">
      <c r="B152" s="34" t="s">
        <v>552</v>
      </c>
    </row>
    <row r="153" spans="2:2" x14ac:dyDescent="0.15">
      <c r="B153" s="16" t="s">
        <v>522</v>
      </c>
    </row>
    <row r="154" spans="2:2" x14ac:dyDescent="0.15">
      <c r="B154" s="16" t="s">
        <v>354</v>
      </c>
    </row>
    <row r="155" spans="2:2" x14ac:dyDescent="0.15">
      <c r="B155" s="16" t="s">
        <v>713</v>
      </c>
    </row>
    <row r="156" spans="2:2" x14ac:dyDescent="0.15">
      <c r="B156" s="16" t="s">
        <v>715</v>
      </c>
    </row>
    <row r="157" spans="2:2" x14ac:dyDescent="0.15">
      <c r="B157" s="16" t="s">
        <v>759</v>
      </c>
    </row>
  </sheetData>
  <phoneticPr fontId="1" type="noConversion"/>
  <conditionalFormatting sqref="B101:B157 B61:B99">
    <cfRule type="duplicateValues" dxfId="19" priority="2"/>
  </conditionalFormatting>
  <conditionalFormatting sqref="B100">
    <cfRule type="duplicateValues" dxfId="18" priority="1"/>
  </conditionalFormatting>
  <conditionalFormatting sqref="B3:B60">
    <cfRule type="duplicateValues" dxfId="17" priority="34"/>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05"/>
  <sheetViews>
    <sheetView topLeftCell="A198" workbookViewId="0">
      <selection activeCell="R59" sqref="R59"/>
    </sheetView>
  </sheetViews>
  <sheetFormatPr defaultRowHeight="13.5" x14ac:dyDescent="0.15"/>
  <cols>
    <col min="3" max="3" width="17.875" customWidth="1"/>
    <col min="5" max="5" width="19" customWidth="1"/>
    <col min="6" max="6" width="23.75" customWidth="1"/>
    <col min="11" max="11" width="25.875" customWidth="1"/>
    <col min="15" max="15" width="20.375" customWidth="1"/>
  </cols>
  <sheetData>
    <row r="1" spans="1:36" x14ac:dyDescent="0.15">
      <c r="A1" s="1"/>
    </row>
    <row r="2" spans="1:36" x14ac:dyDescent="0.15">
      <c r="A2" s="1"/>
      <c r="B2" s="7" t="s">
        <v>1639</v>
      </c>
      <c r="C2" s="7">
        <v>5001</v>
      </c>
      <c r="E2">
        <v>3013</v>
      </c>
      <c r="F2">
        <v>3014</v>
      </c>
      <c r="G2">
        <v>3015</v>
      </c>
      <c r="H2">
        <v>3016</v>
      </c>
      <c r="I2">
        <v>3020</v>
      </c>
      <c r="J2">
        <v>3024</v>
      </c>
      <c r="K2">
        <v>3028</v>
      </c>
      <c r="L2">
        <v>3029</v>
      </c>
      <c r="M2">
        <v>3052</v>
      </c>
      <c r="N2">
        <v>3081</v>
      </c>
      <c r="O2">
        <v>3084</v>
      </c>
      <c r="P2">
        <v>3087</v>
      </c>
      <c r="Q2">
        <v>3088</v>
      </c>
      <c r="R2">
        <v>3090</v>
      </c>
      <c r="S2">
        <v>3091</v>
      </c>
    </row>
    <row r="3" spans="1:36" x14ac:dyDescent="0.15">
      <c r="A3" s="1"/>
      <c r="B3" s="7" t="s">
        <v>1640</v>
      </c>
      <c r="C3" s="7">
        <v>5002</v>
      </c>
      <c r="E3">
        <v>3033</v>
      </c>
      <c r="F3">
        <v>3034</v>
      </c>
      <c r="G3">
        <v>3035</v>
      </c>
      <c r="H3">
        <v>3036</v>
      </c>
      <c r="I3">
        <v>3037</v>
      </c>
      <c r="J3">
        <v>3038</v>
      </c>
      <c r="K3">
        <v>3039</v>
      </c>
      <c r="L3">
        <v>3040</v>
      </c>
      <c r="M3">
        <v>3042</v>
      </c>
      <c r="N3">
        <v>3012</v>
      </c>
      <c r="O3">
        <v>3050</v>
      </c>
      <c r="P3">
        <v>3051</v>
      </c>
      <c r="Q3">
        <v>3053</v>
      </c>
      <c r="R3">
        <v>3054</v>
      </c>
      <c r="S3">
        <v>3092</v>
      </c>
    </row>
    <row r="4" spans="1:36" x14ac:dyDescent="0.15">
      <c r="A4" s="1"/>
      <c r="B4" s="7" t="s">
        <v>1641</v>
      </c>
      <c r="C4" s="7">
        <v>5003</v>
      </c>
      <c r="E4">
        <v>3018</v>
      </c>
      <c r="F4">
        <v>3019</v>
      </c>
      <c r="G4">
        <v>3021</v>
      </c>
      <c r="H4">
        <v>3023</v>
      </c>
      <c r="I4">
        <v>3025</v>
      </c>
      <c r="J4">
        <v>3026</v>
      </c>
      <c r="K4">
        <v>3027</v>
      </c>
      <c r="L4">
        <v>3032</v>
      </c>
      <c r="M4">
        <v>3041</v>
      </c>
      <c r="N4">
        <v>3044</v>
      </c>
      <c r="O4">
        <v>3047</v>
      </c>
      <c r="P4">
        <v>3063</v>
      </c>
      <c r="Q4">
        <v>3064</v>
      </c>
      <c r="R4">
        <v>3065</v>
      </c>
      <c r="S4">
        <v>3066</v>
      </c>
      <c r="T4">
        <v>3067</v>
      </c>
      <c r="U4">
        <v>3068</v>
      </c>
      <c r="V4">
        <v>3069</v>
      </c>
      <c r="W4">
        <v>3070</v>
      </c>
      <c r="X4">
        <v>3071</v>
      </c>
      <c r="Y4">
        <v>3072</v>
      </c>
      <c r="Z4">
        <v>3073</v>
      </c>
      <c r="AA4">
        <v>3074</v>
      </c>
      <c r="AB4">
        <v>3075</v>
      </c>
      <c r="AC4">
        <v>3076</v>
      </c>
      <c r="AD4">
        <v>3077</v>
      </c>
    </row>
    <row r="5" spans="1:36" x14ac:dyDescent="0.15">
      <c r="A5" s="1"/>
      <c r="B5" s="7" t="s">
        <v>1642</v>
      </c>
      <c r="C5" s="7">
        <v>5004</v>
      </c>
      <c r="E5">
        <v>3017</v>
      </c>
      <c r="F5">
        <v>3022</v>
      </c>
      <c r="G5">
        <v>3030</v>
      </c>
      <c r="H5">
        <v>3031</v>
      </c>
      <c r="I5">
        <v>3045</v>
      </c>
      <c r="J5">
        <v>3046</v>
      </c>
      <c r="K5">
        <v>3048</v>
      </c>
      <c r="L5">
        <v>3049</v>
      </c>
      <c r="M5">
        <v>3078</v>
      </c>
      <c r="N5">
        <v>3079</v>
      </c>
      <c r="O5">
        <v>3080</v>
      </c>
      <c r="P5">
        <v>3082</v>
      </c>
      <c r="Q5">
        <v>3083</v>
      </c>
      <c r="R5">
        <v>3085</v>
      </c>
      <c r="S5">
        <v>3086</v>
      </c>
      <c r="T5">
        <v>3089</v>
      </c>
    </row>
    <row r="6" spans="1:36" x14ac:dyDescent="0.15">
      <c r="A6" s="1"/>
      <c r="B6" s="1" t="s">
        <v>84</v>
      </c>
      <c r="C6" s="7">
        <v>5005</v>
      </c>
      <c r="E6">
        <v>3043</v>
      </c>
      <c r="F6">
        <v>3055</v>
      </c>
      <c r="G6">
        <v>3056</v>
      </c>
      <c r="H6">
        <v>3057</v>
      </c>
      <c r="I6">
        <v>3058</v>
      </c>
      <c r="J6">
        <v>3059</v>
      </c>
      <c r="K6">
        <v>3060</v>
      </c>
      <c r="L6">
        <v>3061</v>
      </c>
      <c r="M6">
        <v>3062</v>
      </c>
    </row>
    <row r="7" spans="1:36" x14ac:dyDescent="0.15">
      <c r="A7" s="1"/>
      <c r="B7" s="1" t="s">
        <v>85</v>
      </c>
      <c r="C7" s="7">
        <v>5006</v>
      </c>
      <c r="E7">
        <v>2100</v>
      </c>
      <c r="F7">
        <v>2101</v>
      </c>
      <c r="G7">
        <v>2102</v>
      </c>
      <c r="H7">
        <v>2103</v>
      </c>
      <c r="I7">
        <v>2104</v>
      </c>
      <c r="J7">
        <v>2105</v>
      </c>
      <c r="K7">
        <v>2106</v>
      </c>
      <c r="L7">
        <v>2107</v>
      </c>
      <c r="M7">
        <v>2108</v>
      </c>
      <c r="N7">
        <v>2109</v>
      </c>
      <c r="O7">
        <v>2110</v>
      </c>
      <c r="P7">
        <v>2111</v>
      </c>
    </row>
    <row r="8" spans="1:36" x14ac:dyDescent="0.15">
      <c r="A8" s="1"/>
      <c r="B8" s="1" t="s">
        <v>1643</v>
      </c>
      <c r="C8" s="7">
        <v>5007</v>
      </c>
      <c r="E8">
        <v>4015</v>
      </c>
      <c r="F8">
        <v>4016</v>
      </c>
      <c r="G8">
        <v>4017</v>
      </c>
      <c r="H8">
        <v>4018</v>
      </c>
      <c r="I8">
        <v>4021</v>
      </c>
      <c r="J8">
        <v>4022</v>
      </c>
      <c r="K8">
        <v>4023</v>
      </c>
      <c r="L8">
        <v>4024</v>
      </c>
      <c r="M8">
        <v>4028</v>
      </c>
      <c r="N8">
        <v>4029</v>
      </c>
      <c r="O8">
        <v>4030</v>
      </c>
      <c r="P8">
        <v>4031</v>
      </c>
      <c r="Q8">
        <v>4032</v>
      </c>
      <c r="R8">
        <v>4034</v>
      </c>
      <c r="S8">
        <v>4035</v>
      </c>
      <c r="T8">
        <v>4036</v>
      </c>
      <c r="U8">
        <v>4037</v>
      </c>
      <c r="V8">
        <v>4038</v>
      </c>
      <c r="W8">
        <v>4039</v>
      </c>
      <c r="X8">
        <v>4041</v>
      </c>
      <c r="Y8">
        <v>4042</v>
      </c>
      <c r="Z8">
        <v>4043</v>
      </c>
      <c r="AA8">
        <v>4044</v>
      </c>
      <c r="AB8">
        <v>4046</v>
      </c>
      <c r="AC8">
        <v>4047</v>
      </c>
      <c r="AD8">
        <v>4048</v>
      </c>
      <c r="AE8">
        <v>4049</v>
      </c>
      <c r="AF8">
        <v>4050</v>
      </c>
      <c r="AG8">
        <v>4051</v>
      </c>
      <c r="AH8">
        <v>4054</v>
      </c>
      <c r="AI8">
        <v>4055</v>
      </c>
      <c r="AJ8">
        <v>4056</v>
      </c>
    </row>
    <row r="9" spans="1:36" x14ac:dyDescent="0.15">
      <c r="A9" s="1"/>
      <c r="B9" s="1" t="s">
        <v>82</v>
      </c>
      <c r="C9" s="7">
        <v>5008</v>
      </c>
      <c r="E9">
        <v>4000</v>
      </c>
      <c r="F9">
        <v>4001</v>
      </c>
      <c r="G9">
        <v>4002</v>
      </c>
      <c r="H9">
        <v>4003</v>
      </c>
      <c r="I9">
        <v>4004</v>
      </c>
      <c r="J9">
        <v>4005</v>
      </c>
      <c r="K9">
        <v>4006</v>
      </c>
      <c r="L9">
        <v>4007</v>
      </c>
      <c r="M9">
        <v>4008</v>
      </c>
      <c r="N9">
        <v>4009</v>
      </c>
      <c r="O9">
        <v>4010</v>
      </c>
      <c r="P9">
        <v>4011</v>
      </c>
      <c r="Q9">
        <v>4012</v>
      </c>
      <c r="R9">
        <v>4013</v>
      </c>
      <c r="S9">
        <v>4014</v>
      </c>
      <c r="T9">
        <v>4019</v>
      </c>
      <c r="U9">
        <v>4020</v>
      </c>
      <c r="V9">
        <v>4025</v>
      </c>
      <c r="W9">
        <v>4026</v>
      </c>
      <c r="X9">
        <v>4027</v>
      </c>
      <c r="Y9">
        <v>4033</v>
      </c>
      <c r="Z9">
        <v>4040</v>
      </c>
      <c r="AA9">
        <v>4045</v>
      </c>
      <c r="AB9">
        <v>4052</v>
      </c>
      <c r="AC9">
        <v>4053</v>
      </c>
      <c r="AD9">
        <v>4057</v>
      </c>
    </row>
    <row r="10" spans="1:36" x14ac:dyDescent="0.15">
      <c r="A10" s="1"/>
      <c r="B10" s="1" t="s">
        <v>1644</v>
      </c>
      <c r="C10" s="7">
        <v>5009</v>
      </c>
      <c r="E10">
        <v>3009</v>
      </c>
      <c r="F10">
        <v>3010</v>
      </c>
      <c r="G10">
        <v>3011</v>
      </c>
    </row>
    <row r="11" spans="1:36" x14ac:dyDescent="0.15">
      <c r="A11" s="1"/>
      <c r="B11" s="1" t="s">
        <v>1645</v>
      </c>
      <c r="C11" s="7">
        <v>5010</v>
      </c>
      <c r="E11">
        <v>2000</v>
      </c>
      <c r="F11">
        <v>2001</v>
      </c>
      <c r="G11">
        <v>2003</v>
      </c>
    </row>
    <row r="12" spans="1:36" x14ac:dyDescent="0.15">
      <c r="A12" s="1"/>
      <c r="B12" s="1" t="s">
        <v>1646</v>
      </c>
      <c r="C12" s="7">
        <v>5011</v>
      </c>
      <c r="E12">
        <v>2011</v>
      </c>
    </row>
    <row r="13" spans="1:36" x14ac:dyDescent="0.15">
      <c r="A13" s="1"/>
      <c r="B13" s="1" t="s">
        <v>1647</v>
      </c>
      <c r="C13" s="7">
        <v>5012</v>
      </c>
      <c r="E13">
        <v>2010</v>
      </c>
    </row>
    <row r="14" spans="1:36" x14ac:dyDescent="0.15">
      <c r="A14" s="1"/>
      <c r="B14" s="1" t="s">
        <v>1648</v>
      </c>
      <c r="C14" s="7">
        <v>5013</v>
      </c>
      <c r="E14">
        <v>2012</v>
      </c>
    </row>
    <row r="15" spans="1:36" x14ac:dyDescent="0.15">
      <c r="A15" s="1"/>
      <c r="B15" s="1" t="s">
        <v>1649</v>
      </c>
      <c r="C15" s="7">
        <v>5014</v>
      </c>
      <c r="E15">
        <v>2011</v>
      </c>
      <c r="F15">
        <v>2012</v>
      </c>
    </row>
    <row r="16" spans="1:36" x14ac:dyDescent="0.15">
      <c r="A16" s="1"/>
      <c r="B16" s="1" t="s">
        <v>1650</v>
      </c>
      <c r="C16" s="7">
        <v>5015</v>
      </c>
      <c r="E16">
        <v>2020</v>
      </c>
      <c r="F16">
        <v>2021</v>
      </c>
    </row>
    <row r="17" spans="1:36" x14ac:dyDescent="0.15">
      <c r="A17" s="1"/>
      <c r="B17" s="34"/>
    </row>
    <row r="18" spans="1:36" x14ac:dyDescent="0.15">
      <c r="A18" s="1"/>
      <c r="B18" s="34"/>
    </row>
    <row r="19" spans="1:36" x14ac:dyDescent="0.15">
      <c r="A19" s="1"/>
      <c r="B19" s="34"/>
      <c r="E19" s="53" t="str">
        <f>VLOOKUP(E2,$B$24:$C$185,2,FALSE)</f>
        <v>1001,3002</v>
      </c>
      <c r="F19" s="53" t="str">
        <f t="shared" ref="F19:AJ19" si="0">VLOOKUP(F2,$B$24:$C$185,2,FALSE)</f>
        <v>1002,1005,1009,1006</v>
      </c>
      <c r="G19" s="53" t="str">
        <f t="shared" si="0"/>
        <v>3112,1002,1006,1008</v>
      </c>
      <c r="H19" s="53" t="str">
        <f t="shared" si="0"/>
        <v>1004,3002</v>
      </c>
      <c r="I19" s="53" t="str">
        <f t="shared" si="0"/>
        <v>1006,3002</v>
      </c>
      <c r="J19" s="53" t="str">
        <f t="shared" si="0"/>
        <v>3113,3000</v>
      </c>
      <c r="K19" s="53" t="str">
        <f t="shared" si="0"/>
        <v>3112,1008,3114,3130</v>
      </c>
      <c r="L19" s="53" t="str">
        <f t="shared" si="0"/>
        <v>3112,3166,1011,3130</v>
      </c>
      <c r="M19" s="53" t="str">
        <f t="shared" si="0"/>
        <v>3000,4021,3113</v>
      </c>
      <c r="N19" s="53" t="str">
        <f t="shared" si="0"/>
        <v>3153,3000</v>
      </c>
      <c r="O19" s="53" t="str">
        <f t="shared" si="0"/>
        <v>4021</v>
      </c>
      <c r="P19" s="53" t="str">
        <f t="shared" si="0"/>
        <v>4112</v>
      </c>
      <c r="Q19" s="53" t="str">
        <f t="shared" si="0"/>
        <v>4109</v>
      </c>
      <c r="R19" s="53" t="str">
        <f t="shared" si="0"/>
        <v>4116</v>
      </c>
      <c r="S19" s="53" t="str">
        <f t="shared" si="0"/>
        <v>3164,3134,1006,4015</v>
      </c>
      <c r="T19" s="53" t="e">
        <f t="shared" si="0"/>
        <v>#N/A</v>
      </c>
      <c r="U19" s="53" t="e">
        <f t="shared" si="0"/>
        <v>#N/A</v>
      </c>
      <c r="V19" s="53" t="e">
        <f t="shared" si="0"/>
        <v>#N/A</v>
      </c>
      <c r="W19" s="53" t="e">
        <f t="shared" si="0"/>
        <v>#N/A</v>
      </c>
      <c r="X19" s="53" t="e">
        <f t="shared" si="0"/>
        <v>#N/A</v>
      </c>
      <c r="Y19" s="53" t="e">
        <f t="shared" si="0"/>
        <v>#N/A</v>
      </c>
      <c r="Z19" s="53" t="e">
        <f t="shared" si="0"/>
        <v>#N/A</v>
      </c>
      <c r="AA19" s="53" t="e">
        <f t="shared" si="0"/>
        <v>#N/A</v>
      </c>
      <c r="AB19" s="53" t="e">
        <f t="shared" si="0"/>
        <v>#N/A</v>
      </c>
      <c r="AC19" s="53" t="e">
        <f t="shared" si="0"/>
        <v>#N/A</v>
      </c>
      <c r="AD19" s="53" t="e">
        <f t="shared" si="0"/>
        <v>#N/A</v>
      </c>
      <c r="AE19" s="53" t="e">
        <f t="shared" si="0"/>
        <v>#N/A</v>
      </c>
      <c r="AF19" s="53" t="e">
        <f t="shared" si="0"/>
        <v>#N/A</v>
      </c>
      <c r="AG19" s="53" t="e">
        <f t="shared" si="0"/>
        <v>#N/A</v>
      </c>
      <c r="AH19" s="53" t="e">
        <f t="shared" si="0"/>
        <v>#N/A</v>
      </c>
      <c r="AI19" s="53" t="e">
        <f t="shared" si="0"/>
        <v>#N/A</v>
      </c>
      <c r="AJ19" s="53" t="e">
        <f t="shared" si="0"/>
        <v>#N/A</v>
      </c>
    </row>
    <row r="20" spans="1:36" x14ac:dyDescent="0.15">
      <c r="A20" s="1"/>
      <c r="B20" s="34"/>
      <c r="E20" s="53" t="str">
        <f t="shared" ref="E20:E33" si="1">VLOOKUP(E3,$B$24:$C$185,2,FALSE)</f>
        <v>1001,1006,1004,1005</v>
      </c>
      <c r="F20" s="53" t="str">
        <f t="shared" ref="F20:AJ20" si="2">VLOOKUP(F3,$B$24:$C$185,2,FALSE)</f>
        <v>1010</v>
      </c>
      <c r="G20" s="53" t="str">
        <f t="shared" si="2"/>
        <v>1012</v>
      </c>
      <c r="H20" s="53" t="str">
        <f t="shared" si="2"/>
        <v>1022</v>
      </c>
      <c r="I20" s="53" t="str">
        <f t="shared" si="2"/>
        <v>1023</v>
      </c>
      <c r="J20" s="53" t="str">
        <f t="shared" si="2"/>
        <v>1025</v>
      </c>
      <c r="K20" s="53" t="str">
        <f t="shared" si="2"/>
        <v>1026</v>
      </c>
      <c r="L20" s="53" t="str">
        <f t="shared" si="2"/>
        <v>1019</v>
      </c>
      <c r="M20" s="53" t="str">
        <f t="shared" si="2"/>
        <v>3006</v>
      </c>
      <c r="N20" s="53" t="str">
        <f t="shared" si="2"/>
        <v>1028</v>
      </c>
      <c r="O20" s="53" t="str">
        <f t="shared" si="2"/>
        <v>3006,3125</v>
      </c>
      <c r="P20" s="53" t="str">
        <f t="shared" si="2"/>
        <v>1026,1025,3005</v>
      </c>
      <c r="Q20" s="53" t="str">
        <f t="shared" si="2"/>
        <v>3010,3006,3004</v>
      </c>
      <c r="R20" s="53" t="str">
        <f t="shared" si="2"/>
        <v>3010,3004</v>
      </c>
      <c r="S20" s="53" t="str">
        <f t="shared" si="2"/>
        <v>200,207</v>
      </c>
      <c r="T20" s="53" t="e">
        <f t="shared" si="2"/>
        <v>#N/A</v>
      </c>
      <c r="U20" s="53" t="e">
        <f t="shared" si="2"/>
        <v>#N/A</v>
      </c>
      <c r="V20" s="53" t="e">
        <f t="shared" si="2"/>
        <v>#N/A</v>
      </c>
      <c r="W20" s="53" t="e">
        <f t="shared" si="2"/>
        <v>#N/A</v>
      </c>
      <c r="X20" s="53" t="e">
        <f t="shared" si="2"/>
        <v>#N/A</v>
      </c>
      <c r="Y20" s="53" t="e">
        <f t="shared" si="2"/>
        <v>#N/A</v>
      </c>
      <c r="Z20" s="53" t="e">
        <f t="shared" si="2"/>
        <v>#N/A</v>
      </c>
      <c r="AA20" s="53" t="e">
        <f t="shared" si="2"/>
        <v>#N/A</v>
      </c>
      <c r="AB20" s="53" t="e">
        <f t="shared" si="2"/>
        <v>#N/A</v>
      </c>
      <c r="AC20" s="53" t="e">
        <f t="shared" si="2"/>
        <v>#N/A</v>
      </c>
      <c r="AD20" s="53" t="e">
        <f t="shared" si="2"/>
        <v>#N/A</v>
      </c>
      <c r="AE20" s="53" t="e">
        <f t="shared" si="2"/>
        <v>#N/A</v>
      </c>
      <c r="AF20" s="53" t="e">
        <f t="shared" si="2"/>
        <v>#N/A</v>
      </c>
      <c r="AG20" s="53" t="e">
        <f t="shared" si="2"/>
        <v>#N/A</v>
      </c>
      <c r="AH20" s="53" t="e">
        <f t="shared" si="2"/>
        <v>#N/A</v>
      </c>
      <c r="AI20" s="53" t="e">
        <f t="shared" si="2"/>
        <v>#N/A</v>
      </c>
      <c r="AJ20" s="53" t="e">
        <f t="shared" si="2"/>
        <v>#N/A</v>
      </c>
    </row>
    <row r="21" spans="1:36" x14ac:dyDescent="0.15">
      <c r="A21" s="1"/>
      <c r="B21" s="34"/>
      <c r="E21" s="53" t="str">
        <f t="shared" si="1"/>
        <v>3009,3007,3005</v>
      </c>
      <c r="F21" s="53" t="str">
        <f t="shared" ref="F21:AJ21" si="3">VLOOKUP(F4,$B$24:$C$185,2,FALSE)</f>
        <v>3009,3130,1013,3008</v>
      </c>
      <c r="G21" s="53" t="str">
        <f t="shared" si="3"/>
        <v>1007</v>
      </c>
      <c r="H21" s="53" t="str">
        <f t="shared" si="3"/>
        <v>1003,3008,1011</v>
      </c>
      <c r="I21" s="53" t="str">
        <f t="shared" si="3"/>
        <v>3009,3004</v>
      </c>
      <c r="J21" s="53" t="str">
        <f t="shared" si="3"/>
        <v>3011</v>
      </c>
      <c r="K21" s="53" t="str">
        <f t="shared" si="3"/>
        <v>1016,3008,3002</v>
      </c>
      <c r="L21" s="53" t="str">
        <f t="shared" si="3"/>
        <v>1019,3011</v>
      </c>
      <c r="M21" s="53" t="str">
        <f t="shared" si="3"/>
        <v>1027,3005</v>
      </c>
      <c r="N21" s="53" t="str">
        <f t="shared" si="3"/>
        <v>1013,1016,1003,3002</v>
      </c>
      <c r="O21" s="53" t="str">
        <f t="shared" si="3"/>
        <v>1017</v>
      </c>
      <c r="P21" s="53" t="str">
        <f t="shared" si="3"/>
        <v>4006,3002</v>
      </c>
      <c r="Q21" s="53" t="str">
        <f t="shared" si="3"/>
        <v>4009,3002</v>
      </c>
      <c r="R21" s="53" t="str">
        <f t="shared" si="3"/>
        <v>4015,3002</v>
      </c>
      <c r="S21" s="53" t="str">
        <f t="shared" si="3"/>
        <v>4016,3003</v>
      </c>
      <c r="T21" s="53" t="str">
        <f t="shared" si="3"/>
        <v>4017,3002</v>
      </c>
      <c r="U21" s="53" t="str">
        <f t="shared" si="3"/>
        <v>4021,3002</v>
      </c>
      <c r="V21" s="53" t="str">
        <f t="shared" si="3"/>
        <v>4100,3003</v>
      </c>
      <c r="W21" s="53" t="str">
        <f t="shared" si="3"/>
        <v>4101,3003</v>
      </c>
      <c r="X21" s="53" t="str">
        <f t="shared" si="3"/>
        <v>4103,3003</v>
      </c>
      <c r="Y21" s="53" t="str">
        <f t="shared" si="3"/>
        <v>4106,3003</v>
      </c>
      <c r="Z21" s="53" t="str">
        <f t="shared" si="3"/>
        <v>4109,3003</v>
      </c>
      <c r="AA21" s="53" t="str">
        <f t="shared" si="3"/>
        <v>4111,3003</v>
      </c>
      <c r="AB21" s="53" t="str">
        <f t="shared" si="3"/>
        <v>4112,3003</v>
      </c>
      <c r="AC21" s="53" t="str">
        <f t="shared" si="3"/>
        <v>4113,3003</v>
      </c>
      <c r="AD21" s="53" t="str">
        <f t="shared" si="3"/>
        <v>4115,3003</v>
      </c>
      <c r="AE21" s="53" t="e">
        <f t="shared" si="3"/>
        <v>#N/A</v>
      </c>
      <c r="AF21" s="53" t="e">
        <f t="shared" si="3"/>
        <v>#N/A</v>
      </c>
      <c r="AG21" s="53" t="e">
        <f t="shared" si="3"/>
        <v>#N/A</v>
      </c>
      <c r="AH21" s="53" t="e">
        <f t="shared" si="3"/>
        <v>#N/A</v>
      </c>
      <c r="AI21" s="53" t="e">
        <f t="shared" si="3"/>
        <v>#N/A</v>
      </c>
      <c r="AJ21" s="53" t="e">
        <f t="shared" si="3"/>
        <v>#N/A</v>
      </c>
    </row>
    <row r="22" spans="1:36" x14ac:dyDescent="0.15">
      <c r="A22" s="1"/>
      <c r="B22" s="34"/>
      <c r="E22" s="53" t="str">
        <f t="shared" si="1"/>
        <v>3009,3008,1003,3109</v>
      </c>
      <c r="F22" s="53" t="str">
        <f t="shared" ref="F22:AJ22" si="4">VLOOKUP(F5,$B$24:$C$185,2,FALSE)</f>
        <v>3007</v>
      </c>
      <c r="G22" s="53" t="str">
        <f t="shared" si="4"/>
        <v>1015,3011</v>
      </c>
      <c r="H22" s="53" t="str">
        <f t="shared" si="4"/>
        <v>3000,4105,4115,3006</v>
      </c>
      <c r="I22" s="53" t="str">
        <f t="shared" si="4"/>
        <v>3009,3008,1002,1003</v>
      </c>
      <c r="J22" s="53" t="str">
        <f t="shared" si="4"/>
        <v>1005,1018,1028,3011</v>
      </c>
      <c r="K22" s="53" t="str">
        <f t="shared" si="4"/>
        <v>1028,1005,1008,3004</v>
      </c>
      <c r="L22" s="53" t="str">
        <f t="shared" si="4"/>
        <v>1014,3008,1009,3004</v>
      </c>
      <c r="M22" s="53" t="str">
        <f t="shared" si="4"/>
        <v>4116,3003</v>
      </c>
      <c r="N22" s="53" t="str">
        <f t="shared" si="4"/>
        <v>4007,3004</v>
      </c>
      <c r="O22" s="53" t="str">
        <f t="shared" si="4"/>
        <v>1018,3004,4100,4113</v>
      </c>
      <c r="P22" s="53" t="str">
        <f t="shared" si="4"/>
        <v>4000,1014,3004,1017</v>
      </c>
      <c r="Q22" s="53" t="str">
        <f t="shared" si="4"/>
        <v>4006,1027</v>
      </c>
      <c r="R22" s="53" t="str">
        <f t="shared" si="4"/>
        <v>4105,3007,3011</v>
      </c>
      <c r="S22" s="53" t="str">
        <f t="shared" si="4"/>
        <v>4111,1004</v>
      </c>
      <c r="T22" s="53" t="str">
        <f t="shared" si="4"/>
        <v>4113,1011,1009,1007</v>
      </c>
      <c r="U22" s="53" t="e">
        <f t="shared" si="4"/>
        <v>#N/A</v>
      </c>
      <c r="V22" s="53" t="e">
        <f t="shared" si="4"/>
        <v>#N/A</v>
      </c>
      <c r="W22" s="53" t="e">
        <f t="shared" si="4"/>
        <v>#N/A</v>
      </c>
      <c r="X22" s="53" t="e">
        <f t="shared" si="4"/>
        <v>#N/A</v>
      </c>
      <c r="Y22" s="53" t="e">
        <f t="shared" si="4"/>
        <v>#N/A</v>
      </c>
      <c r="Z22" s="53" t="e">
        <f t="shared" si="4"/>
        <v>#N/A</v>
      </c>
      <c r="AA22" s="53" t="e">
        <f t="shared" si="4"/>
        <v>#N/A</v>
      </c>
      <c r="AB22" s="53" t="e">
        <f t="shared" si="4"/>
        <v>#N/A</v>
      </c>
      <c r="AC22" s="53" t="e">
        <f t="shared" si="4"/>
        <v>#N/A</v>
      </c>
      <c r="AD22" s="53" t="e">
        <f t="shared" si="4"/>
        <v>#N/A</v>
      </c>
      <c r="AE22" s="53" t="e">
        <f t="shared" si="4"/>
        <v>#N/A</v>
      </c>
      <c r="AF22" s="53" t="e">
        <f t="shared" si="4"/>
        <v>#N/A</v>
      </c>
      <c r="AG22" s="53" t="e">
        <f t="shared" si="4"/>
        <v>#N/A</v>
      </c>
      <c r="AH22" s="53" t="e">
        <f t="shared" si="4"/>
        <v>#N/A</v>
      </c>
      <c r="AI22" s="53" t="e">
        <f t="shared" si="4"/>
        <v>#N/A</v>
      </c>
      <c r="AJ22" s="53" t="e">
        <f t="shared" si="4"/>
        <v>#N/A</v>
      </c>
    </row>
    <row r="23" spans="1:36" x14ac:dyDescent="0.15">
      <c r="A23" s="1"/>
      <c r="B23" s="34"/>
      <c r="E23" s="53" t="str">
        <f t="shared" si="1"/>
        <v>3006,3001</v>
      </c>
      <c r="F23" s="53" t="str">
        <f t="shared" ref="F23:AJ23" si="5">VLOOKUP(F6,$B$24:$C$185,2,FALSE)</f>
        <v>3123,3001</v>
      </c>
      <c r="G23" s="53" t="str">
        <f t="shared" si="5"/>
        <v>1015,3001</v>
      </c>
      <c r="H23" s="53" t="str">
        <f t="shared" si="5"/>
        <v>1020,1021,3001</v>
      </c>
      <c r="I23" s="53" t="str">
        <f t="shared" si="5"/>
        <v>3129,3001</v>
      </c>
      <c r="J23" s="53" t="str">
        <f t="shared" si="5"/>
        <v>3005,1021,3001</v>
      </c>
      <c r="K23" s="53" t="str">
        <f t="shared" si="5"/>
        <v>3126,3125,3001</v>
      </c>
      <c r="L23" s="53" t="str">
        <f t="shared" si="5"/>
        <v>3125,3123,3121,3001</v>
      </c>
      <c r="M23" s="53" t="str">
        <f t="shared" si="5"/>
        <v>3122,3124,3127,3001</v>
      </c>
      <c r="N23" s="53" t="e">
        <f t="shared" si="5"/>
        <v>#N/A</v>
      </c>
      <c r="O23" s="53" t="e">
        <f t="shared" si="5"/>
        <v>#N/A</v>
      </c>
      <c r="P23" s="53" t="e">
        <f t="shared" si="5"/>
        <v>#N/A</v>
      </c>
      <c r="Q23" s="53" t="e">
        <f t="shared" si="5"/>
        <v>#N/A</v>
      </c>
      <c r="R23" s="53" t="e">
        <f t="shared" si="5"/>
        <v>#N/A</v>
      </c>
      <c r="S23" s="53" t="e">
        <f t="shared" si="5"/>
        <v>#N/A</v>
      </c>
      <c r="T23" s="53" t="e">
        <f t="shared" si="5"/>
        <v>#N/A</v>
      </c>
      <c r="U23" s="53" t="e">
        <f t="shared" si="5"/>
        <v>#N/A</v>
      </c>
      <c r="V23" s="53" t="e">
        <f t="shared" si="5"/>
        <v>#N/A</v>
      </c>
      <c r="W23" s="53" t="e">
        <f t="shared" si="5"/>
        <v>#N/A</v>
      </c>
      <c r="X23" s="53" t="e">
        <f t="shared" si="5"/>
        <v>#N/A</v>
      </c>
      <c r="Y23" s="53" t="e">
        <f t="shared" si="5"/>
        <v>#N/A</v>
      </c>
      <c r="Z23" s="53" t="e">
        <f t="shared" si="5"/>
        <v>#N/A</v>
      </c>
      <c r="AA23" s="53" t="e">
        <f t="shared" si="5"/>
        <v>#N/A</v>
      </c>
      <c r="AB23" s="53" t="e">
        <f t="shared" si="5"/>
        <v>#N/A</v>
      </c>
      <c r="AC23" s="53" t="e">
        <f t="shared" si="5"/>
        <v>#N/A</v>
      </c>
      <c r="AD23" s="53" t="e">
        <f t="shared" si="5"/>
        <v>#N/A</v>
      </c>
      <c r="AE23" s="53" t="e">
        <f t="shared" si="5"/>
        <v>#N/A</v>
      </c>
      <c r="AF23" s="53" t="e">
        <f t="shared" si="5"/>
        <v>#N/A</v>
      </c>
      <c r="AG23" s="53" t="e">
        <f t="shared" si="5"/>
        <v>#N/A</v>
      </c>
      <c r="AH23" s="53" t="e">
        <f t="shared" si="5"/>
        <v>#N/A</v>
      </c>
      <c r="AI23" s="53" t="e">
        <f t="shared" si="5"/>
        <v>#N/A</v>
      </c>
      <c r="AJ23" s="53" t="e">
        <f t="shared" si="5"/>
        <v>#N/A</v>
      </c>
    </row>
    <row r="24" spans="1:36" x14ac:dyDescent="0.15">
      <c r="A24" s="1"/>
      <c r="B24" s="7" t="s">
        <v>1651</v>
      </c>
      <c r="C24" s="52" t="s">
        <v>1652</v>
      </c>
      <c r="E24" s="53" t="str">
        <f t="shared" si="1"/>
        <v>290,292,244</v>
      </c>
      <c r="F24" s="53" t="str">
        <f t="shared" ref="F24:AJ24" si="6">VLOOKUP(F7,$B$24:$C$185,2,FALSE)</f>
        <v>294,265,207</v>
      </c>
      <c r="G24" s="53" t="str">
        <f t="shared" si="6"/>
        <v>251,287,257</v>
      </c>
      <c r="H24" s="53" t="str">
        <f t="shared" si="6"/>
        <v>290,225,286</v>
      </c>
      <c r="I24" s="53" t="str">
        <f t="shared" si="6"/>
        <v>267,261,286</v>
      </c>
      <c r="J24" s="53" t="str">
        <f t="shared" si="6"/>
        <v>284,291,286</v>
      </c>
      <c r="K24" s="53" t="str">
        <f t="shared" si="6"/>
        <v>263,255,210</v>
      </c>
      <c r="L24" s="53" t="str">
        <f t="shared" si="6"/>
        <v>236,259,250</v>
      </c>
      <c r="M24" s="53" t="str">
        <f t="shared" si="6"/>
        <v>285,278,281</v>
      </c>
      <c r="N24" s="53" t="str">
        <f t="shared" si="6"/>
        <v>288,256,240</v>
      </c>
      <c r="O24" s="53" t="str">
        <f t="shared" si="6"/>
        <v>293,289,254</v>
      </c>
      <c r="P24" s="53" t="str">
        <f t="shared" si="6"/>
        <v>224,269,291</v>
      </c>
      <c r="Q24" s="53" t="e">
        <f t="shared" si="6"/>
        <v>#N/A</v>
      </c>
      <c r="R24" s="53" t="e">
        <f t="shared" si="6"/>
        <v>#N/A</v>
      </c>
      <c r="S24" s="53" t="e">
        <f t="shared" si="6"/>
        <v>#N/A</v>
      </c>
      <c r="T24" s="53" t="e">
        <f t="shared" si="6"/>
        <v>#N/A</v>
      </c>
      <c r="U24" s="53" t="e">
        <f t="shared" si="6"/>
        <v>#N/A</v>
      </c>
      <c r="V24" s="53" t="e">
        <f t="shared" si="6"/>
        <v>#N/A</v>
      </c>
      <c r="W24" s="53" t="e">
        <f t="shared" si="6"/>
        <v>#N/A</v>
      </c>
      <c r="X24" s="53" t="e">
        <f t="shared" si="6"/>
        <v>#N/A</v>
      </c>
      <c r="Y24" s="53" t="e">
        <f t="shared" si="6"/>
        <v>#N/A</v>
      </c>
      <c r="Z24" s="53" t="e">
        <f t="shared" si="6"/>
        <v>#N/A</v>
      </c>
      <c r="AA24" s="53" t="e">
        <f t="shared" si="6"/>
        <v>#N/A</v>
      </c>
      <c r="AB24" s="53" t="e">
        <f t="shared" si="6"/>
        <v>#N/A</v>
      </c>
      <c r="AC24" s="53" t="e">
        <f t="shared" si="6"/>
        <v>#N/A</v>
      </c>
      <c r="AD24" s="53" t="e">
        <f t="shared" si="6"/>
        <v>#N/A</v>
      </c>
      <c r="AE24" s="53" t="e">
        <f t="shared" si="6"/>
        <v>#N/A</v>
      </c>
      <c r="AF24" s="53" t="e">
        <f t="shared" si="6"/>
        <v>#N/A</v>
      </c>
      <c r="AG24" s="53" t="e">
        <f t="shared" si="6"/>
        <v>#N/A</v>
      </c>
      <c r="AH24" s="53" t="e">
        <f t="shared" si="6"/>
        <v>#N/A</v>
      </c>
      <c r="AI24" s="53" t="e">
        <f t="shared" si="6"/>
        <v>#N/A</v>
      </c>
      <c r="AJ24" s="53" t="e">
        <f t="shared" si="6"/>
        <v>#N/A</v>
      </c>
    </row>
    <row r="25" spans="1:36" x14ac:dyDescent="0.15">
      <c r="A25" s="1"/>
      <c r="B25" s="7">
        <v>3009</v>
      </c>
      <c r="C25" s="52" t="s">
        <v>1653</v>
      </c>
      <c r="E25" s="53" t="str">
        <f t="shared" si="1"/>
        <v>238,276,214</v>
      </c>
      <c r="F25" s="53" t="str">
        <f t="shared" ref="F25:AJ25" si="7">VLOOKUP(F8,$B$24:$C$185,2,FALSE)</f>
        <v>221,276,214</v>
      </c>
      <c r="G25" s="53" t="str">
        <f t="shared" si="7"/>
        <v>1613,213,246</v>
      </c>
      <c r="H25" s="53" t="str">
        <f t="shared" si="7"/>
        <v>1612,211,1612</v>
      </c>
      <c r="I25" s="53" t="str">
        <f t="shared" si="7"/>
        <v>204,204</v>
      </c>
      <c r="J25" s="53" t="str">
        <f t="shared" si="7"/>
        <v>271,278,214</v>
      </c>
      <c r="K25" s="53" t="str">
        <f t="shared" si="7"/>
        <v>1651,227,299</v>
      </c>
      <c r="L25" s="53" t="str">
        <f t="shared" si="7"/>
        <v>1651,223,301</v>
      </c>
      <c r="M25" s="53" t="str">
        <f t="shared" si="7"/>
        <v>272,228,204</v>
      </c>
      <c r="N25" s="53" t="str">
        <f t="shared" si="7"/>
        <v>273,278,271</v>
      </c>
      <c r="O25" s="53" t="str">
        <f t="shared" si="7"/>
        <v>264,204,255,246</v>
      </c>
      <c r="P25" s="53" t="str">
        <f t="shared" si="7"/>
        <v>1650,208,224</v>
      </c>
      <c r="Q25" s="53" t="str">
        <f t="shared" si="7"/>
        <v>1651,242,247,241</v>
      </c>
      <c r="R25" s="53" t="str">
        <f t="shared" si="7"/>
        <v>204,214,228</v>
      </c>
      <c r="S25" s="53" t="str">
        <f t="shared" si="7"/>
        <v>1650,232,282</v>
      </c>
      <c r="T25" s="53" t="str">
        <f t="shared" si="7"/>
        <v>1656,279,234,247</v>
      </c>
      <c r="U25" s="53" t="str">
        <f t="shared" si="7"/>
        <v>248,1650,245,285</v>
      </c>
      <c r="V25" s="53" t="str">
        <f t="shared" si="7"/>
        <v>204,302,278</v>
      </c>
      <c r="W25" s="53" t="str">
        <f t="shared" si="7"/>
        <v>271,222,278</v>
      </c>
      <c r="X25" s="53" t="str">
        <f t="shared" si="7"/>
        <v>1701,273,238</v>
      </c>
      <c r="Y25" s="53" t="str">
        <f t="shared" si="7"/>
        <v>1700,301,214</v>
      </c>
      <c r="Z25" s="53" t="str">
        <f t="shared" si="7"/>
        <v>1701,234,223,279</v>
      </c>
      <c r="AA25" s="53" t="str">
        <f t="shared" si="7"/>
        <v>1700,280,232,272</v>
      </c>
      <c r="AB25" s="53" t="str">
        <f t="shared" si="7"/>
        <v>1700,281,251,282</v>
      </c>
      <c r="AC25" s="53" t="str">
        <f t="shared" si="7"/>
        <v>224,1704,264,258</v>
      </c>
      <c r="AD25" s="53" t="str">
        <f t="shared" si="7"/>
        <v>1703,282,232,267</v>
      </c>
      <c r="AE25" s="53" t="str">
        <f t="shared" si="7"/>
        <v>105,204</v>
      </c>
      <c r="AF25" s="53" t="str">
        <f t="shared" si="7"/>
        <v>1800,285</v>
      </c>
      <c r="AG25" s="53" t="str">
        <f t="shared" si="7"/>
        <v>204,286,256</v>
      </c>
      <c r="AH25" s="53" t="str">
        <f t="shared" si="7"/>
        <v>272,248,224</v>
      </c>
      <c r="AI25" s="53" t="str">
        <f t="shared" si="7"/>
        <v>272,228,251</v>
      </c>
      <c r="AJ25" s="53" t="str">
        <f t="shared" si="7"/>
        <v>272,279,234</v>
      </c>
    </row>
    <row r="26" spans="1:36" x14ac:dyDescent="0.15">
      <c r="A26" s="1"/>
      <c r="B26" s="7">
        <v>3010</v>
      </c>
      <c r="C26" s="52" t="s">
        <v>1654</v>
      </c>
      <c r="E26" s="53" t="str">
        <f t="shared" si="1"/>
        <v>298,274</v>
      </c>
      <c r="F26" s="53" t="str">
        <f t="shared" ref="F26:AJ26" si="8">VLOOKUP(F9,$B$24:$C$185,2,FALSE)</f>
        <v>1600,220,257</v>
      </c>
      <c r="G26" s="53" t="str">
        <f t="shared" si="8"/>
        <v>1600,229,205,284</v>
      </c>
      <c r="H26" s="53" t="str">
        <f t="shared" si="8"/>
        <v>1600,218,299,212</v>
      </c>
      <c r="I26" s="53" t="str">
        <f t="shared" si="8"/>
        <v>1600,260,261,253</v>
      </c>
      <c r="J26" s="53" t="str">
        <f t="shared" si="8"/>
        <v>104,222,274</v>
      </c>
      <c r="K26" s="53" t="str">
        <f t="shared" si="8"/>
        <v>1605,259,237,239</v>
      </c>
      <c r="L26" s="53" t="str">
        <f t="shared" si="8"/>
        <v>1605,275,299</v>
      </c>
      <c r="M26" s="53" t="str">
        <f t="shared" si="8"/>
        <v>1605,227,240,232</v>
      </c>
      <c r="N26" s="53" t="str">
        <f t="shared" si="8"/>
        <v>237,274,256,285</v>
      </c>
      <c r="O26" s="53" t="str">
        <f t="shared" si="8"/>
        <v>269,1605,264,208</v>
      </c>
      <c r="P26" s="53" t="str">
        <f t="shared" si="8"/>
        <v>299,274,241</v>
      </c>
      <c r="Q26" s="53" t="str">
        <f t="shared" si="8"/>
        <v>1609,254,211</v>
      </c>
      <c r="R26" s="53" t="str">
        <f t="shared" si="8"/>
        <v>1609,259,258,263</v>
      </c>
      <c r="S26" s="53" t="str">
        <f t="shared" si="8"/>
        <v>1609,253,260,267</v>
      </c>
      <c r="T26" s="53" t="str">
        <f t="shared" si="8"/>
        <v>270,225,239,1614</v>
      </c>
      <c r="U26" s="53" t="str">
        <f t="shared" si="8"/>
        <v>245,255,268,1615</v>
      </c>
      <c r="V26" s="53" t="str">
        <f t="shared" si="8"/>
        <v>298,205</v>
      </c>
      <c r="W26" s="53" t="str">
        <f t="shared" si="8"/>
        <v>1654,250,229,286</v>
      </c>
      <c r="X26" s="53" t="str">
        <f t="shared" si="8"/>
        <v>202,1654,210</v>
      </c>
      <c r="Y26" s="53" t="str">
        <f t="shared" si="8"/>
        <v>1654,274,299,218</v>
      </c>
      <c r="Z26" s="53" t="str">
        <f t="shared" si="8"/>
        <v>298,210,202</v>
      </c>
      <c r="AA26" s="53" t="str">
        <f t="shared" si="8"/>
        <v>1702,275,240,299</v>
      </c>
      <c r="AB26" s="53" t="str">
        <f t="shared" si="8"/>
        <v>298,271</v>
      </c>
      <c r="AC26" s="53" t="str">
        <f t="shared" si="8"/>
        <v>1803,241,213</v>
      </c>
      <c r="AD26" s="53" t="str">
        <f t="shared" si="8"/>
        <v>1804,288,247</v>
      </c>
      <c r="AE26" s="53" t="e">
        <f t="shared" si="8"/>
        <v>#N/A</v>
      </c>
      <c r="AF26" s="53" t="e">
        <f t="shared" si="8"/>
        <v>#N/A</v>
      </c>
      <c r="AG26" s="53" t="e">
        <f t="shared" si="8"/>
        <v>#N/A</v>
      </c>
      <c r="AH26" s="53" t="e">
        <f t="shared" si="8"/>
        <v>#N/A</v>
      </c>
      <c r="AI26" s="53" t="e">
        <f t="shared" si="8"/>
        <v>#N/A</v>
      </c>
      <c r="AJ26" s="53" t="e">
        <f t="shared" si="8"/>
        <v>#N/A</v>
      </c>
    </row>
    <row r="27" spans="1:36" x14ac:dyDescent="0.15">
      <c r="A27" s="1"/>
      <c r="B27" s="7">
        <v>3011</v>
      </c>
      <c r="C27" s="52" t="s">
        <v>1655</v>
      </c>
      <c r="E27" s="53" t="str">
        <f t="shared" si="1"/>
        <v>1020</v>
      </c>
      <c r="F27" s="53" t="str">
        <f t="shared" ref="F27:AJ27" si="9">VLOOKUP(F10,$B$24:$C$185,2,FALSE)</f>
        <v>1024</v>
      </c>
      <c r="G27" s="53" t="str">
        <f t="shared" si="9"/>
        <v>216</v>
      </c>
      <c r="H27" s="53" t="e">
        <f t="shared" si="9"/>
        <v>#N/A</v>
      </c>
      <c r="I27" s="53" t="e">
        <f t="shared" si="9"/>
        <v>#N/A</v>
      </c>
      <c r="J27" s="53" t="e">
        <f t="shared" si="9"/>
        <v>#N/A</v>
      </c>
      <c r="K27" s="53" t="e">
        <f t="shared" si="9"/>
        <v>#N/A</v>
      </c>
      <c r="L27" s="53" t="e">
        <f t="shared" si="9"/>
        <v>#N/A</v>
      </c>
      <c r="M27" s="53" t="e">
        <f t="shared" si="9"/>
        <v>#N/A</v>
      </c>
      <c r="N27" s="53" t="e">
        <f t="shared" si="9"/>
        <v>#N/A</v>
      </c>
      <c r="O27" s="53" t="e">
        <f t="shared" si="9"/>
        <v>#N/A</v>
      </c>
      <c r="P27" s="53" t="e">
        <f t="shared" si="9"/>
        <v>#N/A</v>
      </c>
      <c r="Q27" s="53" t="e">
        <f t="shared" si="9"/>
        <v>#N/A</v>
      </c>
      <c r="R27" s="53" t="e">
        <f t="shared" si="9"/>
        <v>#N/A</v>
      </c>
      <c r="S27" s="53" t="e">
        <f t="shared" si="9"/>
        <v>#N/A</v>
      </c>
      <c r="T27" s="53" t="e">
        <f t="shared" si="9"/>
        <v>#N/A</v>
      </c>
      <c r="U27" s="53" t="e">
        <f t="shared" si="9"/>
        <v>#N/A</v>
      </c>
      <c r="V27" s="53" t="e">
        <f t="shared" si="9"/>
        <v>#N/A</v>
      </c>
      <c r="W27" s="53" t="e">
        <f t="shared" si="9"/>
        <v>#N/A</v>
      </c>
      <c r="X27" s="53" t="e">
        <f t="shared" si="9"/>
        <v>#N/A</v>
      </c>
      <c r="Y27" s="53" t="e">
        <f t="shared" si="9"/>
        <v>#N/A</v>
      </c>
      <c r="Z27" s="53" t="e">
        <f t="shared" si="9"/>
        <v>#N/A</v>
      </c>
      <c r="AA27" s="53" t="e">
        <f t="shared" si="9"/>
        <v>#N/A</v>
      </c>
      <c r="AB27" s="53" t="e">
        <f t="shared" si="9"/>
        <v>#N/A</v>
      </c>
      <c r="AC27" s="53" t="e">
        <f t="shared" si="9"/>
        <v>#N/A</v>
      </c>
      <c r="AD27" s="53" t="e">
        <f t="shared" si="9"/>
        <v>#N/A</v>
      </c>
      <c r="AE27" s="53" t="e">
        <f t="shared" si="9"/>
        <v>#N/A</v>
      </c>
      <c r="AF27" s="53" t="e">
        <f t="shared" si="9"/>
        <v>#N/A</v>
      </c>
      <c r="AG27" s="53" t="e">
        <f t="shared" si="9"/>
        <v>#N/A</v>
      </c>
      <c r="AH27" s="53" t="e">
        <f t="shared" si="9"/>
        <v>#N/A</v>
      </c>
      <c r="AI27" s="53" t="e">
        <f t="shared" si="9"/>
        <v>#N/A</v>
      </c>
      <c r="AJ27" s="53" t="e">
        <f t="shared" si="9"/>
        <v>#N/A</v>
      </c>
    </row>
    <row r="28" spans="1:36" x14ac:dyDescent="0.15">
      <c r="A28" s="1"/>
      <c r="B28" s="7">
        <v>3012</v>
      </c>
      <c r="C28" s="52" t="s">
        <v>1656</v>
      </c>
      <c r="E28" s="53">
        <f t="shared" si="1"/>
        <v>102</v>
      </c>
      <c r="F28" s="53" t="str">
        <f t="shared" ref="F28:AJ28" si="10">VLOOKUP(F11,$B$24:$C$185,2,FALSE)</f>
        <v>104</v>
      </c>
      <c r="G28" s="53" t="str">
        <f t="shared" si="10"/>
        <v>101</v>
      </c>
      <c r="H28" s="53" t="e">
        <f t="shared" si="10"/>
        <v>#N/A</v>
      </c>
      <c r="I28" s="53" t="e">
        <f t="shared" si="10"/>
        <v>#N/A</v>
      </c>
      <c r="J28" s="53" t="e">
        <f t="shared" si="10"/>
        <v>#N/A</v>
      </c>
      <c r="K28" s="53" t="e">
        <f t="shared" si="10"/>
        <v>#N/A</v>
      </c>
      <c r="L28" s="53" t="e">
        <f t="shared" si="10"/>
        <v>#N/A</v>
      </c>
      <c r="M28" s="53" t="e">
        <f t="shared" si="10"/>
        <v>#N/A</v>
      </c>
      <c r="N28" s="53" t="e">
        <f t="shared" si="10"/>
        <v>#N/A</v>
      </c>
      <c r="O28" s="53" t="e">
        <f t="shared" si="10"/>
        <v>#N/A</v>
      </c>
      <c r="P28" s="53" t="e">
        <f t="shared" si="10"/>
        <v>#N/A</v>
      </c>
      <c r="Q28" s="53" t="e">
        <f t="shared" si="10"/>
        <v>#N/A</v>
      </c>
      <c r="R28" s="53" t="e">
        <f t="shared" si="10"/>
        <v>#N/A</v>
      </c>
      <c r="S28" s="53" t="e">
        <f t="shared" si="10"/>
        <v>#N/A</v>
      </c>
      <c r="T28" s="53" t="e">
        <f t="shared" si="10"/>
        <v>#N/A</v>
      </c>
      <c r="U28" s="53" t="e">
        <f t="shared" si="10"/>
        <v>#N/A</v>
      </c>
      <c r="V28" s="53" t="e">
        <f t="shared" si="10"/>
        <v>#N/A</v>
      </c>
      <c r="W28" s="53" t="e">
        <f t="shared" si="10"/>
        <v>#N/A</v>
      </c>
      <c r="X28" s="53" t="e">
        <f t="shared" si="10"/>
        <v>#N/A</v>
      </c>
      <c r="Y28" s="53" t="e">
        <f t="shared" si="10"/>
        <v>#N/A</v>
      </c>
      <c r="Z28" s="53" t="e">
        <f t="shared" si="10"/>
        <v>#N/A</v>
      </c>
      <c r="AA28" s="53" t="e">
        <f t="shared" si="10"/>
        <v>#N/A</v>
      </c>
      <c r="AB28" s="53" t="e">
        <f t="shared" si="10"/>
        <v>#N/A</v>
      </c>
      <c r="AC28" s="53" t="e">
        <f t="shared" si="10"/>
        <v>#N/A</v>
      </c>
      <c r="AD28" s="53" t="e">
        <f t="shared" si="10"/>
        <v>#N/A</v>
      </c>
      <c r="AE28" s="53" t="e">
        <f t="shared" si="10"/>
        <v>#N/A</v>
      </c>
      <c r="AF28" s="53" t="e">
        <f t="shared" si="10"/>
        <v>#N/A</v>
      </c>
      <c r="AG28" s="53" t="e">
        <f t="shared" si="10"/>
        <v>#N/A</v>
      </c>
      <c r="AH28" s="53" t="e">
        <f t="shared" si="10"/>
        <v>#N/A</v>
      </c>
      <c r="AI28" s="53" t="e">
        <f t="shared" si="10"/>
        <v>#N/A</v>
      </c>
      <c r="AJ28" s="53" t="e">
        <f t="shared" si="10"/>
        <v>#N/A</v>
      </c>
    </row>
    <row r="29" spans="1:36" x14ac:dyDescent="0.15">
      <c r="A29" s="1"/>
      <c r="B29" s="7">
        <v>3013</v>
      </c>
      <c r="C29" s="52" t="s">
        <v>1657</v>
      </c>
      <c r="E29" s="53">
        <f t="shared" si="1"/>
        <v>283</v>
      </c>
      <c r="F29" s="53" t="e">
        <f t="shared" ref="F29:AJ29" si="11">VLOOKUP(F12,$B$24:$C$185,2,FALSE)</f>
        <v>#N/A</v>
      </c>
      <c r="G29" s="53" t="e">
        <f t="shared" si="11"/>
        <v>#N/A</v>
      </c>
      <c r="H29" s="53" t="e">
        <f t="shared" si="11"/>
        <v>#N/A</v>
      </c>
      <c r="I29" s="53" t="e">
        <f t="shared" si="11"/>
        <v>#N/A</v>
      </c>
      <c r="J29" s="53" t="e">
        <f t="shared" si="11"/>
        <v>#N/A</v>
      </c>
      <c r="K29" s="53" t="e">
        <f t="shared" si="11"/>
        <v>#N/A</v>
      </c>
      <c r="L29" s="53" t="e">
        <f t="shared" si="11"/>
        <v>#N/A</v>
      </c>
      <c r="M29" s="53" t="e">
        <f t="shared" si="11"/>
        <v>#N/A</v>
      </c>
      <c r="N29" s="53" t="e">
        <f t="shared" si="11"/>
        <v>#N/A</v>
      </c>
      <c r="O29" s="53" t="e">
        <f t="shared" si="11"/>
        <v>#N/A</v>
      </c>
      <c r="P29" s="53" t="e">
        <f t="shared" si="11"/>
        <v>#N/A</v>
      </c>
      <c r="Q29" s="53" t="e">
        <f t="shared" si="11"/>
        <v>#N/A</v>
      </c>
      <c r="R29" s="53" t="e">
        <f t="shared" si="11"/>
        <v>#N/A</v>
      </c>
      <c r="S29" s="53" t="e">
        <f t="shared" si="11"/>
        <v>#N/A</v>
      </c>
      <c r="T29" s="53" t="e">
        <f t="shared" si="11"/>
        <v>#N/A</v>
      </c>
      <c r="U29" s="53" t="e">
        <f t="shared" si="11"/>
        <v>#N/A</v>
      </c>
      <c r="V29" s="53" t="e">
        <f t="shared" si="11"/>
        <v>#N/A</v>
      </c>
      <c r="W29" s="53" t="e">
        <f t="shared" si="11"/>
        <v>#N/A</v>
      </c>
      <c r="X29" s="53" t="e">
        <f t="shared" si="11"/>
        <v>#N/A</v>
      </c>
      <c r="Y29" s="53" t="e">
        <f t="shared" si="11"/>
        <v>#N/A</v>
      </c>
      <c r="Z29" s="53" t="e">
        <f t="shared" si="11"/>
        <v>#N/A</v>
      </c>
      <c r="AA29" s="53" t="e">
        <f t="shared" si="11"/>
        <v>#N/A</v>
      </c>
      <c r="AB29" s="53" t="e">
        <f t="shared" si="11"/>
        <v>#N/A</v>
      </c>
      <c r="AC29" s="53" t="e">
        <f t="shared" si="11"/>
        <v>#N/A</v>
      </c>
      <c r="AD29" s="53" t="e">
        <f t="shared" si="11"/>
        <v>#N/A</v>
      </c>
      <c r="AE29" s="53" t="e">
        <f t="shared" si="11"/>
        <v>#N/A</v>
      </c>
      <c r="AF29" s="53" t="e">
        <f t="shared" si="11"/>
        <v>#N/A</v>
      </c>
      <c r="AG29" s="53" t="e">
        <f t="shared" si="11"/>
        <v>#N/A</v>
      </c>
      <c r="AH29" s="53" t="e">
        <f t="shared" si="11"/>
        <v>#N/A</v>
      </c>
      <c r="AI29" s="53" t="e">
        <f t="shared" si="11"/>
        <v>#N/A</v>
      </c>
      <c r="AJ29" s="53" t="e">
        <f t="shared" si="11"/>
        <v>#N/A</v>
      </c>
    </row>
    <row r="30" spans="1:36" x14ac:dyDescent="0.15">
      <c r="A30" s="1"/>
      <c r="B30" s="7">
        <v>3014</v>
      </c>
      <c r="C30" s="52" t="s">
        <v>1658</v>
      </c>
      <c r="E30" s="53" t="e">
        <f t="shared" si="1"/>
        <v>#N/A</v>
      </c>
      <c r="F30" s="53" t="e">
        <f t="shared" ref="F30:AJ30" si="12">VLOOKUP(F13,$B$24:$C$185,2,FALSE)</f>
        <v>#N/A</v>
      </c>
      <c r="G30" s="53" t="e">
        <f t="shared" si="12"/>
        <v>#N/A</v>
      </c>
      <c r="H30" s="53" t="e">
        <f t="shared" si="12"/>
        <v>#N/A</v>
      </c>
      <c r="I30" s="53" t="e">
        <f t="shared" si="12"/>
        <v>#N/A</v>
      </c>
      <c r="J30" s="53" t="e">
        <f t="shared" si="12"/>
        <v>#N/A</v>
      </c>
      <c r="K30" s="53" t="e">
        <f t="shared" si="12"/>
        <v>#N/A</v>
      </c>
      <c r="L30" s="53" t="e">
        <f t="shared" si="12"/>
        <v>#N/A</v>
      </c>
      <c r="M30" s="53" t="e">
        <f t="shared" si="12"/>
        <v>#N/A</v>
      </c>
      <c r="N30" s="53" t="e">
        <f t="shared" si="12"/>
        <v>#N/A</v>
      </c>
      <c r="O30" s="53" t="e">
        <f t="shared" si="12"/>
        <v>#N/A</v>
      </c>
      <c r="P30" s="53" t="e">
        <f t="shared" si="12"/>
        <v>#N/A</v>
      </c>
      <c r="Q30" s="53" t="e">
        <f t="shared" si="12"/>
        <v>#N/A</v>
      </c>
      <c r="R30" s="53" t="e">
        <f t="shared" si="12"/>
        <v>#N/A</v>
      </c>
      <c r="S30" s="53" t="e">
        <f t="shared" si="12"/>
        <v>#N/A</v>
      </c>
      <c r="T30" s="53" t="e">
        <f t="shared" si="12"/>
        <v>#N/A</v>
      </c>
      <c r="U30" s="53" t="e">
        <f t="shared" si="12"/>
        <v>#N/A</v>
      </c>
      <c r="V30" s="53" t="e">
        <f t="shared" si="12"/>
        <v>#N/A</v>
      </c>
      <c r="W30" s="53" t="e">
        <f t="shared" si="12"/>
        <v>#N/A</v>
      </c>
      <c r="X30" s="53" t="e">
        <f t="shared" si="12"/>
        <v>#N/A</v>
      </c>
      <c r="Y30" s="53" t="e">
        <f t="shared" si="12"/>
        <v>#N/A</v>
      </c>
      <c r="Z30" s="53" t="e">
        <f t="shared" si="12"/>
        <v>#N/A</v>
      </c>
      <c r="AA30" s="53" t="e">
        <f t="shared" si="12"/>
        <v>#N/A</v>
      </c>
      <c r="AB30" s="53" t="e">
        <f t="shared" si="12"/>
        <v>#N/A</v>
      </c>
      <c r="AC30" s="53" t="e">
        <f t="shared" si="12"/>
        <v>#N/A</v>
      </c>
      <c r="AD30" s="53" t="e">
        <f t="shared" si="12"/>
        <v>#N/A</v>
      </c>
      <c r="AE30" s="53" t="e">
        <f t="shared" si="12"/>
        <v>#N/A</v>
      </c>
      <c r="AF30" s="53" t="e">
        <f t="shared" si="12"/>
        <v>#N/A</v>
      </c>
      <c r="AG30" s="53" t="e">
        <f t="shared" si="12"/>
        <v>#N/A</v>
      </c>
      <c r="AH30" s="53" t="e">
        <f t="shared" si="12"/>
        <v>#N/A</v>
      </c>
      <c r="AI30" s="53" t="e">
        <f t="shared" si="12"/>
        <v>#N/A</v>
      </c>
      <c r="AJ30" s="53" t="e">
        <f t="shared" si="12"/>
        <v>#N/A</v>
      </c>
    </row>
    <row r="31" spans="1:36" x14ac:dyDescent="0.15">
      <c r="A31" s="1"/>
      <c r="B31" s="7">
        <v>3015</v>
      </c>
      <c r="C31" s="52" t="s">
        <v>1659</v>
      </c>
      <c r="E31" s="53">
        <f t="shared" si="1"/>
        <v>203</v>
      </c>
      <c r="F31" s="53" t="e">
        <f t="shared" ref="F31:AJ31" si="13">VLOOKUP(F14,$B$24:$C$185,2,FALSE)</f>
        <v>#N/A</v>
      </c>
      <c r="G31" s="53" t="e">
        <f t="shared" si="13"/>
        <v>#N/A</v>
      </c>
      <c r="H31" s="53" t="e">
        <f t="shared" si="13"/>
        <v>#N/A</v>
      </c>
      <c r="I31" s="53" t="e">
        <f t="shared" si="13"/>
        <v>#N/A</v>
      </c>
      <c r="J31" s="53" t="e">
        <f t="shared" si="13"/>
        <v>#N/A</v>
      </c>
      <c r="K31" s="53" t="e">
        <f t="shared" si="13"/>
        <v>#N/A</v>
      </c>
      <c r="L31" s="53" t="e">
        <f t="shared" si="13"/>
        <v>#N/A</v>
      </c>
      <c r="M31" s="53" t="e">
        <f t="shared" si="13"/>
        <v>#N/A</v>
      </c>
      <c r="N31" s="53" t="e">
        <f t="shared" si="13"/>
        <v>#N/A</v>
      </c>
      <c r="O31" s="53" t="e">
        <f t="shared" si="13"/>
        <v>#N/A</v>
      </c>
      <c r="P31" s="53" t="e">
        <f t="shared" si="13"/>
        <v>#N/A</v>
      </c>
      <c r="Q31" s="53" t="e">
        <f t="shared" si="13"/>
        <v>#N/A</v>
      </c>
      <c r="R31" s="53" t="e">
        <f t="shared" si="13"/>
        <v>#N/A</v>
      </c>
      <c r="S31" s="53" t="e">
        <f t="shared" si="13"/>
        <v>#N/A</v>
      </c>
      <c r="T31" s="53" t="e">
        <f t="shared" si="13"/>
        <v>#N/A</v>
      </c>
      <c r="U31" s="53" t="e">
        <f t="shared" si="13"/>
        <v>#N/A</v>
      </c>
      <c r="V31" s="53" t="e">
        <f t="shared" si="13"/>
        <v>#N/A</v>
      </c>
      <c r="W31" s="53" t="e">
        <f t="shared" si="13"/>
        <v>#N/A</v>
      </c>
      <c r="X31" s="53" t="e">
        <f t="shared" si="13"/>
        <v>#N/A</v>
      </c>
      <c r="Y31" s="53" t="e">
        <f t="shared" si="13"/>
        <v>#N/A</v>
      </c>
      <c r="Z31" s="53" t="e">
        <f t="shared" si="13"/>
        <v>#N/A</v>
      </c>
      <c r="AA31" s="53" t="e">
        <f t="shared" si="13"/>
        <v>#N/A</v>
      </c>
      <c r="AB31" s="53" t="e">
        <f t="shared" si="13"/>
        <v>#N/A</v>
      </c>
      <c r="AC31" s="53" t="e">
        <f t="shared" si="13"/>
        <v>#N/A</v>
      </c>
      <c r="AD31" s="53" t="e">
        <f t="shared" si="13"/>
        <v>#N/A</v>
      </c>
      <c r="AE31" s="53" t="e">
        <f t="shared" si="13"/>
        <v>#N/A</v>
      </c>
      <c r="AF31" s="53" t="e">
        <f t="shared" si="13"/>
        <v>#N/A</v>
      </c>
      <c r="AG31" s="53" t="e">
        <f t="shared" si="13"/>
        <v>#N/A</v>
      </c>
      <c r="AH31" s="53" t="e">
        <f t="shared" si="13"/>
        <v>#N/A</v>
      </c>
      <c r="AI31" s="53" t="e">
        <f t="shared" si="13"/>
        <v>#N/A</v>
      </c>
      <c r="AJ31" s="53" t="e">
        <f t="shared" si="13"/>
        <v>#N/A</v>
      </c>
    </row>
    <row r="32" spans="1:36" x14ac:dyDescent="0.15">
      <c r="A32" s="1"/>
      <c r="B32" s="7">
        <v>3016</v>
      </c>
      <c r="C32" s="52" t="s">
        <v>1660</v>
      </c>
      <c r="E32" s="53">
        <f t="shared" si="1"/>
        <v>283</v>
      </c>
      <c r="F32" s="53">
        <f t="shared" ref="F32:AJ32" si="14">VLOOKUP(F15,$B$24:$C$185,2,FALSE)</f>
        <v>203</v>
      </c>
      <c r="G32" s="53" t="e">
        <f t="shared" si="14"/>
        <v>#N/A</v>
      </c>
      <c r="H32" s="53" t="e">
        <f t="shared" si="14"/>
        <v>#N/A</v>
      </c>
      <c r="I32" s="53" t="e">
        <f t="shared" si="14"/>
        <v>#N/A</v>
      </c>
      <c r="J32" s="53" t="e">
        <f t="shared" si="14"/>
        <v>#N/A</v>
      </c>
      <c r="K32" s="53" t="e">
        <f t="shared" si="14"/>
        <v>#N/A</v>
      </c>
      <c r="L32" s="53" t="e">
        <f t="shared" si="14"/>
        <v>#N/A</v>
      </c>
      <c r="M32" s="53" t="e">
        <f t="shared" si="14"/>
        <v>#N/A</v>
      </c>
      <c r="N32" s="53" t="e">
        <f t="shared" si="14"/>
        <v>#N/A</v>
      </c>
      <c r="O32" s="53" t="e">
        <f t="shared" si="14"/>
        <v>#N/A</v>
      </c>
      <c r="P32" s="53" t="e">
        <f t="shared" si="14"/>
        <v>#N/A</v>
      </c>
      <c r="Q32" s="53" t="e">
        <f t="shared" si="14"/>
        <v>#N/A</v>
      </c>
      <c r="R32" s="53" t="e">
        <f t="shared" si="14"/>
        <v>#N/A</v>
      </c>
      <c r="S32" s="53" t="e">
        <f t="shared" si="14"/>
        <v>#N/A</v>
      </c>
      <c r="T32" s="53" t="e">
        <f t="shared" si="14"/>
        <v>#N/A</v>
      </c>
      <c r="U32" s="53" t="e">
        <f t="shared" si="14"/>
        <v>#N/A</v>
      </c>
      <c r="V32" s="53" t="e">
        <f t="shared" si="14"/>
        <v>#N/A</v>
      </c>
      <c r="W32" s="53" t="e">
        <f t="shared" si="14"/>
        <v>#N/A</v>
      </c>
      <c r="X32" s="53" t="e">
        <f t="shared" si="14"/>
        <v>#N/A</v>
      </c>
      <c r="Y32" s="53" t="e">
        <f t="shared" si="14"/>
        <v>#N/A</v>
      </c>
      <c r="Z32" s="53" t="e">
        <f t="shared" si="14"/>
        <v>#N/A</v>
      </c>
      <c r="AA32" s="53" t="e">
        <f t="shared" si="14"/>
        <v>#N/A</v>
      </c>
      <c r="AB32" s="53" t="e">
        <f t="shared" si="14"/>
        <v>#N/A</v>
      </c>
      <c r="AC32" s="53" t="e">
        <f t="shared" si="14"/>
        <v>#N/A</v>
      </c>
      <c r="AD32" s="53" t="e">
        <f t="shared" si="14"/>
        <v>#N/A</v>
      </c>
      <c r="AE32" s="53" t="e">
        <f t="shared" si="14"/>
        <v>#N/A</v>
      </c>
      <c r="AF32" s="53" t="e">
        <f t="shared" si="14"/>
        <v>#N/A</v>
      </c>
      <c r="AG32" s="53" t="e">
        <f t="shared" si="14"/>
        <v>#N/A</v>
      </c>
      <c r="AH32" s="53" t="e">
        <f t="shared" si="14"/>
        <v>#N/A</v>
      </c>
      <c r="AI32" s="53" t="e">
        <f t="shared" si="14"/>
        <v>#N/A</v>
      </c>
      <c r="AJ32" s="53" t="e">
        <f t="shared" si="14"/>
        <v>#N/A</v>
      </c>
    </row>
    <row r="33" spans="1:36" x14ac:dyDescent="0.15">
      <c r="A33" s="1"/>
      <c r="B33" s="7">
        <v>3017</v>
      </c>
      <c r="C33" s="52" t="s">
        <v>1661</v>
      </c>
      <c r="E33" s="53" t="str">
        <f t="shared" si="1"/>
        <v>296,296,297</v>
      </c>
      <c r="F33" s="53" t="str">
        <f t="shared" ref="F33:AJ33" si="15">VLOOKUP(F16,$B$24:$C$185,2,FALSE)</f>
        <v>298,298,297</v>
      </c>
      <c r="G33" s="53" t="e">
        <f t="shared" si="15"/>
        <v>#N/A</v>
      </c>
      <c r="H33" s="53" t="e">
        <f t="shared" si="15"/>
        <v>#N/A</v>
      </c>
      <c r="I33" s="53" t="e">
        <f t="shared" si="15"/>
        <v>#N/A</v>
      </c>
      <c r="J33" s="53" t="e">
        <f t="shared" si="15"/>
        <v>#N/A</v>
      </c>
      <c r="K33" s="53" t="e">
        <f t="shared" si="15"/>
        <v>#N/A</v>
      </c>
      <c r="L33" s="53" t="e">
        <f t="shared" si="15"/>
        <v>#N/A</v>
      </c>
      <c r="M33" s="53" t="e">
        <f t="shared" si="15"/>
        <v>#N/A</v>
      </c>
      <c r="N33" s="53" t="e">
        <f t="shared" si="15"/>
        <v>#N/A</v>
      </c>
      <c r="O33" s="53" t="e">
        <f t="shared" si="15"/>
        <v>#N/A</v>
      </c>
      <c r="P33" s="53" t="e">
        <f t="shared" si="15"/>
        <v>#N/A</v>
      </c>
      <c r="Q33" s="53" t="e">
        <f t="shared" si="15"/>
        <v>#N/A</v>
      </c>
      <c r="R33" s="53" t="e">
        <f t="shared" si="15"/>
        <v>#N/A</v>
      </c>
      <c r="S33" s="53" t="e">
        <f t="shared" si="15"/>
        <v>#N/A</v>
      </c>
      <c r="T33" s="53" t="e">
        <f t="shared" si="15"/>
        <v>#N/A</v>
      </c>
      <c r="U33" s="53" t="e">
        <f t="shared" si="15"/>
        <v>#N/A</v>
      </c>
      <c r="V33" s="53" t="e">
        <f t="shared" si="15"/>
        <v>#N/A</v>
      </c>
      <c r="W33" s="53" t="e">
        <f t="shared" si="15"/>
        <v>#N/A</v>
      </c>
      <c r="X33" s="53" t="e">
        <f t="shared" si="15"/>
        <v>#N/A</v>
      </c>
      <c r="Y33" s="53" t="e">
        <f t="shared" si="15"/>
        <v>#N/A</v>
      </c>
      <c r="Z33" s="53" t="e">
        <f t="shared" si="15"/>
        <v>#N/A</v>
      </c>
      <c r="AA33" s="53" t="e">
        <f t="shared" si="15"/>
        <v>#N/A</v>
      </c>
      <c r="AB33" s="53" t="e">
        <f t="shared" si="15"/>
        <v>#N/A</v>
      </c>
      <c r="AC33" s="53" t="e">
        <f t="shared" si="15"/>
        <v>#N/A</v>
      </c>
      <c r="AD33" s="53" t="e">
        <f t="shared" si="15"/>
        <v>#N/A</v>
      </c>
      <c r="AE33" s="53" t="e">
        <f t="shared" si="15"/>
        <v>#N/A</v>
      </c>
      <c r="AF33" s="53" t="e">
        <f t="shared" si="15"/>
        <v>#N/A</v>
      </c>
      <c r="AG33" s="53" t="e">
        <f t="shared" si="15"/>
        <v>#N/A</v>
      </c>
      <c r="AH33" s="53" t="e">
        <f t="shared" si="15"/>
        <v>#N/A</v>
      </c>
      <c r="AI33" s="53" t="e">
        <f t="shared" si="15"/>
        <v>#N/A</v>
      </c>
      <c r="AJ33" s="53" t="e">
        <f t="shared" si="15"/>
        <v>#N/A</v>
      </c>
    </row>
    <row r="34" spans="1:36" x14ac:dyDescent="0.15">
      <c r="A34" s="1"/>
      <c r="B34" s="7">
        <v>3018</v>
      </c>
      <c r="C34" s="52" t="s">
        <v>1662</v>
      </c>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row>
    <row r="35" spans="1:36" x14ac:dyDescent="0.15">
      <c r="A35" s="1"/>
      <c r="B35" s="7">
        <v>3019</v>
      </c>
      <c r="C35" s="52" t="s">
        <v>1663</v>
      </c>
      <c r="E35" s="53" t="s">
        <v>1657</v>
      </c>
      <c r="F35" s="53" t="s">
        <v>1658</v>
      </c>
      <c r="G35" s="53" t="s">
        <v>1659</v>
      </c>
      <c r="H35" s="53" t="s">
        <v>1660</v>
      </c>
      <c r="I35" s="53" t="s">
        <v>1664</v>
      </c>
      <c r="J35" s="53" t="s">
        <v>1668</v>
      </c>
      <c r="K35" s="53" t="s">
        <v>1672</v>
      </c>
      <c r="L35" s="53" t="s">
        <v>1673</v>
      </c>
      <c r="M35" s="53" t="s">
        <v>1696</v>
      </c>
      <c r="N35" s="53" t="s">
        <v>1725</v>
      </c>
      <c r="O35" s="53" t="s">
        <v>1728</v>
      </c>
      <c r="P35" s="53" t="s">
        <v>1731</v>
      </c>
      <c r="Q35" s="53" t="s">
        <v>1732</v>
      </c>
      <c r="R35" s="53" t="s">
        <v>1734</v>
      </c>
      <c r="S35" s="53" t="s">
        <v>1813</v>
      </c>
      <c r="T35" s="53"/>
      <c r="U35" s="53"/>
      <c r="V35" s="53"/>
      <c r="W35" s="53"/>
      <c r="X35" s="53"/>
      <c r="Y35" s="53"/>
      <c r="Z35" s="53"/>
      <c r="AA35" s="53"/>
      <c r="AB35" s="53"/>
      <c r="AC35" s="53"/>
      <c r="AD35" s="53"/>
      <c r="AE35" s="53"/>
      <c r="AF35" s="53"/>
      <c r="AG35" s="53"/>
      <c r="AH35" s="53"/>
      <c r="AI35" s="53"/>
      <c r="AJ35" s="53"/>
    </row>
    <row r="36" spans="1:36" x14ac:dyDescent="0.15">
      <c r="A36" s="1"/>
      <c r="B36" s="7">
        <v>3020</v>
      </c>
      <c r="C36" s="52" t="s">
        <v>1664</v>
      </c>
      <c r="E36" s="53" t="s">
        <v>1677</v>
      </c>
      <c r="F36" s="53" t="s">
        <v>1678</v>
      </c>
      <c r="G36" s="53" t="s">
        <v>1679</v>
      </c>
      <c r="H36" s="53" t="s">
        <v>1680</v>
      </c>
      <c r="I36" s="53" t="s">
        <v>1681</v>
      </c>
      <c r="J36" s="53" t="s">
        <v>1682</v>
      </c>
      <c r="K36" s="53" t="s">
        <v>1683</v>
      </c>
      <c r="L36" s="53" t="s">
        <v>1684</v>
      </c>
      <c r="M36" s="53" t="s">
        <v>1686</v>
      </c>
      <c r="N36" s="53" t="s">
        <v>1656</v>
      </c>
      <c r="O36" s="53" t="s">
        <v>1694</v>
      </c>
      <c r="P36" s="53" t="s">
        <v>1695</v>
      </c>
      <c r="Q36" s="53" t="s">
        <v>1697</v>
      </c>
      <c r="R36" s="53" t="s">
        <v>1698</v>
      </c>
      <c r="S36" s="53" t="s">
        <v>1736</v>
      </c>
      <c r="T36" s="53"/>
      <c r="U36" s="53"/>
      <c r="V36" s="53"/>
      <c r="W36" s="53"/>
      <c r="X36" s="53"/>
      <c r="Y36" s="53"/>
      <c r="Z36" s="53"/>
      <c r="AA36" s="53"/>
      <c r="AB36" s="53"/>
      <c r="AC36" s="53"/>
      <c r="AD36" s="53"/>
      <c r="AE36" s="53"/>
      <c r="AF36" s="53"/>
      <c r="AG36" s="53"/>
      <c r="AH36" s="53"/>
      <c r="AI36" s="53"/>
      <c r="AJ36" s="53"/>
    </row>
    <row r="37" spans="1:36" x14ac:dyDescent="0.15">
      <c r="A37" s="1"/>
      <c r="B37" s="7">
        <v>3021</v>
      </c>
      <c r="C37" s="52" t="s">
        <v>1665</v>
      </c>
      <c r="E37" s="53" t="s">
        <v>1662</v>
      </c>
      <c r="F37" s="53" t="s">
        <v>1663</v>
      </c>
      <c r="G37" s="53" t="s">
        <v>1665</v>
      </c>
      <c r="H37" s="53" t="s">
        <v>1667</v>
      </c>
      <c r="I37" s="53" t="s">
        <v>1669</v>
      </c>
      <c r="J37" s="53" t="s">
        <v>1670</v>
      </c>
      <c r="K37" s="53" t="s">
        <v>1671</v>
      </c>
      <c r="L37" s="53" t="s">
        <v>1676</v>
      </c>
      <c r="M37" s="53" t="s">
        <v>1685</v>
      </c>
      <c r="N37" s="53" t="s">
        <v>1688</v>
      </c>
      <c r="O37" s="53" t="s">
        <v>1691</v>
      </c>
      <c r="P37" s="53" t="s">
        <v>1707</v>
      </c>
      <c r="Q37" s="53" t="s">
        <v>1708</v>
      </c>
      <c r="R37" s="53" t="s">
        <v>1709</v>
      </c>
      <c r="S37" s="53" t="s">
        <v>1710</v>
      </c>
      <c r="T37" s="53" t="s">
        <v>1711</v>
      </c>
      <c r="U37" s="53" t="s">
        <v>1712</v>
      </c>
      <c r="V37" s="53" t="s">
        <v>1713</v>
      </c>
      <c r="W37" s="53" t="s">
        <v>1714</v>
      </c>
      <c r="X37" s="53" t="s">
        <v>1715</v>
      </c>
      <c r="Y37" s="53" t="s">
        <v>1716</v>
      </c>
      <c r="Z37" s="53" t="s">
        <v>1717</v>
      </c>
      <c r="AA37" s="53" t="s">
        <v>1718</v>
      </c>
      <c r="AB37" s="53" t="s">
        <v>1719</v>
      </c>
      <c r="AC37" s="53" t="s">
        <v>1720</v>
      </c>
      <c r="AD37" s="53" t="s">
        <v>1721</v>
      </c>
      <c r="AE37" s="53"/>
      <c r="AF37" s="53"/>
      <c r="AG37" s="53"/>
      <c r="AH37" s="53"/>
      <c r="AI37" s="53"/>
      <c r="AJ37" s="53"/>
    </row>
    <row r="38" spans="1:36" x14ac:dyDescent="0.15">
      <c r="A38" s="1"/>
      <c r="B38" s="7">
        <v>3022</v>
      </c>
      <c r="C38" s="52" t="s">
        <v>1666</v>
      </c>
      <c r="E38" s="53" t="s">
        <v>1661</v>
      </c>
      <c r="F38" s="53" t="s">
        <v>1666</v>
      </c>
      <c r="G38" s="53" t="s">
        <v>1674</v>
      </c>
      <c r="H38" s="53" t="s">
        <v>1675</v>
      </c>
      <c r="I38" s="53" t="s">
        <v>1689</v>
      </c>
      <c r="J38" s="53" t="s">
        <v>1690</v>
      </c>
      <c r="K38" s="53" t="s">
        <v>1692</v>
      </c>
      <c r="L38" s="53" t="s">
        <v>1693</v>
      </c>
      <c r="M38" s="53" t="s">
        <v>1722</v>
      </c>
      <c r="N38" s="53" t="s">
        <v>1723</v>
      </c>
      <c r="O38" s="53" t="s">
        <v>1724</v>
      </c>
      <c r="P38" s="53" t="s">
        <v>1726</v>
      </c>
      <c r="Q38" s="53" t="s">
        <v>1727</v>
      </c>
      <c r="R38" s="53" t="s">
        <v>1729</v>
      </c>
      <c r="S38" s="53" t="s">
        <v>1730</v>
      </c>
      <c r="T38" s="53" t="s">
        <v>1733</v>
      </c>
      <c r="U38" s="53"/>
      <c r="V38" s="53"/>
      <c r="W38" s="53"/>
      <c r="X38" s="53"/>
      <c r="Y38" s="53"/>
      <c r="Z38" s="53"/>
      <c r="AA38" s="53"/>
      <c r="AB38" s="53"/>
      <c r="AC38" s="53"/>
      <c r="AD38" s="53"/>
      <c r="AE38" s="53"/>
      <c r="AF38" s="53"/>
      <c r="AG38" s="53"/>
      <c r="AH38" s="53"/>
      <c r="AI38" s="53"/>
      <c r="AJ38" s="53"/>
    </row>
    <row r="39" spans="1:36" x14ac:dyDescent="0.15">
      <c r="A39" s="9"/>
      <c r="B39" s="7">
        <v>3023</v>
      </c>
      <c r="C39" s="52" t="s">
        <v>1667</v>
      </c>
      <c r="E39" s="53" t="s">
        <v>1687</v>
      </c>
      <c r="F39" s="53" t="s">
        <v>1699</v>
      </c>
      <c r="G39" s="53" t="s">
        <v>1700</v>
      </c>
      <c r="H39" s="53" t="s">
        <v>1701</v>
      </c>
      <c r="I39" s="53" t="s">
        <v>1702</v>
      </c>
      <c r="J39" s="53" t="s">
        <v>1703</v>
      </c>
      <c r="K39" s="53" t="s">
        <v>1704</v>
      </c>
      <c r="L39" s="53" t="s">
        <v>1705</v>
      </c>
      <c r="M39" s="53" t="s">
        <v>1706</v>
      </c>
      <c r="N39" s="53"/>
      <c r="O39" s="53"/>
      <c r="P39" s="53"/>
      <c r="Q39" s="53"/>
      <c r="R39" s="53"/>
      <c r="S39" s="53"/>
      <c r="T39" s="53"/>
      <c r="U39" s="53"/>
      <c r="V39" s="53"/>
      <c r="W39" s="53"/>
      <c r="X39" s="53"/>
      <c r="Y39" s="53"/>
      <c r="Z39" s="53"/>
      <c r="AA39" s="53"/>
      <c r="AB39" s="53"/>
      <c r="AC39" s="53"/>
      <c r="AD39" s="53"/>
      <c r="AE39" s="53"/>
      <c r="AF39" s="53"/>
      <c r="AG39" s="53"/>
      <c r="AH39" s="53"/>
      <c r="AI39" s="53"/>
      <c r="AJ39" s="53"/>
    </row>
    <row r="40" spans="1:36" x14ac:dyDescent="0.15">
      <c r="A40" s="9"/>
      <c r="B40" s="7">
        <v>3024</v>
      </c>
      <c r="C40" s="52" t="s">
        <v>1668</v>
      </c>
      <c r="E40" s="53" t="s">
        <v>1739</v>
      </c>
      <c r="F40" s="53" t="s">
        <v>1740</v>
      </c>
      <c r="G40" s="53" t="s">
        <v>1741</v>
      </c>
      <c r="H40" s="53" t="s">
        <v>1742</v>
      </c>
      <c r="I40" s="53" t="s">
        <v>1743</v>
      </c>
      <c r="J40" s="53" t="s">
        <v>1744</v>
      </c>
      <c r="K40" s="53" t="s">
        <v>1745</v>
      </c>
      <c r="L40" s="53" t="s">
        <v>1746</v>
      </c>
      <c r="M40" s="53" t="s">
        <v>1747</v>
      </c>
      <c r="N40" s="53" t="s">
        <v>1748</v>
      </c>
      <c r="O40" s="53" t="s">
        <v>1749</v>
      </c>
      <c r="P40" s="53" t="s">
        <v>1750</v>
      </c>
      <c r="Q40" s="53"/>
      <c r="R40" s="53"/>
      <c r="S40" s="53"/>
      <c r="T40" s="53"/>
      <c r="U40" s="53"/>
      <c r="V40" s="53"/>
      <c r="W40" s="53"/>
      <c r="X40" s="53"/>
      <c r="Y40" s="53"/>
      <c r="Z40" s="53"/>
      <c r="AA40" s="53"/>
      <c r="AB40" s="53"/>
      <c r="AC40" s="53"/>
      <c r="AD40" s="53"/>
      <c r="AE40" s="53"/>
      <c r="AF40" s="53"/>
      <c r="AG40" s="53"/>
      <c r="AH40" s="53"/>
      <c r="AI40" s="53"/>
      <c r="AJ40" s="53"/>
    </row>
    <row r="41" spans="1:36" x14ac:dyDescent="0.15">
      <c r="A41" s="9"/>
      <c r="B41" s="7">
        <v>3025</v>
      </c>
      <c r="C41" s="52" t="s">
        <v>1669</v>
      </c>
      <c r="E41" s="53" t="s">
        <v>1766</v>
      </c>
      <c r="F41" s="53" t="s">
        <v>1767</v>
      </c>
      <c r="G41" s="53" t="s">
        <v>1768</v>
      </c>
      <c r="H41" s="53" t="s">
        <v>1769</v>
      </c>
      <c r="I41" s="53" t="s">
        <v>1814</v>
      </c>
      <c r="J41" s="53" t="s">
        <v>1773</v>
      </c>
      <c r="K41" s="53" t="s">
        <v>1774</v>
      </c>
      <c r="L41" s="53" t="s">
        <v>1775</v>
      </c>
      <c r="M41" s="53" t="s">
        <v>1815</v>
      </c>
      <c r="N41" s="53" t="s">
        <v>1780</v>
      </c>
      <c r="O41" s="53" t="s">
        <v>1816</v>
      </c>
      <c r="P41" s="53" t="s">
        <v>1782</v>
      </c>
      <c r="Q41" s="53" t="s">
        <v>1783</v>
      </c>
      <c r="R41" s="53" t="s">
        <v>1785</v>
      </c>
      <c r="S41" s="53" t="s">
        <v>1786</v>
      </c>
      <c r="T41" s="53" t="s">
        <v>1787</v>
      </c>
      <c r="U41" s="53" t="s">
        <v>1788</v>
      </c>
      <c r="V41" s="53" t="s">
        <v>1789</v>
      </c>
      <c r="W41" s="53" t="s">
        <v>1790</v>
      </c>
      <c r="X41" s="53" t="s">
        <v>1792</v>
      </c>
      <c r="Y41" s="53" t="s">
        <v>1793</v>
      </c>
      <c r="Z41" s="53" t="s">
        <v>1794</v>
      </c>
      <c r="AA41" s="53" t="s">
        <v>1795</v>
      </c>
      <c r="AB41" s="53" t="s">
        <v>1797</v>
      </c>
      <c r="AC41" s="53" t="s">
        <v>1798</v>
      </c>
      <c r="AD41" s="53" t="s">
        <v>1799</v>
      </c>
      <c r="AE41" s="53" t="s">
        <v>1800</v>
      </c>
      <c r="AF41" s="53" t="s">
        <v>1801</v>
      </c>
      <c r="AG41" s="53" t="s">
        <v>1802</v>
      </c>
      <c r="AH41" s="53" t="s">
        <v>1805</v>
      </c>
      <c r="AI41" s="53" t="s">
        <v>1806</v>
      </c>
      <c r="AJ41" s="53" t="s">
        <v>1807</v>
      </c>
    </row>
    <row r="42" spans="1:36" x14ac:dyDescent="0.15">
      <c r="A42" s="9"/>
      <c r="B42" s="7">
        <v>3026</v>
      </c>
      <c r="C42" s="52" t="s">
        <v>1670</v>
      </c>
      <c r="E42" s="53" t="s">
        <v>1751</v>
      </c>
      <c r="F42" s="53" t="s">
        <v>1752</v>
      </c>
      <c r="G42" s="53" t="s">
        <v>1753</v>
      </c>
      <c r="H42" s="53" t="s">
        <v>1754</v>
      </c>
      <c r="I42" s="53" t="s">
        <v>1755</v>
      </c>
      <c r="J42" s="53" t="s">
        <v>1756</v>
      </c>
      <c r="K42" s="53" t="s">
        <v>1757</v>
      </c>
      <c r="L42" s="53" t="s">
        <v>1758</v>
      </c>
      <c r="M42" s="53" t="s">
        <v>1759</v>
      </c>
      <c r="N42" s="53" t="s">
        <v>1760</v>
      </c>
      <c r="O42" s="53" t="s">
        <v>1761</v>
      </c>
      <c r="P42" s="53" t="s">
        <v>1762</v>
      </c>
      <c r="Q42" s="53" t="s">
        <v>1763</v>
      </c>
      <c r="R42" s="53" t="s">
        <v>1764</v>
      </c>
      <c r="S42" s="53" t="s">
        <v>1765</v>
      </c>
      <c r="T42" s="53" t="s">
        <v>1770</v>
      </c>
      <c r="U42" s="53" t="s">
        <v>1771</v>
      </c>
      <c r="V42" s="53" t="s">
        <v>1776</v>
      </c>
      <c r="W42" s="53" t="s">
        <v>1777</v>
      </c>
      <c r="X42" s="53" t="s">
        <v>1778</v>
      </c>
      <c r="Y42" s="53" t="s">
        <v>1784</v>
      </c>
      <c r="Z42" s="53" t="s">
        <v>1791</v>
      </c>
      <c r="AA42" s="53" t="s">
        <v>1796</v>
      </c>
      <c r="AB42" s="53" t="s">
        <v>1803</v>
      </c>
      <c r="AC42" s="53" t="s">
        <v>1804</v>
      </c>
      <c r="AD42" s="53" t="s">
        <v>1808</v>
      </c>
      <c r="AE42" s="53"/>
      <c r="AF42" s="53"/>
      <c r="AG42" s="53"/>
      <c r="AH42" s="53"/>
      <c r="AI42" s="53"/>
      <c r="AJ42" s="53"/>
    </row>
    <row r="43" spans="1:36" x14ac:dyDescent="0.15">
      <c r="A43" s="9"/>
      <c r="B43" s="7">
        <v>3027</v>
      </c>
      <c r="C43" s="52" t="s">
        <v>1671</v>
      </c>
      <c r="E43" t="s">
        <v>1653</v>
      </c>
      <c r="F43" t="s">
        <v>1654</v>
      </c>
      <c r="G43" t="s">
        <v>1817</v>
      </c>
    </row>
    <row r="44" spans="1:36" x14ac:dyDescent="0.15">
      <c r="A44" s="9"/>
      <c r="B44" s="7">
        <v>3028</v>
      </c>
      <c r="C44" s="52" t="s">
        <v>1672</v>
      </c>
      <c r="E44">
        <v>102</v>
      </c>
      <c r="F44" t="s">
        <v>1818</v>
      </c>
      <c r="G44" t="s">
        <v>1819</v>
      </c>
    </row>
    <row r="45" spans="1:36" x14ac:dyDescent="0.15">
      <c r="A45" s="9"/>
      <c r="B45" s="7">
        <v>3029</v>
      </c>
      <c r="C45" s="52" t="s">
        <v>1673</v>
      </c>
      <c r="E45">
        <v>283</v>
      </c>
    </row>
    <row r="46" spans="1:36" x14ac:dyDescent="0.15">
      <c r="A46" s="9"/>
      <c r="B46" s="7">
        <v>3030</v>
      </c>
      <c r="C46" s="52" t="s">
        <v>1674</v>
      </c>
    </row>
    <row r="47" spans="1:36" x14ac:dyDescent="0.15">
      <c r="A47" s="9"/>
      <c r="B47" s="7">
        <v>3031</v>
      </c>
      <c r="C47" s="52" t="s">
        <v>1675</v>
      </c>
      <c r="E47">
        <v>203</v>
      </c>
    </row>
    <row r="48" spans="1:36" x14ac:dyDescent="0.15">
      <c r="A48" s="9"/>
      <c r="B48" s="7">
        <v>3032</v>
      </c>
      <c r="C48" s="52" t="s">
        <v>1676</v>
      </c>
      <c r="E48">
        <v>283</v>
      </c>
      <c r="F48">
        <v>203</v>
      </c>
    </row>
    <row r="49" spans="1:16" x14ac:dyDescent="0.15">
      <c r="A49" s="9"/>
      <c r="B49" s="7">
        <v>3033</v>
      </c>
      <c r="C49" s="52" t="s">
        <v>1677</v>
      </c>
      <c r="E49" t="s">
        <v>1809</v>
      </c>
      <c r="F49" t="s">
        <v>1811</v>
      </c>
    </row>
    <row r="50" spans="1:16" x14ac:dyDescent="0.15">
      <c r="A50" s="1"/>
      <c r="B50" s="7">
        <v>3034</v>
      </c>
      <c r="C50" s="52" t="s">
        <v>1678</v>
      </c>
    </row>
    <row r="51" spans="1:16" x14ac:dyDescent="0.15">
      <c r="A51" s="1"/>
      <c r="B51" s="7">
        <v>3035</v>
      </c>
      <c r="C51" s="52" t="s">
        <v>1679</v>
      </c>
    </row>
    <row r="52" spans="1:16" x14ac:dyDescent="0.15">
      <c r="A52" s="1"/>
      <c r="B52" s="7">
        <v>3036</v>
      </c>
      <c r="C52" s="52" t="s">
        <v>1680</v>
      </c>
    </row>
    <row r="53" spans="1:16" x14ac:dyDescent="0.15">
      <c r="A53" s="1"/>
      <c r="B53" s="7">
        <v>3037</v>
      </c>
      <c r="C53" s="52" t="s">
        <v>1681</v>
      </c>
      <c r="G53" t="s">
        <v>1821</v>
      </c>
      <c r="H53" s="54" t="s">
        <v>1821</v>
      </c>
      <c r="I53" t="s">
        <v>1820</v>
      </c>
    </row>
    <row r="54" spans="1:16" x14ac:dyDescent="0.15">
      <c r="A54" s="1"/>
      <c r="B54" s="7">
        <v>3038</v>
      </c>
      <c r="C54" s="52" t="s">
        <v>1682</v>
      </c>
      <c r="H54" s="54">
        <v>101</v>
      </c>
      <c r="I54" s="7">
        <v>5010</v>
      </c>
      <c r="J54" s="34">
        <f>IF(H54&lt;&gt;H55,1,0)</f>
        <v>1</v>
      </c>
      <c r="K54">
        <f>IF(H54&lt;&gt;H53,I54,K53&amp;","&amp;I54)</f>
        <v>5010</v>
      </c>
      <c r="M54">
        <v>101</v>
      </c>
      <c r="N54">
        <v>5010</v>
      </c>
      <c r="O54">
        <v>1</v>
      </c>
      <c r="P54">
        <v>5010</v>
      </c>
    </row>
    <row r="55" spans="1:16" x14ac:dyDescent="0.15">
      <c r="A55" s="1"/>
      <c r="B55" s="7">
        <v>3039</v>
      </c>
      <c r="C55" s="52" t="s">
        <v>1683</v>
      </c>
      <c r="H55" s="54">
        <v>102</v>
      </c>
      <c r="I55" s="7">
        <v>5010</v>
      </c>
      <c r="J55" s="34">
        <f t="shared" ref="J55:J118" si="16">IF(H55&lt;&gt;H56,1,0)</f>
        <v>1</v>
      </c>
      <c r="K55" s="34">
        <f t="shared" ref="K55:K118" si="17">IF(H55&lt;&gt;H54,I55,K54&amp;","&amp;I55)</f>
        <v>5010</v>
      </c>
      <c r="M55">
        <v>102</v>
      </c>
      <c r="N55">
        <v>5010</v>
      </c>
      <c r="O55">
        <v>1</v>
      </c>
      <c r="P55">
        <v>5010</v>
      </c>
    </row>
    <row r="56" spans="1:16" x14ac:dyDescent="0.15">
      <c r="A56" s="1"/>
      <c r="B56" s="7">
        <v>3040</v>
      </c>
      <c r="C56" s="52" t="s">
        <v>1684</v>
      </c>
      <c r="H56" s="54">
        <v>104</v>
      </c>
      <c r="I56" s="7">
        <v>5008</v>
      </c>
      <c r="J56" s="34">
        <f t="shared" si="16"/>
        <v>0</v>
      </c>
      <c r="K56" s="34">
        <f t="shared" si="17"/>
        <v>5008</v>
      </c>
      <c r="M56">
        <v>104</v>
      </c>
      <c r="N56">
        <v>5010</v>
      </c>
      <c r="O56">
        <v>1</v>
      </c>
      <c r="P56" t="s">
        <v>1822</v>
      </c>
    </row>
    <row r="57" spans="1:16" x14ac:dyDescent="0.15">
      <c r="A57" s="1"/>
      <c r="B57" s="7">
        <v>3041</v>
      </c>
      <c r="C57" s="52" t="s">
        <v>1685</v>
      </c>
      <c r="H57" s="54">
        <v>104</v>
      </c>
      <c r="I57" s="7">
        <v>5010</v>
      </c>
      <c r="J57" s="34">
        <f t="shared" si="16"/>
        <v>1</v>
      </c>
      <c r="K57" s="34" t="str">
        <f t="shared" si="17"/>
        <v>5008,5010</v>
      </c>
      <c r="M57">
        <v>105</v>
      </c>
      <c r="N57">
        <v>5007</v>
      </c>
      <c r="O57">
        <v>1</v>
      </c>
      <c r="P57">
        <v>5007</v>
      </c>
    </row>
    <row r="58" spans="1:16" x14ac:dyDescent="0.15">
      <c r="A58" s="1"/>
      <c r="B58" s="7">
        <v>3042</v>
      </c>
      <c r="C58" s="52" t="s">
        <v>1686</v>
      </c>
      <c r="H58" s="54">
        <v>105</v>
      </c>
      <c r="I58" s="7">
        <v>5007</v>
      </c>
      <c r="J58" s="34">
        <f t="shared" si="16"/>
        <v>1</v>
      </c>
      <c r="K58" s="34">
        <f t="shared" si="17"/>
        <v>5007</v>
      </c>
      <c r="M58">
        <v>200</v>
      </c>
      <c r="N58">
        <v>5002</v>
      </c>
      <c r="O58">
        <v>1</v>
      </c>
      <c r="P58">
        <v>5002</v>
      </c>
    </row>
    <row r="59" spans="1:16" x14ac:dyDescent="0.15">
      <c r="A59" s="34"/>
      <c r="B59" s="7">
        <v>3043</v>
      </c>
      <c r="C59" s="52" t="s">
        <v>1687</v>
      </c>
      <c r="H59" s="54">
        <v>200</v>
      </c>
      <c r="I59" s="7">
        <v>5002</v>
      </c>
      <c r="J59" s="34">
        <f t="shared" si="16"/>
        <v>1</v>
      </c>
      <c r="K59" s="34">
        <f t="shared" si="17"/>
        <v>5002</v>
      </c>
      <c r="M59">
        <v>202</v>
      </c>
      <c r="N59">
        <v>5008</v>
      </c>
      <c r="O59">
        <v>1</v>
      </c>
      <c r="P59">
        <v>5008</v>
      </c>
    </row>
    <row r="60" spans="1:16" x14ac:dyDescent="0.15">
      <c r="A60" s="34"/>
      <c r="B60" s="7">
        <v>3044</v>
      </c>
      <c r="C60" s="52" t="s">
        <v>1688</v>
      </c>
      <c r="H60" s="54">
        <v>202</v>
      </c>
      <c r="I60" s="7">
        <v>5008</v>
      </c>
      <c r="J60" s="34">
        <f t="shared" si="16"/>
        <v>1</v>
      </c>
      <c r="K60" s="34">
        <f t="shared" si="17"/>
        <v>5008</v>
      </c>
      <c r="M60">
        <v>203</v>
      </c>
      <c r="N60">
        <v>5014</v>
      </c>
      <c r="O60">
        <v>1</v>
      </c>
      <c r="P60" t="s">
        <v>1823</v>
      </c>
    </row>
    <row r="61" spans="1:16" x14ac:dyDescent="0.15">
      <c r="A61" s="34"/>
      <c r="B61" s="7">
        <v>3045</v>
      </c>
      <c r="C61" s="52" t="s">
        <v>1689</v>
      </c>
      <c r="H61" s="54">
        <v>203</v>
      </c>
      <c r="I61" s="7">
        <v>5013</v>
      </c>
      <c r="J61" s="34">
        <f t="shared" si="16"/>
        <v>0</v>
      </c>
      <c r="K61" s="34">
        <f t="shared" si="17"/>
        <v>5013</v>
      </c>
      <c r="M61">
        <v>204</v>
      </c>
      <c r="N61">
        <v>5007</v>
      </c>
      <c r="O61">
        <v>1</v>
      </c>
      <c r="P61">
        <v>5007</v>
      </c>
    </row>
    <row r="62" spans="1:16" x14ac:dyDescent="0.15">
      <c r="A62" s="34"/>
      <c r="B62" s="7">
        <v>3046</v>
      </c>
      <c r="C62" s="52" t="s">
        <v>1690</v>
      </c>
      <c r="H62" s="54">
        <v>203</v>
      </c>
      <c r="I62" s="7">
        <v>5014</v>
      </c>
      <c r="J62" s="34">
        <f t="shared" si="16"/>
        <v>1</v>
      </c>
      <c r="K62" s="34" t="str">
        <f t="shared" si="17"/>
        <v>5013,5014</v>
      </c>
      <c r="M62">
        <v>205</v>
      </c>
      <c r="N62">
        <v>5008</v>
      </c>
      <c r="O62">
        <v>1</v>
      </c>
      <c r="P62">
        <v>5008</v>
      </c>
    </row>
    <row r="63" spans="1:16" x14ac:dyDescent="0.15">
      <c r="A63" s="34"/>
      <c r="B63" s="7">
        <v>3047</v>
      </c>
      <c r="C63" s="52" t="s">
        <v>1691</v>
      </c>
      <c r="H63" s="54">
        <v>204</v>
      </c>
      <c r="I63" s="7">
        <v>5007</v>
      </c>
      <c r="J63" s="34">
        <f t="shared" si="16"/>
        <v>1</v>
      </c>
      <c r="K63" s="34">
        <f t="shared" si="17"/>
        <v>5007</v>
      </c>
      <c r="M63">
        <v>207</v>
      </c>
      <c r="N63">
        <v>5006</v>
      </c>
      <c r="O63">
        <v>1</v>
      </c>
      <c r="P63" t="s">
        <v>1824</v>
      </c>
    </row>
    <row r="64" spans="1:16" x14ac:dyDescent="0.15">
      <c r="A64" s="34"/>
      <c r="B64" s="7">
        <v>3048</v>
      </c>
      <c r="C64" s="52" t="s">
        <v>1692</v>
      </c>
      <c r="H64" s="54">
        <v>205</v>
      </c>
      <c r="I64" s="7">
        <v>5008</v>
      </c>
      <c r="J64" s="34">
        <f t="shared" si="16"/>
        <v>1</v>
      </c>
      <c r="K64" s="34">
        <f t="shared" si="17"/>
        <v>5008</v>
      </c>
      <c r="M64">
        <v>208</v>
      </c>
      <c r="N64">
        <v>5008</v>
      </c>
      <c r="O64">
        <v>1</v>
      </c>
      <c r="P64" t="s">
        <v>1825</v>
      </c>
    </row>
    <row r="65" spans="1:16" x14ac:dyDescent="0.15">
      <c r="A65" s="34"/>
      <c r="B65" s="7">
        <v>3049</v>
      </c>
      <c r="C65" s="52" t="s">
        <v>1693</v>
      </c>
      <c r="H65" s="54">
        <v>207</v>
      </c>
      <c r="I65" s="7">
        <v>5002</v>
      </c>
      <c r="J65" s="34">
        <f t="shared" si="16"/>
        <v>0</v>
      </c>
      <c r="K65" s="34">
        <f t="shared" si="17"/>
        <v>5002</v>
      </c>
      <c r="M65">
        <v>210</v>
      </c>
      <c r="N65">
        <v>5006</v>
      </c>
      <c r="O65">
        <v>1</v>
      </c>
      <c r="P65" t="s">
        <v>1826</v>
      </c>
    </row>
    <row r="66" spans="1:16" x14ac:dyDescent="0.15">
      <c r="A66" s="34"/>
      <c r="B66" s="7">
        <v>3050</v>
      </c>
      <c r="C66" s="52" t="s">
        <v>1694</v>
      </c>
      <c r="H66" s="54">
        <v>207</v>
      </c>
      <c r="I66" s="7">
        <v>5006</v>
      </c>
      <c r="J66" s="34">
        <f t="shared" si="16"/>
        <v>1</v>
      </c>
      <c r="K66" s="34" t="str">
        <f t="shared" si="17"/>
        <v>5002,5006</v>
      </c>
      <c r="M66">
        <v>211</v>
      </c>
      <c r="N66">
        <v>5008</v>
      </c>
      <c r="O66">
        <v>1</v>
      </c>
      <c r="P66" t="s">
        <v>1825</v>
      </c>
    </row>
    <row r="67" spans="1:16" x14ac:dyDescent="0.15">
      <c r="A67" s="34"/>
      <c r="B67" s="7">
        <v>3051</v>
      </c>
      <c r="C67" s="52" t="s">
        <v>1695</v>
      </c>
      <c r="H67" s="54">
        <v>208</v>
      </c>
      <c r="I67" s="7">
        <v>5007</v>
      </c>
      <c r="J67" s="34">
        <f t="shared" si="16"/>
        <v>0</v>
      </c>
      <c r="K67" s="34">
        <f t="shared" si="17"/>
        <v>5007</v>
      </c>
      <c r="M67">
        <v>212</v>
      </c>
      <c r="N67">
        <v>5008</v>
      </c>
      <c r="O67">
        <v>1</v>
      </c>
      <c r="P67">
        <v>5008</v>
      </c>
    </row>
    <row r="68" spans="1:16" x14ac:dyDescent="0.15">
      <c r="A68" s="34"/>
      <c r="B68" s="7">
        <v>3052</v>
      </c>
      <c r="C68" s="52" t="s">
        <v>1696</v>
      </c>
      <c r="H68" s="54">
        <v>208</v>
      </c>
      <c r="I68" s="7">
        <v>5008</v>
      </c>
      <c r="J68" s="34">
        <f t="shared" si="16"/>
        <v>1</v>
      </c>
      <c r="K68" s="34" t="str">
        <f t="shared" si="17"/>
        <v>5007,5008</v>
      </c>
      <c r="M68">
        <v>213</v>
      </c>
      <c r="N68">
        <v>5008</v>
      </c>
      <c r="O68">
        <v>1</v>
      </c>
      <c r="P68" t="s">
        <v>1825</v>
      </c>
    </row>
    <row r="69" spans="1:16" x14ac:dyDescent="0.15">
      <c r="A69" s="34"/>
      <c r="B69" s="7">
        <v>3053</v>
      </c>
      <c r="C69" s="52" t="s">
        <v>1697</v>
      </c>
      <c r="H69" s="54">
        <v>210</v>
      </c>
      <c r="I69" s="7">
        <v>5008</v>
      </c>
      <c r="J69" s="34">
        <f t="shared" si="16"/>
        <v>0</v>
      </c>
      <c r="K69" s="34">
        <f t="shared" si="17"/>
        <v>5008</v>
      </c>
      <c r="M69">
        <v>214</v>
      </c>
      <c r="N69">
        <v>5007</v>
      </c>
      <c r="O69">
        <v>1</v>
      </c>
      <c r="P69">
        <v>5007</v>
      </c>
    </row>
    <row r="70" spans="1:16" x14ac:dyDescent="0.15">
      <c r="A70" s="34"/>
      <c r="B70" s="7">
        <v>3054</v>
      </c>
      <c r="C70" s="52" t="s">
        <v>1698</v>
      </c>
      <c r="H70" s="54">
        <v>210</v>
      </c>
      <c r="I70" s="7">
        <v>5006</v>
      </c>
      <c r="J70" s="34">
        <f t="shared" si="16"/>
        <v>1</v>
      </c>
      <c r="K70" s="34" t="str">
        <f t="shared" si="17"/>
        <v>5008,5006</v>
      </c>
      <c r="M70">
        <v>216</v>
      </c>
      <c r="N70">
        <v>5009</v>
      </c>
      <c r="O70">
        <v>1</v>
      </c>
      <c r="P70">
        <v>5009</v>
      </c>
    </row>
    <row r="71" spans="1:16" x14ac:dyDescent="0.15">
      <c r="A71" s="34"/>
      <c r="B71" s="7">
        <v>3055</v>
      </c>
      <c r="C71" s="52" t="s">
        <v>1699</v>
      </c>
      <c r="H71" s="54">
        <v>211</v>
      </c>
      <c r="I71" s="7">
        <v>5007</v>
      </c>
      <c r="J71" s="34">
        <f t="shared" si="16"/>
        <v>0</v>
      </c>
      <c r="K71" s="34">
        <f t="shared" si="17"/>
        <v>5007</v>
      </c>
      <c r="M71">
        <v>218</v>
      </c>
      <c r="N71">
        <v>5008</v>
      </c>
      <c r="O71">
        <v>1</v>
      </c>
      <c r="P71">
        <v>5008</v>
      </c>
    </row>
    <row r="72" spans="1:16" x14ac:dyDescent="0.15">
      <c r="A72" s="34"/>
      <c r="B72" s="7">
        <v>3056</v>
      </c>
      <c r="C72" s="52" t="s">
        <v>1700</v>
      </c>
      <c r="H72" s="54">
        <v>211</v>
      </c>
      <c r="I72" s="7">
        <v>5008</v>
      </c>
      <c r="J72" s="34">
        <f t="shared" si="16"/>
        <v>1</v>
      </c>
      <c r="K72" s="34" t="str">
        <f t="shared" si="17"/>
        <v>5007,5008</v>
      </c>
      <c r="M72">
        <v>220</v>
      </c>
      <c r="N72">
        <v>5008</v>
      </c>
      <c r="O72">
        <v>1</v>
      </c>
      <c r="P72">
        <v>5008</v>
      </c>
    </row>
    <row r="73" spans="1:16" x14ac:dyDescent="0.15">
      <c r="A73" s="34"/>
      <c r="B73" s="7">
        <v>3057</v>
      </c>
      <c r="C73" s="52" t="s">
        <v>1701</v>
      </c>
      <c r="H73" s="54">
        <v>212</v>
      </c>
      <c r="I73" s="7">
        <v>5008</v>
      </c>
      <c r="J73" s="34">
        <f t="shared" si="16"/>
        <v>1</v>
      </c>
      <c r="K73" s="34">
        <f t="shared" si="17"/>
        <v>5008</v>
      </c>
      <c r="M73">
        <v>221</v>
      </c>
      <c r="N73">
        <v>5007</v>
      </c>
      <c r="O73">
        <v>1</v>
      </c>
      <c r="P73">
        <v>5007</v>
      </c>
    </row>
    <row r="74" spans="1:16" x14ac:dyDescent="0.15">
      <c r="A74" s="34"/>
      <c r="B74" s="7">
        <v>3058</v>
      </c>
      <c r="C74" s="52" t="s">
        <v>1702</v>
      </c>
      <c r="H74" s="54">
        <v>213</v>
      </c>
      <c r="I74" s="7">
        <v>5007</v>
      </c>
      <c r="J74" s="34">
        <f t="shared" si="16"/>
        <v>0</v>
      </c>
      <c r="K74" s="34">
        <f t="shared" si="17"/>
        <v>5007</v>
      </c>
      <c r="M74">
        <v>222</v>
      </c>
      <c r="N74">
        <v>5008</v>
      </c>
      <c r="O74">
        <v>1</v>
      </c>
      <c r="P74" t="s">
        <v>1825</v>
      </c>
    </row>
    <row r="75" spans="1:16" x14ac:dyDescent="0.15">
      <c r="A75" s="34"/>
      <c r="B75" s="7">
        <v>3059</v>
      </c>
      <c r="C75" s="52" t="s">
        <v>1703</v>
      </c>
      <c r="H75" s="54">
        <v>213</v>
      </c>
      <c r="I75" s="7">
        <v>5008</v>
      </c>
      <c r="J75" s="34">
        <f t="shared" si="16"/>
        <v>1</v>
      </c>
      <c r="K75" s="34" t="str">
        <f t="shared" si="17"/>
        <v>5007,5008</v>
      </c>
      <c r="M75">
        <v>223</v>
      </c>
      <c r="N75">
        <v>5007</v>
      </c>
      <c r="O75">
        <v>1</v>
      </c>
      <c r="P75">
        <v>5007</v>
      </c>
    </row>
    <row r="76" spans="1:16" x14ac:dyDescent="0.15">
      <c r="A76" s="34"/>
      <c r="B76" s="7">
        <v>3060</v>
      </c>
      <c r="C76" s="52" t="s">
        <v>1704</v>
      </c>
      <c r="H76" s="54">
        <v>214</v>
      </c>
      <c r="I76" s="7">
        <v>5007</v>
      </c>
      <c r="J76" s="34">
        <f t="shared" si="16"/>
        <v>1</v>
      </c>
      <c r="K76" s="34">
        <f t="shared" si="17"/>
        <v>5007</v>
      </c>
      <c r="M76">
        <v>224</v>
      </c>
      <c r="N76">
        <v>5007</v>
      </c>
      <c r="O76">
        <v>1</v>
      </c>
      <c r="P76" t="s">
        <v>1827</v>
      </c>
    </row>
    <row r="77" spans="1:16" x14ac:dyDescent="0.15">
      <c r="A77" s="34"/>
      <c r="B77" s="7">
        <v>3061</v>
      </c>
      <c r="C77" s="52" t="s">
        <v>1705</v>
      </c>
      <c r="H77" s="54">
        <v>216</v>
      </c>
      <c r="I77" s="7">
        <v>5009</v>
      </c>
      <c r="J77" s="34">
        <f t="shared" si="16"/>
        <v>1</v>
      </c>
      <c r="K77" s="34">
        <f t="shared" si="17"/>
        <v>5009</v>
      </c>
      <c r="M77">
        <v>225</v>
      </c>
      <c r="N77">
        <v>5008</v>
      </c>
      <c r="O77">
        <v>1</v>
      </c>
      <c r="P77" t="s">
        <v>1828</v>
      </c>
    </row>
    <row r="78" spans="1:16" x14ac:dyDescent="0.15">
      <c r="A78" s="34"/>
      <c r="B78" s="7">
        <v>3062</v>
      </c>
      <c r="C78" s="52" t="s">
        <v>1706</v>
      </c>
      <c r="H78" s="54">
        <v>218</v>
      </c>
      <c r="I78" s="7">
        <v>5008</v>
      </c>
      <c r="J78" s="34">
        <f t="shared" si="16"/>
        <v>1</v>
      </c>
      <c r="K78" s="34">
        <f t="shared" si="17"/>
        <v>5008</v>
      </c>
      <c r="M78">
        <v>227</v>
      </c>
      <c r="N78">
        <v>5008</v>
      </c>
      <c r="O78">
        <v>1</v>
      </c>
      <c r="P78" t="s">
        <v>1825</v>
      </c>
    </row>
    <row r="79" spans="1:16" x14ac:dyDescent="0.15">
      <c r="A79" s="34"/>
      <c r="B79" s="7">
        <v>3063</v>
      </c>
      <c r="C79" s="52" t="s">
        <v>1707</v>
      </c>
      <c r="H79" s="54">
        <v>220</v>
      </c>
      <c r="I79" s="7">
        <v>5008</v>
      </c>
      <c r="J79" s="34">
        <f t="shared" si="16"/>
        <v>1</v>
      </c>
      <c r="K79" s="34">
        <f t="shared" si="17"/>
        <v>5008</v>
      </c>
      <c r="M79">
        <v>228</v>
      </c>
      <c r="N79">
        <v>5007</v>
      </c>
      <c r="O79">
        <v>1</v>
      </c>
      <c r="P79">
        <v>5007</v>
      </c>
    </row>
    <row r="80" spans="1:16" x14ac:dyDescent="0.15">
      <c r="A80" s="34"/>
      <c r="B80" s="7">
        <v>3064</v>
      </c>
      <c r="C80" s="52" t="s">
        <v>1708</v>
      </c>
      <c r="H80" s="54">
        <v>221</v>
      </c>
      <c r="I80" s="7">
        <v>5007</v>
      </c>
      <c r="J80" s="34">
        <f t="shared" si="16"/>
        <v>1</v>
      </c>
      <c r="K80" s="34">
        <f t="shared" si="17"/>
        <v>5007</v>
      </c>
      <c r="M80">
        <v>229</v>
      </c>
      <c r="N80">
        <v>5008</v>
      </c>
      <c r="O80">
        <v>1</v>
      </c>
      <c r="P80">
        <v>5008</v>
      </c>
    </row>
    <row r="81" spans="1:16" x14ac:dyDescent="0.15">
      <c r="A81" s="34"/>
      <c r="B81" s="7">
        <v>3065</v>
      </c>
      <c r="C81" s="52" t="s">
        <v>1709</v>
      </c>
      <c r="H81" s="54">
        <v>222</v>
      </c>
      <c r="I81" s="7">
        <v>5007</v>
      </c>
      <c r="J81" s="34">
        <f t="shared" si="16"/>
        <v>0</v>
      </c>
      <c r="K81" s="34">
        <f t="shared" si="17"/>
        <v>5007</v>
      </c>
      <c r="M81">
        <v>232</v>
      </c>
      <c r="N81">
        <v>5008</v>
      </c>
      <c r="O81">
        <v>1</v>
      </c>
      <c r="P81" t="s">
        <v>1825</v>
      </c>
    </row>
    <row r="82" spans="1:16" x14ac:dyDescent="0.15">
      <c r="A82" s="34"/>
      <c r="B82" s="7">
        <v>3066</v>
      </c>
      <c r="C82" s="52" t="s">
        <v>1710</v>
      </c>
      <c r="H82" s="54">
        <v>222</v>
      </c>
      <c r="I82" s="7">
        <v>5008</v>
      </c>
      <c r="J82" s="34">
        <f t="shared" si="16"/>
        <v>1</v>
      </c>
      <c r="K82" s="34" t="str">
        <f t="shared" si="17"/>
        <v>5007,5008</v>
      </c>
      <c r="M82">
        <v>234</v>
      </c>
      <c r="N82">
        <v>5007</v>
      </c>
      <c r="O82">
        <v>1</v>
      </c>
      <c r="P82">
        <v>5007</v>
      </c>
    </row>
    <row r="83" spans="1:16" x14ac:dyDescent="0.15">
      <c r="A83" s="34"/>
      <c r="B83" s="7">
        <v>3067</v>
      </c>
      <c r="C83" s="52" t="s">
        <v>1711</v>
      </c>
      <c r="H83" s="54">
        <v>223</v>
      </c>
      <c r="I83" s="7">
        <v>5007</v>
      </c>
      <c r="J83" s="34">
        <f t="shared" si="16"/>
        <v>1</v>
      </c>
      <c r="K83" s="34">
        <f t="shared" si="17"/>
        <v>5007</v>
      </c>
      <c r="M83">
        <v>236</v>
      </c>
      <c r="N83">
        <v>5006</v>
      </c>
      <c r="O83">
        <v>1</v>
      </c>
      <c r="P83">
        <v>5006</v>
      </c>
    </row>
    <row r="84" spans="1:16" x14ac:dyDescent="0.15">
      <c r="A84" s="34"/>
      <c r="B84" s="7">
        <v>3068</v>
      </c>
      <c r="C84" s="52" t="s">
        <v>1712</v>
      </c>
      <c r="H84" s="54">
        <v>224</v>
      </c>
      <c r="I84" s="7">
        <v>5006</v>
      </c>
      <c r="J84" s="34">
        <f t="shared" si="16"/>
        <v>0</v>
      </c>
      <c r="K84" s="34">
        <f t="shared" si="17"/>
        <v>5006</v>
      </c>
      <c r="M84">
        <v>237</v>
      </c>
      <c r="N84">
        <v>5008</v>
      </c>
      <c r="O84">
        <v>1</v>
      </c>
      <c r="P84">
        <v>5008</v>
      </c>
    </row>
    <row r="85" spans="1:16" x14ac:dyDescent="0.15">
      <c r="A85" s="34"/>
      <c r="B85" s="7">
        <v>3069</v>
      </c>
      <c r="C85" s="52" t="s">
        <v>1713</v>
      </c>
      <c r="H85" s="54">
        <v>224</v>
      </c>
      <c r="I85" s="7">
        <v>5007</v>
      </c>
      <c r="J85" s="34">
        <f t="shared" si="16"/>
        <v>1</v>
      </c>
      <c r="K85" s="34" t="str">
        <f t="shared" si="17"/>
        <v>5006,5007</v>
      </c>
      <c r="M85">
        <v>238</v>
      </c>
      <c r="N85">
        <v>5007</v>
      </c>
      <c r="O85">
        <v>1</v>
      </c>
      <c r="P85">
        <v>5007</v>
      </c>
    </row>
    <row r="86" spans="1:16" x14ac:dyDescent="0.15">
      <c r="A86" s="34"/>
      <c r="B86" s="7">
        <v>3070</v>
      </c>
      <c r="C86" s="52" t="s">
        <v>1714</v>
      </c>
      <c r="H86" s="54">
        <v>225</v>
      </c>
      <c r="I86" s="7">
        <v>5006</v>
      </c>
      <c r="J86" s="34">
        <f t="shared" si="16"/>
        <v>0</v>
      </c>
      <c r="K86" s="34">
        <f t="shared" si="17"/>
        <v>5006</v>
      </c>
      <c r="M86">
        <v>239</v>
      </c>
      <c r="N86">
        <v>5008</v>
      </c>
      <c r="O86">
        <v>1</v>
      </c>
      <c r="P86">
        <v>5008</v>
      </c>
    </row>
    <row r="87" spans="1:16" x14ac:dyDescent="0.15">
      <c r="A87" s="34"/>
      <c r="B87" s="7">
        <v>3071</v>
      </c>
      <c r="C87" s="52" t="s">
        <v>1715</v>
      </c>
      <c r="H87" s="54">
        <v>225</v>
      </c>
      <c r="I87" s="7">
        <v>5008</v>
      </c>
      <c r="J87" s="34">
        <f t="shared" si="16"/>
        <v>1</v>
      </c>
      <c r="K87" s="34" t="str">
        <f t="shared" si="17"/>
        <v>5006,5008</v>
      </c>
      <c r="M87">
        <v>240</v>
      </c>
      <c r="N87">
        <v>5008</v>
      </c>
      <c r="O87">
        <v>1</v>
      </c>
      <c r="P87" t="s">
        <v>1828</v>
      </c>
    </row>
    <row r="88" spans="1:16" x14ac:dyDescent="0.15">
      <c r="A88" s="34"/>
      <c r="B88" s="7">
        <v>3072</v>
      </c>
      <c r="C88" s="52" t="s">
        <v>1716</v>
      </c>
      <c r="H88" s="54">
        <v>227</v>
      </c>
      <c r="I88" s="7">
        <v>5007</v>
      </c>
      <c r="J88" s="34">
        <f t="shared" si="16"/>
        <v>0</v>
      </c>
      <c r="K88" s="34">
        <f t="shared" si="17"/>
        <v>5007</v>
      </c>
      <c r="M88">
        <v>241</v>
      </c>
      <c r="N88">
        <v>5007</v>
      </c>
      <c r="O88">
        <v>1</v>
      </c>
      <c r="P88" t="s">
        <v>1829</v>
      </c>
    </row>
    <row r="89" spans="1:16" x14ac:dyDescent="0.15">
      <c r="A89" s="34"/>
      <c r="B89" s="7">
        <v>3073</v>
      </c>
      <c r="C89" s="52" t="s">
        <v>1717</v>
      </c>
      <c r="H89" s="54">
        <v>227</v>
      </c>
      <c r="I89" s="7">
        <v>5008</v>
      </c>
      <c r="J89" s="34">
        <f t="shared" si="16"/>
        <v>1</v>
      </c>
      <c r="K89" s="34" t="str">
        <f t="shared" si="17"/>
        <v>5007,5008</v>
      </c>
      <c r="M89">
        <v>242</v>
      </c>
      <c r="N89">
        <v>5007</v>
      </c>
      <c r="O89">
        <v>1</v>
      </c>
      <c r="P89">
        <v>5007</v>
      </c>
    </row>
    <row r="90" spans="1:16" x14ac:dyDescent="0.15">
      <c r="A90" s="34"/>
      <c r="B90" s="7">
        <v>3074</v>
      </c>
      <c r="C90" s="52" t="s">
        <v>1718</v>
      </c>
      <c r="H90" s="54">
        <v>228</v>
      </c>
      <c r="I90" s="7">
        <v>5007</v>
      </c>
      <c r="J90" s="34">
        <f t="shared" si="16"/>
        <v>1</v>
      </c>
      <c r="K90" s="34">
        <f t="shared" si="17"/>
        <v>5007</v>
      </c>
      <c r="M90">
        <v>244</v>
      </c>
      <c r="N90">
        <v>5006</v>
      </c>
      <c r="O90">
        <v>1</v>
      </c>
      <c r="P90">
        <v>5006</v>
      </c>
    </row>
    <row r="91" spans="1:16" x14ac:dyDescent="0.15">
      <c r="A91" s="34"/>
      <c r="B91" s="7">
        <v>3075</v>
      </c>
      <c r="C91" s="52" t="s">
        <v>1719</v>
      </c>
      <c r="H91" s="54">
        <v>229</v>
      </c>
      <c r="I91" s="7">
        <v>5008</v>
      </c>
      <c r="J91" s="34">
        <f t="shared" si="16"/>
        <v>1</v>
      </c>
      <c r="K91" s="34">
        <f t="shared" si="17"/>
        <v>5008</v>
      </c>
      <c r="M91">
        <v>245</v>
      </c>
      <c r="N91">
        <v>5007</v>
      </c>
      <c r="O91">
        <v>1</v>
      </c>
      <c r="P91" t="s">
        <v>1829</v>
      </c>
    </row>
    <row r="92" spans="1:16" x14ac:dyDescent="0.15">
      <c r="A92" s="34"/>
      <c r="B92" s="7">
        <v>3076</v>
      </c>
      <c r="C92" s="52" t="s">
        <v>1720</v>
      </c>
      <c r="H92" s="54">
        <v>232</v>
      </c>
      <c r="I92" s="7">
        <v>5007</v>
      </c>
      <c r="J92" s="34">
        <f t="shared" si="16"/>
        <v>0</v>
      </c>
      <c r="K92" s="34">
        <f t="shared" si="17"/>
        <v>5007</v>
      </c>
      <c r="M92">
        <v>246</v>
      </c>
      <c r="N92">
        <v>5007</v>
      </c>
      <c r="O92">
        <v>1</v>
      </c>
      <c r="P92">
        <v>5007</v>
      </c>
    </row>
    <row r="93" spans="1:16" x14ac:dyDescent="0.15">
      <c r="A93" s="34"/>
      <c r="B93" s="7">
        <v>3077</v>
      </c>
      <c r="C93" s="52" t="s">
        <v>1721</v>
      </c>
      <c r="H93" s="54">
        <v>232</v>
      </c>
      <c r="I93" s="7">
        <v>5008</v>
      </c>
      <c r="J93" s="34">
        <f t="shared" si="16"/>
        <v>1</v>
      </c>
      <c r="K93" s="34" t="str">
        <f t="shared" si="17"/>
        <v>5007,5008</v>
      </c>
      <c r="M93">
        <v>247</v>
      </c>
      <c r="N93">
        <v>5008</v>
      </c>
      <c r="O93">
        <v>1</v>
      </c>
      <c r="P93" t="s">
        <v>1825</v>
      </c>
    </row>
    <row r="94" spans="1:16" x14ac:dyDescent="0.15">
      <c r="A94" s="34"/>
      <c r="B94" s="7">
        <v>3078</v>
      </c>
      <c r="C94" s="52" t="s">
        <v>1722</v>
      </c>
      <c r="H94" s="54">
        <v>234</v>
      </c>
      <c r="I94" s="7">
        <v>5007</v>
      </c>
      <c r="J94" s="34">
        <f t="shared" si="16"/>
        <v>1</v>
      </c>
      <c r="K94" s="34">
        <f t="shared" si="17"/>
        <v>5007</v>
      </c>
      <c r="M94">
        <v>248</v>
      </c>
      <c r="N94">
        <v>5007</v>
      </c>
      <c r="O94">
        <v>1</v>
      </c>
      <c r="P94">
        <v>5007</v>
      </c>
    </row>
    <row r="95" spans="1:16" x14ac:dyDescent="0.15">
      <c r="A95" s="34"/>
      <c r="B95" s="7">
        <v>3079</v>
      </c>
      <c r="C95" s="52" t="s">
        <v>1723</v>
      </c>
      <c r="H95" s="54">
        <v>236</v>
      </c>
      <c r="I95" s="7">
        <v>5006</v>
      </c>
      <c r="J95" s="34">
        <f t="shared" si="16"/>
        <v>1</v>
      </c>
      <c r="K95" s="34">
        <f t="shared" si="17"/>
        <v>5006</v>
      </c>
      <c r="M95">
        <v>250</v>
      </c>
      <c r="N95">
        <v>5006</v>
      </c>
      <c r="O95">
        <v>1</v>
      </c>
      <c r="P95" t="s">
        <v>1826</v>
      </c>
    </row>
    <row r="96" spans="1:16" x14ac:dyDescent="0.15">
      <c r="A96" s="34"/>
      <c r="B96" s="7">
        <v>3080</v>
      </c>
      <c r="C96" s="52" t="s">
        <v>1724</v>
      </c>
      <c r="H96" s="54">
        <v>237</v>
      </c>
      <c r="I96" s="7">
        <v>5008</v>
      </c>
      <c r="J96" s="34">
        <f t="shared" si="16"/>
        <v>1</v>
      </c>
      <c r="K96" s="34">
        <f t="shared" si="17"/>
        <v>5008</v>
      </c>
      <c r="M96">
        <v>251</v>
      </c>
      <c r="N96">
        <v>5007</v>
      </c>
      <c r="O96">
        <v>1</v>
      </c>
      <c r="P96" t="s">
        <v>1827</v>
      </c>
    </row>
    <row r="97" spans="1:16" x14ac:dyDescent="0.15">
      <c r="A97" s="34"/>
      <c r="B97" s="7">
        <v>3081</v>
      </c>
      <c r="C97" s="52" t="s">
        <v>1725</v>
      </c>
      <c r="H97" s="54">
        <v>238</v>
      </c>
      <c r="I97" s="7">
        <v>5007</v>
      </c>
      <c r="J97" s="34">
        <f t="shared" si="16"/>
        <v>1</v>
      </c>
      <c r="K97" s="34">
        <f t="shared" si="17"/>
        <v>5007</v>
      </c>
      <c r="M97">
        <v>253</v>
      </c>
      <c r="N97">
        <v>5008</v>
      </c>
      <c r="O97">
        <v>1</v>
      </c>
      <c r="P97">
        <v>5008</v>
      </c>
    </row>
    <row r="98" spans="1:16" x14ac:dyDescent="0.15">
      <c r="A98" s="34"/>
      <c r="B98" s="7">
        <v>3082</v>
      </c>
      <c r="C98" s="52" t="s">
        <v>1726</v>
      </c>
      <c r="H98" s="54">
        <v>239</v>
      </c>
      <c r="I98" s="7">
        <v>5008</v>
      </c>
      <c r="J98" s="34">
        <f t="shared" si="16"/>
        <v>1</v>
      </c>
      <c r="K98" s="34">
        <f t="shared" si="17"/>
        <v>5008</v>
      </c>
      <c r="M98">
        <v>254</v>
      </c>
      <c r="N98">
        <v>5006</v>
      </c>
      <c r="O98">
        <v>1</v>
      </c>
      <c r="P98" t="s">
        <v>1826</v>
      </c>
    </row>
    <row r="99" spans="1:16" x14ac:dyDescent="0.15">
      <c r="A99" s="34"/>
      <c r="B99" s="7">
        <v>3083</v>
      </c>
      <c r="C99" s="52" t="s">
        <v>1727</v>
      </c>
      <c r="H99" s="54">
        <v>240</v>
      </c>
      <c r="I99" s="7">
        <v>5006</v>
      </c>
      <c r="J99" s="34">
        <f t="shared" si="16"/>
        <v>0</v>
      </c>
      <c r="K99" s="34">
        <f t="shared" si="17"/>
        <v>5006</v>
      </c>
      <c r="M99">
        <v>255</v>
      </c>
      <c r="N99">
        <v>5007</v>
      </c>
      <c r="O99">
        <v>1</v>
      </c>
      <c r="P99" t="s">
        <v>1830</v>
      </c>
    </row>
    <row r="100" spans="1:16" x14ac:dyDescent="0.15">
      <c r="A100" s="34"/>
      <c r="B100" s="7">
        <v>3084</v>
      </c>
      <c r="C100" s="52" t="s">
        <v>1728</v>
      </c>
      <c r="H100" s="54">
        <v>240</v>
      </c>
      <c r="I100" s="7">
        <v>5008</v>
      </c>
      <c r="J100" s="34">
        <f t="shared" si="16"/>
        <v>1</v>
      </c>
      <c r="K100" s="34" t="str">
        <f t="shared" si="17"/>
        <v>5006,5008</v>
      </c>
      <c r="M100">
        <v>256</v>
      </c>
      <c r="N100">
        <v>5008</v>
      </c>
      <c r="O100">
        <v>1</v>
      </c>
      <c r="P100" t="s">
        <v>1831</v>
      </c>
    </row>
    <row r="101" spans="1:16" x14ac:dyDescent="0.15">
      <c r="A101" s="34"/>
      <c r="B101" s="7">
        <v>3085</v>
      </c>
      <c r="C101" s="52" t="s">
        <v>1729</v>
      </c>
      <c r="H101" s="54">
        <v>241</v>
      </c>
      <c r="I101" s="7">
        <v>5008</v>
      </c>
      <c r="J101" s="34">
        <f t="shared" si="16"/>
        <v>0</v>
      </c>
      <c r="K101" s="34">
        <f t="shared" si="17"/>
        <v>5008</v>
      </c>
      <c r="M101">
        <v>257</v>
      </c>
      <c r="N101">
        <v>5008</v>
      </c>
      <c r="O101">
        <v>1</v>
      </c>
      <c r="P101" t="s">
        <v>1828</v>
      </c>
    </row>
    <row r="102" spans="1:16" x14ac:dyDescent="0.15">
      <c r="A102" s="34"/>
      <c r="B102" s="7">
        <v>3086</v>
      </c>
      <c r="C102" s="52" t="s">
        <v>1730</v>
      </c>
      <c r="H102" s="54">
        <v>241</v>
      </c>
      <c r="I102" s="7">
        <v>5007</v>
      </c>
      <c r="J102" s="34">
        <f t="shared" si="16"/>
        <v>1</v>
      </c>
      <c r="K102" s="34" t="str">
        <f t="shared" si="17"/>
        <v>5008,5007</v>
      </c>
      <c r="M102">
        <v>258</v>
      </c>
      <c r="N102">
        <v>5007</v>
      </c>
      <c r="O102">
        <v>1</v>
      </c>
      <c r="P102" t="s">
        <v>1829</v>
      </c>
    </row>
    <row r="103" spans="1:16" x14ac:dyDescent="0.15">
      <c r="A103" s="34"/>
      <c r="B103" s="7">
        <v>3087</v>
      </c>
      <c r="C103" s="52" t="s">
        <v>1731</v>
      </c>
      <c r="H103" s="54">
        <v>242</v>
      </c>
      <c r="I103" s="7">
        <v>5007</v>
      </c>
      <c r="J103" s="34">
        <f t="shared" si="16"/>
        <v>1</v>
      </c>
      <c r="K103" s="34">
        <f t="shared" si="17"/>
        <v>5007</v>
      </c>
      <c r="M103">
        <v>259</v>
      </c>
      <c r="N103">
        <v>5008</v>
      </c>
      <c r="O103">
        <v>1</v>
      </c>
      <c r="P103" t="s">
        <v>1828</v>
      </c>
    </row>
    <row r="104" spans="1:16" x14ac:dyDescent="0.15">
      <c r="A104" s="34"/>
      <c r="B104" s="7">
        <v>3088</v>
      </c>
      <c r="C104" s="52" t="s">
        <v>1732</v>
      </c>
      <c r="H104" s="54">
        <v>244</v>
      </c>
      <c r="I104" s="7">
        <v>5006</v>
      </c>
      <c r="J104" s="34">
        <f t="shared" si="16"/>
        <v>1</v>
      </c>
      <c r="K104" s="34">
        <f t="shared" si="17"/>
        <v>5006</v>
      </c>
      <c r="M104">
        <v>260</v>
      </c>
      <c r="N104">
        <v>5008</v>
      </c>
      <c r="O104">
        <v>1</v>
      </c>
      <c r="P104">
        <v>5008</v>
      </c>
    </row>
    <row r="105" spans="1:16" x14ac:dyDescent="0.15">
      <c r="A105" s="34"/>
      <c r="B105" s="7">
        <v>3089</v>
      </c>
      <c r="C105" s="52" t="s">
        <v>1733</v>
      </c>
      <c r="H105" s="54">
        <v>245</v>
      </c>
      <c r="I105" s="7">
        <v>5008</v>
      </c>
      <c r="J105" s="34">
        <f t="shared" si="16"/>
        <v>0</v>
      </c>
      <c r="K105" s="34">
        <f t="shared" si="17"/>
        <v>5008</v>
      </c>
      <c r="M105">
        <v>261</v>
      </c>
      <c r="N105">
        <v>5008</v>
      </c>
      <c r="O105">
        <v>1</v>
      </c>
      <c r="P105" t="s">
        <v>1828</v>
      </c>
    </row>
    <row r="106" spans="1:16" x14ac:dyDescent="0.15">
      <c r="A106" s="34"/>
      <c r="B106" s="7">
        <v>3090</v>
      </c>
      <c r="C106" s="52" t="s">
        <v>1734</v>
      </c>
      <c r="H106" s="54">
        <v>245</v>
      </c>
      <c r="I106" s="7">
        <v>5007</v>
      </c>
      <c r="J106" s="34">
        <f t="shared" si="16"/>
        <v>1</v>
      </c>
      <c r="K106" s="34" t="str">
        <f t="shared" si="17"/>
        <v>5008,5007</v>
      </c>
      <c r="M106">
        <v>263</v>
      </c>
      <c r="N106">
        <v>5008</v>
      </c>
      <c r="O106">
        <v>1</v>
      </c>
      <c r="P106" t="s">
        <v>1828</v>
      </c>
    </row>
    <row r="107" spans="1:16" x14ac:dyDescent="0.15">
      <c r="A107" s="34"/>
      <c r="B107" s="7">
        <v>3091</v>
      </c>
      <c r="C107" s="52" t="s">
        <v>1735</v>
      </c>
      <c r="H107" s="54">
        <v>246</v>
      </c>
      <c r="I107" s="7">
        <v>5007</v>
      </c>
      <c r="J107" s="34">
        <f t="shared" si="16"/>
        <v>1</v>
      </c>
      <c r="K107" s="34">
        <f t="shared" si="17"/>
        <v>5007</v>
      </c>
      <c r="M107">
        <v>264</v>
      </c>
      <c r="N107">
        <v>5008</v>
      </c>
      <c r="O107">
        <v>1</v>
      </c>
      <c r="P107" t="s">
        <v>1825</v>
      </c>
    </row>
    <row r="108" spans="1:16" x14ac:dyDescent="0.15">
      <c r="A108" s="34"/>
      <c r="B108" s="7">
        <v>3092</v>
      </c>
      <c r="C108" s="52" t="s">
        <v>1736</v>
      </c>
      <c r="H108" s="54">
        <v>247</v>
      </c>
      <c r="I108" s="7">
        <v>5007</v>
      </c>
      <c r="J108" s="34">
        <f t="shared" si="16"/>
        <v>0</v>
      </c>
      <c r="K108" s="34">
        <f t="shared" si="17"/>
        <v>5007</v>
      </c>
      <c r="M108">
        <v>265</v>
      </c>
      <c r="N108">
        <v>5006</v>
      </c>
      <c r="O108">
        <v>1</v>
      </c>
      <c r="P108">
        <v>5006</v>
      </c>
    </row>
    <row r="109" spans="1:16" x14ac:dyDescent="0.15">
      <c r="A109" s="34"/>
      <c r="B109" s="7">
        <v>2000</v>
      </c>
      <c r="C109" s="52">
        <v>102</v>
      </c>
      <c r="H109" s="54">
        <v>247</v>
      </c>
      <c r="I109" s="7">
        <v>5008</v>
      </c>
      <c r="J109" s="34">
        <f t="shared" si="16"/>
        <v>1</v>
      </c>
      <c r="K109" s="34" t="str">
        <f t="shared" si="17"/>
        <v>5007,5008</v>
      </c>
      <c r="M109">
        <v>267</v>
      </c>
      <c r="N109">
        <v>5008</v>
      </c>
      <c r="O109">
        <v>1</v>
      </c>
      <c r="P109" t="s">
        <v>1831</v>
      </c>
    </row>
    <row r="110" spans="1:16" x14ac:dyDescent="0.15">
      <c r="A110" s="34"/>
      <c r="B110" s="7">
        <v>2001</v>
      </c>
      <c r="C110" s="52" t="s">
        <v>1737</v>
      </c>
      <c r="H110" s="54">
        <v>248</v>
      </c>
      <c r="I110" s="7">
        <v>5007</v>
      </c>
      <c r="J110" s="34">
        <f t="shared" si="16"/>
        <v>1</v>
      </c>
      <c r="K110" s="34">
        <f t="shared" si="17"/>
        <v>5007</v>
      </c>
      <c r="M110">
        <v>268</v>
      </c>
      <c r="N110">
        <v>5008</v>
      </c>
      <c r="O110">
        <v>1</v>
      </c>
      <c r="P110">
        <v>5008</v>
      </c>
    </row>
    <row r="111" spans="1:16" x14ac:dyDescent="0.15">
      <c r="A111" s="34"/>
      <c r="B111" s="7">
        <v>2003</v>
      </c>
      <c r="C111" s="52" t="s">
        <v>1738</v>
      </c>
      <c r="H111" s="54">
        <v>250</v>
      </c>
      <c r="I111" s="7">
        <v>5008</v>
      </c>
      <c r="J111" s="34">
        <f t="shared" si="16"/>
        <v>0</v>
      </c>
      <c r="K111" s="34">
        <f t="shared" si="17"/>
        <v>5008</v>
      </c>
      <c r="M111">
        <v>269</v>
      </c>
      <c r="N111">
        <v>5006</v>
      </c>
      <c r="O111">
        <v>1</v>
      </c>
      <c r="P111" t="s">
        <v>1826</v>
      </c>
    </row>
    <row r="112" spans="1:16" x14ac:dyDescent="0.15">
      <c r="A112" s="34"/>
      <c r="B112" s="7">
        <v>2011</v>
      </c>
      <c r="C112" s="2">
        <v>283</v>
      </c>
      <c r="H112" s="54">
        <v>250</v>
      </c>
      <c r="I112" s="7">
        <v>5006</v>
      </c>
      <c r="J112" s="34">
        <f t="shared" si="16"/>
        <v>1</v>
      </c>
      <c r="K112" s="34" t="str">
        <f t="shared" si="17"/>
        <v>5008,5006</v>
      </c>
      <c r="M112">
        <v>270</v>
      </c>
      <c r="N112">
        <v>5008</v>
      </c>
      <c r="O112">
        <v>1</v>
      </c>
      <c r="P112">
        <v>5008</v>
      </c>
    </row>
    <row r="113" spans="1:16" x14ac:dyDescent="0.15">
      <c r="A113" s="34"/>
      <c r="B113" s="7">
        <v>2012</v>
      </c>
      <c r="C113" s="2">
        <v>203</v>
      </c>
      <c r="H113" s="54">
        <v>251</v>
      </c>
      <c r="I113" s="7">
        <v>5006</v>
      </c>
      <c r="J113" s="34">
        <f t="shared" si="16"/>
        <v>0</v>
      </c>
      <c r="K113" s="34">
        <f t="shared" si="17"/>
        <v>5006</v>
      </c>
      <c r="M113">
        <v>271</v>
      </c>
      <c r="N113">
        <v>5008</v>
      </c>
      <c r="O113">
        <v>1</v>
      </c>
      <c r="P113" t="s">
        <v>1825</v>
      </c>
    </row>
    <row r="114" spans="1:16" x14ac:dyDescent="0.15">
      <c r="A114" s="34"/>
      <c r="B114" s="7">
        <v>2020</v>
      </c>
      <c r="C114" s="2" t="s">
        <v>1810</v>
      </c>
      <c r="H114" s="54">
        <v>251</v>
      </c>
      <c r="I114" s="7">
        <v>5007</v>
      </c>
      <c r="J114" s="34">
        <f t="shared" si="16"/>
        <v>1</v>
      </c>
      <c r="K114" s="34" t="str">
        <f t="shared" si="17"/>
        <v>5006,5007</v>
      </c>
      <c r="M114">
        <v>272</v>
      </c>
      <c r="N114">
        <v>5007</v>
      </c>
      <c r="O114">
        <v>1</v>
      </c>
      <c r="P114">
        <v>5007</v>
      </c>
    </row>
    <row r="115" spans="1:16" x14ac:dyDescent="0.15">
      <c r="A115" s="34"/>
      <c r="B115" s="7">
        <v>2021</v>
      </c>
      <c r="C115" s="2" t="s">
        <v>1812</v>
      </c>
      <c r="H115" s="54">
        <v>253</v>
      </c>
      <c r="I115" s="7">
        <v>5008</v>
      </c>
      <c r="J115" s="34">
        <f t="shared" si="16"/>
        <v>1</v>
      </c>
      <c r="K115" s="34">
        <f t="shared" si="17"/>
        <v>5008</v>
      </c>
      <c r="M115">
        <v>273</v>
      </c>
      <c r="N115">
        <v>5007</v>
      </c>
      <c r="O115">
        <v>1</v>
      </c>
      <c r="P115">
        <v>5007</v>
      </c>
    </row>
    <row r="116" spans="1:16" x14ac:dyDescent="0.15">
      <c r="A116" s="34"/>
      <c r="B116" s="7">
        <v>2100</v>
      </c>
      <c r="C116" s="52" t="s">
        <v>1739</v>
      </c>
      <c r="H116" s="54">
        <v>254</v>
      </c>
      <c r="I116" s="7">
        <v>5008</v>
      </c>
      <c r="J116" s="34">
        <f t="shared" si="16"/>
        <v>0</v>
      </c>
      <c r="K116" s="34">
        <f t="shared" si="17"/>
        <v>5008</v>
      </c>
      <c r="M116">
        <v>274</v>
      </c>
      <c r="N116">
        <v>5008</v>
      </c>
      <c r="O116">
        <v>1</v>
      </c>
      <c r="P116">
        <v>5008</v>
      </c>
    </row>
    <row r="117" spans="1:16" x14ac:dyDescent="0.15">
      <c r="A117" s="34"/>
      <c r="B117" s="7">
        <v>2101</v>
      </c>
      <c r="C117" s="52" t="s">
        <v>1740</v>
      </c>
      <c r="H117" s="54">
        <v>254</v>
      </c>
      <c r="I117" s="7">
        <v>5006</v>
      </c>
      <c r="J117" s="34">
        <f t="shared" si="16"/>
        <v>1</v>
      </c>
      <c r="K117" s="34" t="str">
        <f t="shared" si="17"/>
        <v>5008,5006</v>
      </c>
      <c r="M117">
        <v>275</v>
      </c>
      <c r="N117">
        <v>5008</v>
      </c>
      <c r="O117">
        <v>1</v>
      </c>
      <c r="P117">
        <v>5008</v>
      </c>
    </row>
    <row r="118" spans="1:16" x14ac:dyDescent="0.15">
      <c r="A118" s="34"/>
      <c r="B118" s="7">
        <v>2102</v>
      </c>
      <c r="C118" s="52" t="s">
        <v>1741</v>
      </c>
      <c r="H118" s="54">
        <v>255</v>
      </c>
      <c r="I118" s="7">
        <v>5006</v>
      </c>
      <c r="J118" s="34">
        <f t="shared" si="16"/>
        <v>0</v>
      </c>
      <c r="K118" s="34">
        <f t="shared" si="17"/>
        <v>5006</v>
      </c>
      <c r="M118">
        <v>276</v>
      </c>
      <c r="N118">
        <v>5007</v>
      </c>
      <c r="O118">
        <v>1</v>
      </c>
      <c r="P118">
        <v>5007</v>
      </c>
    </row>
    <row r="119" spans="1:16" x14ac:dyDescent="0.15">
      <c r="A119" s="34"/>
      <c r="B119" s="7">
        <v>2103</v>
      </c>
      <c r="C119" s="52" t="s">
        <v>1742</v>
      </c>
      <c r="H119" s="54">
        <v>255</v>
      </c>
      <c r="I119" s="7">
        <v>5008</v>
      </c>
      <c r="J119" s="34">
        <f t="shared" ref="J119:J182" si="18">IF(H119&lt;&gt;H120,1,0)</f>
        <v>0</v>
      </c>
      <c r="K119" s="34" t="str">
        <f t="shared" ref="K119:K182" si="19">IF(H119&lt;&gt;H118,I119,K118&amp;","&amp;I119)</f>
        <v>5006,5008</v>
      </c>
      <c r="M119">
        <v>278</v>
      </c>
      <c r="N119">
        <v>5007</v>
      </c>
      <c r="O119">
        <v>1</v>
      </c>
      <c r="P119" t="s">
        <v>1827</v>
      </c>
    </row>
    <row r="120" spans="1:16" x14ac:dyDescent="0.15">
      <c r="A120" s="34"/>
      <c r="B120" s="7">
        <v>2104</v>
      </c>
      <c r="C120" s="52" t="s">
        <v>1743</v>
      </c>
      <c r="H120" s="54">
        <v>255</v>
      </c>
      <c r="I120" s="7">
        <v>5007</v>
      </c>
      <c r="J120" s="34">
        <f t="shared" si="18"/>
        <v>1</v>
      </c>
      <c r="K120" s="34" t="str">
        <f t="shared" si="19"/>
        <v>5006,5008,5007</v>
      </c>
      <c r="M120">
        <v>279</v>
      </c>
      <c r="N120">
        <v>5007</v>
      </c>
      <c r="O120">
        <v>1</v>
      </c>
      <c r="P120">
        <v>5007</v>
      </c>
    </row>
    <row r="121" spans="1:16" x14ac:dyDescent="0.15">
      <c r="A121" s="34"/>
      <c r="B121" s="7">
        <v>2105</v>
      </c>
      <c r="C121" s="52" t="s">
        <v>1744</v>
      </c>
      <c r="H121" s="54">
        <v>256</v>
      </c>
      <c r="I121" s="7">
        <v>5006</v>
      </c>
      <c r="J121" s="34">
        <f t="shared" si="18"/>
        <v>0</v>
      </c>
      <c r="K121" s="34">
        <f t="shared" si="19"/>
        <v>5006</v>
      </c>
      <c r="M121">
        <v>280</v>
      </c>
      <c r="N121">
        <v>5007</v>
      </c>
      <c r="O121">
        <v>1</v>
      </c>
      <c r="P121">
        <v>5007</v>
      </c>
    </row>
    <row r="122" spans="1:16" x14ac:dyDescent="0.15">
      <c r="A122" s="34"/>
      <c r="B122" s="7">
        <v>2106</v>
      </c>
      <c r="C122" s="52" t="s">
        <v>1745</v>
      </c>
      <c r="H122" s="54">
        <v>256</v>
      </c>
      <c r="I122" s="7">
        <v>5007</v>
      </c>
      <c r="J122" s="34">
        <f t="shared" si="18"/>
        <v>0</v>
      </c>
      <c r="K122" s="34" t="str">
        <f t="shared" si="19"/>
        <v>5006,5007</v>
      </c>
      <c r="M122">
        <v>281</v>
      </c>
      <c r="N122">
        <v>5006</v>
      </c>
      <c r="O122">
        <v>1</v>
      </c>
      <c r="P122" t="s">
        <v>1832</v>
      </c>
    </row>
    <row r="123" spans="1:16" x14ac:dyDescent="0.15">
      <c r="A123" s="34"/>
      <c r="B123" s="7">
        <v>2107</v>
      </c>
      <c r="C123" s="52" t="s">
        <v>1746</v>
      </c>
      <c r="H123" s="54">
        <v>256</v>
      </c>
      <c r="I123" s="7">
        <v>5008</v>
      </c>
      <c r="J123" s="34">
        <f t="shared" si="18"/>
        <v>1</v>
      </c>
      <c r="K123" s="34" t="str">
        <f t="shared" si="19"/>
        <v>5006,5007,5008</v>
      </c>
      <c r="M123">
        <v>282</v>
      </c>
      <c r="N123">
        <v>5007</v>
      </c>
      <c r="O123">
        <v>1</v>
      </c>
      <c r="P123">
        <v>5007</v>
      </c>
    </row>
    <row r="124" spans="1:16" x14ac:dyDescent="0.15">
      <c r="A124" s="34"/>
      <c r="B124" s="7">
        <v>2108</v>
      </c>
      <c r="C124" s="52" t="s">
        <v>1747</v>
      </c>
      <c r="H124" s="54">
        <v>257</v>
      </c>
      <c r="I124" s="7">
        <v>5006</v>
      </c>
      <c r="J124" s="34">
        <f t="shared" si="18"/>
        <v>0</v>
      </c>
      <c r="K124" s="34">
        <f t="shared" si="19"/>
        <v>5006</v>
      </c>
      <c r="M124">
        <v>283</v>
      </c>
      <c r="N124">
        <v>5014</v>
      </c>
      <c r="O124">
        <v>1</v>
      </c>
      <c r="P124" t="s">
        <v>1833</v>
      </c>
    </row>
    <row r="125" spans="1:16" x14ac:dyDescent="0.15">
      <c r="A125" s="34"/>
      <c r="B125" s="7">
        <v>2109</v>
      </c>
      <c r="C125" s="52" t="s">
        <v>1748</v>
      </c>
      <c r="H125" s="54">
        <v>257</v>
      </c>
      <c r="I125" s="7">
        <v>5008</v>
      </c>
      <c r="J125" s="34">
        <f t="shared" si="18"/>
        <v>1</v>
      </c>
      <c r="K125" s="34" t="str">
        <f t="shared" si="19"/>
        <v>5006,5008</v>
      </c>
      <c r="M125">
        <v>284</v>
      </c>
      <c r="N125">
        <v>5008</v>
      </c>
      <c r="O125">
        <v>1</v>
      </c>
      <c r="P125" t="s">
        <v>1828</v>
      </c>
    </row>
    <row r="126" spans="1:16" x14ac:dyDescent="0.15">
      <c r="A126" s="34"/>
      <c r="B126" s="7">
        <v>2110</v>
      </c>
      <c r="C126" s="52" t="s">
        <v>1749</v>
      </c>
      <c r="H126" s="54">
        <v>258</v>
      </c>
      <c r="I126" s="7">
        <v>5008</v>
      </c>
      <c r="J126" s="34">
        <f t="shared" si="18"/>
        <v>0</v>
      </c>
      <c r="K126" s="34">
        <f t="shared" si="19"/>
        <v>5008</v>
      </c>
      <c r="M126">
        <v>285</v>
      </c>
      <c r="N126">
        <v>5008</v>
      </c>
      <c r="O126">
        <v>1</v>
      </c>
      <c r="P126" t="s">
        <v>1831</v>
      </c>
    </row>
    <row r="127" spans="1:16" x14ac:dyDescent="0.15">
      <c r="A127" s="34"/>
      <c r="B127" s="7">
        <v>2111</v>
      </c>
      <c r="C127" s="52" t="s">
        <v>1750</v>
      </c>
      <c r="H127" s="54">
        <v>258</v>
      </c>
      <c r="I127" s="7">
        <v>5007</v>
      </c>
      <c r="J127" s="34">
        <f t="shared" si="18"/>
        <v>1</v>
      </c>
      <c r="K127" s="34" t="str">
        <f t="shared" si="19"/>
        <v>5008,5007</v>
      </c>
      <c r="M127">
        <v>286</v>
      </c>
      <c r="N127">
        <v>5008</v>
      </c>
      <c r="O127">
        <v>1</v>
      </c>
      <c r="P127" t="s">
        <v>1834</v>
      </c>
    </row>
    <row r="128" spans="1:16" x14ac:dyDescent="0.15">
      <c r="A128" s="34"/>
      <c r="B128" s="7">
        <v>4000</v>
      </c>
      <c r="C128" s="52" t="s">
        <v>1751</v>
      </c>
      <c r="H128" s="54">
        <v>259</v>
      </c>
      <c r="I128" s="7">
        <v>5006</v>
      </c>
      <c r="J128" s="34">
        <f t="shared" si="18"/>
        <v>0</v>
      </c>
      <c r="K128" s="34">
        <f t="shared" si="19"/>
        <v>5006</v>
      </c>
      <c r="M128">
        <v>287</v>
      </c>
      <c r="N128">
        <v>5006</v>
      </c>
      <c r="O128">
        <v>1</v>
      </c>
      <c r="P128">
        <v>5006</v>
      </c>
    </row>
    <row r="129" spans="1:16" x14ac:dyDescent="0.15">
      <c r="A129" s="34"/>
      <c r="B129" s="7">
        <v>4001</v>
      </c>
      <c r="C129" s="52" t="s">
        <v>1752</v>
      </c>
      <c r="H129" s="54">
        <v>259</v>
      </c>
      <c r="I129" s="7">
        <v>5008</v>
      </c>
      <c r="J129" s="34">
        <f t="shared" si="18"/>
        <v>1</v>
      </c>
      <c r="K129" s="34" t="str">
        <f t="shared" si="19"/>
        <v>5006,5008</v>
      </c>
      <c r="M129">
        <v>288</v>
      </c>
      <c r="N129">
        <v>5008</v>
      </c>
      <c r="O129">
        <v>1</v>
      </c>
      <c r="P129" t="s">
        <v>1828</v>
      </c>
    </row>
    <row r="130" spans="1:16" x14ac:dyDescent="0.15">
      <c r="A130" s="34"/>
      <c r="B130" s="7">
        <v>4002</v>
      </c>
      <c r="C130" s="52" t="s">
        <v>1753</v>
      </c>
      <c r="H130" s="54">
        <v>260</v>
      </c>
      <c r="I130" s="7">
        <v>5008</v>
      </c>
      <c r="J130" s="34">
        <f t="shared" si="18"/>
        <v>1</v>
      </c>
      <c r="K130" s="34">
        <f t="shared" si="19"/>
        <v>5008</v>
      </c>
      <c r="M130">
        <v>289</v>
      </c>
      <c r="N130">
        <v>5006</v>
      </c>
      <c r="O130">
        <v>1</v>
      </c>
      <c r="P130">
        <v>5006</v>
      </c>
    </row>
    <row r="131" spans="1:16" x14ac:dyDescent="0.15">
      <c r="A131" s="34"/>
      <c r="B131" s="7">
        <v>4003</v>
      </c>
      <c r="C131" s="52" t="s">
        <v>1754</v>
      </c>
      <c r="H131" s="54">
        <v>261</v>
      </c>
      <c r="I131" s="7">
        <v>5006</v>
      </c>
      <c r="J131" s="34">
        <f t="shared" si="18"/>
        <v>0</v>
      </c>
      <c r="K131" s="34">
        <f t="shared" si="19"/>
        <v>5006</v>
      </c>
      <c r="M131">
        <v>290</v>
      </c>
      <c r="N131">
        <v>5006</v>
      </c>
      <c r="O131">
        <v>1</v>
      </c>
      <c r="P131">
        <v>5006</v>
      </c>
    </row>
    <row r="132" spans="1:16" x14ac:dyDescent="0.15">
      <c r="A132" s="34"/>
      <c r="B132" s="7">
        <v>4004</v>
      </c>
      <c r="C132" s="52" t="s">
        <v>1755</v>
      </c>
      <c r="H132" s="54">
        <v>261</v>
      </c>
      <c r="I132" s="7">
        <v>5008</v>
      </c>
      <c r="J132" s="34">
        <f t="shared" si="18"/>
        <v>1</v>
      </c>
      <c r="K132" s="34" t="str">
        <f t="shared" si="19"/>
        <v>5006,5008</v>
      </c>
      <c r="M132">
        <v>291</v>
      </c>
      <c r="N132">
        <v>5006</v>
      </c>
      <c r="O132">
        <v>1</v>
      </c>
      <c r="P132">
        <v>5006</v>
      </c>
    </row>
    <row r="133" spans="1:16" x14ac:dyDescent="0.15">
      <c r="A133" s="34"/>
      <c r="B133" s="7">
        <v>4005</v>
      </c>
      <c r="C133" s="52" t="s">
        <v>1756</v>
      </c>
      <c r="H133" s="54">
        <v>263</v>
      </c>
      <c r="I133" s="7">
        <v>5006</v>
      </c>
      <c r="J133" s="34">
        <f t="shared" si="18"/>
        <v>0</v>
      </c>
      <c r="K133" s="34">
        <f t="shared" si="19"/>
        <v>5006</v>
      </c>
      <c r="M133">
        <v>292</v>
      </c>
      <c r="N133">
        <v>5006</v>
      </c>
      <c r="O133">
        <v>1</v>
      </c>
      <c r="P133">
        <v>5006</v>
      </c>
    </row>
    <row r="134" spans="1:16" x14ac:dyDescent="0.15">
      <c r="A134" s="34"/>
      <c r="B134" s="7">
        <v>4006</v>
      </c>
      <c r="C134" s="52" t="s">
        <v>1757</v>
      </c>
      <c r="H134" s="54">
        <v>263</v>
      </c>
      <c r="I134" s="7">
        <v>5008</v>
      </c>
      <c r="J134" s="34">
        <f t="shared" si="18"/>
        <v>1</v>
      </c>
      <c r="K134" s="34" t="str">
        <f t="shared" si="19"/>
        <v>5006,5008</v>
      </c>
      <c r="M134">
        <v>293</v>
      </c>
      <c r="N134">
        <v>5006</v>
      </c>
      <c r="O134">
        <v>1</v>
      </c>
      <c r="P134">
        <v>5006</v>
      </c>
    </row>
    <row r="135" spans="1:16" x14ac:dyDescent="0.15">
      <c r="A135" s="34"/>
      <c r="B135" s="7">
        <v>4007</v>
      </c>
      <c r="C135" s="52" t="s">
        <v>1758</v>
      </c>
      <c r="H135" s="54">
        <v>264</v>
      </c>
      <c r="I135" s="7">
        <v>5007</v>
      </c>
      <c r="J135" s="34">
        <f t="shared" si="18"/>
        <v>0</v>
      </c>
      <c r="K135" s="34">
        <f t="shared" si="19"/>
        <v>5007</v>
      </c>
      <c r="M135">
        <v>294</v>
      </c>
      <c r="N135">
        <v>5006</v>
      </c>
      <c r="O135">
        <v>1</v>
      </c>
      <c r="P135">
        <v>5006</v>
      </c>
    </row>
    <row r="136" spans="1:16" x14ac:dyDescent="0.15">
      <c r="A136" s="34"/>
      <c r="B136" s="7">
        <v>4008</v>
      </c>
      <c r="C136" s="52" t="s">
        <v>1759</v>
      </c>
      <c r="H136" s="54">
        <v>264</v>
      </c>
      <c r="I136" s="7">
        <v>5008</v>
      </c>
      <c r="J136" s="34">
        <f t="shared" si="18"/>
        <v>1</v>
      </c>
      <c r="K136" s="34" t="str">
        <f t="shared" si="19"/>
        <v>5007,5008</v>
      </c>
      <c r="M136">
        <v>296</v>
      </c>
      <c r="N136">
        <v>5015</v>
      </c>
      <c r="O136">
        <v>1</v>
      </c>
      <c r="P136">
        <v>5015</v>
      </c>
    </row>
    <row r="137" spans="1:16" x14ac:dyDescent="0.15">
      <c r="A137" s="34"/>
      <c r="B137" s="7">
        <v>4009</v>
      </c>
      <c r="C137" s="52" t="s">
        <v>1760</v>
      </c>
      <c r="H137" s="54">
        <v>265</v>
      </c>
      <c r="I137" s="7">
        <v>5006</v>
      </c>
      <c r="J137" s="34">
        <f t="shared" si="18"/>
        <v>1</v>
      </c>
      <c r="K137" s="34">
        <f t="shared" si="19"/>
        <v>5006</v>
      </c>
      <c r="M137">
        <v>297</v>
      </c>
      <c r="N137">
        <v>5015</v>
      </c>
      <c r="O137">
        <v>1</v>
      </c>
      <c r="P137">
        <v>5015</v>
      </c>
    </row>
    <row r="138" spans="1:16" x14ac:dyDescent="0.15">
      <c r="A138" s="34"/>
      <c r="B138" s="7">
        <v>4010</v>
      </c>
      <c r="C138" s="52" t="s">
        <v>1761</v>
      </c>
      <c r="H138" s="54">
        <v>267</v>
      </c>
      <c r="I138" s="7">
        <v>5006</v>
      </c>
      <c r="J138" s="34">
        <f t="shared" si="18"/>
        <v>0</v>
      </c>
      <c r="K138" s="34">
        <f t="shared" si="19"/>
        <v>5006</v>
      </c>
      <c r="M138">
        <v>298</v>
      </c>
      <c r="N138">
        <v>5015</v>
      </c>
      <c r="O138">
        <v>1</v>
      </c>
      <c r="P138" t="s">
        <v>1835</v>
      </c>
    </row>
    <row r="139" spans="1:16" x14ac:dyDescent="0.15">
      <c r="A139" s="34"/>
      <c r="B139" s="7">
        <v>4011</v>
      </c>
      <c r="C139" s="52" t="s">
        <v>1762</v>
      </c>
      <c r="H139" s="54">
        <v>267</v>
      </c>
      <c r="I139" s="7">
        <v>5007</v>
      </c>
      <c r="J139" s="34">
        <f t="shared" si="18"/>
        <v>0</v>
      </c>
      <c r="K139" s="34" t="str">
        <f t="shared" si="19"/>
        <v>5006,5007</v>
      </c>
      <c r="M139">
        <v>299</v>
      </c>
      <c r="N139">
        <v>5007</v>
      </c>
      <c r="O139">
        <v>1</v>
      </c>
      <c r="P139" t="s">
        <v>1829</v>
      </c>
    </row>
    <row r="140" spans="1:16" x14ac:dyDescent="0.15">
      <c r="A140" s="34"/>
      <c r="B140" s="7">
        <v>4012</v>
      </c>
      <c r="C140" s="52" t="s">
        <v>1763</v>
      </c>
      <c r="H140" s="54">
        <v>267</v>
      </c>
      <c r="I140" s="7">
        <v>5008</v>
      </c>
      <c r="J140" s="34">
        <f t="shared" si="18"/>
        <v>1</v>
      </c>
      <c r="K140" s="34" t="str">
        <f t="shared" si="19"/>
        <v>5006,5007,5008</v>
      </c>
      <c r="M140">
        <v>301</v>
      </c>
      <c r="N140">
        <v>5007</v>
      </c>
      <c r="O140">
        <v>1</v>
      </c>
      <c r="P140">
        <v>5007</v>
      </c>
    </row>
    <row r="141" spans="1:16" x14ac:dyDescent="0.15">
      <c r="A141" s="34"/>
      <c r="B141" s="7">
        <v>4013</v>
      </c>
      <c r="C141" s="52" t="s">
        <v>1764</v>
      </c>
      <c r="H141" s="54">
        <v>268</v>
      </c>
      <c r="I141" s="7">
        <v>5008</v>
      </c>
      <c r="J141" s="34">
        <f t="shared" si="18"/>
        <v>1</v>
      </c>
      <c r="K141" s="34">
        <f t="shared" si="19"/>
        <v>5008</v>
      </c>
      <c r="M141">
        <v>302</v>
      </c>
      <c r="N141">
        <v>5007</v>
      </c>
      <c r="O141">
        <v>1</v>
      </c>
      <c r="P141">
        <v>5007</v>
      </c>
    </row>
    <row r="142" spans="1:16" x14ac:dyDescent="0.15">
      <c r="A142" s="34"/>
      <c r="B142" s="7">
        <v>4014</v>
      </c>
      <c r="C142" s="52" t="s">
        <v>1765</v>
      </c>
      <c r="H142" s="54">
        <v>269</v>
      </c>
      <c r="I142" s="7">
        <v>5008</v>
      </c>
      <c r="J142" s="34">
        <f t="shared" si="18"/>
        <v>0</v>
      </c>
      <c r="K142" s="34">
        <f t="shared" si="19"/>
        <v>5008</v>
      </c>
      <c r="M142">
        <v>1001</v>
      </c>
      <c r="N142">
        <v>5002</v>
      </c>
      <c r="O142">
        <v>1</v>
      </c>
      <c r="P142" t="s">
        <v>1836</v>
      </c>
    </row>
    <row r="143" spans="1:16" x14ac:dyDescent="0.15">
      <c r="A143" s="34"/>
      <c r="B143" s="7">
        <v>4015</v>
      </c>
      <c r="C143" s="52" t="s">
        <v>1766</v>
      </c>
      <c r="H143" s="54">
        <v>269</v>
      </c>
      <c r="I143" s="7">
        <v>5006</v>
      </c>
      <c r="J143" s="34">
        <f t="shared" si="18"/>
        <v>1</v>
      </c>
      <c r="K143" s="34" t="str">
        <f t="shared" si="19"/>
        <v>5008,5006</v>
      </c>
      <c r="M143">
        <v>1002</v>
      </c>
      <c r="N143">
        <v>5004</v>
      </c>
      <c r="O143">
        <v>1</v>
      </c>
      <c r="P143" t="s">
        <v>1837</v>
      </c>
    </row>
    <row r="144" spans="1:16" x14ac:dyDescent="0.15">
      <c r="A144" s="34"/>
      <c r="B144" s="7">
        <v>4016</v>
      </c>
      <c r="C144" s="52" t="s">
        <v>1767</v>
      </c>
      <c r="H144" s="54">
        <v>270</v>
      </c>
      <c r="I144" s="7">
        <v>5008</v>
      </c>
      <c r="J144" s="34">
        <f t="shared" si="18"/>
        <v>1</v>
      </c>
      <c r="K144" s="34">
        <f t="shared" si="19"/>
        <v>5008</v>
      </c>
      <c r="M144">
        <v>1003</v>
      </c>
      <c r="N144">
        <v>5004</v>
      </c>
      <c r="O144">
        <v>1</v>
      </c>
      <c r="P144" t="s">
        <v>1838</v>
      </c>
    </row>
    <row r="145" spans="1:16" x14ac:dyDescent="0.15">
      <c r="A145" s="34"/>
      <c r="B145" s="7">
        <v>4017</v>
      </c>
      <c r="C145" s="52" t="s">
        <v>1768</v>
      </c>
      <c r="H145" s="54">
        <v>271</v>
      </c>
      <c r="I145" s="7">
        <v>5007</v>
      </c>
      <c r="J145" s="34">
        <f t="shared" si="18"/>
        <v>0</v>
      </c>
      <c r="K145" s="34">
        <f t="shared" si="19"/>
        <v>5007</v>
      </c>
      <c r="M145">
        <v>1004</v>
      </c>
      <c r="N145">
        <v>5002</v>
      </c>
      <c r="O145">
        <v>1</v>
      </c>
      <c r="P145" t="s">
        <v>1839</v>
      </c>
    </row>
    <row r="146" spans="1:16" x14ac:dyDescent="0.15">
      <c r="A146" s="34"/>
      <c r="B146" s="7">
        <v>4018</v>
      </c>
      <c r="C146" s="52" t="s">
        <v>1769</v>
      </c>
      <c r="H146" s="54">
        <v>271</v>
      </c>
      <c r="I146" s="7">
        <v>5008</v>
      </c>
      <c r="J146" s="34">
        <f t="shared" si="18"/>
        <v>1</v>
      </c>
      <c r="K146" s="34" t="str">
        <f t="shared" si="19"/>
        <v>5007,5008</v>
      </c>
      <c r="M146">
        <v>1005</v>
      </c>
      <c r="N146">
        <v>5002</v>
      </c>
      <c r="O146">
        <v>1</v>
      </c>
      <c r="P146" t="s">
        <v>1840</v>
      </c>
    </row>
    <row r="147" spans="1:16" x14ac:dyDescent="0.15">
      <c r="A147" s="34"/>
      <c r="B147" s="7">
        <v>4019</v>
      </c>
      <c r="C147" s="52" t="s">
        <v>1770</v>
      </c>
      <c r="H147" s="54">
        <v>272</v>
      </c>
      <c r="I147" s="7">
        <v>5007</v>
      </c>
      <c r="J147" s="34">
        <f t="shared" si="18"/>
        <v>1</v>
      </c>
      <c r="K147" s="34">
        <f t="shared" si="19"/>
        <v>5007</v>
      </c>
      <c r="M147">
        <v>1006</v>
      </c>
      <c r="N147">
        <v>5002</v>
      </c>
      <c r="O147">
        <v>1</v>
      </c>
      <c r="P147" t="s">
        <v>1836</v>
      </c>
    </row>
    <row r="148" spans="1:16" x14ac:dyDescent="0.15">
      <c r="A148" s="34"/>
      <c r="B148" s="7">
        <v>4020</v>
      </c>
      <c r="C148" s="52" t="s">
        <v>1771</v>
      </c>
      <c r="H148" s="54">
        <v>273</v>
      </c>
      <c r="I148" s="7">
        <v>5007</v>
      </c>
      <c r="J148" s="34">
        <f t="shared" si="18"/>
        <v>1</v>
      </c>
      <c r="K148" s="34">
        <f t="shared" si="19"/>
        <v>5007</v>
      </c>
      <c r="M148">
        <v>1007</v>
      </c>
      <c r="N148">
        <v>5004</v>
      </c>
      <c r="O148">
        <v>1</v>
      </c>
      <c r="P148" t="s">
        <v>1838</v>
      </c>
    </row>
    <row r="149" spans="1:16" x14ac:dyDescent="0.15">
      <c r="A149" s="34"/>
      <c r="B149" s="7">
        <v>4021</v>
      </c>
      <c r="C149" s="52" t="s">
        <v>1772</v>
      </c>
      <c r="H149" s="54">
        <v>274</v>
      </c>
      <c r="I149" s="7">
        <v>5008</v>
      </c>
      <c r="J149" s="34">
        <f t="shared" si="18"/>
        <v>1</v>
      </c>
      <c r="K149" s="34">
        <f t="shared" si="19"/>
        <v>5008</v>
      </c>
      <c r="M149">
        <v>1008</v>
      </c>
      <c r="N149">
        <v>5004</v>
      </c>
      <c r="O149">
        <v>1</v>
      </c>
      <c r="P149" t="s">
        <v>1837</v>
      </c>
    </row>
    <row r="150" spans="1:16" x14ac:dyDescent="0.15">
      <c r="A150" s="34"/>
      <c r="B150" s="7">
        <v>4022</v>
      </c>
      <c r="C150" s="52" t="s">
        <v>1773</v>
      </c>
      <c r="H150" s="54">
        <v>275</v>
      </c>
      <c r="I150" s="7">
        <v>5008</v>
      </c>
      <c r="J150" s="34">
        <f t="shared" si="18"/>
        <v>1</v>
      </c>
      <c r="K150" s="34">
        <f t="shared" si="19"/>
        <v>5008</v>
      </c>
      <c r="M150">
        <v>1009</v>
      </c>
      <c r="N150">
        <v>5004</v>
      </c>
      <c r="O150">
        <v>1</v>
      </c>
      <c r="P150" t="s">
        <v>1837</v>
      </c>
    </row>
    <row r="151" spans="1:16" x14ac:dyDescent="0.15">
      <c r="A151" s="34"/>
      <c r="B151" s="7">
        <v>4023</v>
      </c>
      <c r="C151" s="52" t="s">
        <v>1774</v>
      </c>
      <c r="H151" s="54">
        <v>276</v>
      </c>
      <c r="I151" s="7">
        <v>5007</v>
      </c>
      <c r="J151" s="34">
        <f t="shared" si="18"/>
        <v>1</v>
      </c>
      <c r="K151" s="34">
        <f t="shared" si="19"/>
        <v>5007</v>
      </c>
      <c r="M151">
        <v>1010</v>
      </c>
      <c r="N151">
        <v>5002</v>
      </c>
      <c r="O151">
        <v>1</v>
      </c>
      <c r="P151">
        <v>5002</v>
      </c>
    </row>
    <row r="152" spans="1:16" x14ac:dyDescent="0.15">
      <c r="A152" s="16"/>
      <c r="B152" s="7">
        <v>4024</v>
      </c>
      <c r="C152" s="52" t="s">
        <v>1775</v>
      </c>
      <c r="H152" s="54">
        <v>278</v>
      </c>
      <c r="I152" s="7">
        <v>5006</v>
      </c>
      <c r="J152" s="34">
        <f t="shared" si="18"/>
        <v>0</v>
      </c>
      <c r="K152" s="34">
        <f t="shared" si="19"/>
        <v>5006</v>
      </c>
      <c r="M152">
        <v>1011</v>
      </c>
      <c r="N152">
        <v>5003</v>
      </c>
      <c r="O152">
        <v>1</v>
      </c>
      <c r="P152" t="s">
        <v>1841</v>
      </c>
    </row>
    <row r="153" spans="1:16" x14ac:dyDescent="0.15">
      <c r="A153" s="16"/>
      <c r="B153" s="7">
        <v>4025</v>
      </c>
      <c r="C153" s="52" t="s">
        <v>1776</v>
      </c>
      <c r="H153" s="54">
        <v>278</v>
      </c>
      <c r="I153" s="7">
        <v>5007</v>
      </c>
      <c r="J153" s="34">
        <f t="shared" si="18"/>
        <v>1</v>
      </c>
      <c r="K153" s="34" t="str">
        <f t="shared" si="19"/>
        <v>5006,5007</v>
      </c>
      <c r="M153">
        <v>1012</v>
      </c>
      <c r="N153">
        <v>5002</v>
      </c>
      <c r="O153">
        <v>1</v>
      </c>
      <c r="P153">
        <v>5002</v>
      </c>
    </row>
    <row r="154" spans="1:16" x14ac:dyDescent="0.15">
      <c r="A154" s="16"/>
      <c r="B154" s="7">
        <v>4026</v>
      </c>
      <c r="C154" s="52" t="s">
        <v>1777</v>
      </c>
      <c r="H154" s="54">
        <v>279</v>
      </c>
      <c r="I154" s="7">
        <v>5007</v>
      </c>
      <c r="J154" s="34">
        <f t="shared" si="18"/>
        <v>1</v>
      </c>
      <c r="K154" s="34">
        <f t="shared" si="19"/>
        <v>5007</v>
      </c>
      <c r="M154">
        <v>1013</v>
      </c>
      <c r="N154">
        <v>5003</v>
      </c>
      <c r="O154">
        <v>1</v>
      </c>
      <c r="P154">
        <v>5003</v>
      </c>
    </row>
    <row r="155" spans="1:16" x14ac:dyDescent="0.15">
      <c r="A155" s="16"/>
      <c r="B155" s="7">
        <v>4027</v>
      </c>
      <c r="C155" s="52" t="s">
        <v>1778</v>
      </c>
      <c r="H155" s="54">
        <v>280</v>
      </c>
      <c r="I155" s="7">
        <v>5007</v>
      </c>
      <c r="J155" s="34">
        <f t="shared" si="18"/>
        <v>1</v>
      </c>
      <c r="K155" s="34">
        <f t="shared" si="19"/>
        <v>5007</v>
      </c>
      <c r="M155">
        <v>1014</v>
      </c>
      <c r="N155">
        <v>5004</v>
      </c>
      <c r="O155">
        <v>1</v>
      </c>
      <c r="P155">
        <v>5004</v>
      </c>
    </row>
    <row r="156" spans="1:16" x14ac:dyDescent="0.15">
      <c r="A156" s="16"/>
      <c r="B156" s="7">
        <v>4028</v>
      </c>
      <c r="C156" s="52" t="s">
        <v>1779</v>
      </c>
      <c r="H156" s="54">
        <v>281</v>
      </c>
      <c r="I156" s="7">
        <v>5007</v>
      </c>
      <c r="J156" s="34">
        <f t="shared" si="18"/>
        <v>0</v>
      </c>
      <c r="K156" s="34">
        <f t="shared" si="19"/>
        <v>5007</v>
      </c>
      <c r="M156">
        <v>1015</v>
      </c>
      <c r="N156">
        <v>5005</v>
      </c>
      <c r="O156">
        <v>1</v>
      </c>
      <c r="P156" t="s">
        <v>1842</v>
      </c>
    </row>
    <row r="157" spans="1:16" x14ac:dyDescent="0.15">
      <c r="B157" s="7">
        <v>4029</v>
      </c>
      <c r="C157" s="52" t="s">
        <v>1780</v>
      </c>
      <c r="H157" s="54">
        <v>281</v>
      </c>
      <c r="I157" s="7">
        <v>5006</v>
      </c>
      <c r="J157" s="34">
        <f t="shared" si="18"/>
        <v>1</v>
      </c>
      <c r="K157" s="34" t="str">
        <f t="shared" si="19"/>
        <v>5007,5006</v>
      </c>
      <c r="M157">
        <v>1016</v>
      </c>
      <c r="N157">
        <v>5003</v>
      </c>
      <c r="O157">
        <v>1</v>
      </c>
      <c r="P157">
        <v>5003</v>
      </c>
    </row>
    <row r="158" spans="1:16" x14ac:dyDescent="0.15">
      <c r="B158" s="7">
        <v>4030</v>
      </c>
      <c r="C158" s="52" t="s">
        <v>1781</v>
      </c>
      <c r="H158" s="54">
        <v>282</v>
      </c>
      <c r="I158" s="7">
        <v>5007</v>
      </c>
      <c r="J158" s="34">
        <f t="shared" si="18"/>
        <v>1</v>
      </c>
      <c r="K158" s="34">
        <f t="shared" si="19"/>
        <v>5007</v>
      </c>
      <c r="M158">
        <v>1017</v>
      </c>
      <c r="N158">
        <v>5004</v>
      </c>
      <c r="O158">
        <v>1</v>
      </c>
      <c r="P158" t="s">
        <v>1838</v>
      </c>
    </row>
    <row r="159" spans="1:16" x14ac:dyDescent="0.15">
      <c r="B159" s="7">
        <v>4031</v>
      </c>
      <c r="C159" s="52" t="s">
        <v>1782</v>
      </c>
      <c r="H159" s="54">
        <v>283</v>
      </c>
      <c r="I159" s="7">
        <v>5011</v>
      </c>
      <c r="J159" s="34">
        <f t="shared" si="18"/>
        <v>0</v>
      </c>
      <c r="K159" s="34">
        <f t="shared" si="19"/>
        <v>5011</v>
      </c>
      <c r="M159">
        <v>1018</v>
      </c>
      <c r="N159">
        <v>5004</v>
      </c>
      <c r="O159">
        <v>1</v>
      </c>
      <c r="P159">
        <v>5004</v>
      </c>
    </row>
    <row r="160" spans="1:16" x14ac:dyDescent="0.15">
      <c r="B160" s="7">
        <v>4032</v>
      </c>
      <c r="C160" s="52" t="s">
        <v>1783</v>
      </c>
      <c r="H160" s="54">
        <v>283</v>
      </c>
      <c r="I160" s="7">
        <v>5014</v>
      </c>
      <c r="J160" s="34">
        <f t="shared" si="18"/>
        <v>1</v>
      </c>
      <c r="K160" s="34" t="str">
        <f t="shared" si="19"/>
        <v>5011,5014</v>
      </c>
      <c r="M160">
        <v>1019</v>
      </c>
      <c r="N160">
        <v>5003</v>
      </c>
      <c r="O160">
        <v>1</v>
      </c>
      <c r="P160" t="s">
        <v>1843</v>
      </c>
    </row>
    <row r="161" spans="2:16" x14ac:dyDescent="0.15">
      <c r="B161" s="7">
        <v>4033</v>
      </c>
      <c r="C161" s="52" t="s">
        <v>1784</v>
      </c>
      <c r="H161" s="54">
        <v>284</v>
      </c>
      <c r="I161" s="7">
        <v>5006</v>
      </c>
      <c r="J161" s="34">
        <f t="shared" si="18"/>
        <v>0</v>
      </c>
      <c r="K161" s="34">
        <f t="shared" si="19"/>
        <v>5006</v>
      </c>
      <c r="M161">
        <v>1020</v>
      </c>
      <c r="N161">
        <v>5009</v>
      </c>
      <c r="O161">
        <v>1</v>
      </c>
      <c r="P161" t="s">
        <v>1844</v>
      </c>
    </row>
    <row r="162" spans="2:16" x14ac:dyDescent="0.15">
      <c r="B162" s="7">
        <v>4034</v>
      </c>
      <c r="C162" s="52" t="s">
        <v>1785</v>
      </c>
      <c r="H162" s="54">
        <v>284</v>
      </c>
      <c r="I162" s="7">
        <v>5008</v>
      </c>
      <c r="J162" s="34">
        <f t="shared" si="18"/>
        <v>1</v>
      </c>
      <c r="K162" s="34" t="str">
        <f t="shared" si="19"/>
        <v>5006,5008</v>
      </c>
      <c r="M162">
        <v>1021</v>
      </c>
      <c r="N162">
        <v>5005</v>
      </c>
      <c r="O162">
        <v>1</v>
      </c>
      <c r="P162">
        <v>5005</v>
      </c>
    </row>
    <row r="163" spans="2:16" x14ac:dyDescent="0.15">
      <c r="B163" s="7">
        <v>4035</v>
      </c>
      <c r="C163" s="52" t="s">
        <v>1786</v>
      </c>
      <c r="H163" s="54">
        <v>285</v>
      </c>
      <c r="I163" s="7">
        <v>5006</v>
      </c>
      <c r="J163" s="34">
        <f t="shared" si="18"/>
        <v>0</v>
      </c>
      <c r="K163" s="34">
        <f t="shared" si="19"/>
        <v>5006</v>
      </c>
      <c r="M163">
        <v>1022</v>
      </c>
      <c r="N163">
        <v>5002</v>
      </c>
      <c r="O163">
        <v>1</v>
      </c>
      <c r="P163">
        <v>5002</v>
      </c>
    </row>
    <row r="164" spans="2:16" x14ac:dyDescent="0.15">
      <c r="B164" s="7">
        <v>4036</v>
      </c>
      <c r="C164" s="52" t="s">
        <v>1787</v>
      </c>
      <c r="H164" s="54">
        <v>285</v>
      </c>
      <c r="I164" s="7">
        <v>5007</v>
      </c>
      <c r="J164" s="34">
        <f t="shared" si="18"/>
        <v>0</v>
      </c>
      <c r="K164" s="34" t="str">
        <f t="shared" si="19"/>
        <v>5006,5007</v>
      </c>
      <c r="M164">
        <v>1023</v>
      </c>
      <c r="N164">
        <v>5002</v>
      </c>
      <c r="O164">
        <v>1</v>
      </c>
      <c r="P164">
        <v>5002</v>
      </c>
    </row>
    <row r="165" spans="2:16" x14ac:dyDescent="0.15">
      <c r="B165" s="7">
        <v>4037</v>
      </c>
      <c r="C165" s="52" t="s">
        <v>1788</v>
      </c>
      <c r="H165" s="54">
        <v>285</v>
      </c>
      <c r="I165" s="7">
        <v>5008</v>
      </c>
      <c r="J165" s="34">
        <f t="shared" si="18"/>
        <v>1</v>
      </c>
      <c r="K165" s="34" t="str">
        <f t="shared" si="19"/>
        <v>5006,5007,5008</v>
      </c>
      <c r="M165">
        <v>1024</v>
      </c>
      <c r="N165">
        <v>5009</v>
      </c>
      <c r="O165">
        <v>1</v>
      </c>
      <c r="P165">
        <v>5009</v>
      </c>
    </row>
    <row r="166" spans="2:16" x14ac:dyDescent="0.15">
      <c r="B166" s="7">
        <v>4038</v>
      </c>
      <c r="C166" s="52" t="s">
        <v>1789</v>
      </c>
      <c r="H166" s="54">
        <v>286</v>
      </c>
      <c r="I166" s="7">
        <v>5007</v>
      </c>
      <c r="J166" s="34">
        <f t="shared" si="18"/>
        <v>0</v>
      </c>
      <c r="K166" s="34">
        <f t="shared" si="19"/>
        <v>5007</v>
      </c>
      <c r="M166">
        <v>1025</v>
      </c>
      <c r="N166">
        <v>5002</v>
      </c>
      <c r="O166">
        <v>1</v>
      </c>
      <c r="P166">
        <v>5002</v>
      </c>
    </row>
    <row r="167" spans="2:16" x14ac:dyDescent="0.15">
      <c r="B167" s="7">
        <v>4039</v>
      </c>
      <c r="C167" s="52" t="s">
        <v>1790</v>
      </c>
      <c r="H167" s="54">
        <v>286</v>
      </c>
      <c r="I167" s="7">
        <v>5006</v>
      </c>
      <c r="J167" s="34">
        <f t="shared" si="18"/>
        <v>0</v>
      </c>
      <c r="K167" s="34" t="str">
        <f t="shared" si="19"/>
        <v>5007,5006</v>
      </c>
      <c r="M167">
        <v>1026</v>
      </c>
      <c r="N167">
        <v>5002</v>
      </c>
      <c r="O167">
        <v>1</v>
      </c>
      <c r="P167">
        <v>5002</v>
      </c>
    </row>
    <row r="168" spans="2:16" x14ac:dyDescent="0.15">
      <c r="B168" s="7">
        <v>4040</v>
      </c>
      <c r="C168" s="52" t="s">
        <v>1791</v>
      </c>
      <c r="H168" s="54">
        <v>286</v>
      </c>
      <c r="I168" s="7">
        <v>5008</v>
      </c>
      <c r="J168" s="34">
        <f t="shared" si="18"/>
        <v>1</v>
      </c>
      <c r="K168" s="34" t="str">
        <f t="shared" si="19"/>
        <v>5007,5006,5008</v>
      </c>
      <c r="M168">
        <v>1027</v>
      </c>
      <c r="N168">
        <v>5004</v>
      </c>
      <c r="O168">
        <v>1</v>
      </c>
      <c r="P168" t="s">
        <v>1838</v>
      </c>
    </row>
    <row r="169" spans="2:16" x14ac:dyDescent="0.15">
      <c r="B169" s="7">
        <v>4041</v>
      </c>
      <c r="C169" s="52" t="s">
        <v>1792</v>
      </c>
      <c r="H169" s="54">
        <v>287</v>
      </c>
      <c r="I169" s="7">
        <v>5006</v>
      </c>
      <c r="J169" s="34">
        <f t="shared" si="18"/>
        <v>1</v>
      </c>
      <c r="K169" s="34">
        <f t="shared" si="19"/>
        <v>5006</v>
      </c>
      <c r="M169">
        <v>1028</v>
      </c>
      <c r="N169">
        <v>5004</v>
      </c>
      <c r="O169">
        <v>1</v>
      </c>
      <c r="P169" t="s">
        <v>1845</v>
      </c>
    </row>
    <row r="170" spans="2:16" x14ac:dyDescent="0.15">
      <c r="B170" s="7">
        <v>4042</v>
      </c>
      <c r="C170" s="52" t="s">
        <v>1793</v>
      </c>
      <c r="H170" s="54">
        <v>288</v>
      </c>
      <c r="I170" s="7">
        <v>5006</v>
      </c>
      <c r="J170" s="34">
        <f t="shared" si="18"/>
        <v>0</v>
      </c>
      <c r="K170" s="34">
        <f t="shared" si="19"/>
        <v>5006</v>
      </c>
      <c r="M170">
        <v>1600</v>
      </c>
      <c r="N170">
        <v>5008</v>
      </c>
      <c r="O170">
        <v>1</v>
      </c>
      <c r="P170">
        <v>5008</v>
      </c>
    </row>
    <row r="171" spans="2:16" x14ac:dyDescent="0.15">
      <c r="B171" s="7">
        <v>4043</v>
      </c>
      <c r="C171" s="52" t="s">
        <v>1794</v>
      </c>
      <c r="H171" s="54">
        <v>288</v>
      </c>
      <c r="I171" s="7">
        <v>5008</v>
      </c>
      <c r="J171" s="34">
        <f t="shared" si="18"/>
        <v>1</v>
      </c>
      <c r="K171" s="34" t="str">
        <f t="shared" si="19"/>
        <v>5006,5008</v>
      </c>
      <c r="M171">
        <v>1605</v>
      </c>
      <c r="N171">
        <v>5008</v>
      </c>
      <c r="O171">
        <v>1</v>
      </c>
      <c r="P171">
        <v>5008</v>
      </c>
    </row>
    <row r="172" spans="2:16" x14ac:dyDescent="0.15">
      <c r="B172" s="7">
        <v>4044</v>
      </c>
      <c r="C172" s="52" t="s">
        <v>1795</v>
      </c>
      <c r="H172" s="54">
        <v>289</v>
      </c>
      <c r="I172" s="7">
        <v>5006</v>
      </c>
      <c r="J172" s="34">
        <f t="shared" si="18"/>
        <v>1</v>
      </c>
      <c r="K172" s="34">
        <f t="shared" si="19"/>
        <v>5006</v>
      </c>
      <c r="M172">
        <v>1609</v>
      </c>
      <c r="N172">
        <v>5008</v>
      </c>
      <c r="O172">
        <v>1</v>
      </c>
      <c r="P172">
        <v>5008</v>
      </c>
    </row>
    <row r="173" spans="2:16" x14ac:dyDescent="0.15">
      <c r="B173" s="7">
        <v>4045</v>
      </c>
      <c r="C173" s="52" t="s">
        <v>1796</v>
      </c>
      <c r="H173" s="54">
        <v>290</v>
      </c>
      <c r="I173" s="7">
        <v>5006</v>
      </c>
      <c r="J173" s="34">
        <f t="shared" si="18"/>
        <v>1</v>
      </c>
      <c r="K173" s="34">
        <f t="shared" si="19"/>
        <v>5006</v>
      </c>
      <c r="M173">
        <v>1612</v>
      </c>
      <c r="N173">
        <v>5007</v>
      </c>
      <c r="O173">
        <v>1</v>
      </c>
      <c r="P173">
        <v>5007</v>
      </c>
    </row>
    <row r="174" spans="2:16" x14ac:dyDescent="0.15">
      <c r="B174" s="7">
        <v>4046</v>
      </c>
      <c r="C174" s="52" t="s">
        <v>1797</v>
      </c>
      <c r="H174" s="54">
        <v>291</v>
      </c>
      <c r="I174" s="7">
        <v>5006</v>
      </c>
      <c r="J174" s="34">
        <f t="shared" si="18"/>
        <v>1</v>
      </c>
      <c r="K174" s="34">
        <f t="shared" si="19"/>
        <v>5006</v>
      </c>
      <c r="M174">
        <v>1613</v>
      </c>
      <c r="N174">
        <v>5007</v>
      </c>
      <c r="O174">
        <v>1</v>
      </c>
      <c r="P174">
        <v>5007</v>
      </c>
    </row>
    <row r="175" spans="2:16" x14ac:dyDescent="0.15">
      <c r="B175" s="7">
        <v>4047</v>
      </c>
      <c r="C175" s="52" t="s">
        <v>1798</v>
      </c>
      <c r="H175" s="54">
        <v>292</v>
      </c>
      <c r="I175" s="7">
        <v>5006</v>
      </c>
      <c r="J175" s="34">
        <f t="shared" si="18"/>
        <v>1</v>
      </c>
      <c r="K175" s="34">
        <f t="shared" si="19"/>
        <v>5006</v>
      </c>
      <c r="M175">
        <v>1614</v>
      </c>
      <c r="N175">
        <v>5008</v>
      </c>
      <c r="O175">
        <v>1</v>
      </c>
      <c r="P175">
        <v>5008</v>
      </c>
    </row>
    <row r="176" spans="2:16" x14ac:dyDescent="0.15">
      <c r="B176" s="7">
        <v>4048</v>
      </c>
      <c r="C176" s="52" t="s">
        <v>1799</v>
      </c>
      <c r="H176" s="54">
        <v>293</v>
      </c>
      <c r="I176" s="7">
        <v>5006</v>
      </c>
      <c r="J176" s="34">
        <f t="shared" si="18"/>
        <v>1</v>
      </c>
      <c r="K176" s="34">
        <f t="shared" si="19"/>
        <v>5006</v>
      </c>
      <c r="M176">
        <v>1615</v>
      </c>
      <c r="N176">
        <v>5008</v>
      </c>
      <c r="O176">
        <v>1</v>
      </c>
      <c r="P176">
        <v>5008</v>
      </c>
    </row>
    <row r="177" spans="2:16" x14ac:dyDescent="0.15">
      <c r="B177" s="7">
        <v>4049</v>
      </c>
      <c r="C177" s="52" t="s">
        <v>1800</v>
      </c>
      <c r="H177" s="54">
        <v>294</v>
      </c>
      <c r="I177" s="7">
        <v>5006</v>
      </c>
      <c r="J177" s="34">
        <f t="shared" si="18"/>
        <v>1</v>
      </c>
      <c r="K177" s="34">
        <f t="shared" si="19"/>
        <v>5006</v>
      </c>
      <c r="M177">
        <v>1650</v>
      </c>
      <c r="N177">
        <v>5007</v>
      </c>
      <c r="O177">
        <v>1</v>
      </c>
      <c r="P177">
        <v>5007</v>
      </c>
    </row>
    <row r="178" spans="2:16" x14ac:dyDescent="0.15">
      <c r="B178" s="7">
        <v>4050</v>
      </c>
      <c r="C178" s="52" t="s">
        <v>1801</v>
      </c>
      <c r="H178" s="54">
        <v>296</v>
      </c>
      <c r="I178" s="7">
        <v>5015</v>
      </c>
      <c r="J178" s="34">
        <f t="shared" si="18"/>
        <v>1</v>
      </c>
      <c r="K178" s="34">
        <f t="shared" si="19"/>
        <v>5015</v>
      </c>
      <c r="M178">
        <v>1651</v>
      </c>
      <c r="N178">
        <v>5007</v>
      </c>
      <c r="O178">
        <v>1</v>
      </c>
      <c r="P178">
        <v>5007</v>
      </c>
    </row>
    <row r="179" spans="2:16" x14ac:dyDescent="0.15">
      <c r="B179" s="7">
        <v>4051</v>
      </c>
      <c r="C179" s="52" t="s">
        <v>1802</v>
      </c>
      <c r="H179" s="54">
        <v>297</v>
      </c>
      <c r="I179" s="7">
        <v>5015</v>
      </c>
      <c r="J179" s="34">
        <f t="shared" si="18"/>
        <v>1</v>
      </c>
      <c r="K179" s="34">
        <f t="shared" si="19"/>
        <v>5015</v>
      </c>
      <c r="M179">
        <v>1654</v>
      </c>
      <c r="N179">
        <v>5008</v>
      </c>
      <c r="O179">
        <v>1</v>
      </c>
      <c r="P179">
        <v>5008</v>
      </c>
    </row>
    <row r="180" spans="2:16" x14ac:dyDescent="0.15">
      <c r="B180" s="7">
        <v>4052</v>
      </c>
      <c r="C180" s="52" t="s">
        <v>1803</v>
      </c>
      <c r="H180" s="54">
        <v>298</v>
      </c>
      <c r="I180" s="7">
        <v>5008</v>
      </c>
      <c r="J180" s="34">
        <f t="shared" si="18"/>
        <v>0</v>
      </c>
      <c r="K180" s="34">
        <f t="shared" si="19"/>
        <v>5008</v>
      </c>
      <c r="M180">
        <v>1656</v>
      </c>
      <c r="N180">
        <v>5007</v>
      </c>
      <c r="O180">
        <v>1</v>
      </c>
      <c r="P180">
        <v>5007</v>
      </c>
    </row>
    <row r="181" spans="2:16" x14ac:dyDescent="0.15">
      <c r="B181" s="7">
        <v>4053</v>
      </c>
      <c r="C181" s="52" t="s">
        <v>1804</v>
      </c>
      <c r="H181" s="54">
        <v>298</v>
      </c>
      <c r="I181" s="7">
        <v>5015</v>
      </c>
      <c r="J181" s="34">
        <f t="shared" si="18"/>
        <v>1</v>
      </c>
      <c r="K181" s="34" t="str">
        <f t="shared" si="19"/>
        <v>5008,5015</v>
      </c>
      <c r="M181">
        <v>1700</v>
      </c>
      <c r="N181">
        <v>5007</v>
      </c>
      <c r="O181">
        <v>1</v>
      </c>
      <c r="P181">
        <v>5007</v>
      </c>
    </row>
    <row r="182" spans="2:16" x14ac:dyDescent="0.15">
      <c r="B182" s="7">
        <v>4054</v>
      </c>
      <c r="C182" s="52" t="s">
        <v>1805</v>
      </c>
      <c r="H182" s="54">
        <v>299</v>
      </c>
      <c r="I182" s="7">
        <v>5008</v>
      </c>
      <c r="J182" s="34">
        <f t="shared" si="18"/>
        <v>0</v>
      </c>
      <c r="K182" s="34">
        <f t="shared" si="19"/>
        <v>5008</v>
      </c>
      <c r="M182">
        <v>1701</v>
      </c>
      <c r="N182">
        <v>5007</v>
      </c>
      <c r="O182">
        <v>1</v>
      </c>
      <c r="P182">
        <v>5007</v>
      </c>
    </row>
    <row r="183" spans="2:16" x14ac:dyDescent="0.15">
      <c r="B183" s="7">
        <v>4055</v>
      </c>
      <c r="C183" s="52" t="s">
        <v>1806</v>
      </c>
      <c r="H183" s="54">
        <v>299</v>
      </c>
      <c r="I183" s="7">
        <v>5007</v>
      </c>
      <c r="J183" s="34">
        <f t="shared" ref="J183:J246" si="20">IF(H183&lt;&gt;H184,1,0)</f>
        <v>1</v>
      </c>
      <c r="K183" s="34" t="str">
        <f t="shared" ref="K183:K246" si="21">IF(H183&lt;&gt;H182,I183,K182&amp;","&amp;I183)</f>
        <v>5008,5007</v>
      </c>
      <c r="M183">
        <v>1702</v>
      </c>
      <c r="N183">
        <v>5008</v>
      </c>
      <c r="O183">
        <v>1</v>
      </c>
      <c r="P183">
        <v>5008</v>
      </c>
    </row>
    <row r="184" spans="2:16" x14ac:dyDescent="0.15">
      <c r="B184" s="7">
        <v>4056</v>
      </c>
      <c r="C184" s="52" t="s">
        <v>1807</v>
      </c>
      <c r="H184" s="54">
        <v>301</v>
      </c>
      <c r="I184" s="7">
        <v>5007</v>
      </c>
      <c r="J184" s="34">
        <f t="shared" si="20"/>
        <v>1</v>
      </c>
      <c r="K184" s="34">
        <f t="shared" si="21"/>
        <v>5007</v>
      </c>
      <c r="M184">
        <v>1703</v>
      </c>
      <c r="N184">
        <v>5007</v>
      </c>
      <c r="O184">
        <v>1</v>
      </c>
      <c r="P184">
        <v>5007</v>
      </c>
    </row>
    <row r="185" spans="2:16" x14ac:dyDescent="0.15">
      <c r="B185" s="7">
        <v>4057</v>
      </c>
      <c r="C185" s="52" t="s">
        <v>1808</v>
      </c>
      <c r="H185" s="54">
        <v>302</v>
      </c>
      <c r="I185" s="7">
        <v>5007</v>
      </c>
      <c r="J185" s="34">
        <f t="shared" si="20"/>
        <v>1</v>
      </c>
      <c r="K185" s="34">
        <f t="shared" si="21"/>
        <v>5007</v>
      </c>
      <c r="M185">
        <v>1704</v>
      </c>
      <c r="N185">
        <v>5007</v>
      </c>
      <c r="O185">
        <v>1</v>
      </c>
      <c r="P185">
        <v>5007</v>
      </c>
    </row>
    <row r="186" spans="2:16" x14ac:dyDescent="0.15">
      <c r="H186" s="54">
        <v>1001</v>
      </c>
      <c r="I186" s="7">
        <v>5001</v>
      </c>
      <c r="J186" s="34">
        <f t="shared" si="20"/>
        <v>0</v>
      </c>
      <c r="K186" s="34">
        <f t="shared" si="21"/>
        <v>5001</v>
      </c>
      <c r="M186">
        <v>1800</v>
      </c>
      <c r="N186">
        <v>5007</v>
      </c>
      <c r="O186">
        <v>1</v>
      </c>
      <c r="P186">
        <v>5007</v>
      </c>
    </row>
    <row r="187" spans="2:16" x14ac:dyDescent="0.15">
      <c r="H187" s="54">
        <v>1001</v>
      </c>
      <c r="I187" s="7">
        <v>5002</v>
      </c>
      <c r="J187" s="34">
        <f t="shared" si="20"/>
        <v>1</v>
      </c>
      <c r="K187" s="34" t="str">
        <f t="shared" si="21"/>
        <v>5001,5002</v>
      </c>
      <c r="M187">
        <v>1803</v>
      </c>
      <c r="N187">
        <v>5008</v>
      </c>
      <c r="O187">
        <v>1</v>
      </c>
      <c r="P187">
        <v>5008</v>
      </c>
    </row>
    <row r="188" spans="2:16" x14ac:dyDescent="0.15">
      <c r="H188" s="54">
        <v>1002</v>
      </c>
      <c r="I188" s="7">
        <v>5001</v>
      </c>
      <c r="J188" s="34">
        <f t="shared" si="20"/>
        <v>0</v>
      </c>
      <c r="K188" s="34">
        <f t="shared" si="21"/>
        <v>5001</v>
      </c>
      <c r="M188">
        <v>1804</v>
      </c>
      <c r="N188">
        <v>5008</v>
      </c>
      <c r="O188">
        <v>1</v>
      </c>
      <c r="P188">
        <v>5008</v>
      </c>
    </row>
    <row r="189" spans="2:16" x14ac:dyDescent="0.15">
      <c r="H189" s="54">
        <v>1002</v>
      </c>
      <c r="I189" s="7">
        <v>5004</v>
      </c>
      <c r="J189" s="34">
        <f t="shared" si="20"/>
        <v>1</v>
      </c>
      <c r="K189" s="34" t="str">
        <f t="shared" si="21"/>
        <v>5001,5004</v>
      </c>
      <c r="M189">
        <v>3000</v>
      </c>
      <c r="N189">
        <v>5004</v>
      </c>
      <c r="O189">
        <v>1</v>
      </c>
      <c r="P189" t="s">
        <v>1837</v>
      </c>
    </row>
    <row r="190" spans="2:16" x14ac:dyDescent="0.15">
      <c r="H190" s="54">
        <v>1003</v>
      </c>
      <c r="I190" s="7">
        <v>5003</v>
      </c>
      <c r="J190" s="34">
        <f t="shared" si="20"/>
        <v>0</v>
      </c>
      <c r="K190" s="34">
        <f t="shared" si="21"/>
        <v>5003</v>
      </c>
      <c r="M190">
        <v>3001</v>
      </c>
      <c r="N190">
        <v>5005</v>
      </c>
      <c r="O190">
        <v>1</v>
      </c>
      <c r="P190">
        <v>5005</v>
      </c>
    </row>
    <row r="191" spans="2:16" x14ac:dyDescent="0.15">
      <c r="H191" s="54">
        <v>1003</v>
      </c>
      <c r="I191" s="7">
        <v>5004</v>
      </c>
      <c r="J191" s="34">
        <f t="shared" si="20"/>
        <v>1</v>
      </c>
      <c r="K191" s="34" t="str">
        <f t="shared" si="21"/>
        <v>5003,5004</v>
      </c>
      <c r="M191">
        <v>3002</v>
      </c>
      <c r="N191">
        <v>5003</v>
      </c>
      <c r="O191">
        <v>1</v>
      </c>
      <c r="P191" t="s">
        <v>1846</v>
      </c>
    </row>
    <row r="192" spans="2:16" x14ac:dyDescent="0.15">
      <c r="H192" s="54">
        <v>1004</v>
      </c>
      <c r="I192" s="7">
        <v>5001</v>
      </c>
      <c r="J192" s="34">
        <f t="shared" si="20"/>
        <v>0</v>
      </c>
      <c r="K192" s="34">
        <f t="shared" si="21"/>
        <v>5001</v>
      </c>
      <c r="M192">
        <v>3003</v>
      </c>
      <c r="N192">
        <v>5004</v>
      </c>
      <c r="O192">
        <v>1</v>
      </c>
      <c r="P192" t="s">
        <v>1838</v>
      </c>
    </row>
    <row r="193" spans="8:16" x14ac:dyDescent="0.15">
      <c r="H193" s="54">
        <v>1004</v>
      </c>
      <c r="I193" s="7">
        <v>5004</v>
      </c>
      <c r="J193" s="34">
        <f t="shared" si="20"/>
        <v>0</v>
      </c>
      <c r="K193" s="34" t="str">
        <f t="shared" si="21"/>
        <v>5001,5004</v>
      </c>
      <c r="M193">
        <v>3004</v>
      </c>
      <c r="N193">
        <v>5004</v>
      </c>
      <c r="O193">
        <v>1</v>
      </c>
      <c r="P193" t="s">
        <v>1847</v>
      </c>
    </row>
    <row r="194" spans="8:16" x14ac:dyDescent="0.15">
      <c r="H194" s="54">
        <v>1004</v>
      </c>
      <c r="I194" s="7">
        <v>5002</v>
      </c>
      <c r="J194" s="34">
        <f t="shared" si="20"/>
        <v>1</v>
      </c>
      <c r="K194" s="34" t="str">
        <f t="shared" si="21"/>
        <v>5001,5004,5002</v>
      </c>
      <c r="M194">
        <v>3005</v>
      </c>
      <c r="N194">
        <v>5002</v>
      </c>
      <c r="O194">
        <v>1</v>
      </c>
      <c r="P194" t="s">
        <v>1848</v>
      </c>
    </row>
    <row r="195" spans="8:16" x14ac:dyDescent="0.15">
      <c r="H195" s="54">
        <v>1005</v>
      </c>
      <c r="I195" s="7">
        <v>5004</v>
      </c>
      <c r="J195" s="34">
        <f t="shared" si="20"/>
        <v>0</v>
      </c>
      <c r="K195" s="34">
        <f t="shared" si="21"/>
        <v>5004</v>
      </c>
      <c r="M195">
        <v>3006</v>
      </c>
      <c r="N195">
        <v>5004</v>
      </c>
      <c r="O195">
        <v>1</v>
      </c>
      <c r="P195" t="s">
        <v>1849</v>
      </c>
    </row>
    <row r="196" spans="8:16" x14ac:dyDescent="0.15">
      <c r="H196" s="54">
        <v>1005</v>
      </c>
      <c r="I196" s="7">
        <v>5001</v>
      </c>
      <c r="J196" s="34">
        <f t="shared" si="20"/>
        <v>0</v>
      </c>
      <c r="K196" s="34" t="str">
        <f t="shared" si="21"/>
        <v>5004,5001</v>
      </c>
      <c r="M196">
        <v>3007</v>
      </c>
      <c r="N196">
        <v>5003</v>
      </c>
      <c r="O196">
        <v>1</v>
      </c>
      <c r="P196" t="s">
        <v>1850</v>
      </c>
    </row>
    <row r="197" spans="8:16" x14ac:dyDescent="0.15">
      <c r="H197" s="54">
        <v>1005</v>
      </c>
      <c r="I197" s="7">
        <v>5002</v>
      </c>
      <c r="J197" s="34">
        <f t="shared" si="20"/>
        <v>1</v>
      </c>
      <c r="K197" s="34" t="str">
        <f t="shared" si="21"/>
        <v>5004,5001,5002</v>
      </c>
      <c r="M197">
        <v>3008</v>
      </c>
      <c r="N197">
        <v>5004</v>
      </c>
      <c r="O197">
        <v>1</v>
      </c>
      <c r="P197" t="s">
        <v>1838</v>
      </c>
    </row>
    <row r="198" spans="8:16" x14ac:dyDescent="0.15">
      <c r="H198" s="54">
        <v>1006</v>
      </c>
      <c r="I198" s="7">
        <v>5001</v>
      </c>
      <c r="J198" s="34">
        <f t="shared" si="20"/>
        <v>0</v>
      </c>
      <c r="K198" s="34">
        <f t="shared" si="21"/>
        <v>5001</v>
      </c>
      <c r="M198">
        <v>3009</v>
      </c>
      <c r="N198">
        <v>5004</v>
      </c>
      <c r="O198">
        <v>1</v>
      </c>
      <c r="P198" t="s">
        <v>1838</v>
      </c>
    </row>
    <row r="199" spans="8:16" x14ac:dyDescent="0.15">
      <c r="H199" s="54">
        <v>1006</v>
      </c>
      <c r="I199" s="7">
        <v>5002</v>
      </c>
      <c r="J199" s="34">
        <f t="shared" si="20"/>
        <v>1</v>
      </c>
      <c r="K199" s="34" t="str">
        <f t="shared" si="21"/>
        <v>5001,5002</v>
      </c>
      <c r="M199">
        <v>3010</v>
      </c>
      <c r="N199">
        <v>5002</v>
      </c>
      <c r="O199">
        <v>1</v>
      </c>
      <c r="P199">
        <v>5002</v>
      </c>
    </row>
    <row r="200" spans="8:16" x14ac:dyDescent="0.15">
      <c r="H200" s="54">
        <v>1007</v>
      </c>
      <c r="I200" s="7">
        <v>5003</v>
      </c>
      <c r="J200" s="34">
        <f t="shared" si="20"/>
        <v>0</v>
      </c>
      <c r="K200" s="34">
        <f t="shared" si="21"/>
        <v>5003</v>
      </c>
      <c r="M200">
        <v>3011</v>
      </c>
      <c r="N200">
        <v>5004</v>
      </c>
      <c r="O200">
        <v>1</v>
      </c>
      <c r="P200" t="s">
        <v>1838</v>
      </c>
    </row>
    <row r="201" spans="8:16" x14ac:dyDescent="0.15">
      <c r="H201" s="54">
        <v>1007</v>
      </c>
      <c r="I201" s="7">
        <v>5004</v>
      </c>
      <c r="J201" s="34">
        <f t="shared" si="20"/>
        <v>1</v>
      </c>
      <c r="K201" s="34" t="str">
        <f t="shared" si="21"/>
        <v>5003,5004</v>
      </c>
      <c r="M201">
        <v>3109</v>
      </c>
      <c r="N201">
        <v>5004</v>
      </c>
      <c r="O201">
        <v>1</v>
      </c>
      <c r="P201">
        <v>5004</v>
      </c>
    </row>
    <row r="202" spans="8:16" x14ac:dyDescent="0.15">
      <c r="H202" s="54">
        <v>1008</v>
      </c>
      <c r="I202" s="7">
        <v>5001</v>
      </c>
      <c r="J202" s="34">
        <f t="shared" si="20"/>
        <v>0</v>
      </c>
      <c r="K202" s="34">
        <f t="shared" si="21"/>
        <v>5001</v>
      </c>
      <c r="M202">
        <v>3112</v>
      </c>
      <c r="N202">
        <v>5001</v>
      </c>
      <c r="O202">
        <v>1</v>
      </c>
      <c r="P202">
        <v>5001</v>
      </c>
    </row>
    <row r="203" spans="8:16" x14ac:dyDescent="0.15">
      <c r="H203" s="54">
        <v>1008</v>
      </c>
      <c r="I203" s="7">
        <v>5004</v>
      </c>
      <c r="J203" s="34">
        <f t="shared" si="20"/>
        <v>1</v>
      </c>
      <c r="K203" s="34" t="str">
        <f t="shared" si="21"/>
        <v>5001,5004</v>
      </c>
      <c r="M203">
        <v>3113</v>
      </c>
      <c r="N203">
        <v>5001</v>
      </c>
      <c r="O203">
        <v>1</v>
      </c>
      <c r="P203">
        <v>5001</v>
      </c>
    </row>
    <row r="204" spans="8:16" x14ac:dyDescent="0.15">
      <c r="H204" s="54">
        <v>1009</v>
      </c>
      <c r="I204" s="7">
        <v>5001</v>
      </c>
      <c r="J204" s="34">
        <f t="shared" si="20"/>
        <v>0</v>
      </c>
      <c r="K204" s="34">
        <f t="shared" si="21"/>
        <v>5001</v>
      </c>
      <c r="M204">
        <v>3114</v>
      </c>
      <c r="N204">
        <v>5001</v>
      </c>
      <c r="O204">
        <v>1</v>
      </c>
      <c r="P204">
        <v>5001</v>
      </c>
    </row>
    <row r="205" spans="8:16" x14ac:dyDescent="0.15">
      <c r="H205" s="54">
        <v>1009</v>
      </c>
      <c r="I205" s="7">
        <v>5004</v>
      </c>
      <c r="J205" s="34">
        <f t="shared" si="20"/>
        <v>1</v>
      </c>
      <c r="K205" s="34" t="str">
        <f t="shared" si="21"/>
        <v>5001,5004</v>
      </c>
      <c r="M205">
        <v>3121</v>
      </c>
      <c r="N205">
        <v>5005</v>
      </c>
      <c r="O205">
        <v>1</v>
      </c>
      <c r="P205">
        <v>5005</v>
      </c>
    </row>
    <row r="206" spans="8:16" x14ac:dyDescent="0.15">
      <c r="H206" s="54">
        <v>1010</v>
      </c>
      <c r="I206" s="7">
        <v>5002</v>
      </c>
      <c r="J206" s="34">
        <f t="shared" si="20"/>
        <v>1</v>
      </c>
      <c r="K206" s="34">
        <f t="shared" si="21"/>
        <v>5002</v>
      </c>
      <c r="M206">
        <v>3122</v>
      </c>
      <c r="N206">
        <v>5005</v>
      </c>
      <c r="O206">
        <v>1</v>
      </c>
      <c r="P206">
        <v>5005</v>
      </c>
    </row>
    <row r="207" spans="8:16" x14ac:dyDescent="0.15">
      <c r="H207" s="54">
        <v>1011</v>
      </c>
      <c r="I207" s="7">
        <v>5004</v>
      </c>
      <c r="J207" s="34">
        <f t="shared" si="20"/>
        <v>0</v>
      </c>
      <c r="K207" s="34">
        <f t="shared" si="21"/>
        <v>5004</v>
      </c>
      <c r="M207">
        <v>3123</v>
      </c>
      <c r="N207">
        <v>5005</v>
      </c>
      <c r="O207">
        <v>1</v>
      </c>
      <c r="P207">
        <v>5005</v>
      </c>
    </row>
    <row r="208" spans="8:16" x14ac:dyDescent="0.15">
      <c r="H208" s="54">
        <v>1011</v>
      </c>
      <c r="I208" s="7">
        <v>5001</v>
      </c>
      <c r="J208" s="34">
        <f t="shared" si="20"/>
        <v>0</v>
      </c>
      <c r="K208" s="34" t="str">
        <f t="shared" si="21"/>
        <v>5004,5001</v>
      </c>
      <c r="M208">
        <v>3124</v>
      </c>
      <c r="N208">
        <v>5005</v>
      </c>
      <c r="O208">
        <v>1</v>
      </c>
      <c r="P208">
        <v>5005</v>
      </c>
    </row>
    <row r="209" spans="7:16" x14ac:dyDescent="0.15">
      <c r="H209" s="54">
        <v>1011</v>
      </c>
      <c r="I209" s="7">
        <v>5003</v>
      </c>
      <c r="J209" s="34">
        <f t="shared" si="20"/>
        <v>1</v>
      </c>
      <c r="K209" s="34" t="str">
        <f t="shared" si="21"/>
        <v>5004,5001,5003</v>
      </c>
      <c r="M209">
        <v>3125</v>
      </c>
      <c r="N209">
        <v>5002</v>
      </c>
      <c r="O209">
        <v>1</v>
      </c>
      <c r="P209" t="s">
        <v>1851</v>
      </c>
    </row>
    <row r="210" spans="7:16" x14ac:dyDescent="0.15">
      <c r="H210" s="54">
        <v>1012</v>
      </c>
      <c r="I210" s="7">
        <v>5002</v>
      </c>
      <c r="J210" s="34">
        <f t="shared" si="20"/>
        <v>1</v>
      </c>
      <c r="K210" s="34">
        <f t="shared" si="21"/>
        <v>5002</v>
      </c>
      <c r="M210">
        <v>3126</v>
      </c>
      <c r="N210">
        <v>5005</v>
      </c>
      <c r="O210">
        <v>1</v>
      </c>
      <c r="P210">
        <v>5005</v>
      </c>
    </row>
    <row r="211" spans="7:16" x14ac:dyDescent="0.15">
      <c r="H211" s="54">
        <v>1013</v>
      </c>
      <c r="I211" s="7">
        <v>5003</v>
      </c>
      <c r="J211" s="34">
        <f t="shared" si="20"/>
        <v>1</v>
      </c>
      <c r="K211" s="34">
        <f t="shared" si="21"/>
        <v>5003</v>
      </c>
      <c r="M211">
        <v>3127</v>
      </c>
      <c r="N211">
        <v>5005</v>
      </c>
      <c r="O211">
        <v>1</v>
      </c>
      <c r="P211">
        <v>5005</v>
      </c>
    </row>
    <row r="212" spans="7:16" x14ac:dyDescent="0.15">
      <c r="H212" s="54">
        <v>1014</v>
      </c>
      <c r="I212" s="7">
        <v>5004</v>
      </c>
      <c r="J212" s="34">
        <f t="shared" si="20"/>
        <v>1</v>
      </c>
      <c r="K212" s="34">
        <f t="shared" si="21"/>
        <v>5004</v>
      </c>
      <c r="M212">
        <v>3129</v>
      </c>
      <c r="N212">
        <v>5005</v>
      </c>
      <c r="O212">
        <v>1</v>
      </c>
      <c r="P212">
        <v>5005</v>
      </c>
    </row>
    <row r="213" spans="7:16" x14ac:dyDescent="0.15">
      <c r="H213" s="54">
        <v>1015</v>
      </c>
      <c r="I213" s="7">
        <v>5004</v>
      </c>
      <c r="J213" s="34">
        <f t="shared" si="20"/>
        <v>0</v>
      </c>
      <c r="K213" s="34">
        <f t="shared" si="21"/>
        <v>5004</v>
      </c>
      <c r="M213">
        <v>3130</v>
      </c>
      <c r="N213">
        <v>5001</v>
      </c>
      <c r="O213">
        <v>1</v>
      </c>
      <c r="P213" t="s">
        <v>1852</v>
      </c>
    </row>
    <row r="214" spans="7:16" x14ac:dyDescent="0.15">
      <c r="G214" s="34"/>
      <c r="H214" s="54">
        <v>1015</v>
      </c>
      <c r="I214" s="7">
        <v>5005</v>
      </c>
      <c r="J214" s="34">
        <f t="shared" si="20"/>
        <v>1</v>
      </c>
      <c r="K214" s="34" t="str">
        <f t="shared" si="21"/>
        <v>5004,5005</v>
      </c>
      <c r="M214">
        <v>3134</v>
      </c>
      <c r="N214">
        <v>5001</v>
      </c>
      <c r="O214">
        <v>1</v>
      </c>
      <c r="P214">
        <v>5001</v>
      </c>
    </row>
    <row r="215" spans="7:16" x14ac:dyDescent="0.15">
      <c r="H215" s="54">
        <v>1016</v>
      </c>
      <c r="I215" s="7">
        <v>5003</v>
      </c>
      <c r="J215" s="34">
        <f t="shared" si="20"/>
        <v>1</v>
      </c>
      <c r="K215" s="34">
        <f t="shared" si="21"/>
        <v>5003</v>
      </c>
      <c r="M215">
        <v>3153</v>
      </c>
      <c r="N215">
        <v>5001</v>
      </c>
      <c r="O215">
        <v>1</v>
      </c>
      <c r="P215">
        <v>5001</v>
      </c>
    </row>
    <row r="216" spans="7:16" x14ac:dyDescent="0.15">
      <c r="H216" s="54">
        <v>1017</v>
      </c>
      <c r="I216" s="7">
        <v>5003</v>
      </c>
      <c r="J216" s="34">
        <f t="shared" si="20"/>
        <v>0</v>
      </c>
      <c r="K216" s="34">
        <f t="shared" si="21"/>
        <v>5003</v>
      </c>
      <c r="M216">
        <v>3164</v>
      </c>
      <c r="N216">
        <v>5001</v>
      </c>
      <c r="O216">
        <v>1</v>
      </c>
      <c r="P216">
        <v>5001</v>
      </c>
    </row>
    <row r="217" spans="7:16" x14ac:dyDescent="0.15">
      <c r="H217" s="54">
        <v>1017</v>
      </c>
      <c r="I217" s="7">
        <v>5004</v>
      </c>
      <c r="J217" s="34">
        <f t="shared" si="20"/>
        <v>1</v>
      </c>
      <c r="K217" s="34" t="str">
        <f t="shared" si="21"/>
        <v>5003,5004</v>
      </c>
      <c r="M217">
        <v>3166</v>
      </c>
      <c r="N217">
        <v>5001</v>
      </c>
      <c r="O217">
        <v>1</v>
      </c>
      <c r="P217">
        <v>5001</v>
      </c>
    </row>
    <row r="218" spans="7:16" x14ac:dyDescent="0.15">
      <c r="H218" s="54">
        <v>1018</v>
      </c>
      <c r="I218" s="7">
        <v>5004</v>
      </c>
      <c r="J218" s="34">
        <f t="shared" si="20"/>
        <v>1</v>
      </c>
      <c r="K218" s="34">
        <f t="shared" si="21"/>
        <v>5004</v>
      </c>
      <c r="M218">
        <v>4000</v>
      </c>
      <c r="N218">
        <v>5004</v>
      </c>
      <c r="O218">
        <v>1</v>
      </c>
      <c r="P218">
        <v>5004</v>
      </c>
    </row>
    <row r="219" spans="7:16" x14ac:dyDescent="0.15">
      <c r="H219" s="54">
        <v>1019</v>
      </c>
      <c r="I219" s="7">
        <v>5002</v>
      </c>
      <c r="J219" s="34">
        <f t="shared" si="20"/>
        <v>0</v>
      </c>
      <c r="K219" s="34">
        <f t="shared" si="21"/>
        <v>5002</v>
      </c>
      <c r="M219">
        <v>4006</v>
      </c>
      <c r="N219">
        <v>5004</v>
      </c>
      <c r="O219">
        <v>1</v>
      </c>
      <c r="P219" t="s">
        <v>1838</v>
      </c>
    </row>
    <row r="220" spans="7:16" x14ac:dyDescent="0.15">
      <c r="H220" s="54">
        <v>1019</v>
      </c>
      <c r="I220" s="7">
        <v>5003</v>
      </c>
      <c r="J220" s="34">
        <f t="shared" si="20"/>
        <v>1</v>
      </c>
      <c r="K220" s="34" t="str">
        <f t="shared" si="21"/>
        <v>5002,5003</v>
      </c>
      <c r="M220">
        <v>4007</v>
      </c>
      <c r="N220">
        <v>5004</v>
      </c>
      <c r="O220">
        <v>1</v>
      </c>
      <c r="P220">
        <v>5004</v>
      </c>
    </row>
    <row r="221" spans="7:16" x14ac:dyDescent="0.15">
      <c r="H221" s="54">
        <v>1020</v>
      </c>
      <c r="I221" s="7">
        <v>5005</v>
      </c>
      <c r="J221" s="34">
        <f t="shared" si="20"/>
        <v>0</v>
      </c>
      <c r="K221" s="34">
        <f t="shared" si="21"/>
        <v>5005</v>
      </c>
      <c r="M221">
        <v>4009</v>
      </c>
      <c r="N221">
        <v>5003</v>
      </c>
      <c r="O221">
        <v>1</v>
      </c>
      <c r="P221">
        <v>5003</v>
      </c>
    </row>
    <row r="222" spans="7:16" x14ac:dyDescent="0.15">
      <c r="H222" s="54">
        <v>1020</v>
      </c>
      <c r="I222" s="7">
        <v>5009</v>
      </c>
      <c r="J222" s="34">
        <f t="shared" si="20"/>
        <v>1</v>
      </c>
      <c r="K222" s="34" t="str">
        <f t="shared" si="21"/>
        <v>5005,5009</v>
      </c>
      <c r="M222">
        <v>4015</v>
      </c>
      <c r="N222">
        <v>5001</v>
      </c>
      <c r="O222">
        <v>1</v>
      </c>
      <c r="P222" t="s">
        <v>1852</v>
      </c>
    </row>
    <row r="223" spans="7:16" x14ac:dyDescent="0.15">
      <c r="H223" s="54">
        <v>1021</v>
      </c>
      <c r="I223" s="7">
        <v>5005</v>
      </c>
      <c r="J223" s="34">
        <f t="shared" si="20"/>
        <v>1</v>
      </c>
      <c r="K223" s="34">
        <f t="shared" si="21"/>
        <v>5005</v>
      </c>
      <c r="M223">
        <v>4016</v>
      </c>
      <c r="N223">
        <v>5003</v>
      </c>
      <c r="O223">
        <v>1</v>
      </c>
      <c r="P223">
        <v>5003</v>
      </c>
    </row>
    <row r="224" spans="7:16" x14ac:dyDescent="0.15">
      <c r="H224" s="54">
        <v>1022</v>
      </c>
      <c r="I224" s="7">
        <v>5002</v>
      </c>
      <c r="J224" s="34">
        <f t="shared" si="20"/>
        <v>1</v>
      </c>
      <c r="K224" s="34">
        <f t="shared" si="21"/>
        <v>5002</v>
      </c>
      <c r="M224">
        <v>4017</v>
      </c>
      <c r="N224">
        <v>5003</v>
      </c>
      <c r="O224">
        <v>1</v>
      </c>
      <c r="P224">
        <v>5003</v>
      </c>
    </row>
    <row r="225" spans="8:16" x14ac:dyDescent="0.15">
      <c r="H225" s="54">
        <v>1023</v>
      </c>
      <c r="I225" s="7">
        <v>5002</v>
      </c>
      <c r="J225" s="34">
        <f t="shared" si="20"/>
        <v>1</v>
      </c>
      <c r="K225" s="34">
        <f t="shared" si="21"/>
        <v>5002</v>
      </c>
      <c r="M225">
        <v>4021</v>
      </c>
      <c r="N225">
        <v>5003</v>
      </c>
      <c r="O225">
        <v>1</v>
      </c>
      <c r="P225" t="s">
        <v>1846</v>
      </c>
    </row>
    <row r="226" spans="8:16" x14ac:dyDescent="0.15">
      <c r="H226" s="54">
        <v>1024</v>
      </c>
      <c r="I226" s="7">
        <v>5009</v>
      </c>
      <c r="J226" s="34">
        <f t="shared" si="20"/>
        <v>1</v>
      </c>
      <c r="K226" s="34">
        <f t="shared" si="21"/>
        <v>5009</v>
      </c>
      <c r="M226">
        <v>4100</v>
      </c>
      <c r="N226">
        <v>5004</v>
      </c>
      <c r="O226">
        <v>1</v>
      </c>
      <c r="P226" t="s">
        <v>1838</v>
      </c>
    </row>
    <row r="227" spans="8:16" x14ac:dyDescent="0.15">
      <c r="H227" s="54">
        <v>1025</v>
      </c>
      <c r="I227" s="7">
        <v>5002</v>
      </c>
      <c r="J227" s="34">
        <f t="shared" si="20"/>
        <v>1</v>
      </c>
      <c r="K227" s="34">
        <f t="shared" si="21"/>
        <v>5002</v>
      </c>
      <c r="M227">
        <v>4101</v>
      </c>
      <c r="N227">
        <v>5003</v>
      </c>
      <c r="O227">
        <v>1</v>
      </c>
      <c r="P227">
        <v>5003</v>
      </c>
    </row>
    <row r="228" spans="8:16" x14ac:dyDescent="0.15">
      <c r="H228" s="54">
        <v>1026</v>
      </c>
      <c r="I228" s="7">
        <v>5002</v>
      </c>
      <c r="J228" s="34">
        <f t="shared" si="20"/>
        <v>1</v>
      </c>
      <c r="K228" s="34">
        <f t="shared" si="21"/>
        <v>5002</v>
      </c>
      <c r="M228">
        <v>4103</v>
      </c>
      <c r="N228">
        <v>5003</v>
      </c>
      <c r="O228">
        <v>1</v>
      </c>
      <c r="P228">
        <v>5003</v>
      </c>
    </row>
    <row r="229" spans="8:16" x14ac:dyDescent="0.15">
      <c r="H229" s="54">
        <v>1027</v>
      </c>
      <c r="I229" s="7">
        <v>5003</v>
      </c>
      <c r="J229" s="34">
        <f t="shared" si="20"/>
        <v>0</v>
      </c>
      <c r="K229" s="34">
        <f t="shared" si="21"/>
        <v>5003</v>
      </c>
      <c r="M229">
        <v>4105</v>
      </c>
      <c r="N229">
        <v>5004</v>
      </c>
      <c r="O229">
        <v>1</v>
      </c>
      <c r="P229">
        <v>5004</v>
      </c>
    </row>
    <row r="230" spans="8:16" x14ac:dyDescent="0.15">
      <c r="H230" s="54">
        <v>1027</v>
      </c>
      <c r="I230" s="7">
        <v>5004</v>
      </c>
      <c r="J230" s="34">
        <f t="shared" si="20"/>
        <v>1</v>
      </c>
      <c r="K230" s="34" t="str">
        <f t="shared" si="21"/>
        <v>5003,5004</v>
      </c>
      <c r="M230">
        <v>4106</v>
      </c>
      <c r="N230">
        <v>5003</v>
      </c>
      <c r="O230">
        <v>1</v>
      </c>
      <c r="P230">
        <v>5003</v>
      </c>
    </row>
    <row r="231" spans="8:16" x14ac:dyDescent="0.15">
      <c r="H231" s="54">
        <v>1028</v>
      </c>
      <c r="I231" s="7">
        <v>5002</v>
      </c>
      <c r="J231" s="34">
        <f t="shared" si="20"/>
        <v>0</v>
      </c>
      <c r="K231" s="34">
        <f t="shared" si="21"/>
        <v>5002</v>
      </c>
      <c r="M231">
        <v>4109</v>
      </c>
      <c r="N231">
        <v>5003</v>
      </c>
      <c r="O231">
        <v>1</v>
      </c>
      <c r="P231" t="s">
        <v>1846</v>
      </c>
    </row>
    <row r="232" spans="8:16" x14ac:dyDescent="0.15">
      <c r="H232" s="54">
        <v>1028</v>
      </c>
      <c r="I232" s="7">
        <v>5004</v>
      </c>
      <c r="J232" s="34">
        <f t="shared" si="20"/>
        <v>1</v>
      </c>
      <c r="K232" s="34" t="str">
        <f t="shared" si="21"/>
        <v>5002,5004</v>
      </c>
      <c r="M232">
        <v>4111</v>
      </c>
      <c r="N232">
        <v>5004</v>
      </c>
      <c r="O232">
        <v>1</v>
      </c>
      <c r="P232" t="s">
        <v>1838</v>
      </c>
    </row>
    <row r="233" spans="8:16" x14ac:dyDescent="0.15">
      <c r="H233" s="54">
        <v>1600</v>
      </c>
      <c r="I233" s="7">
        <v>5008</v>
      </c>
      <c r="J233" s="34">
        <f t="shared" si="20"/>
        <v>1</v>
      </c>
      <c r="K233" s="34">
        <f t="shared" si="21"/>
        <v>5008</v>
      </c>
      <c r="M233">
        <v>4112</v>
      </c>
      <c r="N233">
        <v>5003</v>
      </c>
      <c r="O233">
        <v>1</v>
      </c>
      <c r="P233" t="s">
        <v>1846</v>
      </c>
    </row>
    <row r="234" spans="8:16" x14ac:dyDescent="0.15">
      <c r="H234" s="54">
        <v>1605</v>
      </c>
      <c r="I234" s="7">
        <v>5008</v>
      </c>
      <c r="J234" s="34">
        <f t="shared" si="20"/>
        <v>1</v>
      </c>
      <c r="K234" s="34">
        <f t="shared" si="21"/>
        <v>5008</v>
      </c>
      <c r="M234">
        <v>4113</v>
      </c>
      <c r="N234">
        <v>5004</v>
      </c>
      <c r="O234">
        <v>1</v>
      </c>
      <c r="P234" t="s">
        <v>1838</v>
      </c>
    </row>
    <row r="235" spans="8:16" x14ac:dyDescent="0.15">
      <c r="H235" s="54">
        <v>1609</v>
      </c>
      <c r="I235" s="7">
        <v>5008</v>
      </c>
      <c r="J235" s="34">
        <f t="shared" si="20"/>
        <v>1</v>
      </c>
      <c r="K235" s="34">
        <f t="shared" si="21"/>
        <v>5008</v>
      </c>
      <c r="M235">
        <v>4115</v>
      </c>
      <c r="N235">
        <v>5004</v>
      </c>
      <c r="O235">
        <v>1</v>
      </c>
      <c r="P235" t="s">
        <v>1838</v>
      </c>
    </row>
    <row r="236" spans="8:16" x14ac:dyDescent="0.15">
      <c r="H236" s="54">
        <v>1612</v>
      </c>
      <c r="I236" s="7">
        <v>5007</v>
      </c>
      <c r="J236" s="34">
        <f t="shared" si="20"/>
        <v>1</v>
      </c>
      <c r="K236" s="34">
        <f t="shared" si="21"/>
        <v>5007</v>
      </c>
      <c r="M236">
        <v>4116</v>
      </c>
      <c r="N236">
        <v>5004</v>
      </c>
      <c r="O236">
        <v>1</v>
      </c>
      <c r="P236" t="s">
        <v>1837</v>
      </c>
    </row>
    <row r="237" spans="8:16" x14ac:dyDescent="0.15">
      <c r="H237" s="54">
        <v>1613</v>
      </c>
      <c r="I237" s="7">
        <v>5007</v>
      </c>
      <c r="J237" s="34">
        <f t="shared" si="20"/>
        <v>1</v>
      </c>
      <c r="K237" s="34">
        <f t="shared" si="21"/>
        <v>5007</v>
      </c>
    </row>
    <row r="238" spans="8:16" x14ac:dyDescent="0.15">
      <c r="H238" s="54">
        <v>1614</v>
      </c>
      <c r="I238" s="7">
        <v>5008</v>
      </c>
      <c r="J238" s="34">
        <f t="shared" si="20"/>
        <v>1</v>
      </c>
      <c r="K238" s="34">
        <f t="shared" si="21"/>
        <v>5008</v>
      </c>
    </row>
    <row r="239" spans="8:16" x14ac:dyDescent="0.15">
      <c r="H239" s="54">
        <v>1615</v>
      </c>
      <c r="I239" s="7">
        <v>5008</v>
      </c>
      <c r="J239" s="34">
        <f t="shared" si="20"/>
        <v>1</v>
      </c>
      <c r="K239" s="34">
        <f t="shared" si="21"/>
        <v>5008</v>
      </c>
    </row>
    <row r="240" spans="8:16" x14ac:dyDescent="0.15">
      <c r="H240" s="54">
        <v>1650</v>
      </c>
      <c r="I240" s="7">
        <v>5007</v>
      </c>
      <c r="J240" s="34">
        <f t="shared" si="20"/>
        <v>1</v>
      </c>
      <c r="K240" s="34">
        <f t="shared" si="21"/>
        <v>5007</v>
      </c>
    </row>
    <row r="241" spans="8:11" x14ac:dyDescent="0.15">
      <c r="H241" s="54">
        <v>1651</v>
      </c>
      <c r="I241" s="7">
        <v>5007</v>
      </c>
      <c r="J241" s="34">
        <f t="shared" si="20"/>
        <v>1</v>
      </c>
      <c r="K241" s="34">
        <f t="shared" si="21"/>
        <v>5007</v>
      </c>
    </row>
    <row r="242" spans="8:11" x14ac:dyDescent="0.15">
      <c r="H242" s="54">
        <v>1654</v>
      </c>
      <c r="I242" s="7">
        <v>5008</v>
      </c>
      <c r="J242" s="34">
        <f t="shared" si="20"/>
        <v>1</v>
      </c>
      <c r="K242" s="34">
        <f t="shared" si="21"/>
        <v>5008</v>
      </c>
    </row>
    <row r="243" spans="8:11" x14ac:dyDescent="0.15">
      <c r="H243" s="54">
        <v>1656</v>
      </c>
      <c r="I243" s="7">
        <v>5007</v>
      </c>
      <c r="J243" s="34">
        <f t="shared" si="20"/>
        <v>1</v>
      </c>
      <c r="K243" s="34">
        <f t="shared" si="21"/>
        <v>5007</v>
      </c>
    </row>
    <row r="244" spans="8:11" x14ac:dyDescent="0.15">
      <c r="H244" s="54">
        <v>1700</v>
      </c>
      <c r="I244" s="7">
        <v>5007</v>
      </c>
      <c r="J244" s="34">
        <f t="shared" si="20"/>
        <v>1</v>
      </c>
      <c r="K244" s="34">
        <f t="shared" si="21"/>
        <v>5007</v>
      </c>
    </row>
    <row r="245" spans="8:11" x14ac:dyDescent="0.15">
      <c r="H245" s="54">
        <v>1701</v>
      </c>
      <c r="I245" s="7">
        <v>5007</v>
      </c>
      <c r="J245" s="34">
        <f t="shared" si="20"/>
        <v>1</v>
      </c>
      <c r="K245" s="34">
        <f t="shared" si="21"/>
        <v>5007</v>
      </c>
    </row>
    <row r="246" spans="8:11" x14ac:dyDescent="0.15">
      <c r="H246" s="54">
        <v>1702</v>
      </c>
      <c r="I246" s="7">
        <v>5008</v>
      </c>
      <c r="J246" s="34">
        <f t="shared" si="20"/>
        <v>1</v>
      </c>
      <c r="K246" s="34">
        <f t="shared" si="21"/>
        <v>5008</v>
      </c>
    </row>
    <row r="247" spans="8:11" x14ac:dyDescent="0.15">
      <c r="H247" s="54">
        <v>1703</v>
      </c>
      <c r="I247" s="7">
        <v>5007</v>
      </c>
      <c r="J247" s="34">
        <f t="shared" ref="J247:J310" si="22">IF(H247&lt;&gt;H248,1,0)</f>
        <v>1</v>
      </c>
      <c r="K247" s="34">
        <f t="shared" ref="K247:K310" si="23">IF(H247&lt;&gt;H246,I247,K246&amp;","&amp;I247)</f>
        <v>5007</v>
      </c>
    </row>
    <row r="248" spans="8:11" x14ac:dyDescent="0.15">
      <c r="H248" s="54">
        <v>1704</v>
      </c>
      <c r="I248" s="7">
        <v>5007</v>
      </c>
      <c r="J248" s="34">
        <f t="shared" si="22"/>
        <v>1</v>
      </c>
      <c r="K248" s="34">
        <f t="shared" si="23"/>
        <v>5007</v>
      </c>
    </row>
    <row r="249" spans="8:11" x14ac:dyDescent="0.15">
      <c r="H249" s="54">
        <v>1800</v>
      </c>
      <c r="I249" s="7">
        <v>5007</v>
      </c>
      <c r="J249" s="34">
        <f t="shared" si="22"/>
        <v>1</v>
      </c>
      <c r="K249" s="34">
        <f t="shared" si="23"/>
        <v>5007</v>
      </c>
    </row>
    <row r="250" spans="8:11" x14ac:dyDescent="0.15">
      <c r="H250" s="54">
        <v>1803</v>
      </c>
      <c r="I250" s="7">
        <v>5008</v>
      </c>
      <c r="J250" s="34">
        <f t="shared" si="22"/>
        <v>1</v>
      </c>
      <c r="K250" s="34">
        <f t="shared" si="23"/>
        <v>5008</v>
      </c>
    </row>
    <row r="251" spans="8:11" x14ac:dyDescent="0.15">
      <c r="H251" s="54">
        <v>1804</v>
      </c>
      <c r="I251" s="7">
        <v>5008</v>
      </c>
      <c r="J251" s="34">
        <f t="shared" si="22"/>
        <v>1</v>
      </c>
      <c r="K251" s="34">
        <f t="shared" si="23"/>
        <v>5008</v>
      </c>
    </row>
    <row r="252" spans="8:11" x14ac:dyDescent="0.15">
      <c r="H252" s="54">
        <v>3000</v>
      </c>
      <c r="I252" s="7">
        <v>5001</v>
      </c>
      <c r="J252" s="34">
        <f t="shared" si="22"/>
        <v>0</v>
      </c>
      <c r="K252" s="34">
        <f t="shared" si="23"/>
        <v>5001</v>
      </c>
    </row>
    <row r="253" spans="8:11" x14ac:dyDescent="0.15">
      <c r="H253" s="54">
        <v>3000</v>
      </c>
      <c r="I253" s="7">
        <v>5004</v>
      </c>
      <c r="J253" s="34">
        <f t="shared" si="22"/>
        <v>1</v>
      </c>
      <c r="K253" s="34" t="str">
        <f t="shared" si="23"/>
        <v>5001,5004</v>
      </c>
    </row>
    <row r="254" spans="8:11" x14ac:dyDescent="0.15">
      <c r="H254" s="54">
        <v>3001</v>
      </c>
      <c r="I254" s="7">
        <v>5005</v>
      </c>
      <c r="J254" s="34">
        <f t="shared" si="22"/>
        <v>1</v>
      </c>
      <c r="K254" s="34">
        <f t="shared" si="23"/>
        <v>5005</v>
      </c>
    </row>
    <row r="255" spans="8:11" x14ac:dyDescent="0.15">
      <c r="H255" s="54">
        <v>3002</v>
      </c>
      <c r="I255" s="7">
        <v>5001</v>
      </c>
      <c r="J255" s="34">
        <f t="shared" si="22"/>
        <v>0</v>
      </c>
      <c r="K255" s="34">
        <f t="shared" si="23"/>
        <v>5001</v>
      </c>
    </row>
    <row r="256" spans="8:11" x14ac:dyDescent="0.15">
      <c r="H256" s="54">
        <v>3002</v>
      </c>
      <c r="I256" s="7">
        <v>5003</v>
      </c>
      <c r="J256" s="34">
        <f t="shared" si="22"/>
        <v>1</v>
      </c>
      <c r="K256" s="34" t="str">
        <f t="shared" si="23"/>
        <v>5001,5003</v>
      </c>
    </row>
    <row r="257" spans="8:11" x14ac:dyDescent="0.15">
      <c r="H257" s="54">
        <v>3003</v>
      </c>
      <c r="I257" s="7">
        <v>5003</v>
      </c>
      <c r="J257" s="34">
        <f t="shared" si="22"/>
        <v>0</v>
      </c>
      <c r="K257" s="34">
        <f t="shared" si="23"/>
        <v>5003</v>
      </c>
    </row>
    <row r="258" spans="8:11" x14ac:dyDescent="0.15">
      <c r="H258" s="54">
        <v>3003</v>
      </c>
      <c r="I258" s="7">
        <v>5004</v>
      </c>
      <c r="J258" s="34">
        <f t="shared" si="22"/>
        <v>1</v>
      </c>
      <c r="K258" s="34" t="str">
        <f t="shared" si="23"/>
        <v>5003,5004</v>
      </c>
    </row>
    <row r="259" spans="8:11" x14ac:dyDescent="0.15">
      <c r="H259" s="54">
        <v>3004</v>
      </c>
      <c r="I259" s="7">
        <v>5002</v>
      </c>
      <c r="J259" s="34">
        <f t="shared" si="22"/>
        <v>0</v>
      </c>
      <c r="K259" s="34">
        <f t="shared" si="23"/>
        <v>5002</v>
      </c>
    </row>
    <row r="260" spans="8:11" x14ac:dyDescent="0.15">
      <c r="H260" s="54">
        <v>3004</v>
      </c>
      <c r="I260" s="7">
        <v>5003</v>
      </c>
      <c r="J260" s="34">
        <f t="shared" si="22"/>
        <v>0</v>
      </c>
      <c r="K260" s="34" t="str">
        <f t="shared" si="23"/>
        <v>5002,5003</v>
      </c>
    </row>
    <row r="261" spans="8:11" x14ac:dyDescent="0.15">
      <c r="H261" s="54">
        <v>3004</v>
      </c>
      <c r="I261" s="7">
        <v>5004</v>
      </c>
      <c r="J261" s="34">
        <f t="shared" si="22"/>
        <v>1</v>
      </c>
      <c r="K261" s="34" t="str">
        <f t="shared" si="23"/>
        <v>5002,5003,5004</v>
      </c>
    </row>
    <row r="262" spans="8:11" x14ac:dyDescent="0.15">
      <c r="H262" s="54">
        <v>3005</v>
      </c>
      <c r="I262" s="7">
        <v>5005</v>
      </c>
      <c r="J262" s="34">
        <f t="shared" si="22"/>
        <v>0</v>
      </c>
      <c r="K262" s="34">
        <f t="shared" si="23"/>
        <v>5005</v>
      </c>
    </row>
    <row r="263" spans="8:11" x14ac:dyDescent="0.15">
      <c r="H263" s="54">
        <v>3005</v>
      </c>
      <c r="I263" s="7">
        <v>5003</v>
      </c>
      <c r="J263" s="34">
        <f t="shared" si="22"/>
        <v>0</v>
      </c>
      <c r="K263" s="34" t="str">
        <f t="shared" si="23"/>
        <v>5005,5003</v>
      </c>
    </row>
    <row r="264" spans="8:11" x14ac:dyDescent="0.15">
      <c r="H264" s="54">
        <v>3005</v>
      </c>
      <c r="I264" s="7">
        <v>5002</v>
      </c>
      <c r="J264" s="34">
        <f t="shared" si="22"/>
        <v>1</v>
      </c>
      <c r="K264" s="34" t="str">
        <f t="shared" si="23"/>
        <v>5005,5003,5002</v>
      </c>
    </row>
    <row r="265" spans="8:11" x14ac:dyDescent="0.15">
      <c r="H265" s="54">
        <v>3006</v>
      </c>
      <c r="I265" s="7">
        <v>5002</v>
      </c>
      <c r="J265" s="34">
        <f t="shared" si="22"/>
        <v>0</v>
      </c>
      <c r="K265" s="34">
        <f t="shared" si="23"/>
        <v>5002</v>
      </c>
    </row>
    <row r="266" spans="8:11" x14ac:dyDescent="0.15">
      <c r="H266" s="54">
        <v>3006</v>
      </c>
      <c r="I266" s="7">
        <v>5005</v>
      </c>
      <c r="J266" s="34">
        <f t="shared" si="22"/>
        <v>0</v>
      </c>
      <c r="K266" s="34" t="str">
        <f t="shared" si="23"/>
        <v>5002,5005</v>
      </c>
    </row>
    <row r="267" spans="8:11" x14ac:dyDescent="0.15">
      <c r="H267" s="54">
        <v>3006</v>
      </c>
      <c r="I267" s="7">
        <v>5004</v>
      </c>
      <c r="J267" s="34">
        <f t="shared" si="22"/>
        <v>1</v>
      </c>
      <c r="K267" s="34" t="str">
        <f t="shared" si="23"/>
        <v>5002,5005,5004</v>
      </c>
    </row>
    <row r="268" spans="8:11" x14ac:dyDescent="0.15">
      <c r="H268" s="54">
        <v>3007</v>
      </c>
      <c r="I268" s="7">
        <v>5004</v>
      </c>
      <c r="J268" s="34">
        <f t="shared" si="22"/>
        <v>0</v>
      </c>
      <c r="K268" s="34">
        <f t="shared" si="23"/>
        <v>5004</v>
      </c>
    </row>
    <row r="269" spans="8:11" x14ac:dyDescent="0.15">
      <c r="H269" s="54">
        <v>3007</v>
      </c>
      <c r="I269" s="7">
        <v>5003</v>
      </c>
      <c r="J269" s="34">
        <f t="shared" si="22"/>
        <v>1</v>
      </c>
      <c r="K269" s="34" t="str">
        <f t="shared" si="23"/>
        <v>5004,5003</v>
      </c>
    </row>
    <row r="270" spans="8:11" x14ac:dyDescent="0.15">
      <c r="H270" s="54">
        <v>3008</v>
      </c>
      <c r="I270" s="7">
        <v>5003</v>
      </c>
      <c r="J270" s="34">
        <f t="shared" si="22"/>
        <v>0</v>
      </c>
      <c r="K270" s="34">
        <f t="shared" si="23"/>
        <v>5003</v>
      </c>
    </row>
    <row r="271" spans="8:11" x14ac:dyDescent="0.15">
      <c r="H271" s="54">
        <v>3008</v>
      </c>
      <c r="I271" s="7">
        <v>5004</v>
      </c>
      <c r="J271" s="34">
        <f t="shared" si="22"/>
        <v>1</v>
      </c>
      <c r="K271" s="34" t="str">
        <f t="shared" si="23"/>
        <v>5003,5004</v>
      </c>
    </row>
    <row r="272" spans="8:11" x14ac:dyDescent="0.15">
      <c r="H272" s="54">
        <v>3009</v>
      </c>
      <c r="I272" s="7">
        <v>5003</v>
      </c>
      <c r="J272" s="34">
        <f t="shared" si="22"/>
        <v>0</v>
      </c>
      <c r="K272" s="34">
        <f t="shared" si="23"/>
        <v>5003</v>
      </c>
    </row>
    <row r="273" spans="8:11" x14ac:dyDescent="0.15">
      <c r="H273" s="54">
        <v>3009</v>
      </c>
      <c r="I273" s="7">
        <v>5004</v>
      </c>
      <c r="J273" s="34">
        <f t="shared" si="22"/>
        <v>1</v>
      </c>
      <c r="K273" s="34" t="str">
        <f t="shared" si="23"/>
        <v>5003,5004</v>
      </c>
    </row>
    <row r="274" spans="8:11" x14ac:dyDescent="0.15">
      <c r="H274" s="54">
        <v>3010</v>
      </c>
      <c r="I274" s="7">
        <v>5002</v>
      </c>
      <c r="J274" s="34">
        <f t="shared" si="22"/>
        <v>1</v>
      </c>
      <c r="K274" s="34">
        <f t="shared" si="23"/>
        <v>5002</v>
      </c>
    </row>
    <row r="275" spans="8:11" x14ac:dyDescent="0.15">
      <c r="H275" s="54">
        <v>3011</v>
      </c>
      <c r="I275" s="7">
        <v>5003</v>
      </c>
      <c r="J275" s="34">
        <f t="shared" si="22"/>
        <v>0</v>
      </c>
      <c r="K275" s="34">
        <f t="shared" si="23"/>
        <v>5003</v>
      </c>
    </row>
    <row r="276" spans="8:11" x14ac:dyDescent="0.15">
      <c r="H276" s="54">
        <v>3011</v>
      </c>
      <c r="I276" s="7">
        <v>5004</v>
      </c>
      <c r="J276" s="34">
        <f t="shared" si="22"/>
        <v>1</v>
      </c>
      <c r="K276" s="34" t="str">
        <f t="shared" si="23"/>
        <v>5003,5004</v>
      </c>
    </row>
    <row r="277" spans="8:11" x14ac:dyDescent="0.15">
      <c r="H277" s="54">
        <v>3109</v>
      </c>
      <c r="I277" s="7">
        <v>5004</v>
      </c>
      <c r="J277" s="34">
        <f t="shared" si="22"/>
        <v>1</v>
      </c>
      <c r="K277" s="34">
        <f t="shared" si="23"/>
        <v>5004</v>
      </c>
    </row>
    <row r="278" spans="8:11" x14ac:dyDescent="0.15">
      <c r="H278" s="54">
        <v>3112</v>
      </c>
      <c r="I278" s="7">
        <v>5001</v>
      </c>
      <c r="J278" s="34">
        <f t="shared" si="22"/>
        <v>1</v>
      </c>
      <c r="K278" s="34">
        <f t="shared" si="23"/>
        <v>5001</v>
      </c>
    </row>
    <row r="279" spans="8:11" x14ac:dyDescent="0.15">
      <c r="H279" s="54">
        <v>3113</v>
      </c>
      <c r="I279" s="7">
        <v>5001</v>
      </c>
      <c r="J279" s="34">
        <f t="shared" si="22"/>
        <v>1</v>
      </c>
      <c r="K279" s="34">
        <f t="shared" si="23"/>
        <v>5001</v>
      </c>
    </row>
    <row r="280" spans="8:11" x14ac:dyDescent="0.15">
      <c r="H280" s="54">
        <v>3114</v>
      </c>
      <c r="I280" s="7">
        <v>5001</v>
      </c>
      <c r="J280" s="34">
        <f t="shared" si="22"/>
        <v>1</v>
      </c>
      <c r="K280" s="34">
        <f t="shared" si="23"/>
        <v>5001</v>
      </c>
    </row>
    <row r="281" spans="8:11" x14ac:dyDescent="0.15">
      <c r="H281" s="54">
        <v>3121</v>
      </c>
      <c r="I281" s="7">
        <v>5005</v>
      </c>
      <c r="J281" s="34">
        <f t="shared" si="22"/>
        <v>1</v>
      </c>
      <c r="K281" s="34">
        <f t="shared" si="23"/>
        <v>5005</v>
      </c>
    </row>
    <row r="282" spans="8:11" x14ac:dyDescent="0.15">
      <c r="H282" s="54">
        <v>3122</v>
      </c>
      <c r="I282" s="7">
        <v>5005</v>
      </c>
      <c r="J282" s="34">
        <f t="shared" si="22"/>
        <v>1</v>
      </c>
      <c r="K282" s="34">
        <f t="shared" si="23"/>
        <v>5005</v>
      </c>
    </row>
    <row r="283" spans="8:11" x14ac:dyDescent="0.15">
      <c r="H283" s="54">
        <v>3123</v>
      </c>
      <c r="I283" s="7">
        <v>5005</v>
      </c>
      <c r="J283" s="34">
        <f t="shared" si="22"/>
        <v>1</v>
      </c>
      <c r="K283" s="34">
        <f t="shared" si="23"/>
        <v>5005</v>
      </c>
    </row>
    <row r="284" spans="8:11" x14ac:dyDescent="0.15">
      <c r="H284" s="54">
        <v>3124</v>
      </c>
      <c r="I284" s="7">
        <v>5005</v>
      </c>
      <c r="J284" s="34">
        <f t="shared" si="22"/>
        <v>1</v>
      </c>
      <c r="K284" s="34">
        <f t="shared" si="23"/>
        <v>5005</v>
      </c>
    </row>
    <row r="285" spans="8:11" x14ac:dyDescent="0.15">
      <c r="H285" s="54">
        <v>3125</v>
      </c>
      <c r="I285" s="7">
        <v>5005</v>
      </c>
      <c r="J285" s="34">
        <f t="shared" si="22"/>
        <v>0</v>
      </c>
      <c r="K285" s="34">
        <f t="shared" si="23"/>
        <v>5005</v>
      </c>
    </row>
    <row r="286" spans="8:11" x14ac:dyDescent="0.15">
      <c r="H286" s="54">
        <v>3125</v>
      </c>
      <c r="I286" s="7">
        <v>5002</v>
      </c>
      <c r="J286" s="34">
        <f t="shared" si="22"/>
        <v>1</v>
      </c>
      <c r="K286" s="34" t="str">
        <f t="shared" si="23"/>
        <v>5005,5002</v>
      </c>
    </row>
    <row r="287" spans="8:11" x14ac:dyDescent="0.15">
      <c r="H287" s="54">
        <v>3126</v>
      </c>
      <c r="I287" s="7">
        <v>5005</v>
      </c>
      <c r="J287" s="34">
        <f t="shared" si="22"/>
        <v>1</v>
      </c>
      <c r="K287" s="34">
        <f t="shared" si="23"/>
        <v>5005</v>
      </c>
    </row>
    <row r="288" spans="8:11" x14ac:dyDescent="0.15">
      <c r="H288" s="54">
        <v>3127</v>
      </c>
      <c r="I288" s="7">
        <v>5005</v>
      </c>
      <c r="J288" s="34">
        <f t="shared" si="22"/>
        <v>1</v>
      </c>
      <c r="K288" s="34">
        <f t="shared" si="23"/>
        <v>5005</v>
      </c>
    </row>
    <row r="289" spans="8:11" x14ac:dyDescent="0.15">
      <c r="H289" s="54">
        <v>3129</v>
      </c>
      <c r="I289" s="7">
        <v>5005</v>
      </c>
      <c r="J289" s="34">
        <f t="shared" si="22"/>
        <v>1</v>
      </c>
      <c r="K289" s="34">
        <f t="shared" si="23"/>
        <v>5005</v>
      </c>
    </row>
    <row r="290" spans="8:11" x14ac:dyDescent="0.15">
      <c r="H290" s="54">
        <v>3130</v>
      </c>
      <c r="I290" s="7">
        <v>5003</v>
      </c>
      <c r="J290" s="34">
        <f t="shared" si="22"/>
        <v>0</v>
      </c>
      <c r="K290" s="34">
        <f t="shared" si="23"/>
        <v>5003</v>
      </c>
    </row>
    <row r="291" spans="8:11" x14ac:dyDescent="0.15">
      <c r="H291" s="54">
        <v>3130</v>
      </c>
      <c r="I291" s="7">
        <v>5001</v>
      </c>
      <c r="J291" s="34">
        <f t="shared" si="22"/>
        <v>1</v>
      </c>
      <c r="K291" s="34" t="str">
        <f t="shared" si="23"/>
        <v>5003,5001</v>
      </c>
    </row>
    <row r="292" spans="8:11" x14ac:dyDescent="0.15">
      <c r="H292" s="54">
        <v>3134</v>
      </c>
      <c r="I292" s="7">
        <v>5001</v>
      </c>
      <c r="J292" s="34">
        <f t="shared" si="22"/>
        <v>1</v>
      </c>
      <c r="K292" s="34">
        <f t="shared" si="23"/>
        <v>5001</v>
      </c>
    </row>
    <row r="293" spans="8:11" x14ac:dyDescent="0.15">
      <c r="H293" s="54">
        <v>3153</v>
      </c>
      <c r="I293" s="7">
        <v>5001</v>
      </c>
      <c r="J293" s="34">
        <f t="shared" si="22"/>
        <v>1</v>
      </c>
      <c r="K293" s="34">
        <f t="shared" si="23"/>
        <v>5001</v>
      </c>
    </row>
    <row r="294" spans="8:11" x14ac:dyDescent="0.15">
      <c r="H294" s="54">
        <v>3164</v>
      </c>
      <c r="I294" s="7">
        <v>5001</v>
      </c>
      <c r="J294" s="34">
        <f t="shared" si="22"/>
        <v>1</v>
      </c>
      <c r="K294" s="34">
        <f t="shared" si="23"/>
        <v>5001</v>
      </c>
    </row>
    <row r="295" spans="8:11" x14ac:dyDescent="0.15">
      <c r="H295" s="54">
        <v>3166</v>
      </c>
      <c r="I295" s="7">
        <v>5001</v>
      </c>
      <c r="J295" s="34">
        <f t="shared" si="22"/>
        <v>1</v>
      </c>
      <c r="K295" s="34">
        <f t="shared" si="23"/>
        <v>5001</v>
      </c>
    </row>
    <row r="296" spans="8:11" x14ac:dyDescent="0.15">
      <c r="H296" s="54">
        <v>4000</v>
      </c>
      <c r="I296" s="7">
        <v>5004</v>
      </c>
      <c r="J296" s="34">
        <f t="shared" si="22"/>
        <v>1</v>
      </c>
      <c r="K296" s="34">
        <f t="shared" si="23"/>
        <v>5004</v>
      </c>
    </row>
    <row r="297" spans="8:11" x14ac:dyDescent="0.15">
      <c r="H297" s="54">
        <v>4006</v>
      </c>
      <c r="I297" s="7">
        <v>5003</v>
      </c>
      <c r="J297" s="34">
        <f t="shared" si="22"/>
        <v>0</v>
      </c>
      <c r="K297" s="34">
        <f t="shared" si="23"/>
        <v>5003</v>
      </c>
    </row>
    <row r="298" spans="8:11" x14ac:dyDescent="0.15">
      <c r="H298" s="54">
        <v>4006</v>
      </c>
      <c r="I298" s="7">
        <v>5004</v>
      </c>
      <c r="J298" s="34">
        <f t="shared" si="22"/>
        <v>1</v>
      </c>
      <c r="K298" s="34" t="str">
        <f t="shared" si="23"/>
        <v>5003,5004</v>
      </c>
    </row>
    <row r="299" spans="8:11" x14ac:dyDescent="0.15">
      <c r="H299" s="54">
        <v>4007</v>
      </c>
      <c r="I299" s="7">
        <v>5004</v>
      </c>
      <c r="J299" s="34">
        <f t="shared" si="22"/>
        <v>1</v>
      </c>
      <c r="K299" s="34">
        <f t="shared" si="23"/>
        <v>5004</v>
      </c>
    </row>
    <row r="300" spans="8:11" x14ac:dyDescent="0.15">
      <c r="H300" s="54">
        <v>4009</v>
      </c>
      <c r="I300" s="7">
        <v>5003</v>
      </c>
      <c r="J300" s="34">
        <f t="shared" si="22"/>
        <v>1</v>
      </c>
      <c r="K300" s="34">
        <f t="shared" si="23"/>
        <v>5003</v>
      </c>
    </row>
    <row r="301" spans="8:11" x14ac:dyDescent="0.15">
      <c r="H301" s="54">
        <v>4015</v>
      </c>
      <c r="I301" s="7">
        <v>5003</v>
      </c>
      <c r="J301" s="34">
        <f t="shared" si="22"/>
        <v>0</v>
      </c>
      <c r="K301" s="34">
        <f t="shared" si="23"/>
        <v>5003</v>
      </c>
    </row>
    <row r="302" spans="8:11" x14ac:dyDescent="0.15">
      <c r="H302" s="54">
        <v>4015</v>
      </c>
      <c r="I302" s="7">
        <v>5001</v>
      </c>
      <c r="J302" s="34">
        <f t="shared" si="22"/>
        <v>1</v>
      </c>
      <c r="K302" s="34" t="str">
        <f t="shared" si="23"/>
        <v>5003,5001</v>
      </c>
    </row>
    <row r="303" spans="8:11" x14ac:dyDescent="0.15">
      <c r="H303" s="54">
        <v>4016</v>
      </c>
      <c r="I303" s="7">
        <v>5003</v>
      </c>
      <c r="J303" s="34">
        <f t="shared" si="22"/>
        <v>1</v>
      </c>
      <c r="K303" s="34">
        <f t="shared" si="23"/>
        <v>5003</v>
      </c>
    </row>
    <row r="304" spans="8:11" x14ac:dyDescent="0.15">
      <c r="H304" s="54">
        <v>4017</v>
      </c>
      <c r="I304" s="7">
        <v>5003</v>
      </c>
      <c r="J304" s="34">
        <f t="shared" si="22"/>
        <v>1</v>
      </c>
      <c r="K304" s="34">
        <f t="shared" si="23"/>
        <v>5003</v>
      </c>
    </row>
    <row r="305" spans="8:11" x14ac:dyDescent="0.15">
      <c r="H305" s="54">
        <v>4021</v>
      </c>
      <c r="I305" s="7">
        <v>5001</v>
      </c>
      <c r="J305" s="34">
        <f t="shared" si="22"/>
        <v>0</v>
      </c>
      <c r="K305" s="34">
        <f t="shared" si="23"/>
        <v>5001</v>
      </c>
    </row>
    <row r="306" spans="8:11" x14ac:dyDescent="0.15">
      <c r="H306" s="54">
        <v>4021</v>
      </c>
      <c r="I306" s="7">
        <v>5003</v>
      </c>
      <c r="J306" s="34">
        <f t="shared" si="22"/>
        <v>1</v>
      </c>
      <c r="K306" s="34" t="str">
        <f t="shared" si="23"/>
        <v>5001,5003</v>
      </c>
    </row>
    <row r="307" spans="8:11" x14ac:dyDescent="0.15">
      <c r="H307" s="54">
        <v>4100</v>
      </c>
      <c r="I307" s="7">
        <v>5003</v>
      </c>
      <c r="J307" s="34">
        <f t="shared" si="22"/>
        <v>0</v>
      </c>
      <c r="K307" s="34">
        <f t="shared" si="23"/>
        <v>5003</v>
      </c>
    </row>
    <row r="308" spans="8:11" x14ac:dyDescent="0.15">
      <c r="H308" s="54">
        <v>4100</v>
      </c>
      <c r="I308" s="7">
        <v>5004</v>
      </c>
      <c r="J308" s="34">
        <f t="shared" si="22"/>
        <v>1</v>
      </c>
      <c r="K308" s="34" t="str">
        <f t="shared" si="23"/>
        <v>5003,5004</v>
      </c>
    </row>
    <row r="309" spans="8:11" x14ac:dyDescent="0.15">
      <c r="H309" s="54">
        <v>4101</v>
      </c>
      <c r="I309" s="7">
        <v>5003</v>
      </c>
      <c r="J309" s="34">
        <f t="shared" si="22"/>
        <v>1</v>
      </c>
      <c r="K309" s="34">
        <f t="shared" si="23"/>
        <v>5003</v>
      </c>
    </row>
    <row r="310" spans="8:11" x14ac:dyDescent="0.15">
      <c r="H310" s="54">
        <v>4103</v>
      </c>
      <c r="I310" s="7">
        <v>5003</v>
      </c>
      <c r="J310" s="34">
        <f t="shared" si="22"/>
        <v>1</v>
      </c>
      <c r="K310" s="34">
        <f t="shared" si="23"/>
        <v>5003</v>
      </c>
    </row>
    <row r="311" spans="8:11" x14ac:dyDescent="0.15">
      <c r="H311" s="54">
        <v>4105</v>
      </c>
      <c r="I311" s="7">
        <v>5004</v>
      </c>
      <c r="J311" s="34">
        <f t="shared" ref="J311:J324" si="24">IF(H311&lt;&gt;H312,1,0)</f>
        <v>1</v>
      </c>
      <c r="K311" s="34">
        <f t="shared" ref="K311:K324" si="25">IF(H311&lt;&gt;H310,I311,K310&amp;","&amp;I311)</f>
        <v>5004</v>
      </c>
    </row>
    <row r="312" spans="8:11" x14ac:dyDescent="0.15">
      <c r="H312" s="54">
        <v>4106</v>
      </c>
      <c r="I312" s="7">
        <v>5003</v>
      </c>
      <c r="J312" s="34">
        <f t="shared" si="24"/>
        <v>1</v>
      </c>
      <c r="K312" s="34">
        <f t="shared" si="25"/>
        <v>5003</v>
      </c>
    </row>
    <row r="313" spans="8:11" x14ac:dyDescent="0.15">
      <c r="H313" s="54">
        <v>4109</v>
      </c>
      <c r="I313" s="7">
        <v>5001</v>
      </c>
      <c r="J313" s="34">
        <f t="shared" si="24"/>
        <v>0</v>
      </c>
      <c r="K313" s="34">
        <f t="shared" si="25"/>
        <v>5001</v>
      </c>
    </row>
    <row r="314" spans="8:11" x14ac:dyDescent="0.15">
      <c r="H314" s="54">
        <v>4109</v>
      </c>
      <c r="I314" s="7">
        <v>5003</v>
      </c>
      <c r="J314" s="34">
        <f t="shared" si="24"/>
        <v>1</v>
      </c>
      <c r="K314" s="34" t="str">
        <f t="shared" si="25"/>
        <v>5001,5003</v>
      </c>
    </row>
    <row r="315" spans="8:11" x14ac:dyDescent="0.15">
      <c r="H315" s="54">
        <v>4111</v>
      </c>
      <c r="I315" s="7">
        <v>5003</v>
      </c>
      <c r="J315" s="34">
        <f t="shared" si="24"/>
        <v>0</v>
      </c>
      <c r="K315" s="34">
        <f t="shared" si="25"/>
        <v>5003</v>
      </c>
    </row>
    <row r="316" spans="8:11" x14ac:dyDescent="0.15">
      <c r="H316" s="54">
        <v>4111</v>
      </c>
      <c r="I316" s="7">
        <v>5004</v>
      </c>
      <c r="J316" s="34">
        <f t="shared" si="24"/>
        <v>1</v>
      </c>
      <c r="K316" s="34" t="str">
        <f t="shared" si="25"/>
        <v>5003,5004</v>
      </c>
    </row>
    <row r="317" spans="8:11" x14ac:dyDescent="0.15">
      <c r="H317" s="54">
        <v>4112</v>
      </c>
      <c r="I317" s="7">
        <v>5001</v>
      </c>
      <c r="J317" s="34">
        <f t="shared" si="24"/>
        <v>0</v>
      </c>
      <c r="K317" s="34">
        <f t="shared" si="25"/>
        <v>5001</v>
      </c>
    </row>
    <row r="318" spans="8:11" x14ac:dyDescent="0.15">
      <c r="H318" s="54">
        <v>4112</v>
      </c>
      <c r="I318" s="7">
        <v>5003</v>
      </c>
      <c r="J318" s="34">
        <f t="shared" si="24"/>
        <v>1</v>
      </c>
      <c r="K318" s="34" t="str">
        <f t="shared" si="25"/>
        <v>5001,5003</v>
      </c>
    </row>
    <row r="319" spans="8:11" x14ac:dyDescent="0.15">
      <c r="H319" s="54">
        <v>4113</v>
      </c>
      <c r="I319" s="7">
        <v>5003</v>
      </c>
      <c r="J319" s="34">
        <f t="shared" si="24"/>
        <v>0</v>
      </c>
      <c r="K319" s="34">
        <f t="shared" si="25"/>
        <v>5003</v>
      </c>
    </row>
    <row r="320" spans="8:11" x14ac:dyDescent="0.15">
      <c r="H320" s="54">
        <v>4113</v>
      </c>
      <c r="I320" s="7">
        <v>5004</v>
      </c>
      <c r="J320" s="34">
        <f t="shared" si="24"/>
        <v>1</v>
      </c>
      <c r="K320" s="34" t="str">
        <f t="shared" si="25"/>
        <v>5003,5004</v>
      </c>
    </row>
    <row r="321" spans="8:11" x14ac:dyDescent="0.15">
      <c r="H321" s="54">
        <v>4115</v>
      </c>
      <c r="I321" s="7">
        <v>5003</v>
      </c>
      <c r="J321" s="34">
        <f t="shared" si="24"/>
        <v>0</v>
      </c>
      <c r="K321" s="34">
        <f t="shared" si="25"/>
        <v>5003</v>
      </c>
    </row>
    <row r="322" spans="8:11" x14ac:dyDescent="0.15">
      <c r="H322" s="54">
        <v>4115</v>
      </c>
      <c r="I322" s="7">
        <v>5004</v>
      </c>
      <c r="J322" s="34">
        <f t="shared" si="24"/>
        <v>1</v>
      </c>
      <c r="K322" s="34" t="str">
        <f t="shared" si="25"/>
        <v>5003,5004</v>
      </c>
    </row>
    <row r="323" spans="8:11" x14ac:dyDescent="0.15">
      <c r="H323" s="54">
        <v>4116</v>
      </c>
      <c r="I323" s="7">
        <v>5001</v>
      </c>
      <c r="J323" s="34">
        <f t="shared" si="24"/>
        <v>0</v>
      </c>
      <c r="K323" s="34">
        <f t="shared" si="25"/>
        <v>5001</v>
      </c>
    </row>
    <row r="324" spans="8:11" x14ac:dyDescent="0.15">
      <c r="H324" s="54">
        <v>4116</v>
      </c>
      <c r="I324" s="7">
        <v>5004</v>
      </c>
      <c r="J324" s="34">
        <f t="shared" si="24"/>
        <v>1</v>
      </c>
      <c r="K324" s="34" t="str">
        <f t="shared" si="25"/>
        <v>5001,5004</v>
      </c>
    </row>
    <row r="490" spans="6:9" x14ac:dyDescent="0.15">
      <c r="H490" s="34"/>
      <c r="I490" s="7"/>
    </row>
    <row r="491" spans="6:9" x14ac:dyDescent="0.15">
      <c r="F491" s="7"/>
      <c r="H491" s="34"/>
    </row>
    <row r="492" spans="6:9" x14ac:dyDescent="0.15">
      <c r="F492" s="7"/>
      <c r="H492" s="34"/>
    </row>
    <row r="493" spans="6:9" x14ac:dyDescent="0.15">
      <c r="F493" s="7"/>
      <c r="H493" s="34"/>
    </row>
    <row r="494" spans="6:9" x14ac:dyDescent="0.15">
      <c r="F494" s="7"/>
      <c r="H494" s="34"/>
    </row>
    <row r="495" spans="6:9" x14ac:dyDescent="0.15">
      <c r="F495" s="7"/>
      <c r="H495" s="34"/>
    </row>
    <row r="496" spans="6:9" x14ac:dyDescent="0.15">
      <c r="F496" s="7"/>
      <c r="H496" s="34"/>
    </row>
    <row r="497" spans="6:8" x14ac:dyDescent="0.15">
      <c r="F497" s="7"/>
      <c r="H497" s="34"/>
    </row>
    <row r="498" spans="6:8" x14ac:dyDescent="0.15">
      <c r="F498" s="7"/>
      <c r="H498" s="34"/>
    </row>
    <row r="499" spans="6:8" x14ac:dyDescent="0.15">
      <c r="F499" s="7"/>
      <c r="H499" s="34"/>
    </row>
    <row r="500" spans="6:8" x14ac:dyDescent="0.15">
      <c r="F500" s="7"/>
      <c r="H500" s="34"/>
    </row>
    <row r="501" spans="6:8" x14ac:dyDescent="0.15">
      <c r="F501" s="7"/>
      <c r="H501" s="34"/>
    </row>
    <row r="502" spans="6:8" x14ac:dyDescent="0.15">
      <c r="F502" s="7"/>
      <c r="H502" s="34"/>
    </row>
    <row r="503" spans="6:8" x14ac:dyDescent="0.15">
      <c r="F503" s="7"/>
      <c r="H503" s="34"/>
    </row>
    <row r="504" spans="6:8" x14ac:dyDescent="0.15">
      <c r="F504" s="7"/>
      <c r="H504" s="34"/>
    </row>
    <row r="505" spans="6:8" x14ac:dyDescent="0.15">
      <c r="F505" s="7"/>
      <c r="H505" s="34"/>
    </row>
    <row r="506" spans="6:8" x14ac:dyDescent="0.15">
      <c r="F506" s="7"/>
      <c r="H506" s="34"/>
    </row>
    <row r="507" spans="6:8" x14ac:dyDescent="0.15">
      <c r="F507" s="7"/>
      <c r="H507" s="34"/>
    </row>
    <row r="508" spans="6:8" x14ac:dyDescent="0.15">
      <c r="F508" s="7"/>
      <c r="H508" s="34"/>
    </row>
    <row r="509" spans="6:8" x14ac:dyDescent="0.15">
      <c r="F509" s="7"/>
      <c r="H509" s="34"/>
    </row>
    <row r="510" spans="6:8" x14ac:dyDescent="0.15">
      <c r="F510" s="7"/>
      <c r="H510" s="34"/>
    </row>
    <row r="511" spans="6:8" x14ac:dyDescent="0.15">
      <c r="F511" s="7"/>
      <c r="H511" s="34"/>
    </row>
    <row r="512" spans="6:8" x14ac:dyDescent="0.15">
      <c r="F512" s="7"/>
      <c r="H512" s="34"/>
    </row>
    <row r="513" spans="6:8" x14ac:dyDescent="0.15">
      <c r="F513" s="7"/>
      <c r="H513" s="34"/>
    </row>
    <row r="514" spans="6:8" x14ac:dyDescent="0.15">
      <c r="F514" s="7"/>
      <c r="H514" s="34"/>
    </row>
    <row r="515" spans="6:8" x14ac:dyDescent="0.15">
      <c r="F515" s="7"/>
      <c r="H515" s="34"/>
    </row>
    <row r="516" spans="6:8" x14ac:dyDescent="0.15">
      <c r="F516" s="7"/>
      <c r="H516" s="34"/>
    </row>
    <row r="517" spans="6:8" x14ac:dyDescent="0.15">
      <c r="F517" s="7"/>
      <c r="H517" s="34"/>
    </row>
    <row r="518" spans="6:8" x14ac:dyDescent="0.15">
      <c r="F518" s="7"/>
      <c r="H518" s="34"/>
    </row>
    <row r="519" spans="6:8" x14ac:dyDescent="0.15">
      <c r="F519" s="7"/>
      <c r="H519" s="34"/>
    </row>
    <row r="520" spans="6:8" x14ac:dyDescent="0.15">
      <c r="F520" s="7"/>
      <c r="H520" s="34"/>
    </row>
    <row r="521" spans="6:8" x14ac:dyDescent="0.15">
      <c r="F521" s="7"/>
      <c r="H521" s="34"/>
    </row>
    <row r="522" spans="6:8" x14ac:dyDescent="0.15">
      <c r="F522" s="7"/>
      <c r="H522" s="34"/>
    </row>
    <row r="523" spans="6:8" x14ac:dyDescent="0.15">
      <c r="F523" s="7"/>
      <c r="H523" s="34"/>
    </row>
    <row r="524" spans="6:8" x14ac:dyDescent="0.15">
      <c r="F524" s="7"/>
      <c r="H524" s="34"/>
    </row>
    <row r="525" spans="6:8" x14ac:dyDescent="0.15">
      <c r="F525" s="7"/>
      <c r="H525" s="34"/>
    </row>
    <row r="526" spans="6:8" x14ac:dyDescent="0.15">
      <c r="F526" s="7"/>
      <c r="H526" s="34"/>
    </row>
    <row r="527" spans="6:8" x14ac:dyDescent="0.15">
      <c r="F527" s="7"/>
      <c r="H527" s="34"/>
    </row>
    <row r="528" spans="6:8" x14ac:dyDescent="0.15">
      <c r="F528" s="7"/>
      <c r="H528" s="34"/>
    </row>
    <row r="529" spans="6:8" x14ac:dyDescent="0.15">
      <c r="F529" s="7"/>
      <c r="H529" s="34"/>
    </row>
    <row r="530" spans="6:8" x14ac:dyDescent="0.15">
      <c r="F530" s="7"/>
      <c r="H530" s="34"/>
    </row>
    <row r="531" spans="6:8" x14ac:dyDescent="0.15">
      <c r="F531" s="7"/>
      <c r="H531" s="34"/>
    </row>
    <row r="532" spans="6:8" x14ac:dyDescent="0.15">
      <c r="F532" s="7"/>
      <c r="H532" s="34"/>
    </row>
    <row r="533" spans="6:8" x14ac:dyDescent="0.15">
      <c r="F533" s="7"/>
      <c r="H533" s="34"/>
    </row>
    <row r="534" spans="6:8" x14ac:dyDescent="0.15">
      <c r="F534" s="7"/>
      <c r="H534" s="34"/>
    </row>
    <row r="535" spans="6:8" x14ac:dyDescent="0.15">
      <c r="F535" s="7"/>
      <c r="H535" s="34"/>
    </row>
    <row r="536" spans="6:8" x14ac:dyDescent="0.15">
      <c r="F536" s="7"/>
      <c r="H536" s="34"/>
    </row>
    <row r="537" spans="6:8" x14ac:dyDescent="0.15">
      <c r="F537" s="7"/>
      <c r="H537" s="34"/>
    </row>
    <row r="538" spans="6:8" x14ac:dyDescent="0.15">
      <c r="F538" s="7"/>
      <c r="H538" s="34"/>
    </row>
    <row r="539" spans="6:8" x14ac:dyDescent="0.15">
      <c r="F539" s="7"/>
      <c r="H539" s="34"/>
    </row>
    <row r="540" spans="6:8" x14ac:dyDescent="0.15">
      <c r="F540" s="7"/>
      <c r="H540" s="34"/>
    </row>
    <row r="541" spans="6:8" x14ac:dyDescent="0.15">
      <c r="F541" s="7"/>
      <c r="H541" s="34"/>
    </row>
    <row r="542" spans="6:8" x14ac:dyDescent="0.15">
      <c r="F542" s="7"/>
      <c r="H542" s="34"/>
    </row>
    <row r="543" spans="6:8" x14ac:dyDescent="0.15">
      <c r="F543" s="7"/>
      <c r="H543" s="34"/>
    </row>
    <row r="544" spans="6:8" x14ac:dyDescent="0.15">
      <c r="F544" s="7"/>
      <c r="H544" s="34"/>
    </row>
    <row r="545" spans="6:8" x14ac:dyDescent="0.15">
      <c r="F545" s="7"/>
      <c r="H545" s="34"/>
    </row>
    <row r="546" spans="6:8" x14ac:dyDescent="0.15">
      <c r="F546" s="7"/>
      <c r="H546" s="34"/>
    </row>
    <row r="547" spans="6:8" x14ac:dyDescent="0.15">
      <c r="F547" s="7"/>
      <c r="H547" s="34"/>
    </row>
    <row r="548" spans="6:8" x14ac:dyDescent="0.15">
      <c r="F548" s="7"/>
      <c r="H548" s="34"/>
    </row>
    <row r="549" spans="6:8" x14ac:dyDescent="0.15">
      <c r="F549" s="7"/>
      <c r="H549" s="34"/>
    </row>
    <row r="550" spans="6:8" x14ac:dyDescent="0.15">
      <c r="F550" s="7"/>
      <c r="H550" s="34"/>
    </row>
    <row r="551" spans="6:8" x14ac:dyDescent="0.15">
      <c r="F551" s="7"/>
      <c r="H551" s="34"/>
    </row>
    <row r="552" spans="6:8" x14ac:dyDescent="0.15">
      <c r="F552" s="7"/>
      <c r="H552" s="34"/>
    </row>
    <row r="553" spans="6:8" x14ac:dyDescent="0.15">
      <c r="F553" s="7"/>
      <c r="H553" s="34"/>
    </row>
    <row r="554" spans="6:8" x14ac:dyDescent="0.15">
      <c r="F554" s="7"/>
      <c r="H554" s="34"/>
    </row>
    <row r="555" spans="6:8" x14ac:dyDescent="0.15">
      <c r="F555" s="7"/>
      <c r="H555" s="34"/>
    </row>
    <row r="556" spans="6:8" x14ac:dyDescent="0.15">
      <c r="F556" s="7"/>
      <c r="H556" s="34"/>
    </row>
    <row r="557" spans="6:8" x14ac:dyDescent="0.15">
      <c r="F557" s="7"/>
      <c r="H557" s="34"/>
    </row>
    <row r="558" spans="6:8" x14ac:dyDescent="0.15">
      <c r="F558" s="7"/>
      <c r="H558" s="34"/>
    </row>
    <row r="559" spans="6:8" x14ac:dyDescent="0.15">
      <c r="F559" s="7"/>
      <c r="H559" s="34"/>
    </row>
    <row r="560" spans="6:8" x14ac:dyDescent="0.15">
      <c r="F560" s="7"/>
      <c r="H560" s="34"/>
    </row>
    <row r="561" spans="6:8" x14ac:dyDescent="0.15">
      <c r="F561" s="7"/>
      <c r="H561" s="34"/>
    </row>
    <row r="562" spans="6:8" x14ac:dyDescent="0.15">
      <c r="F562" s="7"/>
      <c r="H562" s="34"/>
    </row>
    <row r="563" spans="6:8" x14ac:dyDescent="0.15">
      <c r="F563" s="7"/>
      <c r="H563" s="34"/>
    </row>
    <row r="564" spans="6:8" x14ac:dyDescent="0.15">
      <c r="F564" s="7"/>
      <c r="H564" s="34"/>
    </row>
    <row r="565" spans="6:8" x14ac:dyDescent="0.15">
      <c r="F565" s="7"/>
      <c r="H565" s="34"/>
    </row>
    <row r="566" spans="6:8" x14ac:dyDescent="0.15">
      <c r="F566" s="7"/>
      <c r="H566" s="34"/>
    </row>
    <row r="567" spans="6:8" x14ac:dyDescent="0.15">
      <c r="F567" s="7"/>
      <c r="H567" s="34"/>
    </row>
    <row r="568" spans="6:8" x14ac:dyDescent="0.15">
      <c r="F568" s="7"/>
      <c r="H568" s="34"/>
    </row>
    <row r="569" spans="6:8" x14ac:dyDescent="0.15">
      <c r="F569" s="7"/>
      <c r="H569" s="34"/>
    </row>
    <row r="570" spans="6:8" x14ac:dyDescent="0.15">
      <c r="F570" s="7"/>
      <c r="H570" s="34"/>
    </row>
    <row r="571" spans="6:8" x14ac:dyDescent="0.15">
      <c r="F571" s="7"/>
      <c r="H571" s="34"/>
    </row>
    <row r="572" spans="6:8" x14ac:dyDescent="0.15">
      <c r="F572" s="7"/>
      <c r="H572" s="34"/>
    </row>
    <row r="573" spans="6:8" x14ac:dyDescent="0.15">
      <c r="F573" s="7"/>
      <c r="H573" s="34"/>
    </row>
    <row r="574" spans="6:8" x14ac:dyDescent="0.15">
      <c r="F574" s="7"/>
      <c r="H574" s="34"/>
    </row>
    <row r="575" spans="6:8" x14ac:dyDescent="0.15">
      <c r="F575" s="7"/>
      <c r="H575" s="34"/>
    </row>
    <row r="576" spans="6:8" x14ac:dyDescent="0.15">
      <c r="F576" s="7"/>
      <c r="H576" s="34"/>
    </row>
    <row r="577" spans="6:8" x14ac:dyDescent="0.15">
      <c r="F577" s="7"/>
      <c r="H577" s="34"/>
    </row>
    <row r="578" spans="6:8" x14ac:dyDescent="0.15">
      <c r="F578" s="7"/>
      <c r="H578" s="34"/>
    </row>
    <row r="579" spans="6:8" x14ac:dyDescent="0.15">
      <c r="F579" s="7"/>
      <c r="H579" s="34"/>
    </row>
    <row r="580" spans="6:8" x14ac:dyDescent="0.15">
      <c r="F580" s="7"/>
      <c r="H580" s="34"/>
    </row>
    <row r="581" spans="6:8" x14ac:dyDescent="0.15">
      <c r="F581" s="7"/>
      <c r="H581" s="34"/>
    </row>
    <row r="582" spans="6:8" x14ac:dyDescent="0.15">
      <c r="F582" s="7"/>
      <c r="H582" s="34"/>
    </row>
    <row r="583" spans="6:8" x14ac:dyDescent="0.15">
      <c r="F583" s="7"/>
      <c r="H583" s="34"/>
    </row>
    <row r="584" spans="6:8" x14ac:dyDescent="0.15">
      <c r="F584" s="7"/>
      <c r="H584" s="34"/>
    </row>
    <row r="585" spans="6:8" x14ac:dyDescent="0.15">
      <c r="F585" s="7"/>
      <c r="H585" s="34"/>
    </row>
    <row r="586" spans="6:8" x14ac:dyDescent="0.15">
      <c r="F586" s="7"/>
      <c r="H586" s="34"/>
    </row>
    <row r="587" spans="6:8" x14ac:dyDescent="0.15">
      <c r="F587" s="7"/>
      <c r="H587" s="34"/>
    </row>
    <row r="588" spans="6:8" x14ac:dyDescent="0.15">
      <c r="F588" s="7"/>
      <c r="H588" s="34"/>
    </row>
    <row r="589" spans="6:8" x14ac:dyDescent="0.15">
      <c r="F589" s="7"/>
      <c r="H589" s="34"/>
    </row>
    <row r="590" spans="6:8" x14ac:dyDescent="0.15">
      <c r="F590" s="7"/>
      <c r="H590" s="34"/>
    </row>
    <row r="591" spans="6:8" x14ac:dyDescent="0.15">
      <c r="F591" s="7"/>
      <c r="H591" s="34"/>
    </row>
    <row r="592" spans="6:8" x14ac:dyDescent="0.15">
      <c r="F592" s="7"/>
      <c r="H592" s="34"/>
    </row>
    <row r="593" spans="6:8" x14ac:dyDescent="0.15">
      <c r="F593" s="7"/>
      <c r="H593" s="34"/>
    </row>
    <row r="594" spans="6:8" x14ac:dyDescent="0.15">
      <c r="F594" s="7"/>
      <c r="H594" s="34"/>
    </row>
    <row r="595" spans="6:8" x14ac:dyDescent="0.15">
      <c r="F595" s="7"/>
      <c r="H595" s="34"/>
    </row>
    <row r="596" spans="6:8" x14ac:dyDescent="0.15">
      <c r="F596" s="7"/>
      <c r="H596" s="34"/>
    </row>
    <row r="597" spans="6:8" x14ac:dyDescent="0.15">
      <c r="F597" s="7"/>
      <c r="H597" s="34"/>
    </row>
    <row r="598" spans="6:8" x14ac:dyDescent="0.15">
      <c r="F598" s="7"/>
      <c r="H598" s="34"/>
    </row>
    <row r="599" spans="6:8" x14ac:dyDescent="0.15">
      <c r="F599" s="7"/>
      <c r="H599" s="34"/>
    </row>
    <row r="600" spans="6:8" x14ac:dyDescent="0.15">
      <c r="F600" s="7"/>
      <c r="H600" s="34"/>
    </row>
    <row r="601" spans="6:8" x14ac:dyDescent="0.15">
      <c r="F601" s="7"/>
      <c r="H601" s="34"/>
    </row>
    <row r="602" spans="6:8" x14ac:dyDescent="0.15">
      <c r="F602" s="7"/>
      <c r="H602" s="34"/>
    </row>
    <row r="603" spans="6:8" x14ac:dyDescent="0.15">
      <c r="F603" s="7"/>
      <c r="H603" s="34"/>
    </row>
    <row r="604" spans="6:8" x14ac:dyDescent="0.15">
      <c r="F604" s="7"/>
      <c r="H604" s="34"/>
    </row>
    <row r="605" spans="6:8" x14ac:dyDescent="0.15">
      <c r="F605" s="7"/>
      <c r="H605" s="34"/>
    </row>
    <row r="606" spans="6:8" x14ac:dyDescent="0.15">
      <c r="F606" s="7"/>
      <c r="H606" s="34"/>
    </row>
    <row r="607" spans="6:8" x14ac:dyDescent="0.15">
      <c r="F607" s="7"/>
      <c r="H607" s="34"/>
    </row>
    <row r="608" spans="6:8" x14ac:dyDescent="0.15">
      <c r="F608" s="7"/>
      <c r="H608" s="34"/>
    </row>
    <row r="609" spans="6:8" x14ac:dyDescent="0.15">
      <c r="F609" s="7"/>
      <c r="H609" s="34"/>
    </row>
    <row r="610" spans="6:8" x14ac:dyDescent="0.15">
      <c r="F610" s="7"/>
      <c r="H610" s="34"/>
    </row>
    <row r="611" spans="6:8" x14ac:dyDescent="0.15">
      <c r="F611" s="7"/>
      <c r="H611" s="34"/>
    </row>
    <row r="612" spans="6:8" x14ac:dyDescent="0.15">
      <c r="F612" s="7"/>
      <c r="H612" s="34"/>
    </row>
    <row r="613" spans="6:8" x14ac:dyDescent="0.15">
      <c r="F613" s="7"/>
      <c r="H613" s="34"/>
    </row>
    <row r="614" spans="6:8" x14ac:dyDescent="0.15">
      <c r="F614" s="7"/>
      <c r="H614" s="34"/>
    </row>
    <row r="615" spans="6:8" x14ac:dyDescent="0.15">
      <c r="F615" s="7"/>
      <c r="H615" s="34"/>
    </row>
    <row r="616" spans="6:8" x14ac:dyDescent="0.15">
      <c r="F616" s="7"/>
      <c r="H616" s="34"/>
    </row>
    <row r="617" spans="6:8" x14ac:dyDescent="0.15">
      <c r="F617" s="7"/>
      <c r="H617" s="34"/>
    </row>
    <row r="618" spans="6:8" x14ac:dyDescent="0.15">
      <c r="F618" s="7"/>
      <c r="H618" s="34"/>
    </row>
    <row r="619" spans="6:8" x14ac:dyDescent="0.15">
      <c r="F619" s="7"/>
      <c r="H619" s="34"/>
    </row>
    <row r="620" spans="6:8" x14ac:dyDescent="0.15">
      <c r="F620" s="7"/>
      <c r="H620" s="34"/>
    </row>
    <row r="621" spans="6:8" x14ac:dyDescent="0.15">
      <c r="F621" s="7"/>
      <c r="H621" s="34"/>
    </row>
    <row r="622" spans="6:8" x14ac:dyDescent="0.15">
      <c r="F622" s="7"/>
      <c r="H622" s="34"/>
    </row>
    <row r="623" spans="6:8" x14ac:dyDescent="0.15">
      <c r="F623" s="7"/>
      <c r="H623" s="34"/>
    </row>
    <row r="624" spans="6:8" x14ac:dyDescent="0.15">
      <c r="F624" s="7"/>
      <c r="H624" s="34"/>
    </row>
    <row r="625" spans="6:8" x14ac:dyDescent="0.15">
      <c r="F625" s="7"/>
      <c r="H625" s="34"/>
    </row>
    <row r="626" spans="6:8" x14ac:dyDescent="0.15">
      <c r="F626" s="7"/>
      <c r="H626" s="34"/>
    </row>
    <row r="627" spans="6:8" x14ac:dyDescent="0.15">
      <c r="F627" s="7"/>
      <c r="H627" s="34"/>
    </row>
    <row r="628" spans="6:8" x14ac:dyDescent="0.15">
      <c r="F628" s="7"/>
      <c r="H628" s="34"/>
    </row>
    <row r="629" spans="6:8" x14ac:dyDescent="0.15">
      <c r="F629" s="7"/>
      <c r="H629" s="34"/>
    </row>
    <row r="630" spans="6:8" x14ac:dyDescent="0.15">
      <c r="F630" s="7"/>
      <c r="H630" s="34"/>
    </row>
    <row r="631" spans="6:8" x14ac:dyDescent="0.15">
      <c r="F631" s="7"/>
      <c r="H631" s="34"/>
    </row>
    <row r="632" spans="6:8" x14ac:dyDescent="0.15">
      <c r="F632" s="7"/>
      <c r="H632" s="34"/>
    </row>
    <row r="633" spans="6:8" x14ac:dyDescent="0.15">
      <c r="F633" s="7"/>
      <c r="H633" s="34"/>
    </row>
    <row r="634" spans="6:8" x14ac:dyDescent="0.15">
      <c r="F634" s="7"/>
      <c r="H634" s="34"/>
    </row>
    <row r="635" spans="6:8" x14ac:dyDescent="0.15">
      <c r="F635" s="7"/>
      <c r="H635" s="34"/>
    </row>
    <row r="636" spans="6:8" x14ac:dyDescent="0.15">
      <c r="F636" s="7"/>
      <c r="H636" s="34"/>
    </row>
    <row r="637" spans="6:8" x14ac:dyDescent="0.15">
      <c r="F637" s="7"/>
      <c r="H637" s="34"/>
    </row>
    <row r="638" spans="6:8" x14ac:dyDescent="0.15">
      <c r="F638" s="7"/>
      <c r="H638" s="34"/>
    </row>
    <row r="639" spans="6:8" x14ac:dyDescent="0.15">
      <c r="F639" s="7"/>
      <c r="H639" s="34"/>
    </row>
    <row r="640" spans="6:8" x14ac:dyDescent="0.15">
      <c r="F640" s="7"/>
      <c r="H640" s="34"/>
    </row>
    <row r="641" spans="6:8" x14ac:dyDescent="0.15">
      <c r="F641" s="7"/>
      <c r="H641" s="34"/>
    </row>
    <row r="642" spans="6:8" x14ac:dyDescent="0.15">
      <c r="F642" s="7"/>
      <c r="H642" s="34"/>
    </row>
    <row r="643" spans="6:8" x14ac:dyDescent="0.15">
      <c r="F643" s="7"/>
      <c r="H643" s="34"/>
    </row>
    <row r="644" spans="6:8" x14ac:dyDescent="0.15">
      <c r="F644" s="7"/>
      <c r="H644" s="34"/>
    </row>
    <row r="645" spans="6:8" x14ac:dyDescent="0.15">
      <c r="F645" s="7"/>
      <c r="H645" s="34"/>
    </row>
    <row r="646" spans="6:8" x14ac:dyDescent="0.15">
      <c r="F646" s="7"/>
      <c r="H646" s="34"/>
    </row>
    <row r="647" spans="6:8" x14ac:dyDescent="0.15">
      <c r="F647" s="7"/>
      <c r="H647" s="34"/>
    </row>
    <row r="648" spans="6:8" x14ac:dyDescent="0.15">
      <c r="F648" s="7"/>
      <c r="H648" s="34"/>
    </row>
    <row r="649" spans="6:8" x14ac:dyDescent="0.15">
      <c r="F649" s="7"/>
      <c r="H649" s="34"/>
    </row>
    <row r="650" spans="6:8" x14ac:dyDescent="0.15">
      <c r="F650" s="7"/>
      <c r="H650" s="34"/>
    </row>
    <row r="651" spans="6:8" x14ac:dyDescent="0.15">
      <c r="F651" s="7"/>
      <c r="H651" s="34"/>
    </row>
    <row r="652" spans="6:8" x14ac:dyDescent="0.15">
      <c r="F652" s="7"/>
      <c r="H652" s="34"/>
    </row>
    <row r="653" spans="6:8" x14ac:dyDescent="0.15">
      <c r="F653" s="7"/>
      <c r="H653" s="34"/>
    </row>
    <row r="654" spans="6:8" x14ac:dyDescent="0.15">
      <c r="F654" s="7"/>
      <c r="H654" s="34"/>
    </row>
    <row r="655" spans="6:8" x14ac:dyDescent="0.15">
      <c r="F655" s="7"/>
      <c r="H655" s="34"/>
    </row>
    <row r="656" spans="6:8" x14ac:dyDescent="0.15">
      <c r="F656" s="7"/>
      <c r="H656" s="34"/>
    </row>
    <row r="657" spans="6:8" x14ac:dyDescent="0.15">
      <c r="F657" s="7"/>
      <c r="H657" s="34"/>
    </row>
    <row r="658" spans="6:8" x14ac:dyDescent="0.15">
      <c r="F658" s="7"/>
      <c r="H658" s="34"/>
    </row>
    <row r="659" spans="6:8" x14ac:dyDescent="0.15">
      <c r="F659" s="7"/>
      <c r="H659" s="34"/>
    </row>
    <row r="660" spans="6:8" x14ac:dyDescent="0.15">
      <c r="F660" s="7"/>
      <c r="H660" s="34"/>
    </row>
    <row r="661" spans="6:8" x14ac:dyDescent="0.15">
      <c r="F661" s="7"/>
      <c r="H661" s="34"/>
    </row>
    <row r="662" spans="6:8" x14ac:dyDescent="0.15">
      <c r="F662" s="7"/>
      <c r="H662" s="34"/>
    </row>
    <row r="663" spans="6:8" x14ac:dyDescent="0.15">
      <c r="F663" s="7"/>
      <c r="H663" s="34"/>
    </row>
    <row r="664" spans="6:8" x14ac:dyDescent="0.15">
      <c r="F664" s="7"/>
      <c r="H664" s="34"/>
    </row>
    <row r="665" spans="6:8" x14ac:dyDescent="0.15">
      <c r="F665" s="7"/>
      <c r="H665" s="34"/>
    </row>
    <row r="666" spans="6:8" x14ac:dyDescent="0.15">
      <c r="F666" s="7"/>
      <c r="H666" s="34"/>
    </row>
    <row r="667" spans="6:8" x14ac:dyDescent="0.15">
      <c r="F667" s="7"/>
      <c r="H667" s="34"/>
    </row>
    <row r="668" spans="6:8" x14ac:dyDescent="0.15">
      <c r="F668" s="7"/>
      <c r="H668" s="34"/>
    </row>
    <row r="669" spans="6:8" x14ac:dyDescent="0.15">
      <c r="F669" s="7"/>
      <c r="H669" s="34"/>
    </row>
    <row r="670" spans="6:8" x14ac:dyDescent="0.15">
      <c r="F670" s="7"/>
      <c r="H670" s="34"/>
    </row>
    <row r="671" spans="6:8" x14ac:dyDescent="0.15">
      <c r="F671" s="7"/>
      <c r="H671" s="34"/>
    </row>
    <row r="672" spans="6:8" x14ac:dyDescent="0.15">
      <c r="F672" s="7"/>
      <c r="H672" s="34"/>
    </row>
    <row r="673" spans="6:8" x14ac:dyDescent="0.15">
      <c r="F673" s="7"/>
      <c r="H673" s="34"/>
    </row>
    <row r="674" spans="6:8" x14ac:dyDescent="0.15">
      <c r="F674" s="7"/>
      <c r="H674" s="34"/>
    </row>
    <row r="675" spans="6:8" x14ac:dyDescent="0.15">
      <c r="F675" s="7"/>
      <c r="H675" s="34"/>
    </row>
    <row r="676" spans="6:8" x14ac:dyDescent="0.15">
      <c r="F676" s="7"/>
      <c r="H676" s="34"/>
    </row>
    <row r="677" spans="6:8" x14ac:dyDescent="0.15">
      <c r="F677" s="7"/>
      <c r="H677" s="34"/>
    </row>
    <row r="678" spans="6:8" x14ac:dyDescent="0.15">
      <c r="F678" s="7"/>
      <c r="H678" s="34"/>
    </row>
    <row r="679" spans="6:8" x14ac:dyDescent="0.15">
      <c r="F679" s="7"/>
      <c r="H679" s="34"/>
    </row>
    <row r="680" spans="6:8" x14ac:dyDescent="0.15">
      <c r="F680" s="7"/>
      <c r="H680" s="34"/>
    </row>
    <row r="681" spans="6:8" x14ac:dyDescent="0.15">
      <c r="F681" s="7"/>
      <c r="H681" s="34"/>
    </row>
    <row r="682" spans="6:8" x14ac:dyDescent="0.15">
      <c r="F682" s="7"/>
      <c r="H682" s="34"/>
    </row>
    <row r="683" spans="6:8" x14ac:dyDescent="0.15">
      <c r="F683" s="7"/>
      <c r="H683" s="34"/>
    </row>
    <row r="684" spans="6:8" x14ac:dyDescent="0.15">
      <c r="F684" s="7"/>
      <c r="H684" s="34"/>
    </row>
    <row r="685" spans="6:8" x14ac:dyDescent="0.15">
      <c r="F685" s="7"/>
      <c r="H685" s="34"/>
    </row>
    <row r="686" spans="6:8" x14ac:dyDescent="0.15">
      <c r="F686" s="7"/>
      <c r="H686" s="34"/>
    </row>
    <row r="687" spans="6:8" x14ac:dyDescent="0.15">
      <c r="F687" s="7"/>
      <c r="H687" s="34"/>
    </row>
    <row r="688" spans="6:8" x14ac:dyDescent="0.15">
      <c r="F688" s="7"/>
      <c r="H688" s="34"/>
    </row>
    <row r="689" spans="6:8" x14ac:dyDescent="0.15">
      <c r="F689" s="7"/>
      <c r="H689" s="34"/>
    </row>
    <row r="690" spans="6:8" x14ac:dyDescent="0.15">
      <c r="F690" s="7"/>
      <c r="H690" s="34"/>
    </row>
    <row r="691" spans="6:8" x14ac:dyDescent="0.15">
      <c r="F691" s="7"/>
      <c r="H691" s="34"/>
    </row>
    <row r="692" spans="6:8" x14ac:dyDescent="0.15">
      <c r="F692" s="7"/>
      <c r="H692" s="34"/>
    </row>
    <row r="693" spans="6:8" x14ac:dyDescent="0.15">
      <c r="F693" s="7"/>
      <c r="H693" s="34"/>
    </row>
    <row r="694" spans="6:8" x14ac:dyDescent="0.15">
      <c r="F694" s="7"/>
      <c r="H694" s="34"/>
    </row>
    <row r="695" spans="6:8" x14ac:dyDescent="0.15">
      <c r="F695" s="7"/>
      <c r="H695" s="34"/>
    </row>
    <row r="696" spans="6:8" x14ac:dyDescent="0.15">
      <c r="F696" s="7"/>
      <c r="H696" s="34"/>
    </row>
    <row r="697" spans="6:8" x14ac:dyDescent="0.15">
      <c r="F697" s="7"/>
      <c r="H697" s="34"/>
    </row>
    <row r="698" spans="6:8" x14ac:dyDescent="0.15">
      <c r="F698" s="7"/>
      <c r="H698" s="34"/>
    </row>
    <row r="699" spans="6:8" x14ac:dyDescent="0.15">
      <c r="F699" s="7"/>
      <c r="H699" s="34"/>
    </row>
    <row r="700" spans="6:8" x14ac:dyDescent="0.15">
      <c r="F700" s="7"/>
      <c r="H700" s="34"/>
    </row>
    <row r="701" spans="6:8" x14ac:dyDescent="0.15">
      <c r="F701" s="7"/>
      <c r="H701" s="34"/>
    </row>
    <row r="702" spans="6:8" x14ac:dyDescent="0.15">
      <c r="F702" s="7"/>
      <c r="H702" s="34"/>
    </row>
    <row r="703" spans="6:8" x14ac:dyDescent="0.15">
      <c r="F703" s="7"/>
      <c r="H703" s="34"/>
    </row>
    <row r="704" spans="6:8" x14ac:dyDescent="0.15">
      <c r="F704" s="7"/>
      <c r="H704" s="34"/>
    </row>
    <row r="705" spans="6:8" x14ac:dyDescent="0.15">
      <c r="F705" s="7"/>
      <c r="H705" s="34"/>
    </row>
  </sheetData>
  <autoFilter ref="H53:K324"/>
  <phoneticPr fontId="1" type="noConversion"/>
  <conditionalFormatting sqref="A100:A156 A59 A61:A98">
    <cfRule type="duplicateValues" dxfId="16" priority="3"/>
  </conditionalFormatting>
  <conditionalFormatting sqref="A99">
    <cfRule type="duplicateValues" dxfId="15" priority="2"/>
  </conditionalFormatting>
  <conditionalFormatting sqref="A1:A58">
    <cfRule type="duplicateValues" dxfId="14" priority="4"/>
  </conditionalFormatting>
  <conditionalFormatting sqref="A60">
    <cfRule type="duplicateValues" dxfId="13"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2:R218"/>
  <sheetViews>
    <sheetView topLeftCell="A64" workbookViewId="0">
      <selection activeCell="P6" sqref="P6"/>
    </sheetView>
  </sheetViews>
  <sheetFormatPr defaultRowHeight="13.5" x14ac:dyDescent="0.15"/>
  <cols>
    <col min="9" max="9" width="14.625" customWidth="1"/>
  </cols>
  <sheetData>
    <row r="2" spans="8:18" x14ac:dyDescent="0.15">
      <c r="H2">
        <v>1</v>
      </c>
      <c r="I2" t="s">
        <v>835</v>
      </c>
      <c r="J2">
        <v>4001</v>
      </c>
      <c r="K2">
        <v>0</v>
      </c>
      <c r="L2" t="s">
        <v>836</v>
      </c>
      <c r="M2">
        <v>25</v>
      </c>
      <c r="O2">
        <v>1</v>
      </c>
      <c r="P2" s="34" t="s">
        <v>966</v>
      </c>
      <c r="R2">
        <f>O2*O2*2+4*O2+19</f>
        <v>25</v>
      </c>
    </row>
    <row r="3" spans="8:18" x14ac:dyDescent="0.15">
      <c r="H3">
        <v>1</v>
      </c>
      <c r="I3" t="s">
        <v>835</v>
      </c>
      <c r="J3">
        <v>4001</v>
      </c>
      <c r="K3">
        <v>0</v>
      </c>
      <c r="L3" t="s">
        <v>55</v>
      </c>
      <c r="M3">
        <v>25</v>
      </c>
      <c r="O3">
        <v>1</v>
      </c>
      <c r="P3" t="s">
        <v>55</v>
      </c>
      <c r="R3" s="34">
        <f t="shared" ref="R3:R66" si="0">O3*O3*2+4*O3+19</f>
        <v>25</v>
      </c>
    </row>
    <row r="4" spans="8:18" x14ac:dyDescent="0.15">
      <c r="H4" s="34">
        <v>1</v>
      </c>
      <c r="I4" t="s">
        <v>837</v>
      </c>
      <c r="J4">
        <v>4100</v>
      </c>
      <c r="K4">
        <v>0</v>
      </c>
      <c r="L4" t="s">
        <v>443</v>
      </c>
      <c r="O4">
        <v>1</v>
      </c>
      <c r="P4" t="s">
        <v>443</v>
      </c>
      <c r="R4" s="34">
        <f t="shared" si="0"/>
        <v>25</v>
      </c>
    </row>
    <row r="5" spans="8:18" x14ac:dyDescent="0.15">
      <c r="H5" s="34">
        <v>1</v>
      </c>
      <c r="I5" t="s">
        <v>837</v>
      </c>
      <c r="J5">
        <v>4100</v>
      </c>
      <c r="K5">
        <v>0</v>
      </c>
      <c r="L5" t="s">
        <v>836</v>
      </c>
      <c r="M5">
        <v>25</v>
      </c>
      <c r="O5">
        <v>2</v>
      </c>
      <c r="P5" t="s">
        <v>328</v>
      </c>
      <c r="R5" s="34">
        <f t="shared" si="0"/>
        <v>35</v>
      </c>
    </row>
    <row r="6" spans="8:18" x14ac:dyDescent="0.15">
      <c r="H6">
        <v>2</v>
      </c>
      <c r="I6" t="s">
        <v>838</v>
      </c>
      <c r="J6">
        <v>4101</v>
      </c>
      <c r="K6">
        <v>0</v>
      </c>
      <c r="L6" t="s">
        <v>328</v>
      </c>
      <c r="O6">
        <v>2</v>
      </c>
      <c r="P6" t="s">
        <v>363</v>
      </c>
      <c r="R6" s="34">
        <f t="shared" si="0"/>
        <v>35</v>
      </c>
    </row>
    <row r="7" spans="8:18" x14ac:dyDescent="0.15">
      <c r="H7" s="34">
        <v>2</v>
      </c>
      <c r="I7" t="s">
        <v>838</v>
      </c>
      <c r="J7">
        <v>4101</v>
      </c>
      <c r="K7">
        <v>0</v>
      </c>
      <c r="L7" t="s">
        <v>363</v>
      </c>
      <c r="O7">
        <v>2</v>
      </c>
      <c r="P7" t="s">
        <v>444</v>
      </c>
      <c r="R7" s="34">
        <f t="shared" si="0"/>
        <v>35</v>
      </c>
    </row>
    <row r="8" spans="8:18" x14ac:dyDescent="0.15">
      <c r="H8" s="34">
        <v>2</v>
      </c>
      <c r="I8" t="s">
        <v>839</v>
      </c>
      <c r="J8">
        <v>4102</v>
      </c>
      <c r="K8">
        <v>0</v>
      </c>
      <c r="L8" t="s">
        <v>444</v>
      </c>
      <c r="O8">
        <v>2</v>
      </c>
      <c r="P8" t="s">
        <v>622</v>
      </c>
      <c r="R8" s="34">
        <f t="shared" si="0"/>
        <v>35</v>
      </c>
    </row>
    <row r="9" spans="8:18" x14ac:dyDescent="0.15">
      <c r="H9" s="34">
        <v>2</v>
      </c>
      <c r="I9" t="s">
        <v>839</v>
      </c>
      <c r="J9">
        <v>4102</v>
      </c>
      <c r="K9">
        <v>0</v>
      </c>
      <c r="L9" t="s">
        <v>622</v>
      </c>
      <c r="O9">
        <v>3</v>
      </c>
      <c r="P9" t="s">
        <v>346</v>
      </c>
      <c r="R9" s="34">
        <f t="shared" si="0"/>
        <v>49</v>
      </c>
    </row>
    <row r="10" spans="8:18" x14ac:dyDescent="0.15">
      <c r="H10">
        <v>3</v>
      </c>
      <c r="I10" t="s">
        <v>840</v>
      </c>
      <c r="J10">
        <v>4103</v>
      </c>
      <c r="K10">
        <v>0</v>
      </c>
      <c r="L10" t="s">
        <v>346</v>
      </c>
      <c r="O10">
        <v>3</v>
      </c>
      <c r="P10" t="s">
        <v>552</v>
      </c>
      <c r="R10" s="34">
        <f t="shared" si="0"/>
        <v>49</v>
      </c>
    </row>
    <row r="11" spans="8:18" x14ac:dyDescent="0.15">
      <c r="H11" s="34">
        <v>3</v>
      </c>
      <c r="I11" t="s">
        <v>840</v>
      </c>
      <c r="J11">
        <v>4103</v>
      </c>
      <c r="K11">
        <v>0</v>
      </c>
      <c r="L11" t="s">
        <v>552</v>
      </c>
      <c r="O11">
        <v>3</v>
      </c>
      <c r="P11" t="s">
        <v>352</v>
      </c>
      <c r="R11" s="34">
        <f t="shared" si="0"/>
        <v>49</v>
      </c>
    </row>
    <row r="12" spans="8:18" x14ac:dyDescent="0.15">
      <c r="H12" s="34">
        <v>3</v>
      </c>
      <c r="I12" t="s">
        <v>841</v>
      </c>
      <c r="J12">
        <v>4104</v>
      </c>
      <c r="K12">
        <v>0</v>
      </c>
      <c r="L12" t="s">
        <v>352</v>
      </c>
      <c r="O12">
        <v>3</v>
      </c>
      <c r="P12" t="s">
        <v>965</v>
      </c>
      <c r="R12" s="34">
        <f t="shared" si="0"/>
        <v>49</v>
      </c>
    </row>
    <row r="13" spans="8:18" x14ac:dyDescent="0.15">
      <c r="H13" s="34">
        <v>3</v>
      </c>
      <c r="I13" t="s">
        <v>841</v>
      </c>
      <c r="J13">
        <v>4104</v>
      </c>
      <c r="K13">
        <v>0</v>
      </c>
      <c r="L13" t="s">
        <v>347</v>
      </c>
      <c r="O13">
        <v>4</v>
      </c>
      <c r="P13" t="s">
        <v>356</v>
      </c>
      <c r="R13" s="34">
        <f t="shared" si="0"/>
        <v>67</v>
      </c>
    </row>
    <row r="14" spans="8:18" x14ac:dyDescent="0.15">
      <c r="H14">
        <v>4</v>
      </c>
      <c r="I14" t="s">
        <v>842</v>
      </c>
      <c r="J14">
        <v>4105</v>
      </c>
      <c r="K14">
        <v>0</v>
      </c>
      <c r="L14" t="s">
        <v>356</v>
      </c>
      <c r="O14">
        <v>4</v>
      </c>
      <c r="P14" t="s">
        <v>516</v>
      </c>
      <c r="R14" s="34">
        <f t="shared" si="0"/>
        <v>67</v>
      </c>
    </row>
    <row r="15" spans="8:18" x14ac:dyDescent="0.15">
      <c r="H15" s="34">
        <v>4</v>
      </c>
      <c r="I15" t="s">
        <v>843</v>
      </c>
      <c r="J15">
        <v>4106</v>
      </c>
      <c r="K15">
        <v>0</v>
      </c>
      <c r="L15" t="s">
        <v>444</v>
      </c>
      <c r="O15">
        <v>8</v>
      </c>
      <c r="P15" t="s">
        <v>446</v>
      </c>
      <c r="R15" s="34">
        <f t="shared" si="0"/>
        <v>179</v>
      </c>
    </row>
    <row r="16" spans="8:18" x14ac:dyDescent="0.15">
      <c r="H16" s="34">
        <v>4</v>
      </c>
      <c r="I16" t="s">
        <v>844</v>
      </c>
      <c r="J16">
        <v>4107</v>
      </c>
      <c r="K16">
        <v>0</v>
      </c>
      <c r="L16" t="s">
        <v>516</v>
      </c>
      <c r="O16">
        <v>8</v>
      </c>
      <c r="P16" t="s">
        <v>489</v>
      </c>
      <c r="R16" s="34">
        <f t="shared" si="0"/>
        <v>179</v>
      </c>
    </row>
    <row r="17" spans="8:18" x14ac:dyDescent="0.15">
      <c r="H17" s="34">
        <v>4</v>
      </c>
      <c r="I17" t="s">
        <v>844</v>
      </c>
      <c r="J17">
        <v>4107</v>
      </c>
      <c r="K17">
        <v>0</v>
      </c>
      <c r="L17" t="s">
        <v>346</v>
      </c>
      <c r="O17">
        <v>8</v>
      </c>
      <c r="P17" t="s">
        <v>447</v>
      </c>
      <c r="R17" s="34">
        <f t="shared" si="0"/>
        <v>179</v>
      </c>
    </row>
    <row r="18" spans="8:18" x14ac:dyDescent="0.15">
      <c r="H18" s="35">
        <v>8</v>
      </c>
      <c r="I18" t="s">
        <v>845</v>
      </c>
      <c r="J18">
        <v>4108</v>
      </c>
      <c r="K18">
        <v>0</v>
      </c>
      <c r="L18" t="s">
        <v>446</v>
      </c>
      <c r="O18">
        <v>9</v>
      </c>
      <c r="P18" t="s">
        <v>526</v>
      </c>
      <c r="R18" s="34">
        <f t="shared" si="0"/>
        <v>217</v>
      </c>
    </row>
    <row r="19" spans="8:18" x14ac:dyDescent="0.15">
      <c r="H19" s="35">
        <v>8</v>
      </c>
      <c r="I19" t="s">
        <v>845</v>
      </c>
      <c r="J19">
        <v>4108</v>
      </c>
      <c r="K19">
        <v>0</v>
      </c>
      <c r="L19" t="s">
        <v>836</v>
      </c>
      <c r="O19">
        <v>9</v>
      </c>
      <c r="P19" t="s">
        <v>448</v>
      </c>
      <c r="R19" s="34">
        <f t="shared" si="0"/>
        <v>217</v>
      </c>
    </row>
    <row r="20" spans="8:18" x14ac:dyDescent="0.15">
      <c r="H20" s="35">
        <v>8</v>
      </c>
      <c r="I20" t="s">
        <v>845</v>
      </c>
      <c r="J20">
        <v>4108</v>
      </c>
      <c r="K20">
        <v>0</v>
      </c>
      <c r="L20" t="s">
        <v>489</v>
      </c>
      <c r="O20">
        <v>10</v>
      </c>
      <c r="P20" t="s">
        <v>370</v>
      </c>
      <c r="R20" s="34">
        <f t="shared" si="0"/>
        <v>259</v>
      </c>
    </row>
    <row r="21" spans="8:18" x14ac:dyDescent="0.15">
      <c r="H21" s="35">
        <v>8</v>
      </c>
      <c r="I21" t="s">
        <v>845</v>
      </c>
      <c r="J21">
        <v>4108</v>
      </c>
      <c r="K21">
        <v>0</v>
      </c>
      <c r="L21" t="s">
        <v>347</v>
      </c>
      <c r="O21">
        <v>10</v>
      </c>
      <c r="P21" t="s">
        <v>450</v>
      </c>
      <c r="R21" s="34">
        <f t="shared" si="0"/>
        <v>259</v>
      </c>
    </row>
    <row r="22" spans="8:18" x14ac:dyDescent="0.15">
      <c r="H22" s="35">
        <v>8</v>
      </c>
      <c r="I22" t="s">
        <v>845</v>
      </c>
      <c r="J22">
        <v>4108</v>
      </c>
      <c r="K22">
        <v>0</v>
      </c>
      <c r="L22" t="s">
        <v>346</v>
      </c>
      <c r="O22">
        <v>11</v>
      </c>
      <c r="P22" t="s">
        <v>357</v>
      </c>
      <c r="R22" s="34">
        <f t="shared" si="0"/>
        <v>305</v>
      </c>
    </row>
    <row r="23" spans="8:18" x14ac:dyDescent="0.15">
      <c r="H23" s="35">
        <v>8</v>
      </c>
      <c r="I23" t="s">
        <v>845</v>
      </c>
      <c r="J23">
        <v>4108</v>
      </c>
      <c r="K23">
        <v>0</v>
      </c>
      <c r="L23" t="s">
        <v>352</v>
      </c>
      <c r="O23">
        <v>11</v>
      </c>
      <c r="P23" t="s">
        <v>557</v>
      </c>
      <c r="R23" s="34">
        <f t="shared" si="0"/>
        <v>305</v>
      </c>
    </row>
    <row r="24" spans="8:18" x14ac:dyDescent="0.15">
      <c r="H24" s="35">
        <v>8</v>
      </c>
      <c r="I24" t="s">
        <v>846</v>
      </c>
      <c r="J24">
        <v>4109</v>
      </c>
      <c r="K24">
        <v>0</v>
      </c>
      <c r="L24" t="s">
        <v>447</v>
      </c>
      <c r="O24">
        <v>12</v>
      </c>
      <c r="P24" t="s">
        <v>452</v>
      </c>
      <c r="R24" s="34">
        <f t="shared" si="0"/>
        <v>355</v>
      </c>
    </row>
    <row r="25" spans="8:18" x14ac:dyDescent="0.15">
      <c r="H25" s="35">
        <v>8</v>
      </c>
      <c r="I25" t="s">
        <v>846</v>
      </c>
      <c r="J25">
        <v>4109</v>
      </c>
      <c r="K25">
        <v>0</v>
      </c>
      <c r="L25" t="s">
        <v>516</v>
      </c>
      <c r="O25">
        <v>12</v>
      </c>
      <c r="P25" t="s">
        <v>445</v>
      </c>
      <c r="R25" s="34">
        <f t="shared" si="0"/>
        <v>355</v>
      </c>
    </row>
    <row r="26" spans="8:18" x14ac:dyDescent="0.15">
      <c r="H26" s="35">
        <v>8</v>
      </c>
      <c r="I26" t="s">
        <v>846</v>
      </c>
      <c r="J26">
        <v>4109</v>
      </c>
      <c r="K26">
        <v>0</v>
      </c>
      <c r="L26" t="s">
        <v>363</v>
      </c>
      <c r="O26">
        <v>12</v>
      </c>
      <c r="P26" t="s">
        <v>463</v>
      </c>
      <c r="R26" s="34">
        <f t="shared" si="0"/>
        <v>355</v>
      </c>
    </row>
    <row r="27" spans="8:18" x14ac:dyDescent="0.15">
      <c r="H27" s="35">
        <v>8</v>
      </c>
      <c r="I27" t="s">
        <v>846</v>
      </c>
      <c r="J27">
        <v>4109</v>
      </c>
      <c r="K27">
        <v>0</v>
      </c>
      <c r="L27" t="s">
        <v>328</v>
      </c>
      <c r="O27">
        <v>16</v>
      </c>
      <c r="P27" t="s">
        <v>856</v>
      </c>
      <c r="R27" s="34">
        <f t="shared" si="0"/>
        <v>595</v>
      </c>
    </row>
    <row r="28" spans="8:18" x14ac:dyDescent="0.15">
      <c r="H28" s="35">
        <v>8</v>
      </c>
      <c r="I28" t="s">
        <v>846</v>
      </c>
      <c r="J28">
        <v>4109</v>
      </c>
      <c r="K28">
        <v>0</v>
      </c>
      <c r="L28" t="s">
        <v>443</v>
      </c>
      <c r="O28">
        <v>16</v>
      </c>
      <c r="P28" t="s">
        <v>454</v>
      </c>
      <c r="R28" s="34">
        <f t="shared" si="0"/>
        <v>595</v>
      </c>
    </row>
    <row r="29" spans="8:18" x14ac:dyDescent="0.15">
      <c r="H29" s="35">
        <v>8</v>
      </c>
      <c r="I29" t="s">
        <v>846</v>
      </c>
      <c r="J29">
        <v>4109</v>
      </c>
      <c r="K29">
        <v>0</v>
      </c>
      <c r="L29" t="s">
        <v>356</v>
      </c>
      <c r="O29">
        <v>5</v>
      </c>
      <c r="P29" t="s">
        <v>967</v>
      </c>
      <c r="R29" s="34">
        <f t="shared" si="0"/>
        <v>89</v>
      </c>
    </row>
    <row r="30" spans="8:18" x14ac:dyDescent="0.15">
      <c r="H30">
        <v>9</v>
      </c>
      <c r="I30" t="s">
        <v>847</v>
      </c>
      <c r="J30">
        <v>4110</v>
      </c>
      <c r="K30">
        <v>0</v>
      </c>
      <c r="L30" t="s">
        <v>526</v>
      </c>
      <c r="O30">
        <v>5</v>
      </c>
      <c r="P30" t="s">
        <v>860</v>
      </c>
      <c r="R30" s="34">
        <f t="shared" si="0"/>
        <v>89</v>
      </c>
    </row>
    <row r="31" spans="8:18" x14ac:dyDescent="0.15">
      <c r="H31" s="34">
        <v>9</v>
      </c>
      <c r="I31" t="s">
        <v>848</v>
      </c>
      <c r="J31">
        <v>4111</v>
      </c>
      <c r="K31">
        <v>0</v>
      </c>
      <c r="L31" t="s">
        <v>448</v>
      </c>
      <c r="O31">
        <v>5</v>
      </c>
      <c r="P31" t="s">
        <v>491</v>
      </c>
      <c r="R31" s="34">
        <f t="shared" si="0"/>
        <v>89</v>
      </c>
    </row>
    <row r="32" spans="8:18" x14ac:dyDescent="0.15">
      <c r="H32" s="34">
        <v>9</v>
      </c>
      <c r="I32" t="s">
        <v>848</v>
      </c>
      <c r="J32">
        <v>4111</v>
      </c>
      <c r="K32">
        <v>0</v>
      </c>
      <c r="L32" t="s">
        <v>443</v>
      </c>
      <c r="O32">
        <v>6</v>
      </c>
      <c r="P32" t="s">
        <v>360</v>
      </c>
      <c r="R32" s="34">
        <f t="shared" si="0"/>
        <v>115</v>
      </c>
    </row>
    <row r="33" spans="8:18" x14ac:dyDescent="0.15">
      <c r="H33">
        <v>10</v>
      </c>
      <c r="I33" t="s">
        <v>849</v>
      </c>
      <c r="J33">
        <v>4112</v>
      </c>
      <c r="K33">
        <v>0</v>
      </c>
      <c r="L33" t="s">
        <v>370</v>
      </c>
      <c r="O33">
        <v>6</v>
      </c>
      <c r="P33" t="s">
        <v>512</v>
      </c>
      <c r="R33" s="34">
        <f t="shared" si="0"/>
        <v>115</v>
      </c>
    </row>
    <row r="34" spans="8:18" x14ac:dyDescent="0.15">
      <c r="H34" s="34">
        <v>10</v>
      </c>
      <c r="I34" t="s">
        <v>850</v>
      </c>
      <c r="J34">
        <v>4113</v>
      </c>
      <c r="K34">
        <v>0</v>
      </c>
      <c r="L34" t="s">
        <v>450</v>
      </c>
      <c r="O34">
        <v>6</v>
      </c>
      <c r="P34" t="s">
        <v>361</v>
      </c>
      <c r="R34" s="34">
        <f t="shared" si="0"/>
        <v>115</v>
      </c>
    </row>
    <row r="35" spans="8:18" x14ac:dyDescent="0.15">
      <c r="H35">
        <v>11</v>
      </c>
      <c r="I35" t="s">
        <v>851</v>
      </c>
      <c r="J35">
        <v>4114</v>
      </c>
      <c r="K35">
        <v>0</v>
      </c>
      <c r="L35" t="s">
        <v>357</v>
      </c>
      <c r="O35">
        <v>7</v>
      </c>
      <c r="P35" t="s">
        <v>456</v>
      </c>
      <c r="R35" s="34">
        <f t="shared" si="0"/>
        <v>145</v>
      </c>
    </row>
    <row r="36" spans="8:18" x14ac:dyDescent="0.15">
      <c r="H36">
        <v>11</v>
      </c>
      <c r="I36" t="s">
        <v>852</v>
      </c>
      <c r="J36">
        <v>4115</v>
      </c>
      <c r="K36">
        <v>0</v>
      </c>
      <c r="L36" t="s">
        <v>557</v>
      </c>
      <c r="O36">
        <v>7</v>
      </c>
      <c r="P36" t="s">
        <v>457</v>
      </c>
      <c r="R36" s="34">
        <f t="shared" si="0"/>
        <v>145</v>
      </c>
    </row>
    <row r="37" spans="8:18" x14ac:dyDescent="0.15">
      <c r="H37">
        <v>11</v>
      </c>
      <c r="I37" t="s">
        <v>852</v>
      </c>
      <c r="J37">
        <v>4115</v>
      </c>
      <c r="K37">
        <v>0</v>
      </c>
      <c r="L37" t="s">
        <v>356</v>
      </c>
      <c r="O37">
        <v>8</v>
      </c>
      <c r="P37" t="s">
        <v>193</v>
      </c>
      <c r="R37" s="34">
        <f t="shared" si="0"/>
        <v>179</v>
      </c>
    </row>
    <row r="38" spans="8:18" x14ac:dyDescent="0.15">
      <c r="H38">
        <v>12</v>
      </c>
      <c r="I38" t="s">
        <v>853</v>
      </c>
      <c r="J38">
        <v>4116</v>
      </c>
      <c r="K38">
        <v>0</v>
      </c>
      <c r="L38" t="s">
        <v>452</v>
      </c>
      <c r="O38">
        <v>8</v>
      </c>
      <c r="P38" t="s">
        <v>367</v>
      </c>
      <c r="R38" s="34">
        <f t="shared" si="0"/>
        <v>179</v>
      </c>
    </row>
    <row r="39" spans="8:18" x14ac:dyDescent="0.15">
      <c r="H39">
        <v>12</v>
      </c>
      <c r="I39" t="s">
        <v>853</v>
      </c>
      <c r="J39">
        <v>4116</v>
      </c>
      <c r="K39">
        <v>0</v>
      </c>
      <c r="L39" t="s">
        <v>445</v>
      </c>
      <c r="O39">
        <v>8</v>
      </c>
      <c r="P39" t="s">
        <v>348</v>
      </c>
      <c r="R39" s="34">
        <f t="shared" si="0"/>
        <v>179</v>
      </c>
    </row>
    <row r="40" spans="8:18" x14ac:dyDescent="0.15">
      <c r="H40" s="34">
        <v>12</v>
      </c>
      <c r="I40" t="s">
        <v>854</v>
      </c>
      <c r="J40">
        <v>4117</v>
      </c>
      <c r="K40">
        <v>0</v>
      </c>
      <c r="L40" t="s">
        <v>463</v>
      </c>
      <c r="O40">
        <v>12</v>
      </c>
      <c r="P40" t="s">
        <v>508</v>
      </c>
      <c r="R40" s="34">
        <f t="shared" si="0"/>
        <v>355</v>
      </c>
    </row>
    <row r="41" spans="8:18" x14ac:dyDescent="0.15">
      <c r="H41" s="34">
        <v>12</v>
      </c>
      <c r="I41" t="s">
        <v>854</v>
      </c>
      <c r="J41">
        <v>4117</v>
      </c>
      <c r="K41">
        <v>0</v>
      </c>
      <c r="L41" t="s">
        <v>622</v>
      </c>
      <c r="O41">
        <v>12</v>
      </c>
      <c r="P41" t="s">
        <v>473</v>
      </c>
      <c r="R41" s="34">
        <f t="shared" si="0"/>
        <v>355</v>
      </c>
    </row>
    <row r="42" spans="8:18" x14ac:dyDescent="0.15">
      <c r="H42" s="35">
        <v>16</v>
      </c>
      <c r="I42" t="s">
        <v>855</v>
      </c>
      <c r="J42">
        <v>4118</v>
      </c>
      <c r="K42">
        <v>0</v>
      </c>
      <c r="L42" t="s">
        <v>856</v>
      </c>
      <c r="O42">
        <v>12</v>
      </c>
      <c r="P42" t="s">
        <v>350</v>
      </c>
      <c r="R42" s="34">
        <f t="shared" si="0"/>
        <v>355</v>
      </c>
    </row>
    <row r="43" spans="8:18" x14ac:dyDescent="0.15">
      <c r="H43" s="35">
        <v>16</v>
      </c>
      <c r="I43" t="s">
        <v>855</v>
      </c>
      <c r="J43">
        <v>4118</v>
      </c>
      <c r="K43">
        <v>0</v>
      </c>
      <c r="L43" t="s">
        <v>448</v>
      </c>
      <c r="O43">
        <v>12</v>
      </c>
      <c r="P43" t="s">
        <v>369</v>
      </c>
      <c r="R43" s="34">
        <f t="shared" si="0"/>
        <v>355</v>
      </c>
    </row>
    <row r="44" spans="8:18" x14ac:dyDescent="0.15">
      <c r="H44" s="35">
        <v>16</v>
      </c>
      <c r="I44" t="s">
        <v>855</v>
      </c>
      <c r="J44">
        <v>4118</v>
      </c>
      <c r="K44">
        <v>0</v>
      </c>
      <c r="L44" t="s">
        <v>557</v>
      </c>
      <c r="O44">
        <v>13</v>
      </c>
      <c r="P44" t="s">
        <v>458</v>
      </c>
      <c r="R44" s="34">
        <f t="shared" si="0"/>
        <v>409</v>
      </c>
    </row>
    <row r="45" spans="8:18" x14ac:dyDescent="0.15">
      <c r="H45" s="35">
        <v>16</v>
      </c>
      <c r="I45" t="s">
        <v>855</v>
      </c>
      <c r="J45">
        <v>4118</v>
      </c>
      <c r="K45">
        <v>0</v>
      </c>
      <c r="L45" t="s">
        <v>526</v>
      </c>
      <c r="O45">
        <v>14</v>
      </c>
      <c r="P45" t="s">
        <v>362</v>
      </c>
      <c r="R45" s="34">
        <f t="shared" si="0"/>
        <v>467</v>
      </c>
    </row>
    <row r="46" spans="8:18" x14ac:dyDescent="0.15">
      <c r="H46" s="35">
        <v>16</v>
      </c>
      <c r="I46" t="s">
        <v>855</v>
      </c>
      <c r="J46">
        <v>4118</v>
      </c>
      <c r="K46">
        <v>0</v>
      </c>
      <c r="L46" t="s">
        <v>357</v>
      </c>
      <c r="O46">
        <v>14</v>
      </c>
      <c r="P46" t="s">
        <v>555</v>
      </c>
      <c r="R46" s="34">
        <f t="shared" si="0"/>
        <v>467</v>
      </c>
    </row>
    <row r="47" spans="8:18" x14ac:dyDescent="0.15">
      <c r="H47" s="35">
        <v>16</v>
      </c>
      <c r="I47" t="s">
        <v>855</v>
      </c>
      <c r="J47">
        <v>4118</v>
      </c>
      <c r="K47">
        <v>0</v>
      </c>
      <c r="L47" t="s">
        <v>450</v>
      </c>
      <c r="O47">
        <v>15</v>
      </c>
      <c r="P47" t="s">
        <v>460</v>
      </c>
      <c r="R47" s="34">
        <f t="shared" si="0"/>
        <v>529</v>
      </c>
    </row>
    <row r="48" spans="8:18" x14ac:dyDescent="0.15">
      <c r="H48" s="35">
        <v>16</v>
      </c>
      <c r="I48" t="s">
        <v>857</v>
      </c>
      <c r="J48">
        <v>4119</v>
      </c>
      <c r="K48">
        <v>0</v>
      </c>
      <c r="L48" t="s">
        <v>454</v>
      </c>
      <c r="O48">
        <v>15</v>
      </c>
      <c r="P48" t="s">
        <v>461</v>
      </c>
      <c r="R48" s="34">
        <f t="shared" si="0"/>
        <v>529</v>
      </c>
    </row>
    <row r="49" spans="8:18" x14ac:dyDescent="0.15">
      <c r="H49" s="35">
        <v>16</v>
      </c>
      <c r="I49" t="s">
        <v>857</v>
      </c>
      <c r="J49">
        <v>4119</v>
      </c>
      <c r="K49">
        <v>0</v>
      </c>
      <c r="L49" t="s">
        <v>445</v>
      </c>
      <c r="O49">
        <v>16</v>
      </c>
      <c r="P49" t="s">
        <v>554</v>
      </c>
      <c r="R49" s="34">
        <f t="shared" si="0"/>
        <v>595</v>
      </c>
    </row>
    <row r="50" spans="8:18" x14ac:dyDescent="0.15">
      <c r="H50" s="35">
        <v>16</v>
      </c>
      <c r="I50" t="s">
        <v>857</v>
      </c>
      <c r="J50">
        <v>4119</v>
      </c>
      <c r="K50">
        <v>0</v>
      </c>
      <c r="L50" t="s">
        <v>452</v>
      </c>
      <c r="O50">
        <v>16</v>
      </c>
      <c r="P50" t="s">
        <v>462</v>
      </c>
      <c r="R50" s="34">
        <f t="shared" si="0"/>
        <v>595</v>
      </c>
    </row>
    <row r="51" spans="8:18" x14ac:dyDescent="0.15">
      <c r="H51" s="35">
        <v>16</v>
      </c>
      <c r="I51" t="s">
        <v>857</v>
      </c>
      <c r="J51">
        <v>4119</v>
      </c>
      <c r="K51">
        <v>0</v>
      </c>
      <c r="L51" t="s">
        <v>557</v>
      </c>
      <c r="O51">
        <v>16</v>
      </c>
      <c r="P51" t="s">
        <v>556</v>
      </c>
      <c r="R51" s="34">
        <f t="shared" si="0"/>
        <v>595</v>
      </c>
    </row>
    <row r="52" spans="8:18" x14ac:dyDescent="0.15">
      <c r="H52" s="35">
        <v>16</v>
      </c>
      <c r="I52" t="s">
        <v>857</v>
      </c>
      <c r="J52">
        <v>4119</v>
      </c>
      <c r="K52">
        <v>0</v>
      </c>
      <c r="L52" t="s">
        <v>448</v>
      </c>
      <c r="O52">
        <v>20</v>
      </c>
      <c r="P52" t="s">
        <v>475</v>
      </c>
      <c r="R52" s="34">
        <f t="shared" si="0"/>
        <v>899</v>
      </c>
    </row>
    <row r="53" spans="8:18" x14ac:dyDescent="0.15">
      <c r="H53" s="35">
        <v>16</v>
      </c>
      <c r="I53" t="s">
        <v>857</v>
      </c>
      <c r="J53">
        <v>4119</v>
      </c>
      <c r="K53">
        <v>0</v>
      </c>
      <c r="L53" t="s">
        <v>452</v>
      </c>
      <c r="O53">
        <v>20</v>
      </c>
      <c r="P53" t="s">
        <v>482</v>
      </c>
      <c r="R53" s="34">
        <f t="shared" si="0"/>
        <v>899</v>
      </c>
    </row>
    <row r="54" spans="8:18" x14ac:dyDescent="0.15">
      <c r="H54">
        <v>5</v>
      </c>
      <c r="I54" t="s">
        <v>858</v>
      </c>
      <c r="J54">
        <v>4120</v>
      </c>
      <c r="K54">
        <v>0</v>
      </c>
      <c r="L54" t="s">
        <v>553</v>
      </c>
      <c r="O54">
        <v>17</v>
      </c>
      <c r="P54" t="s">
        <v>465</v>
      </c>
      <c r="R54" s="34">
        <f t="shared" si="0"/>
        <v>665</v>
      </c>
    </row>
    <row r="55" spans="8:18" x14ac:dyDescent="0.15">
      <c r="H55">
        <v>5</v>
      </c>
      <c r="I55" t="s">
        <v>859</v>
      </c>
      <c r="J55">
        <v>4121</v>
      </c>
      <c r="K55">
        <v>0</v>
      </c>
      <c r="L55" t="s">
        <v>860</v>
      </c>
      <c r="O55">
        <v>17</v>
      </c>
      <c r="P55" t="s">
        <v>449</v>
      </c>
      <c r="R55" s="34">
        <f t="shared" si="0"/>
        <v>665</v>
      </c>
    </row>
    <row r="56" spans="8:18" x14ac:dyDescent="0.15">
      <c r="H56">
        <v>5</v>
      </c>
      <c r="I56" t="s">
        <v>859</v>
      </c>
      <c r="J56">
        <v>4121</v>
      </c>
      <c r="K56">
        <v>0</v>
      </c>
      <c r="L56" t="s">
        <v>491</v>
      </c>
      <c r="O56">
        <v>18</v>
      </c>
      <c r="P56" t="s">
        <v>466</v>
      </c>
      <c r="R56" s="34">
        <f t="shared" si="0"/>
        <v>739</v>
      </c>
    </row>
    <row r="57" spans="8:18" x14ac:dyDescent="0.15">
      <c r="H57">
        <v>6</v>
      </c>
      <c r="I57" t="s">
        <v>861</v>
      </c>
      <c r="J57">
        <v>4122</v>
      </c>
      <c r="K57">
        <v>0</v>
      </c>
      <c r="L57" t="s">
        <v>360</v>
      </c>
      <c r="O57">
        <v>19</v>
      </c>
      <c r="P57" t="s">
        <v>474</v>
      </c>
      <c r="R57" s="34">
        <f t="shared" si="0"/>
        <v>817</v>
      </c>
    </row>
    <row r="58" spans="8:18" x14ac:dyDescent="0.15">
      <c r="H58">
        <v>6</v>
      </c>
      <c r="I58" t="s">
        <v>861</v>
      </c>
      <c r="J58">
        <v>4122</v>
      </c>
      <c r="K58">
        <v>0</v>
      </c>
      <c r="L58" t="s">
        <v>512</v>
      </c>
      <c r="O58">
        <v>20</v>
      </c>
      <c r="P58" t="s">
        <v>509</v>
      </c>
      <c r="R58" s="34">
        <f t="shared" si="0"/>
        <v>899</v>
      </c>
    </row>
    <row r="59" spans="8:18" x14ac:dyDescent="0.15">
      <c r="H59">
        <v>6</v>
      </c>
      <c r="I59" t="s">
        <v>862</v>
      </c>
      <c r="J59">
        <v>4123</v>
      </c>
      <c r="K59">
        <v>0</v>
      </c>
      <c r="L59" t="s">
        <v>361</v>
      </c>
      <c r="O59">
        <v>20</v>
      </c>
      <c r="P59" t="s">
        <v>467</v>
      </c>
      <c r="R59" s="34">
        <f t="shared" si="0"/>
        <v>899</v>
      </c>
    </row>
    <row r="60" spans="8:18" x14ac:dyDescent="0.15">
      <c r="H60">
        <v>7</v>
      </c>
      <c r="I60" t="s">
        <v>863</v>
      </c>
      <c r="J60">
        <v>4124</v>
      </c>
      <c r="K60">
        <v>0</v>
      </c>
      <c r="L60" t="s">
        <v>456</v>
      </c>
      <c r="O60">
        <v>24</v>
      </c>
      <c r="P60" t="s">
        <v>513</v>
      </c>
      <c r="R60" s="34">
        <f t="shared" si="0"/>
        <v>1267</v>
      </c>
    </row>
    <row r="61" spans="8:18" x14ac:dyDescent="0.15">
      <c r="H61">
        <v>7</v>
      </c>
      <c r="I61" t="s">
        <v>863</v>
      </c>
      <c r="J61">
        <v>4124</v>
      </c>
      <c r="K61">
        <v>0</v>
      </c>
      <c r="L61" t="s">
        <v>328</v>
      </c>
      <c r="O61">
        <v>24</v>
      </c>
      <c r="P61" t="s">
        <v>515</v>
      </c>
      <c r="R61" s="34">
        <f t="shared" si="0"/>
        <v>1267</v>
      </c>
    </row>
    <row r="62" spans="8:18" x14ac:dyDescent="0.15">
      <c r="H62">
        <v>7</v>
      </c>
      <c r="I62" t="s">
        <v>864</v>
      </c>
      <c r="J62">
        <v>4125</v>
      </c>
      <c r="K62">
        <v>0</v>
      </c>
      <c r="L62" t="s">
        <v>457</v>
      </c>
      <c r="O62">
        <v>24</v>
      </c>
      <c r="P62" t="s">
        <v>366</v>
      </c>
      <c r="R62" s="34">
        <f t="shared" si="0"/>
        <v>1267</v>
      </c>
    </row>
    <row r="63" spans="8:18" x14ac:dyDescent="0.15">
      <c r="H63">
        <v>7</v>
      </c>
      <c r="I63" t="s">
        <v>864</v>
      </c>
      <c r="J63">
        <v>4125</v>
      </c>
      <c r="K63">
        <v>0</v>
      </c>
      <c r="L63" t="s">
        <v>346</v>
      </c>
      <c r="O63">
        <v>24</v>
      </c>
      <c r="P63" t="s">
        <v>559</v>
      </c>
      <c r="R63" s="34">
        <f t="shared" si="0"/>
        <v>1267</v>
      </c>
    </row>
    <row r="64" spans="8:18" x14ac:dyDescent="0.15">
      <c r="H64">
        <v>8</v>
      </c>
      <c r="I64" t="s">
        <v>865</v>
      </c>
      <c r="J64">
        <v>4126</v>
      </c>
      <c r="K64">
        <v>0</v>
      </c>
      <c r="L64" t="s">
        <v>193</v>
      </c>
      <c r="O64">
        <v>25</v>
      </c>
      <c r="P64" t="s">
        <v>507</v>
      </c>
      <c r="R64" s="34">
        <f t="shared" si="0"/>
        <v>1369</v>
      </c>
    </row>
    <row r="65" spans="8:18" x14ac:dyDescent="0.15">
      <c r="H65">
        <v>8</v>
      </c>
      <c r="I65" t="s">
        <v>865</v>
      </c>
      <c r="J65">
        <v>4126</v>
      </c>
      <c r="K65">
        <v>0</v>
      </c>
      <c r="L65" t="s">
        <v>367</v>
      </c>
      <c r="O65">
        <v>25</v>
      </c>
      <c r="P65" t="s">
        <v>468</v>
      </c>
      <c r="R65" s="34">
        <f t="shared" si="0"/>
        <v>1369</v>
      </c>
    </row>
    <row r="66" spans="8:18" x14ac:dyDescent="0.15">
      <c r="H66">
        <v>8</v>
      </c>
      <c r="I66" t="s">
        <v>866</v>
      </c>
      <c r="J66">
        <v>4127</v>
      </c>
      <c r="K66">
        <v>0</v>
      </c>
      <c r="L66" t="s">
        <v>348</v>
      </c>
      <c r="O66">
        <v>26</v>
      </c>
      <c r="P66" t="s">
        <v>469</v>
      </c>
      <c r="R66" s="34">
        <f t="shared" si="0"/>
        <v>1475</v>
      </c>
    </row>
    <row r="67" spans="8:18" x14ac:dyDescent="0.15">
      <c r="H67">
        <v>8</v>
      </c>
      <c r="I67" t="s">
        <v>866</v>
      </c>
      <c r="J67">
        <v>4127</v>
      </c>
      <c r="K67">
        <v>0</v>
      </c>
      <c r="L67" t="s">
        <v>489</v>
      </c>
      <c r="O67">
        <v>26</v>
      </c>
      <c r="P67" t="s">
        <v>371</v>
      </c>
      <c r="R67" s="34">
        <f t="shared" ref="R67:R85" si="1">O67*O67*2+4*O67+19</f>
        <v>1475</v>
      </c>
    </row>
    <row r="68" spans="8:18" x14ac:dyDescent="0.15">
      <c r="H68" s="35">
        <v>12</v>
      </c>
      <c r="I68" t="s">
        <v>867</v>
      </c>
      <c r="J68">
        <v>4128</v>
      </c>
      <c r="K68">
        <v>0</v>
      </c>
      <c r="L68" t="s">
        <v>508</v>
      </c>
      <c r="O68">
        <v>26</v>
      </c>
      <c r="P68" t="s">
        <v>558</v>
      </c>
      <c r="R68" s="34">
        <f t="shared" si="1"/>
        <v>1475</v>
      </c>
    </row>
    <row r="69" spans="8:18" x14ac:dyDescent="0.15">
      <c r="H69" s="35">
        <v>12</v>
      </c>
      <c r="I69" t="s">
        <v>867</v>
      </c>
      <c r="J69">
        <v>4128</v>
      </c>
      <c r="K69">
        <v>0</v>
      </c>
      <c r="L69" t="s">
        <v>473</v>
      </c>
      <c r="O69">
        <v>27</v>
      </c>
      <c r="P69" t="s">
        <v>372</v>
      </c>
      <c r="R69" s="34">
        <f t="shared" si="1"/>
        <v>1585</v>
      </c>
    </row>
    <row r="70" spans="8:18" x14ac:dyDescent="0.15">
      <c r="H70" s="35">
        <v>12</v>
      </c>
      <c r="I70" t="s">
        <v>867</v>
      </c>
      <c r="J70">
        <v>4128</v>
      </c>
      <c r="K70">
        <v>0</v>
      </c>
      <c r="L70" t="s">
        <v>350</v>
      </c>
      <c r="O70">
        <v>27</v>
      </c>
      <c r="P70" t="s">
        <v>506</v>
      </c>
      <c r="R70" s="34">
        <f t="shared" si="1"/>
        <v>1585</v>
      </c>
    </row>
    <row r="71" spans="8:18" x14ac:dyDescent="0.15">
      <c r="H71" s="35">
        <v>12</v>
      </c>
      <c r="I71" t="s">
        <v>867</v>
      </c>
      <c r="J71">
        <v>4128</v>
      </c>
      <c r="K71">
        <v>0</v>
      </c>
      <c r="L71" t="s">
        <v>457</v>
      </c>
      <c r="O71">
        <v>27</v>
      </c>
      <c r="P71" t="s">
        <v>476</v>
      </c>
      <c r="R71" s="34">
        <f t="shared" si="1"/>
        <v>1585</v>
      </c>
    </row>
    <row r="72" spans="8:18" x14ac:dyDescent="0.15">
      <c r="H72" s="35">
        <v>12</v>
      </c>
      <c r="I72" t="s">
        <v>867</v>
      </c>
      <c r="J72">
        <v>4128</v>
      </c>
      <c r="K72">
        <v>0</v>
      </c>
      <c r="L72" t="s">
        <v>491</v>
      </c>
      <c r="O72">
        <v>28</v>
      </c>
      <c r="P72" t="s">
        <v>470</v>
      </c>
      <c r="R72" s="34">
        <f t="shared" si="1"/>
        <v>1699</v>
      </c>
    </row>
    <row r="73" spans="8:18" x14ac:dyDescent="0.15">
      <c r="H73" s="35">
        <v>12</v>
      </c>
      <c r="I73" t="s">
        <v>867</v>
      </c>
      <c r="J73">
        <v>4128</v>
      </c>
      <c r="K73">
        <v>0</v>
      </c>
      <c r="L73" t="s">
        <v>512</v>
      </c>
      <c r="O73">
        <v>28</v>
      </c>
      <c r="P73" t="s">
        <v>481</v>
      </c>
      <c r="R73" s="34">
        <f t="shared" si="1"/>
        <v>1699</v>
      </c>
    </row>
    <row r="74" spans="8:18" x14ac:dyDescent="0.15">
      <c r="H74" s="35">
        <v>12</v>
      </c>
      <c r="I74" t="s">
        <v>868</v>
      </c>
      <c r="J74">
        <v>4129</v>
      </c>
      <c r="K74">
        <v>0</v>
      </c>
      <c r="L74" t="s">
        <v>369</v>
      </c>
      <c r="O74">
        <v>32</v>
      </c>
      <c r="P74" t="s">
        <v>500</v>
      </c>
      <c r="R74" s="34">
        <f t="shared" si="1"/>
        <v>2195</v>
      </c>
    </row>
    <row r="75" spans="8:18" x14ac:dyDescent="0.15">
      <c r="H75" s="35">
        <v>12</v>
      </c>
      <c r="I75" t="s">
        <v>868</v>
      </c>
      <c r="J75">
        <v>4129</v>
      </c>
      <c r="K75">
        <v>0</v>
      </c>
      <c r="L75" t="s">
        <v>622</v>
      </c>
      <c r="O75">
        <v>32</v>
      </c>
      <c r="P75" t="s">
        <v>472</v>
      </c>
      <c r="R75" s="34">
        <f t="shared" si="1"/>
        <v>2195</v>
      </c>
    </row>
    <row r="76" spans="8:18" x14ac:dyDescent="0.15">
      <c r="H76" s="35">
        <v>12</v>
      </c>
      <c r="I76" t="s">
        <v>868</v>
      </c>
      <c r="J76">
        <v>4129</v>
      </c>
      <c r="K76">
        <v>0</v>
      </c>
      <c r="L76" t="s">
        <v>346</v>
      </c>
      <c r="O76">
        <v>21</v>
      </c>
      <c r="P76" t="s">
        <v>511</v>
      </c>
      <c r="R76" s="34">
        <f t="shared" si="1"/>
        <v>985</v>
      </c>
    </row>
    <row r="77" spans="8:18" x14ac:dyDescent="0.15">
      <c r="H77" s="35">
        <v>12</v>
      </c>
      <c r="I77" t="s">
        <v>868</v>
      </c>
      <c r="J77">
        <v>4129</v>
      </c>
      <c r="K77">
        <v>0</v>
      </c>
      <c r="L77" t="s">
        <v>456</v>
      </c>
      <c r="O77">
        <v>22</v>
      </c>
      <c r="P77" t="s">
        <v>364</v>
      </c>
      <c r="R77" s="34">
        <f t="shared" si="1"/>
        <v>1075</v>
      </c>
    </row>
    <row r="78" spans="8:18" x14ac:dyDescent="0.15">
      <c r="H78" s="35">
        <v>12</v>
      </c>
      <c r="I78" t="s">
        <v>868</v>
      </c>
      <c r="J78">
        <v>4129</v>
      </c>
      <c r="K78">
        <v>0</v>
      </c>
      <c r="L78" t="s">
        <v>328</v>
      </c>
      <c r="O78">
        <v>22</v>
      </c>
      <c r="P78" t="s">
        <v>480</v>
      </c>
      <c r="R78" s="34">
        <f t="shared" si="1"/>
        <v>1075</v>
      </c>
    </row>
    <row r="79" spans="8:18" x14ac:dyDescent="0.15">
      <c r="H79" s="35">
        <v>12</v>
      </c>
      <c r="I79" t="s">
        <v>868</v>
      </c>
      <c r="J79">
        <v>4129</v>
      </c>
      <c r="K79">
        <v>0</v>
      </c>
      <c r="L79" t="s">
        <v>361</v>
      </c>
      <c r="O79">
        <v>24</v>
      </c>
      <c r="P79" t="s">
        <v>477</v>
      </c>
      <c r="R79" s="34">
        <f t="shared" si="1"/>
        <v>1267</v>
      </c>
    </row>
    <row r="80" spans="8:18" x14ac:dyDescent="0.15">
      <c r="H80">
        <v>13</v>
      </c>
      <c r="I80" t="s">
        <v>869</v>
      </c>
      <c r="J80">
        <v>4130</v>
      </c>
      <c r="K80">
        <v>0</v>
      </c>
      <c r="L80" t="s">
        <v>458</v>
      </c>
      <c r="O80">
        <v>28</v>
      </c>
      <c r="P80" t="s">
        <v>478</v>
      </c>
      <c r="R80" s="34">
        <f t="shared" si="1"/>
        <v>1699</v>
      </c>
    </row>
    <row r="81" spans="8:18" x14ac:dyDescent="0.15">
      <c r="H81" s="34">
        <v>13</v>
      </c>
      <c r="I81" t="s">
        <v>869</v>
      </c>
      <c r="J81">
        <v>4130</v>
      </c>
      <c r="K81">
        <v>0</v>
      </c>
      <c r="L81" t="s">
        <v>836</v>
      </c>
      <c r="O81">
        <v>28</v>
      </c>
      <c r="P81" t="s">
        <v>502</v>
      </c>
      <c r="R81" s="34">
        <f t="shared" si="1"/>
        <v>1699</v>
      </c>
    </row>
    <row r="82" spans="8:18" x14ac:dyDescent="0.15">
      <c r="H82" s="34">
        <v>13</v>
      </c>
      <c r="I82" t="s">
        <v>870</v>
      </c>
      <c r="J82">
        <v>4131</v>
      </c>
      <c r="K82">
        <v>0</v>
      </c>
      <c r="L82" t="s">
        <v>450</v>
      </c>
      <c r="O82">
        <v>29</v>
      </c>
      <c r="P82" t="s">
        <v>479</v>
      </c>
      <c r="R82" s="34">
        <f t="shared" si="1"/>
        <v>1817</v>
      </c>
    </row>
    <row r="83" spans="8:18" x14ac:dyDescent="0.15">
      <c r="H83" s="34">
        <v>13</v>
      </c>
      <c r="I83" t="s">
        <v>870</v>
      </c>
      <c r="J83">
        <v>4131</v>
      </c>
      <c r="K83">
        <v>0</v>
      </c>
      <c r="L83" t="s">
        <v>526</v>
      </c>
      <c r="O83">
        <v>31</v>
      </c>
      <c r="P83" t="s">
        <v>368</v>
      </c>
      <c r="R83" s="34">
        <f t="shared" si="1"/>
        <v>2065</v>
      </c>
    </row>
    <row r="84" spans="8:18" x14ac:dyDescent="0.15">
      <c r="H84">
        <v>14</v>
      </c>
      <c r="I84" t="s">
        <v>871</v>
      </c>
      <c r="J84">
        <v>4132</v>
      </c>
      <c r="K84">
        <v>0</v>
      </c>
      <c r="L84" t="s">
        <v>362</v>
      </c>
      <c r="O84">
        <v>36</v>
      </c>
      <c r="P84" t="s">
        <v>484</v>
      </c>
      <c r="R84" s="34">
        <f t="shared" si="1"/>
        <v>2755</v>
      </c>
    </row>
    <row r="85" spans="8:18" x14ac:dyDescent="0.15">
      <c r="H85" s="34">
        <v>14</v>
      </c>
      <c r="I85" t="s">
        <v>871</v>
      </c>
      <c r="J85">
        <v>4132</v>
      </c>
      <c r="K85">
        <v>0</v>
      </c>
      <c r="L85" t="s">
        <v>555</v>
      </c>
      <c r="O85">
        <v>36</v>
      </c>
      <c r="P85" t="s">
        <v>485</v>
      </c>
      <c r="R85" s="34">
        <f t="shared" si="1"/>
        <v>2755</v>
      </c>
    </row>
    <row r="86" spans="8:18" x14ac:dyDescent="0.15">
      <c r="H86" s="34">
        <v>14</v>
      </c>
      <c r="I86" t="s">
        <v>872</v>
      </c>
      <c r="J86">
        <v>4133</v>
      </c>
      <c r="K86">
        <v>0</v>
      </c>
      <c r="L86" t="s">
        <v>361</v>
      </c>
      <c r="P86" t="s">
        <v>187</v>
      </c>
    </row>
    <row r="87" spans="8:18" x14ac:dyDescent="0.15">
      <c r="H87" s="34">
        <v>14</v>
      </c>
      <c r="I87" t="s">
        <v>872</v>
      </c>
      <c r="J87">
        <v>4133</v>
      </c>
      <c r="K87">
        <v>0</v>
      </c>
      <c r="L87" t="s">
        <v>357</v>
      </c>
      <c r="P87" t="s">
        <v>188</v>
      </c>
    </row>
    <row r="88" spans="8:18" x14ac:dyDescent="0.15">
      <c r="H88">
        <v>15</v>
      </c>
      <c r="I88" t="s">
        <v>873</v>
      </c>
      <c r="J88">
        <v>4134</v>
      </c>
      <c r="K88">
        <v>0</v>
      </c>
      <c r="L88" t="s">
        <v>460</v>
      </c>
      <c r="P88" t="s">
        <v>189</v>
      </c>
    </row>
    <row r="89" spans="8:18" x14ac:dyDescent="0.15">
      <c r="H89" s="34">
        <v>15</v>
      </c>
      <c r="I89" t="s">
        <v>873</v>
      </c>
      <c r="J89">
        <v>4134</v>
      </c>
      <c r="K89">
        <v>0</v>
      </c>
      <c r="L89" t="s">
        <v>552</v>
      </c>
      <c r="P89" t="s">
        <v>856</v>
      </c>
    </row>
    <row r="90" spans="8:18" x14ac:dyDescent="0.15">
      <c r="H90" s="34">
        <v>15</v>
      </c>
      <c r="I90" t="s">
        <v>874</v>
      </c>
      <c r="J90">
        <v>4135</v>
      </c>
      <c r="K90">
        <v>0</v>
      </c>
      <c r="L90" t="s">
        <v>461</v>
      </c>
      <c r="P90" t="s">
        <v>922</v>
      </c>
    </row>
    <row r="91" spans="8:18" x14ac:dyDescent="0.15">
      <c r="H91" s="34">
        <v>15</v>
      </c>
      <c r="I91" t="s">
        <v>874</v>
      </c>
      <c r="J91">
        <v>4135</v>
      </c>
      <c r="K91">
        <v>0</v>
      </c>
      <c r="L91" t="s">
        <v>445</v>
      </c>
      <c r="P91" t="s">
        <v>162</v>
      </c>
    </row>
    <row r="92" spans="8:18" x14ac:dyDescent="0.15">
      <c r="H92">
        <v>16</v>
      </c>
      <c r="I92" t="s">
        <v>875</v>
      </c>
      <c r="J92">
        <v>4136</v>
      </c>
      <c r="K92">
        <v>0</v>
      </c>
      <c r="L92" t="s">
        <v>554</v>
      </c>
      <c r="P92" t="s">
        <v>159</v>
      </c>
    </row>
    <row r="93" spans="8:18" x14ac:dyDescent="0.15">
      <c r="H93" s="34">
        <v>16</v>
      </c>
      <c r="I93" t="s">
        <v>875</v>
      </c>
      <c r="J93">
        <v>4136</v>
      </c>
      <c r="K93">
        <v>0</v>
      </c>
      <c r="L93" t="s">
        <v>622</v>
      </c>
      <c r="P93" t="s">
        <v>161</v>
      </c>
    </row>
    <row r="94" spans="8:18" x14ac:dyDescent="0.15">
      <c r="H94" s="34">
        <v>16</v>
      </c>
      <c r="I94" t="s">
        <v>876</v>
      </c>
      <c r="J94">
        <v>4137</v>
      </c>
      <c r="K94">
        <v>0</v>
      </c>
      <c r="L94" t="s">
        <v>462</v>
      </c>
      <c r="P94" t="s">
        <v>174</v>
      </c>
      <c r="R94">
        <v>980</v>
      </c>
    </row>
    <row r="95" spans="8:18" x14ac:dyDescent="0.15">
      <c r="H95" s="34">
        <v>16</v>
      </c>
      <c r="I95" t="s">
        <v>876</v>
      </c>
      <c r="J95">
        <v>4137</v>
      </c>
      <c r="K95">
        <v>0</v>
      </c>
      <c r="L95" t="s">
        <v>556</v>
      </c>
      <c r="P95" t="s">
        <v>178</v>
      </c>
      <c r="R95">
        <v>1300</v>
      </c>
    </row>
    <row r="96" spans="8:18" x14ac:dyDescent="0.15">
      <c r="H96" s="35">
        <v>20</v>
      </c>
      <c r="I96" t="s">
        <v>877</v>
      </c>
      <c r="J96">
        <v>4138</v>
      </c>
      <c r="K96">
        <v>0</v>
      </c>
      <c r="L96" t="s">
        <v>554</v>
      </c>
      <c r="P96" t="s">
        <v>250</v>
      </c>
    </row>
    <row r="97" spans="8:12" x14ac:dyDescent="0.15">
      <c r="H97" s="35">
        <v>20</v>
      </c>
      <c r="I97" t="s">
        <v>877</v>
      </c>
      <c r="J97">
        <v>4138</v>
      </c>
      <c r="K97">
        <v>0</v>
      </c>
      <c r="L97" t="s">
        <v>362</v>
      </c>
    </row>
    <row r="98" spans="8:12" x14ac:dyDescent="0.15">
      <c r="H98" s="35">
        <v>20</v>
      </c>
      <c r="I98" t="s">
        <v>877</v>
      </c>
      <c r="J98">
        <v>4138</v>
      </c>
      <c r="K98">
        <v>0</v>
      </c>
      <c r="L98" t="s">
        <v>475</v>
      </c>
    </row>
    <row r="99" spans="8:12" x14ac:dyDescent="0.15">
      <c r="H99" s="35">
        <v>20</v>
      </c>
      <c r="I99" t="s">
        <v>877</v>
      </c>
      <c r="J99">
        <v>4138</v>
      </c>
      <c r="K99">
        <v>0</v>
      </c>
      <c r="L99" t="s">
        <v>555</v>
      </c>
    </row>
    <row r="100" spans="8:12" x14ac:dyDescent="0.15">
      <c r="H100" s="35">
        <v>20</v>
      </c>
      <c r="I100" t="s">
        <v>877</v>
      </c>
      <c r="J100">
        <v>4138</v>
      </c>
      <c r="K100">
        <v>0</v>
      </c>
      <c r="L100" t="s">
        <v>461</v>
      </c>
    </row>
    <row r="101" spans="8:12" x14ac:dyDescent="0.15">
      <c r="H101" s="35">
        <v>20</v>
      </c>
      <c r="I101" t="s">
        <v>877</v>
      </c>
      <c r="J101">
        <v>4138</v>
      </c>
      <c r="K101">
        <v>0</v>
      </c>
      <c r="L101" t="s">
        <v>450</v>
      </c>
    </row>
    <row r="102" spans="8:12" x14ac:dyDescent="0.15">
      <c r="H102" s="35">
        <v>20</v>
      </c>
      <c r="I102" t="s">
        <v>878</v>
      </c>
      <c r="J102">
        <v>4139</v>
      </c>
      <c r="K102">
        <v>0</v>
      </c>
      <c r="L102" t="s">
        <v>463</v>
      </c>
    </row>
    <row r="103" spans="8:12" x14ac:dyDescent="0.15">
      <c r="H103" s="35">
        <v>20</v>
      </c>
      <c r="I103" t="s">
        <v>878</v>
      </c>
      <c r="J103">
        <v>4139</v>
      </c>
      <c r="K103">
        <v>0</v>
      </c>
      <c r="L103" t="s">
        <v>622</v>
      </c>
    </row>
    <row r="104" spans="8:12" x14ac:dyDescent="0.15">
      <c r="H104" s="35">
        <v>20</v>
      </c>
      <c r="I104" t="s">
        <v>878</v>
      </c>
      <c r="J104">
        <v>4139</v>
      </c>
      <c r="K104">
        <v>0</v>
      </c>
      <c r="L104" t="s">
        <v>482</v>
      </c>
    </row>
    <row r="105" spans="8:12" x14ac:dyDescent="0.15">
      <c r="H105" s="35">
        <v>20</v>
      </c>
      <c r="I105" t="s">
        <v>878</v>
      </c>
      <c r="J105">
        <v>4139</v>
      </c>
      <c r="K105">
        <v>0</v>
      </c>
      <c r="L105" t="s">
        <v>462</v>
      </c>
    </row>
    <row r="106" spans="8:12" x14ac:dyDescent="0.15">
      <c r="H106" s="35">
        <v>20</v>
      </c>
      <c r="I106" t="s">
        <v>878</v>
      </c>
      <c r="J106">
        <v>4139</v>
      </c>
      <c r="K106">
        <v>0</v>
      </c>
      <c r="L106" t="s">
        <v>556</v>
      </c>
    </row>
    <row r="107" spans="8:12" x14ac:dyDescent="0.15">
      <c r="H107" s="35">
        <v>20</v>
      </c>
      <c r="I107" t="s">
        <v>878</v>
      </c>
      <c r="J107">
        <v>4139</v>
      </c>
      <c r="K107">
        <v>0</v>
      </c>
      <c r="L107" t="s">
        <v>526</v>
      </c>
    </row>
    <row r="108" spans="8:12" x14ac:dyDescent="0.15">
      <c r="H108">
        <v>17</v>
      </c>
      <c r="I108" t="s">
        <v>879</v>
      </c>
      <c r="J108">
        <v>4140</v>
      </c>
      <c r="K108">
        <v>0</v>
      </c>
      <c r="L108" t="s">
        <v>552</v>
      </c>
    </row>
    <row r="109" spans="8:12" x14ac:dyDescent="0.15">
      <c r="H109" s="34">
        <v>17</v>
      </c>
      <c r="I109" t="s">
        <v>879</v>
      </c>
      <c r="J109">
        <v>4140</v>
      </c>
      <c r="K109">
        <v>0</v>
      </c>
      <c r="L109" t="s">
        <v>348</v>
      </c>
    </row>
    <row r="110" spans="8:12" x14ac:dyDescent="0.15">
      <c r="H110" s="34">
        <v>17</v>
      </c>
      <c r="I110" t="s">
        <v>880</v>
      </c>
      <c r="J110">
        <v>4141</v>
      </c>
      <c r="K110">
        <v>0</v>
      </c>
      <c r="L110" t="s">
        <v>465</v>
      </c>
    </row>
    <row r="111" spans="8:12" x14ac:dyDescent="0.15">
      <c r="H111" s="34">
        <v>17</v>
      </c>
      <c r="I111" t="s">
        <v>880</v>
      </c>
      <c r="J111">
        <v>4141</v>
      </c>
      <c r="K111">
        <v>0</v>
      </c>
      <c r="L111" t="s">
        <v>449</v>
      </c>
    </row>
    <row r="112" spans="8:12" x14ac:dyDescent="0.15">
      <c r="H112">
        <v>18</v>
      </c>
      <c r="I112" t="s">
        <v>881</v>
      </c>
      <c r="J112">
        <v>4142</v>
      </c>
      <c r="K112">
        <v>0</v>
      </c>
      <c r="L112" t="s">
        <v>466</v>
      </c>
    </row>
    <row r="113" spans="8:12" x14ac:dyDescent="0.15">
      <c r="H113" s="34">
        <v>18</v>
      </c>
      <c r="I113" t="s">
        <v>881</v>
      </c>
      <c r="J113">
        <v>4142</v>
      </c>
      <c r="K113">
        <v>0</v>
      </c>
      <c r="L113" t="s">
        <v>347</v>
      </c>
    </row>
    <row r="114" spans="8:12" x14ac:dyDescent="0.15">
      <c r="H114" s="34">
        <v>18</v>
      </c>
      <c r="I114" t="s">
        <v>882</v>
      </c>
      <c r="J114">
        <v>4143</v>
      </c>
      <c r="K114">
        <v>0</v>
      </c>
      <c r="L114" t="s">
        <v>454</v>
      </c>
    </row>
    <row r="115" spans="8:12" x14ac:dyDescent="0.15">
      <c r="H115" s="34">
        <v>18</v>
      </c>
      <c r="I115" t="s">
        <v>882</v>
      </c>
      <c r="J115">
        <v>4143</v>
      </c>
      <c r="K115">
        <v>0</v>
      </c>
      <c r="L115" t="s">
        <v>622</v>
      </c>
    </row>
    <row r="116" spans="8:12" x14ac:dyDescent="0.15">
      <c r="H116" s="34">
        <v>18</v>
      </c>
      <c r="I116" t="s">
        <v>882</v>
      </c>
      <c r="J116">
        <v>4143</v>
      </c>
      <c r="K116">
        <v>0</v>
      </c>
      <c r="L116" t="s">
        <v>346</v>
      </c>
    </row>
    <row r="117" spans="8:12" x14ac:dyDescent="0.15">
      <c r="H117">
        <v>19</v>
      </c>
      <c r="I117" t="s">
        <v>883</v>
      </c>
      <c r="J117">
        <v>4144</v>
      </c>
      <c r="K117">
        <v>0</v>
      </c>
      <c r="L117" t="s">
        <v>350</v>
      </c>
    </row>
    <row r="118" spans="8:12" x14ac:dyDescent="0.15">
      <c r="H118" s="34">
        <v>19</v>
      </c>
      <c r="I118" t="s">
        <v>883</v>
      </c>
      <c r="J118">
        <v>4144</v>
      </c>
      <c r="K118">
        <v>0</v>
      </c>
      <c r="L118" t="s">
        <v>474</v>
      </c>
    </row>
    <row r="119" spans="8:12" x14ac:dyDescent="0.15">
      <c r="H119" s="34">
        <v>19</v>
      </c>
      <c r="I119" t="s">
        <v>884</v>
      </c>
      <c r="J119">
        <v>4145</v>
      </c>
      <c r="K119">
        <v>0</v>
      </c>
      <c r="L119" t="s">
        <v>367</v>
      </c>
    </row>
    <row r="120" spans="8:12" x14ac:dyDescent="0.15">
      <c r="H120" s="34">
        <v>19</v>
      </c>
      <c r="I120" t="s">
        <v>884</v>
      </c>
      <c r="J120">
        <v>4145</v>
      </c>
      <c r="K120">
        <v>0</v>
      </c>
      <c r="L120" t="s">
        <v>357</v>
      </c>
    </row>
    <row r="121" spans="8:12" x14ac:dyDescent="0.15">
      <c r="H121">
        <v>20</v>
      </c>
      <c r="I121" t="s">
        <v>885</v>
      </c>
      <c r="J121">
        <v>4146</v>
      </c>
      <c r="K121">
        <v>0</v>
      </c>
      <c r="L121" t="s">
        <v>509</v>
      </c>
    </row>
    <row r="122" spans="8:12" x14ac:dyDescent="0.15">
      <c r="H122" s="34">
        <v>20</v>
      </c>
      <c r="I122" t="s">
        <v>885</v>
      </c>
      <c r="J122">
        <v>4146</v>
      </c>
      <c r="K122">
        <v>0</v>
      </c>
      <c r="L122" t="s">
        <v>193</v>
      </c>
    </row>
    <row r="123" spans="8:12" x14ac:dyDescent="0.15">
      <c r="H123" s="34">
        <v>20</v>
      </c>
      <c r="I123" t="s">
        <v>886</v>
      </c>
      <c r="J123">
        <v>4147</v>
      </c>
      <c r="K123">
        <v>0</v>
      </c>
      <c r="L123" t="s">
        <v>467</v>
      </c>
    </row>
    <row r="124" spans="8:12" x14ac:dyDescent="0.15">
      <c r="H124" s="35">
        <v>24</v>
      </c>
      <c r="I124" t="s">
        <v>887</v>
      </c>
      <c r="J124">
        <v>4148</v>
      </c>
      <c r="K124">
        <v>0</v>
      </c>
      <c r="L124" t="s">
        <v>513</v>
      </c>
    </row>
    <row r="125" spans="8:12" x14ac:dyDescent="0.15">
      <c r="H125" s="35">
        <v>24</v>
      </c>
      <c r="I125" t="s">
        <v>887</v>
      </c>
      <c r="J125">
        <v>4148</v>
      </c>
      <c r="K125">
        <v>0</v>
      </c>
      <c r="L125" t="s">
        <v>363</v>
      </c>
    </row>
    <row r="126" spans="8:12" x14ac:dyDescent="0.15">
      <c r="H126" s="35">
        <v>24</v>
      </c>
      <c r="I126" t="s">
        <v>887</v>
      </c>
      <c r="J126">
        <v>4148</v>
      </c>
      <c r="K126">
        <v>0</v>
      </c>
      <c r="L126" t="s">
        <v>515</v>
      </c>
    </row>
    <row r="127" spans="8:12" x14ac:dyDescent="0.15">
      <c r="H127" s="35">
        <v>24</v>
      </c>
      <c r="I127" t="s">
        <v>887</v>
      </c>
      <c r="J127">
        <v>4148</v>
      </c>
      <c r="K127">
        <v>0</v>
      </c>
      <c r="L127" t="s">
        <v>347</v>
      </c>
    </row>
    <row r="128" spans="8:12" x14ac:dyDescent="0.15">
      <c r="H128" s="35">
        <v>24</v>
      </c>
      <c r="I128" t="s">
        <v>887</v>
      </c>
      <c r="J128">
        <v>4148</v>
      </c>
      <c r="K128">
        <v>0</v>
      </c>
      <c r="L128" t="s">
        <v>356</v>
      </c>
    </row>
    <row r="129" spans="8:12" x14ac:dyDescent="0.15">
      <c r="H129" s="35">
        <v>24</v>
      </c>
      <c r="I129" t="s">
        <v>887</v>
      </c>
      <c r="J129">
        <v>4148</v>
      </c>
      <c r="K129">
        <v>0</v>
      </c>
      <c r="L129" t="s">
        <v>466</v>
      </c>
    </row>
    <row r="130" spans="8:12" x14ac:dyDescent="0.15">
      <c r="H130" s="35">
        <v>24</v>
      </c>
      <c r="I130" t="s">
        <v>888</v>
      </c>
      <c r="J130">
        <v>4149</v>
      </c>
      <c r="K130">
        <v>0</v>
      </c>
      <c r="L130" t="s">
        <v>489</v>
      </c>
    </row>
    <row r="131" spans="8:12" x14ac:dyDescent="0.15">
      <c r="H131" s="35">
        <v>24</v>
      </c>
      <c r="I131" t="s">
        <v>888</v>
      </c>
      <c r="J131">
        <v>4149</v>
      </c>
      <c r="K131">
        <v>0</v>
      </c>
      <c r="L131" t="s">
        <v>366</v>
      </c>
    </row>
    <row r="132" spans="8:12" x14ac:dyDescent="0.15">
      <c r="H132" s="35">
        <v>24</v>
      </c>
      <c r="I132" t="s">
        <v>888</v>
      </c>
      <c r="J132">
        <v>4149</v>
      </c>
      <c r="K132">
        <v>0</v>
      </c>
      <c r="L132" t="s">
        <v>559</v>
      </c>
    </row>
    <row r="133" spans="8:12" x14ac:dyDescent="0.15">
      <c r="H133" s="35">
        <v>24</v>
      </c>
      <c r="I133" t="s">
        <v>888</v>
      </c>
      <c r="J133">
        <v>4149</v>
      </c>
      <c r="K133">
        <v>0</v>
      </c>
      <c r="L133" t="s">
        <v>467</v>
      </c>
    </row>
    <row r="134" spans="8:12" x14ac:dyDescent="0.15">
      <c r="H134" s="35">
        <v>24</v>
      </c>
      <c r="I134" t="s">
        <v>888</v>
      </c>
      <c r="J134">
        <v>4149</v>
      </c>
      <c r="K134">
        <v>0</v>
      </c>
      <c r="L134" t="s">
        <v>454</v>
      </c>
    </row>
    <row r="135" spans="8:12" x14ac:dyDescent="0.15">
      <c r="H135" s="35">
        <v>24</v>
      </c>
      <c r="I135" t="s">
        <v>888</v>
      </c>
      <c r="J135">
        <v>4149</v>
      </c>
      <c r="K135">
        <v>0</v>
      </c>
      <c r="L135" t="s">
        <v>465</v>
      </c>
    </row>
    <row r="136" spans="8:12" x14ac:dyDescent="0.15">
      <c r="H136">
        <v>25</v>
      </c>
      <c r="I136" t="s">
        <v>889</v>
      </c>
      <c r="J136">
        <v>4150</v>
      </c>
      <c r="K136">
        <v>0</v>
      </c>
      <c r="L136" t="s">
        <v>507</v>
      </c>
    </row>
    <row r="137" spans="8:12" x14ac:dyDescent="0.15">
      <c r="H137" s="34">
        <v>25</v>
      </c>
      <c r="I137" t="s">
        <v>889</v>
      </c>
      <c r="J137">
        <v>4150</v>
      </c>
      <c r="K137">
        <v>0</v>
      </c>
      <c r="L137" t="s">
        <v>622</v>
      </c>
    </row>
    <row r="138" spans="8:12" x14ac:dyDescent="0.15">
      <c r="H138" s="34">
        <v>25</v>
      </c>
      <c r="I138" t="s">
        <v>890</v>
      </c>
      <c r="J138">
        <v>4151</v>
      </c>
      <c r="K138">
        <v>0</v>
      </c>
      <c r="L138" t="s">
        <v>468</v>
      </c>
    </row>
    <row r="139" spans="8:12" x14ac:dyDescent="0.15">
      <c r="H139" s="34">
        <v>25</v>
      </c>
      <c r="I139" t="s">
        <v>890</v>
      </c>
      <c r="J139">
        <v>4151</v>
      </c>
      <c r="K139">
        <v>0</v>
      </c>
      <c r="L139" t="s">
        <v>836</v>
      </c>
    </row>
    <row r="140" spans="8:12" x14ac:dyDescent="0.15">
      <c r="H140" s="34">
        <v>25</v>
      </c>
      <c r="I140" t="s">
        <v>890</v>
      </c>
      <c r="J140">
        <v>4151</v>
      </c>
      <c r="K140">
        <v>0</v>
      </c>
      <c r="L140" t="s">
        <v>526</v>
      </c>
    </row>
    <row r="141" spans="8:12" x14ac:dyDescent="0.15">
      <c r="H141">
        <v>26</v>
      </c>
      <c r="I141" t="s">
        <v>891</v>
      </c>
      <c r="J141">
        <v>4152</v>
      </c>
      <c r="K141">
        <v>0</v>
      </c>
      <c r="L141" t="s">
        <v>469</v>
      </c>
    </row>
    <row r="142" spans="8:12" x14ac:dyDescent="0.15">
      <c r="H142" s="34">
        <v>26</v>
      </c>
      <c r="I142" t="s">
        <v>891</v>
      </c>
      <c r="J142">
        <v>4152</v>
      </c>
      <c r="K142">
        <v>0</v>
      </c>
      <c r="L142" t="s">
        <v>357</v>
      </c>
    </row>
    <row r="143" spans="8:12" x14ac:dyDescent="0.15">
      <c r="H143" s="34">
        <v>26</v>
      </c>
      <c r="I143" t="s">
        <v>891</v>
      </c>
      <c r="J143">
        <v>4152</v>
      </c>
      <c r="K143">
        <v>0</v>
      </c>
      <c r="L143" t="s">
        <v>475</v>
      </c>
    </row>
    <row r="144" spans="8:12" x14ac:dyDescent="0.15">
      <c r="H144" s="34">
        <v>26</v>
      </c>
      <c r="I144" t="s">
        <v>892</v>
      </c>
      <c r="J144">
        <v>4153</v>
      </c>
      <c r="K144">
        <v>0</v>
      </c>
      <c r="L144" t="s">
        <v>371</v>
      </c>
    </row>
    <row r="145" spans="8:12" x14ac:dyDescent="0.15">
      <c r="H145" s="34">
        <v>26</v>
      </c>
      <c r="I145" t="s">
        <v>892</v>
      </c>
      <c r="J145">
        <v>4153</v>
      </c>
      <c r="K145">
        <v>0</v>
      </c>
      <c r="L145" t="s">
        <v>558</v>
      </c>
    </row>
    <row r="146" spans="8:12" x14ac:dyDescent="0.15">
      <c r="H146">
        <v>27</v>
      </c>
      <c r="I146" t="s">
        <v>893</v>
      </c>
      <c r="J146">
        <v>4154</v>
      </c>
      <c r="K146">
        <v>0</v>
      </c>
      <c r="L146" t="s">
        <v>372</v>
      </c>
    </row>
    <row r="147" spans="8:12" x14ac:dyDescent="0.15">
      <c r="H147" s="34">
        <v>27</v>
      </c>
      <c r="I147" t="s">
        <v>893</v>
      </c>
      <c r="J147">
        <v>4154</v>
      </c>
      <c r="K147">
        <v>0</v>
      </c>
      <c r="L147" t="s">
        <v>193</v>
      </c>
    </row>
    <row r="148" spans="8:12" x14ac:dyDescent="0.15">
      <c r="H148" s="34">
        <v>27</v>
      </c>
      <c r="I148" t="s">
        <v>894</v>
      </c>
      <c r="J148">
        <v>4155</v>
      </c>
      <c r="K148">
        <v>0</v>
      </c>
      <c r="L148" t="s">
        <v>506</v>
      </c>
    </row>
    <row r="149" spans="8:12" x14ac:dyDescent="0.15">
      <c r="H149" s="34">
        <v>27</v>
      </c>
      <c r="I149" t="s">
        <v>894</v>
      </c>
      <c r="J149">
        <v>4155</v>
      </c>
      <c r="K149">
        <v>0</v>
      </c>
      <c r="L149" t="s">
        <v>352</v>
      </c>
    </row>
    <row r="150" spans="8:12" x14ac:dyDescent="0.15">
      <c r="H150" s="34">
        <v>27</v>
      </c>
      <c r="I150" t="s">
        <v>894</v>
      </c>
      <c r="J150">
        <v>4155</v>
      </c>
      <c r="K150">
        <v>0</v>
      </c>
      <c r="L150" t="s">
        <v>476</v>
      </c>
    </row>
    <row r="151" spans="8:12" x14ac:dyDescent="0.15">
      <c r="H151">
        <v>28</v>
      </c>
      <c r="I151" t="s">
        <v>895</v>
      </c>
      <c r="J151">
        <v>4156</v>
      </c>
      <c r="K151">
        <v>0</v>
      </c>
      <c r="L151" t="s">
        <v>369</v>
      </c>
    </row>
    <row r="152" spans="8:12" x14ac:dyDescent="0.15">
      <c r="H152" s="34">
        <v>28</v>
      </c>
      <c r="I152" t="s">
        <v>896</v>
      </c>
      <c r="J152">
        <v>4157</v>
      </c>
      <c r="K152">
        <v>0</v>
      </c>
      <c r="L152" t="s">
        <v>470</v>
      </c>
    </row>
    <row r="153" spans="8:12" x14ac:dyDescent="0.15">
      <c r="H153" s="34">
        <v>28</v>
      </c>
      <c r="I153" t="s">
        <v>896</v>
      </c>
      <c r="J153">
        <v>4157</v>
      </c>
      <c r="K153">
        <v>0</v>
      </c>
      <c r="L153" t="s">
        <v>481</v>
      </c>
    </row>
    <row r="154" spans="8:12" x14ac:dyDescent="0.15">
      <c r="H154" s="34">
        <v>28</v>
      </c>
      <c r="I154" t="s">
        <v>896</v>
      </c>
      <c r="J154">
        <v>4157</v>
      </c>
      <c r="K154">
        <v>0</v>
      </c>
      <c r="L154" t="s">
        <v>352</v>
      </c>
    </row>
    <row r="155" spans="8:12" x14ac:dyDescent="0.15">
      <c r="H155" s="35">
        <v>32</v>
      </c>
      <c r="I155" t="s">
        <v>897</v>
      </c>
      <c r="J155">
        <v>4158</v>
      </c>
      <c r="K155">
        <v>0</v>
      </c>
      <c r="L155" t="s">
        <v>500</v>
      </c>
    </row>
    <row r="156" spans="8:12" x14ac:dyDescent="0.15">
      <c r="H156" s="35">
        <v>32</v>
      </c>
      <c r="I156" t="s">
        <v>897</v>
      </c>
      <c r="J156">
        <v>4158</v>
      </c>
      <c r="K156">
        <v>0</v>
      </c>
      <c r="L156" t="s">
        <v>470</v>
      </c>
    </row>
    <row r="157" spans="8:12" x14ac:dyDescent="0.15">
      <c r="H157" s="35">
        <v>32</v>
      </c>
      <c r="I157" t="s">
        <v>897</v>
      </c>
      <c r="J157">
        <v>4158</v>
      </c>
      <c r="K157">
        <v>0</v>
      </c>
      <c r="L157" t="s">
        <v>372</v>
      </c>
    </row>
    <row r="158" spans="8:12" x14ac:dyDescent="0.15">
      <c r="H158" s="35">
        <v>32</v>
      </c>
      <c r="I158" t="s">
        <v>897</v>
      </c>
      <c r="J158">
        <v>4158</v>
      </c>
      <c r="K158">
        <v>0</v>
      </c>
      <c r="L158" t="s">
        <v>622</v>
      </c>
    </row>
    <row r="159" spans="8:12" x14ac:dyDescent="0.15">
      <c r="H159" s="35">
        <v>32</v>
      </c>
      <c r="I159" t="s">
        <v>897</v>
      </c>
      <c r="J159">
        <v>4158</v>
      </c>
      <c r="K159">
        <v>0</v>
      </c>
      <c r="L159" t="s">
        <v>506</v>
      </c>
    </row>
    <row r="160" spans="8:12" x14ac:dyDescent="0.15">
      <c r="H160" s="35">
        <v>32</v>
      </c>
      <c r="I160" t="s">
        <v>898</v>
      </c>
      <c r="J160">
        <v>4159</v>
      </c>
      <c r="K160">
        <v>0</v>
      </c>
      <c r="L160" t="s">
        <v>472</v>
      </c>
    </row>
    <row r="161" spans="8:12" x14ac:dyDescent="0.15">
      <c r="H161" s="35">
        <v>32</v>
      </c>
      <c r="I161" t="s">
        <v>898</v>
      </c>
      <c r="J161">
        <v>4159</v>
      </c>
      <c r="K161">
        <v>0</v>
      </c>
      <c r="L161" t="s">
        <v>507</v>
      </c>
    </row>
    <row r="162" spans="8:12" x14ac:dyDescent="0.15">
      <c r="H162" s="35">
        <v>32</v>
      </c>
      <c r="I162" t="s">
        <v>898</v>
      </c>
      <c r="J162">
        <v>4159</v>
      </c>
      <c r="K162">
        <v>0</v>
      </c>
      <c r="L162" t="s">
        <v>460</v>
      </c>
    </row>
    <row r="163" spans="8:12" x14ac:dyDescent="0.15">
      <c r="H163" s="35">
        <v>32</v>
      </c>
      <c r="I163" t="s">
        <v>898</v>
      </c>
      <c r="J163">
        <v>4159</v>
      </c>
      <c r="K163">
        <v>0</v>
      </c>
      <c r="L163" t="s">
        <v>357</v>
      </c>
    </row>
    <row r="164" spans="8:12" x14ac:dyDescent="0.15">
      <c r="H164" s="35">
        <v>32</v>
      </c>
      <c r="I164" t="s">
        <v>898</v>
      </c>
      <c r="J164">
        <v>4159</v>
      </c>
      <c r="K164">
        <v>0</v>
      </c>
      <c r="L164" t="s">
        <v>356</v>
      </c>
    </row>
    <row r="165" spans="8:12" x14ac:dyDescent="0.15">
      <c r="H165">
        <v>21</v>
      </c>
      <c r="I165" t="s">
        <v>899</v>
      </c>
      <c r="J165">
        <v>4160</v>
      </c>
      <c r="K165">
        <v>0</v>
      </c>
      <c r="L165" t="s">
        <v>473</v>
      </c>
    </row>
    <row r="166" spans="8:12" x14ac:dyDescent="0.15">
      <c r="H166" s="34">
        <v>21</v>
      </c>
      <c r="I166" t="s">
        <v>899</v>
      </c>
      <c r="J166">
        <v>4160</v>
      </c>
      <c r="K166">
        <v>0</v>
      </c>
      <c r="L166" t="s">
        <v>348</v>
      </c>
    </row>
    <row r="167" spans="8:12" x14ac:dyDescent="0.15">
      <c r="H167" s="34">
        <v>21</v>
      </c>
      <c r="I167" t="s">
        <v>900</v>
      </c>
      <c r="J167">
        <v>4161</v>
      </c>
      <c r="K167">
        <v>0</v>
      </c>
      <c r="L167" t="s">
        <v>511</v>
      </c>
    </row>
    <row r="168" spans="8:12" x14ac:dyDescent="0.15">
      <c r="H168" s="34">
        <v>21</v>
      </c>
      <c r="I168" t="s">
        <v>900</v>
      </c>
      <c r="J168">
        <v>4161</v>
      </c>
      <c r="K168">
        <v>0</v>
      </c>
      <c r="L168" t="s">
        <v>447</v>
      </c>
    </row>
    <row r="169" spans="8:12" x14ac:dyDescent="0.15">
      <c r="H169">
        <v>22</v>
      </c>
      <c r="I169" t="s">
        <v>901</v>
      </c>
      <c r="J169">
        <v>4162</v>
      </c>
      <c r="K169">
        <v>0</v>
      </c>
      <c r="L169" t="s">
        <v>556</v>
      </c>
    </row>
    <row r="170" spans="8:12" x14ac:dyDescent="0.15">
      <c r="H170" s="34">
        <v>22</v>
      </c>
      <c r="I170" t="s">
        <v>901</v>
      </c>
      <c r="J170">
        <v>4162</v>
      </c>
      <c r="K170">
        <v>0</v>
      </c>
      <c r="L170" t="s">
        <v>370</v>
      </c>
    </row>
    <row r="171" spans="8:12" x14ac:dyDescent="0.15">
      <c r="H171" s="34">
        <v>22</v>
      </c>
      <c r="I171" t="s">
        <v>902</v>
      </c>
      <c r="J171">
        <v>4163</v>
      </c>
      <c r="K171">
        <v>0</v>
      </c>
      <c r="L171" t="s">
        <v>364</v>
      </c>
    </row>
    <row r="172" spans="8:12" x14ac:dyDescent="0.15">
      <c r="H172" s="34">
        <v>22</v>
      </c>
      <c r="I172" t="s">
        <v>902</v>
      </c>
      <c r="J172">
        <v>4163</v>
      </c>
      <c r="K172">
        <v>0</v>
      </c>
      <c r="L172" t="s">
        <v>836</v>
      </c>
    </row>
    <row r="173" spans="8:12" x14ac:dyDescent="0.15">
      <c r="H173" s="34">
        <v>22</v>
      </c>
      <c r="I173" t="s">
        <v>902</v>
      </c>
      <c r="J173">
        <v>4163</v>
      </c>
      <c r="K173">
        <v>0</v>
      </c>
      <c r="L173" t="s">
        <v>480</v>
      </c>
    </row>
    <row r="174" spans="8:12" x14ac:dyDescent="0.15">
      <c r="H174">
        <v>23</v>
      </c>
      <c r="I174" t="s">
        <v>903</v>
      </c>
      <c r="J174">
        <v>4164</v>
      </c>
      <c r="K174">
        <v>0</v>
      </c>
      <c r="L174" t="s">
        <v>474</v>
      </c>
    </row>
    <row r="175" spans="8:12" x14ac:dyDescent="0.15">
      <c r="H175" s="34">
        <v>23</v>
      </c>
      <c r="I175" t="s">
        <v>903</v>
      </c>
      <c r="J175">
        <v>4164</v>
      </c>
      <c r="K175">
        <v>0</v>
      </c>
      <c r="L175" t="s">
        <v>513</v>
      </c>
    </row>
    <row r="176" spans="8:12" x14ac:dyDescent="0.15">
      <c r="H176" s="34">
        <v>23</v>
      </c>
      <c r="I176" t="s">
        <v>904</v>
      </c>
      <c r="J176">
        <v>4165</v>
      </c>
      <c r="K176">
        <v>0</v>
      </c>
      <c r="L176" t="s">
        <v>475</v>
      </c>
    </row>
    <row r="177" spans="8:12" x14ac:dyDescent="0.15">
      <c r="H177" s="34">
        <v>23</v>
      </c>
      <c r="I177" t="s">
        <v>904</v>
      </c>
      <c r="J177">
        <v>4165</v>
      </c>
      <c r="K177">
        <v>0</v>
      </c>
      <c r="L177" t="s">
        <v>465</v>
      </c>
    </row>
    <row r="178" spans="8:12" x14ac:dyDescent="0.15">
      <c r="H178">
        <v>24</v>
      </c>
      <c r="I178" t="s">
        <v>905</v>
      </c>
      <c r="J178">
        <v>4166</v>
      </c>
      <c r="K178">
        <v>0</v>
      </c>
      <c r="L178" t="s">
        <v>476</v>
      </c>
    </row>
    <row r="179" spans="8:12" x14ac:dyDescent="0.15">
      <c r="H179" s="34">
        <v>24</v>
      </c>
      <c r="I179" t="s">
        <v>905</v>
      </c>
      <c r="J179">
        <v>4166</v>
      </c>
      <c r="K179">
        <v>0</v>
      </c>
      <c r="L179" t="s">
        <v>371</v>
      </c>
    </row>
    <row r="180" spans="8:12" x14ac:dyDescent="0.15">
      <c r="H180" s="34">
        <v>24</v>
      </c>
      <c r="I180" t="s">
        <v>906</v>
      </c>
      <c r="J180">
        <v>4167</v>
      </c>
      <c r="K180">
        <v>0</v>
      </c>
      <c r="L180" t="s">
        <v>477</v>
      </c>
    </row>
    <row r="181" spans="8:12" x14ac:dyDescent="0.15">
      <c r="H181" s="34">
        <v>24</v>
      </c>
      <c r="I181" t="s">
        <v>906</v>
      </c>
      <c r="J181">
        <v>4167</v>
      </c>
      <c r="K181">
        <v>0</v>
      </c>
      <c r="L181" t="s">
        <v>508</v>
      </c>
    </row>
    <row r="182" spans="8:12" x14ac:dyDescent="0.15">
      <c r="H182" s="35">
        <v>28</v>
      </c>
      <c r="I182" t="s">
        <v>907</v>
      </c>
      <c r="J182">
        <v>4168</v>
      </c>
      <c r="K182">
        <v>0</v>
      </c>
      <c r="L182" t="s">
        <v>478</v>
      </c>
    </row>
    <row r="183" spans="8:12" x14ac:dyDescent="0.15">
      <c r="H183" s="35">
        <v>28</v>
      </c>
      <c r="I183" t="s">
        <v>907</v>
      </c>
      <c r="J183">
        <v>4168</v>
      </c>
      <c r="K183">
        <v>0</v>
      </c>
      <c r="L183" t="s">
        <v>559</v>
      </c>
    </row>
    <row r="184" spans="8:12" x14ac:dyDescent="0.15">
      <c r="H184" s="35">
        <v>28</v>
      </c>
      <c r="I184" t="s">
        <v>907</v>
      </c>
      <c r="J184">
        <v>4168</v>
      </c>
      <c r="K184">
        <v>0</v>
      </c>
      <c r="L184" t="s">
        <v>476</v>
      </c>
    </row>
    <row r="185" spans="8:12" x14ac:dyDescent="0.15">
      <c r="H185" s="35">
        <v>28</v>
      </c>
      <c r="I185" t="s">
        <v>907</v>
      </c>
      <c r="J185">
        <v>4168</v>
      </c>
      <c r="K185">
        <v>0</v>
      </c>
      <c r="L185" t="s">
        <v>556</v>
      </c>
    </row>
    <row r="186" spans="8:12" x14ac:dyDescent="0.15">
      <c r="H186" s="35">
        <v>28</v>
      </c>
      <c r="I186" t="s">
        <v>907</v>
      </c>
      <c r="J186">
        <v>4168</v>
      </c>
      <c r="K186">
        <v>0</v>
      </c>
      <c r="L186" t="s">
        <v>508</v>
      </c>
    </row>
    <row r="187" spans="8:12" x14ac:dyDescent="0.15">
      <c r="H187" s="35">
        <v>28</v>
      </c>
      <c r="I187" t="s">
        <v>907</v>
      </c>
      <c r="J187">
        <v>4168</v>
      </c>
      <c r="K187">
        <v>0</v>
      </c>
      <c r="L187" t="s">
        <v>370</v>
      </c>
    </row>
    <row r="188" spans="8:12" x14ac:dyDescent="0.15">
      <c r="H188" s="35">
        <v>28</v>
      </c>
      <c r="I188" t="s">
        <v>908</v>
      </c>
      <c r="J188">
        <v>4169</v>
      </c>
      <c r="K188">
        <v>0</v>
      </c>
      <c r="L188" t="s">
        <v>366</v>
      </c>
    </row>
    <row r="189" spans="8:12" x14ac:dyDescent="0.15">
      <c r="H189" s="35">
        <v>28</v>
      </c>
      <c r="I189" t="s">
        <v>908</v>
      </c>
      <c r="J189">
        <v>4169</v>
      </c>
      <c r="K189">
        <v>0</v>
      </c>
      <c r="L189" t="s">
        <v>502</v>
      </c>
    </row>
    <row r="190" spans="8:12" x14ac:dyDescent="0.15">
      <c r="H190" s="35">
        <v>28</v>
      </c>
      <c r="I190" t="s">
        <v>908</v>
      </c>
      <c r="J190">
        <v>4169</v>
      </c>
      <c r="K190">
        <v>0</v>
      </c>
      <c r="L190" t="s">
        <v>469</v>
      </c>
    </row>
    <row r="191" spans="8:12" x14ac:dyDescent="0.15">
      <c r="H191" s="35">
        <v>28</v>
      </c>
      <c r="I191" t="s">
        <v>908</v>
      </c>
      <c r="J191">
        <v>4169</v>
      </c>
      <c r="K191">
        <v>0</v>
      </c>
      <c r="L191" t="s">
        <v>476</v>
      </c>
    </row>
    <row r="192" spans="8:12" x14ac:dyDescent="0.15">
      <c r="H192" s="35">
        <v>28</v>
      </c>
      <c r="I192" t="s">
        <v>908</v>
      </c>
      <c r="J192">
        <v>4169</v>
      </c>
      <c r="K192">
        <v>0</v>
      </c>
      <c r="L192" t="s">
        <v>477</v>
      </c>
    </row>
    <row r="193" spans="8:12" x14ac:dyDescent="0.15">
      <c r="H193" s="35">
        <v>28</v>
      </c>
      <c r="I193" t="s">
        <v>908</v>
      </c>
      <c r="J193">
        <v>4169</v>
      </c>
      <c r="K193">
        <v>0</v>
      </c>
      <c r="L193" t="s">
        <v>511</v>
      </c>
    </row>
    <row r="194" spans="8:12" x14ac:dyDescent="0.15">
      <c r="H194">
        <v>29</v>
      </c>
      <c r="I194" t="s">
        <v>909</v>
      </c>
      <c r="J194">
        <v>4170</v>
      </c>
      <c r="K194">
        <v>0</v>
      </c>
      <c r="L194" t="s">
        <v>479</v>
      </c>
    </row>
    <row r="195" spans="8:12" x14ac:dyDescent="0.15">
      <c r="H195" s="34">
        <v>29</v>
      </c>
      <c r="I195" t="s">
        <v>910</v>
      </c>
      <c r="J195">
        <v>4171</v>
      </c>
      <c r="K195">
        <v>0</v>
      </c>
      <c r="L195" t="s">
        <v>480</v>
      </c>
    </row>
    <row r="196" spans="8:12" x14ac:dyDescent="0.15">
      <c r="H196" s="34">
        <v>29</v>
      </c>
      <c r="I196" t="s">
        <v>910</v>
      </c>
      <c r="J196">
        <v>4171</v>
      </c>
      <c r="K196">
        <v>0</v>
      </c>
      <c r="L196" t="s">
        <v>462</v>
      </c>
    </row>
    <row r="197" spans="8:12" x14ac:dyDescent="0.15">
      <c r="H197">
        <v>30</v>
      </c>
      <c r="I197" t="s">
        <v>911</v>
      </c>
      <c r="J197">
        <v>4172</v>
      </c>
      <c r="K197">
        <v>0</v>
      </c>
      <c r="L197" t="s">
        <v>558</v>
      </c>
    </row>
    <row r="198" spans="8:12" x14ac:dyDescent="0.15">
      <c r="H198" s="34">
        <v>30</v>
      </c>
      <c r="I198" t="s">
        <v>912</v>
      </c>
      <c r="J198">
        <v>4173</v>
      </c>
      <c r="K198">
        <v>0</v>
      </c>
      <c r="L198" t="s">
        <v>555</v>
      </c>
    </row>
    <row r="199" spans="8:12" x14ac:dyDescent="0.15">
      <c r="H199" s="34">
        <v>30</v>
      </c>
      <c r="I199" t="s">
        <v>912</v>
      </c>
      <c r="J199">
        <v>4173</v>
      </c>
      <c r="K199">
        <v>0</v>
      </c>
      <c r="L199" t="s">
        <v>622</v>
      </c>
    </row>
    <row r="200" spans="8:12" x14ac:dyDescent="0.15">
      <c r="H200" s="34">
        <v>30</v>
      </c>
      <c r="I200" t="s">
        <v>912</v>
      </c>
      <c r="J200">
        <v>4173</v>
      </c>
      <c r="K200">
        <v>0</v>
      </c>
      <c r="L200" t="s">
        <v>559</v>
      </c>
    </row>
    <row r="201" spans="8:12" x14ac:dyDescent="0.15">
      <c r="H201">
        <v>31</v>
      </c>
      <c r="I201" t="s">
        <v>913</v>
      </c>
      <c r="J201">
        <v>4174</v>
      </c>
      <c r="K201">
        <v>0</v>
      </c>
      <c r="L201" t="s">
        <v>368</v>
      </c>
    </row>
    <row r="202" spans="8:12" x14ac:dyDescent="0.15">
      <c r="H202" s="34">
        <v>31</v>
      </c>
      <c r="I202" t="s">
        <v>913</v>
      </c>
      <c r="J202">
        <v>4174</v>
      </c>
      <c r="K202">
        <v>0</v>
      </c>
      <c r="L202" t="s">
        <v>364</v>
      </c>
    </row>
    <row r="203" spans="8:12" x14ac:dyDescent="0.15">
      <c r="H203" s="34">
        <v>31</v>
      </c>
      <c r="I203" t="s">
        <v>914</v>
      </c>
      <c r="J203">
        <v>4175</v>
      </c>
      <c r="K203">
        <v>0</v>
      </c>
      <c r="L203" t="s">
        <v>481</v>
      </c>
    </row>
    <row r="204" spans="8:12" x14ac:dyDescent="0.15">
      <c r="H204" s="34">
        <v>31</v>
      </c>
      <c r="I204" t="s">
        <v>914</v>
      </c>
      <c r="J204">
        <v>4175</v>
      </c>
      <c r="K204">
        <v>0</v>
      </c>
      <c r="L204" t="s">
        <v>512</v>
      </c>
    </row>
    <row r="205" spans="8:12" x14ac:dyDescent="0.15">
      <c r="H205">
        <v>32</v>
      </c>
      <c r="I205" t="s">
        <v>915</v>
      </c>
      <c r="J205">
        <v>4176</v>
      </c>
      <c r="K205">
        <v>0</v>
      </c>
      <c r="L205" t="s">
        <v>482</v>
      </c>
    </row>
    <row r="206" spans="8:12" x14ac:dyDescent="0.15">
      <c r="H206" s="34">
        <v>32</v>
      </c>
      <c r="I206" t="s">
        <v>916</v>
      </c>
      <c r="J206">
        <v>4177</v>
      </c>
      <c r="K206">
        <v>0</v>
      </c>
      <c r="L206" t="s">
        <v>363</v>
      </c>
    </row>
    <row r="207" spans="8:12" x14ac:dyDescent="0.15">
      <c r="H207" s="34">
        <v>32</v>
      </c>
      <c r="I207" t="s">
        <v>916</v>
      </c>
      <c r="J207">
        <v>4177</v>
      </c>
      <c r="K207">
        <v>0</v>
      </c>
      <c r="L207" t="s">
        <v>466</v>
      </c>
    </row>
    <row r="208" spans="8:12" x14ac:dyDescent="0.15">
      <c r="H208" s="35">
        <v>36</v>
      </c>
      <c r="I208" t="s">
        <v>917</v>
      </c>
      <c r="J208">
        <v>4178</v>
      </c>
      <c r="K208">
        <v>0</v>
      </c>
      <c r="L208" t="s">
        <v>484</v>
      </c>
    </row>
    <row r="209" spans="8:12" x14ac:dyDescent="0.15">
      <c r="H209" s="35">
        <v>36</v>
      </c>
      <c r="I209" t="s">
        <v>917</v>
      </c>
      <c r="J209">
        <v>4178</v>
      </c>
      <c r="K209">
        <v>0</v>
      </c>
      <c r="L209" t="s">
        <v>479</v>
      </c>
    </row>
    <row r="210" spans="8:12" x14ac:dyDescent="0.15">
      <c r="H210" s="35">
        <v>36</v>
      </c>
      <c r="I210" t="s">
        <v>917</v>
      </c>
      <c r="J210">
        <v>4178</v>
      </c>
      <c r="K210">
        <v>0</v>
      </c>
      <c r="L210" t="s">
        <v>477</v>
      </c>
    </row>
    <row r="211" spans="8:12" x14ac:dyDescent="0.15">
      <c r="H211" s="35">
        <v>36</v>
      </c>
      <c r="I211" t="s">
        <v>917</v>
      </c>
      <c r="J211">
        <v>4178</v>
      </c>
      <c r="K211">
        <v>0</v>
      </c>
      <c r="L211" t="s">
        <v>479</v>
      </c>
    </row>
    <row r="212" spans="8:12" x14ac:dyDescent="0.15">
      <c r="H212" s="35">
        <v>36</v>
      </c>
      <c r="I212" t="s">
        <v>917</v>
      </c>
      <c r="J212">
        <v>4178</v>
      </c>
      <c r="K212">
        <v>0</v>
      </c>
      <c r="L212" t="s">
        <v>368</v>
      </c>
    </row>
    <row r="213" spans="8:12" x14ac:dyDescent="0.15">
      <c r="H213" s="35">
        <v>36</v>
      </c>
      <c r="I213" t="s">
        <v>918</v>
      </c>
      <c r="J213">
        <v>4179</v>
      </c>
      <c r="K213">
        <v>0</v>
      </c>
      <c r="L213" t="s">
        <v>485</v>
      </c>
    </row>
    <row r="214" spans="8:12" x14ac:dyDescent="0.15">
      <c r="H214" s="35">
        <v>36</v>
      </c>
      <c r="I214" t="s">
        <v>918</v>
      </c>
      <c r="J214">
        <v>4179</v>
      </c>
      <c r="K214">
        <v>0</v>
      </c>
      <c r="L214" t="s">
        <v>371</v>
      </c>
    </row>
    <row r="215" spans="8:12" x14ac:dyDescent="0.15">
      <c r="H215" s="35">
        <v>36</v>
      </c>
      <c r="I215" t="s">
        <v>918</v>
      </c>
      <c r="J215">
        <v>4179</v>
      </c>
      <c r="K215">
        <v>0</v>
      </c>
      <c r="L215" t="s">
        <v>480</v>
      </c>
    </row>
    <row r="216" spans="8:12" x14ac:dyDescent="0.15">
      <c r="H216" s="35">
        <v>36</v>
      </c>
      <c r="I216" t="s">
        <v>918</v>
      </c>
      <c r="J216">
        <v>4179</v>
      </c>
      <c r="K216">
        <v>0</v>
      </c>
      <c r="L216" t="s">
        <v>480</v>
      </c>
    </row>
    <row r="217" spans="8:12" x14ac:dyDescent="0.15">
      <c r="H217" s="35">
        <v>36</v>
      </c>
      <c r="I217" t="s">
        <v>918</v>
      </c>
      <c r="J217">
        <v>4179</v>
      </c>
      <c r="K217">
        <v>0</v>
      </c>
      <c r="L217" t="s">
        <v>558</v>
      </c>
    </row>
    <row r="218" spans="8:12" x14ac:dyDescent="0.15">
      <c r="H218" s="35">
        <v>36</v>
      </c>
      <c r="I218" t="s">
        <v>918</v>
      </c>
      <c r="J218">
        <v>4179</v>
      </c>
      <c r="K218">
        <v>0</v>
      </c>
      <c r="L218" t="s">
        <v>481</v>
      </c>
    </row>
  </sheetData>
  <phoneticPr fontId="1" type="noConversion"/>
  <conditionalFormatting sqref="P2">
    <cfRule type="duplicateValues" dxfId="12"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Y92"/>
  <sheetViews>
    <sheetView topLeftCell="A67" workbookViewId="0">
      <selection activeCell="C91" sqref="C91:D105"/>
    </sheetView>
  </sheetViews>
  <sheetFormatPr defaultRowHeight="13.5" x14ac:dyDescent="0.15"/>
  <cols>
    <col min="7" max="7" width="9" style="34"/>
    <col min="9" max="9" width="9" style="34"/>
    <col min="11" max="11" width="9" style="34"/>
    <col min="15" max="15" width="9" style="37"/>
    <col min="18" max="18" width="9" style="37"/>
  </cols>
  <sheetData>
    <row r="1" spans="4:25" x14ac:dyDescent="0.15">
      <c r="F1" s="34"/>
      <c r="H1" s="34"/>
      <c r="J1" s="34"/>
      <c r="L1" s="34"/>
      <c r="M1" s="34"/>
      <c r="N1" s="34"/>
      <c r="P1" s="34"/>
      <c r="Q1" s="34"/>
      <c r="S1" s="34"/>
      <c r="U1" s="34"/>
      <c r="V1" s="34"/>
      <c r="W1" s="34"/>
      <c r="X1" s="34"/>
      <c r="Y1" s="34"/>
    </row>
    <row r="2" spans="4:25" x14ac:dyDescent="0.15">
      <c r="F2" s="1"/>
      <c r="G2" s="1"/>
      <c r="H2" s="1"/>
      <c r="I2" s="1"/>
      <c r="J2" s="1"/>
      <c r="K2" s="1"/>
      <c r="L2" s="1"/>
      <c r="M2" s="1"/>
      <c r="N2" s="1"/>
      <c r="O2" s="46" t="s">
        <v>959</v>
      </c>
      <c r="P2" s="1" t="s">
        <v>960</v>
      </c>
      <c r="Q2" s="1" t="s">
        <v>961</v>
      </c>
      <c r="R2" s="46" t="s">
        <v>962</v>
      </c>
      <c r="S2" s="1"/>
      <c r="U2" s="39" t="s">
        <v>33</v>
      </c>
      <c r="V2" s="38">
        <v>40.999999999999993</v>
      </c>
      <c r="W2" s="1"/>
      <c r="X2" s="34"/>
      <c r="Y2" s="1"/>
    </row>
    <row r="3" spans="4:25" x14ac:dyDescent="0.15">
      <c r="D3" s="13" t="s">
        <v>254</v>
      </c>
      <c r="F3" s="1" t="s">
        <v>33</v>
      </c>
      <c r="G3" s="1">
        <f>IF(F3&lt;&gt;"",VLOOKUP(F3,$U$2:$V$123,2,FALSE),0)</f>
        <v>40.999999999999993</v>
      </c>
      <c r="H3" s="1" t="s">
        <v>189</v>
      </c>
      <c r="I3" s="1">
        <f>IF(H3&lt;&gt;"",VLOOKUP(H3,$U$2:$V$123,2,FALSE),0)</f>
        <v>25</v>
      </c>
      <c r="J3" s="1"/>
      <c r="K3" s="1">
        <f>IF(J3&lt;&gt;"",VLOOKUP(J3,$U$2:$V$123,2,FALSE),0)</f>
        <v>0</v>
      </c>
      <c r="L3" s="1"/>
      <c r="M3" s="1">
        <f>IF(L3&lt;&gt;"",VLOOKUP(L3,$U$2:$V$123,2,FALSE),0)</f>
        <v>0</v>
      </c>
      <c r="N3" s="1"/>
      <c r="O3" s="46">
        <f>G3+I3+K3+M3</f>
        <v>66</v>
      </c>
      <c r="P3" s="46">
        <f t="shared" ref="P3:P34" si="0">3001-O3</f>
        <v>2935</v>
      </c>
      <c r="Q3" s="47">
        <f>(1-(3000-P3)/3000)*1.2+1.15</f>
        <v>2.3239999999999998</v>
      </c>
      <c r="R3" s="37">
        <f>O3*Q3</f>
        <v>153.38399999999999</v>
      </c>
      <c r="S3" s="1"/>
      <c r="U3" s="40" t="s">
        <v>34</v>
      </c>
      <c r="V3" s="38">
        <v>43.125</v>
      </c>
      <c r="W3" s="1"/>
      <c r="X3" s="1"/>
      <c r="Y3" s="37"/>
    </row>
    <row r="4" spans="4:25" x14ac:dyDescent="0.15">
      <c r="D4" s="13" t="s">
        <v>255</v>
      </c>
      <c r="F4" s="1" t="s">
        <v>34</v>
      </c>
      <c r="G4" s="1">
        <f t="shared" ref="G4:G67" si="1">IF(F4&lt;&gt;"",VLOOKUP(F4,$U$2:$V$123,2,FALSE),0)</f>
        <v>43.125</v>
      </c>
      <c r="H4" s="1" t="s">
        <v>36</v>
      </c>
      <c r="I4" s="1">
        <f t="shared" ref="I4:I67" si="2">IF(H4&lt;&gt;"",VLOOKUP(H4,$U$2:$V$123,2,FALSE),0)</f>
        <v>51.9</v>
      </c>
      <c r="J4" s="1" t="s">
        <v>23</v>
      </c>
      <c r="K4" s="1">
        <f t="shared" ref="K4:K67" si="3">IF(J4&lt;&gt;"",VLOOKUP(J4,$U$2:$V$123,2,FALSE),0)</f>
        <v>243.9</v>
      </c>
      <c r="L4" s="1" t="s">
        <v>37</v>
      </c>
      <c r="M4" s="1">
        <f t="shared" ref="M4:M67" si="4">IF(L4&lt;&gt;"",VLOOKUP(L4,$U$2:$V$123,2,FALSE),0)</f>
        <v>86.5</v>
      </c>
      <c r="N4" s="1"/>
      <c r="O4" s="46">
        <f t="shared" ref="O4:O66" si="5">G4+I4+K4+M4</f>
        <v>425.42500000000001</v>
      </c>
      <c r="P4" s="46">
        <f t="shared" si="0"/>
        <v>2575.5749999999998</v>
      </c>
      <c r="Q4" s="47">
        <f t="shared" ref="Q4:Q67" si="6">(1-(3000-P4)/3000)*1.2+1.15</f>
        <v>2.1802299999999999</v>
      </c>
      <c r="R4" s="37">
        <f t="shared" ref="R4:R67" si="7">O4*Q4</f>
        <v>927.52434774999995</v>
      </c>
      <c r="S4" s="1"/>
      <c r="U4" s="40" t="s">
        <v>154</v>
      </c>
      <c r="V4" s="38">
        <v>43.125</v>
      </c>
      <c r="W4" s="1"/>
      <c r="Y4" s="37"/>
    </row>
    <row r="5" spans="4:25" x14ac:dyDescent="0.15">
      <c r="D5" s="13" t="s">
        <v>184</v>
      </c>
      <c r="F5" s="1" t="s">
        <v>795</v>
      </c>
      <c r="G5" s="1">
        <f t="shared" si="1"/>
        <v>344.45312499999994</v>
      </c>
      <c r="H5" s="1" t="s">
        <v>34</v>
      </c>
      <c r="I5" s="1">
        <f t="shared" si="2"/>
        <v>43.125</v>
      </c>
      <c r="J5" s="1" t="s">
        <v>37</v>
      </c>
      <c r="K5" s="1">
        <f t="shared" si="3"/>
        <v>86.5</v>
      </c>
      <c r="L5" s="1" t="s">
        <v>39</v>
      </c>
      <c r="M5" s="1">
        <f t="shared" si="4"/>
        <v>135.5</v>
      </c>
      <c r="N5" s="1"/>
      <c r="O5" s="46">
        <f t="shared" si="5"/>
        <v>609.578125</v>
      </c>
      <c r="P5" s="46">
        <f t="shared" si="0"/>
        <v>2391.421875</v>
      </c>
      <c r="Q5" s="47">
        <f t="shared" si="6"/>
        <v>2.1065687499999997</v>
      </c>
      <c r="R5" s="37">
        <f t="shared" si="7"/>
        <v>1284.1182288085936</v>
      </c>
      <c r="S5" s="1"/>
      <c r="U5" s="40" t="s">
        <v>35</v>
      </c>
      <c r="V5" s="38">
        <v>86.5</v>
      </c>
      <c r="W5" s="1"/>
      <c r="Y5" s="37"/>
    </row>
    <row r="6" spans="4:25" x14ac:dyDescent="0.15">
      <c r="D6" s="13" t="s">
        <v>166</v>
      </c>
      <c r="F6" s="1" t="s">
        <v>35</v>
      </c>
      <c r="G6" s="1">
        <f t="shared" si="1"/>
        <v>86.5</v>
      </c>
      <c r="H6" s="1" t="s">
        <v>189</v>
      </c>
      <c r="I6" s="1">
        <f t="shared" si="2"/>
        <v>25</v>
      </c>
      <c r="J6" s="1"/>
      <c r="K6" s="1">
        <f t="shared" si="3"/>
        <v>0</v>
      </c>
      <c r="L6" s="1"/>
      <c r="M6" s="1">
        <f t="shared" si="4"/>
        <v>0</v>
      </c>
      <c r="N6" s="1"/>
      <c r="O6" s="46">
        <f t="shared" si="5"/>
        <v>111.5</v>
      </c>
      <c r="P6" s="46">
        <f t="shared" si="0"/>
        <v>2889.5</v>
      </c>
      <c r="Q6" s="47">
        <f t="shared" si="6"/>
        <v>2.3057999999999996</v>
      </c>
      <c r="R6" s="37">
        <f t="shared" si="7"/>
        <v>257.09669999999994</v>
      </c>
      <c r="S6" s="1"/>
      <c r="U6" s="40" t="s">
        <v>36</v>
      </c>
      <c r="V6" s="38">
        <v>51.9</v>
      </c>
      <c r="W6" s="1"/>
      <c r="Y6" s="37"/>
    </row>
    <row r="7" spans="4:25" x14ac:dyDescent="0.15">
      <c r="D7" s="13" t="s">
        <v>182</v>
      </c>
      <c r="F7" s="1" t="s">
        <v>174</v>
      </c>
      <c r="G7" s="1">
        <f t="shared" si="1"/>
        <v>319.45312499999994</v>
      </c>
      <c r="H7" s="1" t="s">
        <v>161</v>
      </c>
      <c r="I7" s="1">
        <f t="shared" si="2"/>
        <v>405</v>
      </c>
      <c r="J7" s="1" t="s">
        <v>919</v>
      </c>
      <c r="K7" s="1">
        <f t="shared" si="3"/>
        <v>43.125</v>
      </c>
      <c r="L7" s="1" t="s">
        <v>196</v>
      </c>
      <c r="M7" s="1">
        <f t="shared" si="4"/>
        <v>180</v>
      </c>
      <c r="N7" s="1"/>
      <c r="O7" s="46">
        <f t="shared" si="5"/>
        <v>947.578125</v>
      </c>
      <c r="P7" s="46">
        <f t="shared" si="0"/>
        <v>2053.421875</v>
      </c>
      <c r="Q7" s="47">
        <f t="shared" si="6"/>
        <v>1.9713687499999999</v>
      </c>
      <c r="R7" s="37">
        <f t="shared" si="7"/>
        <v>1868.0259038085937</v>
      </c>
      <c r="S7" s="1"/>
      <c r="U7" s="40" t="s">
        <v>37</v>
      </c>
      <c r="V7" s="38">
        <v>86.5</v>
      </c>
      <c r="W7" s="1"/>
      <c r="Y7" s="37"/>
    </row>
    <row r="8" spans="4:25" x14ac:dyDescent="0.15">
      <c r="D8" s="13" t="s">
        <v>194</v>
      </c>
      <c r="F8" s="1" t="s">
        <v>174</v>
      </c>
      <c r="G8" s="1">
        <f t="shared" si="1"/>
        <v>319.45312499999994</v>
      </c>
      <c r="H8" s="1" t="s">
        <v>159</v>
      </c>
      <c r="I8" s="1">
        <f t="shared" si="2"/>
        <v>180</v>
      </c>
      <c r="J8" s="1" t="s">
        <v>193</v>
      </c>
      <c r="K8" s="1">
        <f t="shared" si="3"/>
        <v>179</v>
      </c>
      <c r="L8" s="1"/>
      <c r="M8" s="1">
        <f t="shared" si="4"/>
        <v>0</v>
      </c>
      <c r="N8" s="1"/>
      <c r="O8" s="46">
        <f t="shared" si="5"/>
        <v>678.453125</v>
      </c>
      <c r="P8" s="46">
        <f t="shared" si="0"/>
        <v>2322.546875</v>
      </c>
      <c r="Q8" s="47">
        <f t="shared" si="6"/>
        <v>2.0790187499999999</v>
      </c>
      <c r="R8" s="37">
        <f t="shared" si="7"/>
        <v>1410.5167678710936</v>
      </c>
      <c r="S8" s="1"/>
      <c r="U8" s="40" t="s">
        <v>38</v>
      </c>
      <c r="V8" s="38">
        <v>121.94999999999997</v>
      </c>
      <c r="W8" s="1"/>
      <c r="Y8" s="37"/>
    </row>
    <row r="9" spans="4:25" x14ac:dyDescent="0.15">
      <c r="D9" s="13" t="s">
        <v>195</v>
      </c>
      <c r="F9" s="1" t="s">
        <v>174</v>
      </c>
      <c r="G9" s="1">
        <f t="shared" si="1"/>
        <v>319.45312499999994</v>
      </c>
      <c r="H9" s="1" t="s">
        <v>206</v>
      </c>
      <c r="I9" s="1">
        <f t="shared" si="2"/>
        <v>446.5</v>
      </c>
      <c r="J9" s="1" t="s">
        <v>53</v>
      </c>
      <c r="K9" s="1">
        <f t="shared" si="3"/>
        <v>194.1</v>
      </c>
      <c r="L9" s="1" t="s">
        <v>161</v>
      </c>
      <c r="M9" s="1">
        <f t="shared" si="4"/>
        <v>405</v>
      </c>
      <c r="N9" s="1"/>
      <c r="O9" s="46">
        <f t="shared" si="5"/>
        <v>1365.0531249999999</v>
      </c>
      <c r="P9" s="46">
        <f t="shared" si="0"/>
        <v>1635.9468750000001</v>
      </c>
      <c r="Q9" s="47">
        <f t="shared" si="6"/>
        <v>1.8043787499999997</v>
      </c>
      <c r="R9" s="37">
        <f t="shared" si="7"/>
        <v>2463.0728513710933</v>
      </c>
      <c r="S9" s="1"/>
      <c r="U9" s="40" t="s">
        <v>39</v>
      </c>
      <c r="V9" s="38">
        <v>135.5</v>
      </c>
      <c r="W9" s="1"/>
      <c r="Y9" s="37"/>
    </row>
    <row r="10" spans="4:25" x14ac:dyDescent="0.15">
      <c r="D10" s="13" t="s">
        <v>165</v>
      </c>
      <c r="F10" s="1" t="s">
        <v>37</v>
      </c>
      <c r="G10" s="1">
        <f t="shared" si="1"/>
        <v>86.5</v>
      </c>
      <c r="H10" s="1" t="s">
        <v>189</v>
      </c>
      <c r="I10" s="1">
        <f t="shared" si="2"/>
        <v>25</v>
      </c>
      <c r="J10" s="1"/>
      <c r="K10" s="1">
        <f t="shared" si="3"/>
        <v>0</v>
      </c>
      <c r="L10" s="1"/>
      <c r="M10" s="1">
        <f t="shared" si="4"/>
        <v>0</v>
      </c>
      <c r="N10" s="1"/>
      <c r="O10" s="46">
        <f t="shared" si="5"/>
        <v>111.5</v>
      </c>
      <c r="P10" s="46">
        <f t="shared" si="0"/>
        <v>2889.5</v>
      </c>
      <c r="Q10" s="47">
        <f t="shared" si="6"/>
        <v>2.3057999999999996</v>
      </c>
      <c r="R10" s="37">
        <f t="shared" si="7"/>
        <v>257.09669999999994</v>
      </c>
      <c r="S10" s="1"/>
      <c r="U10" s="40" t="s">
        <v>23</v>
      </c>
      <c r="V10" s="38">
        <v>243.9</v>
      </c>
      <c r="W10" s="1"/>
      <c r="Y10" s="37"/>
    </row>
    <row r="11" spans="4:25" x14ac:dyDescent="0.15">
      <c r="D11" s="13" t="s">
        <v>167</v>
      </c>
      <c r="F11" s="1" t="s">
        <v>38</v>
      </c>
      <c r="G11" s="1">
        <f t="shared" si="1"/>
        <v>121.94999999999997</v>
      </c>
      <c r="H11" s="1"/>
      <c r="I11" s="1">
        <f t="shared" si="2"/>
        <v>0</v>
      </c>
      <c r="J11" s="1"/>
      <c r="K11" s="1">
        <f t="shared" si="3"/>
        <v>0</v>
      </c>
      <c r="L11" s="1"/>
      <c r="M11" s="1">
        <f t="shared" si="4"/>
        <v>0</v>
      </c>
      <c r="N11" s="1"/>
      <c r="O11" s="46">
        <f t="shared" si="5"/>
        <v>121.94999999999997</v>
      </c>
      <c r="P11" s="46">
        <f t="shared" si="0"/>
        <v>2879.05</v>
      </c>
      <c r="Q11" s="47">
        <f t="shared" si="6"/>
        <v>2.3016199999999998</v>
      </c>
      <c r="R11" s="37">
        <f t="shared" si="7"/>
        <v>280.68255899999991</v>
      </c>
      <c r="S11" s="1"/>
      <c r="U11" s="40" t="s">
        <v>40</v>
      </c>
      <c r="V11" s="38">
        <v>127.2</v>
      </c>
      <c r="W11" s="1"/>
      <c r="Y11" s="37"/>
    </row>
    <row r="12" spans="4:25" x14ac:dyDescent="0.15">
      <c r="D12" s="13" t="s">
        <v>196</v>
      </c>
      <c r="F12" s="1" t="s">
        <v>159</v>
      </c>
      <c r="G12" s="1">
        <f t="shared" si="1"/>
        <v>180</v>
      </c>
      <c r="H12" s="1"/>
      <c r="I12" s="1">
        <f t="shared" si="2"/>
        <v>0</v>
      </c>
      <c r="J12" s="1"/>
      <c r="K12" s="1">
        <f t="shared" si="3"/>
        <v>0</v>
      </c>
      <c r="L12" s="1"/>
      <c r="M12" s="1">
        <f t="shared" si="4"/>
        <v>0</v>
      </c>
      <c r="N12" s="1"/>
      <c r="O12" s="46">
        <f t="shared" si="5"/>
        <v>180</v>
      </c>
      <c r="P12" s="46">
        <f t="shared" si="0"/>
        <v>2821</v>
      </c>
      <c r="Q12" s="47">
        <f t="shared" si="6"/>
        <v>2.2784</v>
      </c>
      <c r="R12" s="37">
        <f t="shared" si="7"/>
        <v>410.11200000000002</v>
      </c>
      <c r="S12" s="1"/>
      <c r="U12" s="40" t="s">
        <v>41</v>
      </c>
      <c r="V12" s="38">
        <v>105.99999999999999</v>
      </c>
      <c r="W12" s="1"/>
      <c r="Y12" s="37"/>
    </row>
    <row r="13" spans="4:25" x14ac:dyDescent="0.15">
      <c r="D13" s="13" t="s">
        <v>164</v>
      </c>
      <c r="F13" s="1" t="s">
        <v>919</v>
      </c>
      <c r="G13" s="1">
        <f t="shared" si="1"/>
        <v>43.125</v>
      </c>
      <c r="H13" s="1" t="s">
        <v>161</v>
      </c>
      <c r="I13" s="1">
        <f t="shared" si="2"/>
        <v>405</v>
      </c>
      <c r="J13" s="1" t="s">
        <v>41</v>
      </c>
      <c r="K13" s="1">
        <f t="shared" si="3"/>
        <v>105.99999999999999</v>
      </c>
      <c r="L13" s="1"/>
      <c r="M13" s="1">
        <f t="shared" si="4"/>
        <v>0</v>
      </c>
      <c r="N13" s="1"/>
      <c r="O13" s="46">
        <f t="shared" si="5"/>
        <v>554.125</v>
      </c>
      <c r="P13" s="46">
        <f t="shared" si="0"/>
        <v>2446.875</v>
      </c>
      <c r="Q13" s="47">
        <f t="shared" si="6"/>
        <v>2.1287500000000001</v>
      </c>
      <c r="R13" s="37">
        <f t="shared" si="7"/>
        <v>1179.5935937500001</v>
      </c>
      <c r="S13" s="1"/>
      <c r="U13" s="40" t="s">
        <v>42</v>
      </c>
      <c r="V13" s="38">
        <v>275.59999999999997</v>
      </c>
      <c r="W13" s="1"/>
      <c r="Y13" s="37"/>
    </row>
    <row r="14" spans="4:25" x14ac:dyDescent="0.15">
      <c r="D14" s="13" t="s">
        <v>197</v>
      </c>
      <c r="F14" s="1" t="s">
        <v>198</v>
      </c>
      <c r="G14" s="1">
        <f t="shared" si="1"/>
        <v>121.94999999999997</v>
      </c>
      <c r="H14" s="1" t="s">
        <v>187</v>
      </c>
      <c r="I14" s="1">
        <f t="shared" si="2"/>
        <v>30</v>
      </c>
      <c r="J14" s="1"/>
      <c r="K14" s="1">
        <f t="shared" si="3"/>
        <v>0</v>
      </c>
      <c r="L14" s="1"/>
      <c r="M14" s="1">
        <f t="shared" si="4"/>
        <v>0</v>
      </c>
      <c r="N14" s="1"/>
      <c r="O14" s="46">
        <f t="shared" si="5"/>
        <v>151.94999999999999</v>
      </c>
      <c r="P14" s="46">
        <f t="shared" si="0"/>
        <v>2849.05</v>
      </c>
      <c r="Q14" s="47">
        <f t="shared" si="6"/>
        <v>2.2896200000000002</v>
      </c>
      <c r="R14" s="37">
        <f t="shared" si="7"/>
        <v>347.907759</v>
      </c>
      <c r="S14" s="1"/>
      <c r="U14" s="40" t="s">
        <v>53</v>
      </c>
      <c r="V14" s="38">
        <v>194.1</v>
      </c>
      <c r="W14" s="1"/>
      <c r="Y14" s="37"/>
    </row>
    <row r="15" spans="4:25" x14ac:dyDescent="0.15">
      <c r="D15" s="13" t="s">
        <v>249</v>
      </c>
      <c r="F15" s="1" t="s">
        <v>174</v>
      </c>
      <c r="G15" s="1">
        <f t="shared" si="1"/>
        <v>319.45312499999994</v>
      </c>
      <c r="H15" s="1" t="s">
        <v>827</v>
      </c>
      <c r="I15" s="1">
        <f t="shared" si="2"/>
        <v>25</v>
      </c>
      <c r="J15" s="1"/>
      <c r="K15" s="1">
        <f t="shared" si="3"/>
        <v>0</v>
      </c>
      <c r="L15" s="1"/>
      <c r="M15" s="1">
        <f t="shared" si="4"/>
        <v>0</v>
      </c>
      <c r="N15" s="1"/>
      <c r="O15" s="46">
        <f>G15+I15+K15+M15</f>
        <v>344.45312499999994</v>
      </c>
      <c r="P15" s="46">
        <f t="shared" si="0"/>
        <v>2656.546875</v>
      </c>
      <c r="Q15" s="47">
        <f t="shared" si="6"/>
        <v>2.2126187499999999</v>
      </c>
      <c r="R15" s="37">
        <f t="shared" si="7"/>
        <v>762.14344287109361</v>
      </c>
      <c r="S15" s="1"/>
      <c r="U15" s="40" t="s">
        <v>54</v>
      </c>
      <c r="V15" s="38">
        <v>339.67500000000001</v>
      </c>
      <c r="W15" s="1"/>
      <c r="Y15" s="37"/>
    </row>
    <row r="16" spans="4:25" x14ac:dyDescent="0.15">
      <c r="D16" s="13" t="s">
        <v>198</v>
      </c>
      <c r="F16" s="1" t="s">
        <v>250</v>
      </c>
      <c r="G16" s="1">
        <f t="shared" si="1"/>
        <v>121.94999999999997</v>
      </c>
      <c r="H16" s="1"/>
      <c r="I16" s="1">
        <f t="shared" si="2"/>
        <v>0</v>
      </c>
      <c r="J16" s="1"/>
      <c r="K16" s="1">
        <f t="shared" si="3"/>
        <v>0</v>
      </c>
      <c r="L16" s="1"/>
      <c r="M16" s="1">
        <f t="shared" si="4"/>
        <v>0</v>
      </c>
      <c r="N16" s="1"/>
      <c r="O16" s="46">
        <f t="shared" si="5"/>
        <v>121.94999999999997</v>
      </c>
      <c r="P16" s="46">
        <f t="shared" si="0"/>
        <v>2879.05</v>
      </c>
      <c r="Q16" s="47">
        <f t="shared" si="6"/>
        <v>2.3016199999999998</v>
      </c>
      <c r="R16" s="37">
        <f t="shared" si="7"/>
        <v>280.68255899999991</v>
      </c>
      <c r="S16" s="1"/>
      <c r="U16" s="40" t="s">
        <v>44</v>
      </c>
      <c r="V16" s="38">
        <v>226.45</v>
      </c>
      <c r="W16" s="1"/>
      <c r="Y16" s="37"/>
    </row>
    <row r="17" spans="4:25" x14ac:dyDescent="0.15">
      <c r="D17" s="13" t="s">
        <v>171</v>
      </c>
      <c r="F17" s="1" t="s">
        <v>25</v>
      </c>
      <c r="G17" s="1">
        <f t="shared" si="1"/>
        <v>429.75</v>
      </c>
      <c r="H17" s="1" t="s">
        <v>161</v>
      </c>
      <c r="I17" s="1">
        <f t="shared" si="2"/>
        <v>405</v>
      </c>
      <c r="J17" s="1" t="s">
        <v>189</v>
      </c>
      <c r="K17" s="1">
        <f t="shared" si="3"/>
        <v>25</v>
      </c>
      <c r="L17" s="1"/>
      <c r="M17" s="1">
        <f t="shared" si="4"/>
        <v>0</v>
      </c>
      <c r="N17" s="1"/>
      <c r="O17" s="46">
        <f t="shared" si="5"/>
        <v>859.75</v>
      </c>
      <c r="P17" s="46">
        <f t="shared" si="0"/>
        <v>2141.25</v>
      </c>
      <c r="Q17" s="47">
        <f t="shared" si="6"/>
        <v>2.0065</v>
      </c>
      <c r="R17" s="37">
        <f t="shared" si="7"/>
        <v>1725.088375</v>
      </c>
      <c r="S17" s="1"/>
      <c r="U17" s="40" t="s">
        <v>25</v>
      </c>
      <c r="V17" s="38">
        <v>429.75</v>
      </c>
      <c r="W17" s="1"/>
      <c r="Y17" s="37"/>
    </row>
    <row r="18" spans="4:25" x14ac:dyDescent="0.15">
      <c r="D18" s="13" t="s">
        <v>199</v>
      </c>
      <c r="F18" s="1" t="s">
        <v>795</v>
      </c>
      <c r="G18" s="1">
        <f t="shared" si="1"/>
        <v>344.45312499999994</v>
      </c>
      <c r="H18" s="1" t="s">
        <v>39</v>
      </c>
      <c r="I18" s="1">
        <f t="shared" si="2"/>
        <v>135.5</v>
      </c>
      <c r="J18" s="1" t="s">
        <v>171</v>
      </c>
      <c r="K18" s="1">
        <f t="shared" si="3"/>
        <v>859.75</v>
      </c>
      <c r="L18" s="1" t="s">
        <v>206</v>
      </c>
      <c r="M18" s="1">
        <f t="shared" si="4"/>
        <v>446.5</v>
      </c>
      <c r="N18" s="1"/>
      <c r="O18" s="46">
        <f t="shared" si="5"/>
        <v>1786.203125</v>
      </c>
      <c r="P18" s="46">
        <f t="shared" si="0"/>
        <v>1214.796875</v>
      </c>
      <c r="Q18" s="47">
        <f t="shared" si="6"/>
        <v>1.6359187499999999</v>
      </c>
      <c r="R18" s="37">
        <f t="shared" si="7"/>
        <v>2922.0831834960936</v>
      </c>
      <c r="S18" s="1"/>
      <c r="U18" s="40" t="s">
        <v>45</v>
      </c>
      <c r="V18" s="42">
        <v>382</v>
      </c>
      <c r="W18" s="1"/>
      <c r="Y18" s="37"/>
    </row>
    <row r="19" spans="4:25" x14ac:dyDescent="0.15">
      <c r="D19" s="13" t="s">
        <v>200</v>
      </c>
      <c r="F19" s="1" t="s">
        <v>795</v>
      </c>
      <c r="G19" s="1">
        <f t="shared" si="1"/>
        <v>344.45312499999994</v>
      </c>
      <c r="H19" s="1" t="s">
        <v>236</v>
      </c>
      <c r="I19" s="1">
        <f t="shared" si="2"/>
        <v>0</v>
      </c>
      <c r="J19" s="1" t="s">
        <v>41</v>
      </c>
      <c r="K19" s="1">
        <f t="shared" si="3"/>
        <v>105.99999999999999</v>
      </c>
      <c r="L19" s="1" t="s">
        <v>206</v>
      </c>
      <c r="M19" s="1">
        <f t="shared" si="4"/>
        <v>446.5</v>
      </c>
      <c r="N19" s="1"/>
      <c r="O19" s="46">
        <f t="shared" si="5"/>
        <v>896.953125</v>
      </c>
      <c r="P19" s="46">
        <f t="shared" si="0"/>
        <v>2104.046875</v>
      </c>
      <c r="Q19" s="47">
        <f t="shared" si="6"/>
        <v>1.9916187499999998</v>
      </c>
      <c r="R19" s="37">
        <f t="shared" si="7"/>
        <v>1786.3886616210934</v>
      </c>
      <c r="S19" s="1"/>
      <c r="U19" s="40" t="s">
        <v>22</v>
      </c>
      <c r="V19" s="38">
        <v>358.125</v>
      </c>
      <c r="W19" s="1"/>
      <c r="Y19" s="37"/>
    </row>
    <row r="20" spans="4:25" x14ac:dyDescent="0.15">
      <c r="D20" s="13" t="s">
        <v>170</v>
      </c>
      <c r="F20" s="1" t="s">
        <v>44</v>
      </c>
      <c r="G20" s="1">
        <f t="shared" si="1"/>
        <v>226.45</v>
      </c>
      <c r="H20" s="1" t="s">
        <v>205</v>
      </c>
      <c r="I20" s="1">
        <f t="shared" si="2"/>
        <v>360</v>
      </c>
      <c r="J20" s="1"/>
      <c r="K20" s="1">
        <f t="shared" si="3"/>
        <v>0</v>
      </c>
      <c r="L20" s="1"/>
      <c r="M20" s="1">
        <f t="shared" si="4"/>
        <v>0</v>
      </c>
      <c r="N20" s="1"/>
      <c r="O20" s="46">
        <f t="shared" si="5"/>
        <v>586.45000000000005</v>
      </c>
      <c r="P20" s="46">
        <f t="shared" si="0"/>
        <v>2414.5500000000002</v>
      </c>
      <c r="Q20" s="47">
        <f t="shared" si="6"/>
        <v>2.1158199999999998</v>
      </c>
      <c r="R20" s="37">
        <f t="shared" si="7"/>
        <v>1240.822639</v>
      </c>
      <c r="S20" s="1"/>
      <c r="U20" s="40" t="s">
        <v>43</v>
      </c>
      <c r="V20" s="38">
        <v>408.9</v>
      </c>
      <c r="W20" s="1"/>
      <c r="Y20" s="37"/>
    </row>
    <row r="21" spans="4:25" x14ac:dyDescent="0.15">
      <c r="D21" s="13" t="s">
        <v>201</v>
      </c>
      <c r="F21" s="1" t="s">
        <v>187</v>
      </c>
      <c r="G21" s="1">
        <f t="shared" si="1"/>
        <v>30</v>
      </c>
      <c r="H21" s="1" t="s">
        <v>192</v>
      </c>
      <c r="I21" s="1">
        <f t="shared" si="2"/>
        <v>318.39999999999998</v>
      </c>
      <c r="J21" s="1" t="s">
        <v>150</v>
      </c>
      <c r="K21" s="1">
        <f t="shared" si="3"/>
        <v>1942</v>
      </c>
      <c r="L21" s="1" t="s">
        <v>162</v>
      </c>
      <c r="M21" s="1">
        <f t="shared" si="4"/>
        <v>360</v>
      </c>
      <c r="N21" s="1"/>
      <c r="O21" s="46">
        <f t="shared" si="5"/>
        <v>2650.4</v>
      </c>
      <c r="P21" s="46">
        <f t="shared" si="0"/>
        <v>350.59999999999991</v>
      </c>
      <c r="Q21" s="47">
        <f t="shared" si="6"/>
        <v>1.2902399999999998</v>
      </c>
      <c r="R21" s="37">
        <f t="shared" si="7"/>
        <v>3419.6520959999998</v>
      </c>
      <c r="S21" s="1"/>
      <c r="U21" s="40" t="s">
        <v>771</v>
      </c>
      <c r="V21" s="38">
        <v>319.45312499999994</v>
      </c>
      <c r="W21" s="1"/>
      <c r="Y21" s="37"/>
    </row>
    <row r="22" spans="4:25" x14ac:dyDescent="0.15">
      <c r="D22" s="13" t="s">
        <v>172</v>
      </c>
      <c r="F22" s="1" t="s">
        <v>43</v>
      </c>
      <c r="G22" s="1">
        <f t="shared" si="1"/>
        <v>408.9</v>
      </c>
      <c r="H22" s="1" t="s">
        <v>205</v>
      </c>
      <c r="I22" s="1">
        <f t="shared" si="2"/>
        <v>360</v>
      </c>
      <c r="J22" s="1"/>
      <c r="K22" s="1">
        <f t="shared" si="3"/>
        <v>0</v>
      </c>
      <c r="L22" s="1"/>
      <c r="M22" s="1">
        <f t="shared" si="4"/>
        <v>0</v>
      </c>
      <c r="N22" s="1"/>
      <c r="O22" s="46">
        <f t="shared" si="5"/>
        <v>768.9</v>
      </c>
      <c r="P22" s="46">
        <f t="shared" si="0"/>
        <v>2232.1</v>
      </c>
      <c r="Q22" s="47">
        <f t="shared" si="6"/>
        <v>2.04284</v>
      </c>
      <c r="R22" s="37">
        <f t="shared" si="7"/>
        <v>1570.7396759999999</v>
      </c>
      <c r="S22" s="1"/>
      <c r="U22" s="40" t="s">
        <v>50</v>
      </c>
      <c r="V22" s="38">
        <v>340.74999999999994</v>
      </c>
      <c r="W22" s="1"/>
      <c r="Y22" s="37"/>
    </row>
    <row r="23" spans="4:25" x14ac:dyDescent="0.15">
      <c r="D23" s="13" t="s">
        <v>202</v>
      </c>
      <c r="F23" s="1" t="s">
        <v>33</v>
      </c>
      <c r="G23" s="1">
        <f t="shared" si="1"/>
        <v>40.999999999999993</v>
      </c>
      <c r="H23" s="1" t="s">
        <v>37</v>
      </c>
      <c r="I23" s="1">
        <f t="shared" si="2"/>
        <v>86.5</v>
      </c>
      <c r="J23" s="1" t="s">
        <v>35</v>
      </c>
      <c r="K23" s="1">
        <f t="shared" si="3"/>
        <v>86.5</v>
      </c>
      <c r="L23" s="1" t="s">
        <v>36</v>
      </c>
      <c r="M23" s="1">
        <f t="shared" si="4"/>
        <v>51.9</v>
      </c>
      <c r="N23" s="1"/>
      <c r="O23" s="46">
        <f t="shared" si="5"/>
        <v>265.89999999999998</v>
      </c>
      <c r="P23" s="46">
        <f t="shared" si="0"/>
        <v>2735.1</v>
      </c>
      <c r="Q23" s="47">
        <f t="shared" si="6"/>
        <v>2.24404</v>
      </c>
      <c r="R23" s="37">
        <f t="shared" si="7"/>
        <v>596.69023599999991</v>
      </c>
      <c r="S23" s="1"/>
      <c r="U23" s="40" t="s">
        <v>24</v>
      </c>
      <c r="V23" s="38">
        <v>754.4</v>
      </c>
      <c r="W23" s="1"/>
      <c r="Y23" s="37"/>
    </row>
    <row r="24" spans="4:25" x14ac:dyDescent="0.15">
      <c r="D24" s="13" t="s">
        <v>185</v>
      </c>
      <c r="F24" s="1" t="s">
        <v>40</v>
      </c>
      <c r="G24" s="1">
        <f t="shared" si="1"/>
        <v>127.2</v>
      </c>
      <c r="H24" s="1"/>
      <c r="I24" s="1">
        <f t="shared" si="2"/>
        <v>0</v>
      </c>
      <c r="J24" s="1"/>
      <c r="K24" s="1">
        <f t="shared" si="3"/>
        <v>0</v>
      </c>
      <c r="L24" s="1"/>
      <c r="M24" s="1">
        <f t="shared" si="4"/>
        <v>0</v>
      </c>
      <c r="N24" s="1"/>
      <c r="O24" s="46">
        <f t="shared" si="5"/>
        <v>127.2</v>
      </c>
      <c r="P24" s="46">
        <f t="shared" si="0"/>
        <v>2873.8</v>
      </c>
      <c r="Q24" s="47">
        <f t="shared" si="6"/>
        <v>2.2995200000000002</v>
      </c>
      <c r="R24" s="37">
        <f t="shared" si="7"/>
        <v>292.49894400000005</v>
      </c>
      <c r="S24" s="1"/>
      <c r="U24" s="40" t="s">
        <v>51</v>
      </c>
      <c r="V24" s="38">
        <v>589.37499999999989</v>
      </c>
      <c r="W24" s="1"/>
      <c r="Y24" s="37"/>
    </row>
    <row r="25" spans="4:25" x14ac:dyDescent="0.15">
      <c r="D25" s="13" t="s">
        <v>168</v>
      </c>
      <c r="F25" s="1" t="s">
        <v>42</v>
      </c>
      <c r="G25" s="1">
        <f t="shared" si="1"/>
        <v>275.59999999999997</v>
      </c>
      <c r="H25" s="1"/>
      <c r="I25" s="1">
        <f t="shared" si="2"/>
        <v>0</v>
      </c>
      <c r="J25" s="1"/>
      <c r="K25" s="1">
        <f t="shared" si="3"/>
        <v>0</v>
      </c>
      <c r="L25" s="1"/>
      <c r="M25" s="1">
        <f t="shared" si="4"/>
        <v>0</v>
      </c>
      <c r="N25" s="1"/>
      <c r="O25" s="46">
        <f t="shared" si="5"/>
        <v>275.59999999999997</v>
      </c>
      <c r="P25" s="46">
        <f t="shared" si="0"/>
        <v>2725.4</v>
      </c>
      <c r="Q25" s="47">
        <f t="shared" si="6"/>
        <v>2.2401599999999999</v>
      </c>
      <c r="R25" s="37">
        <f t="shared" si="7"/>
        <v>617.3880959999999</v>
      </c>
      <c r="S25" s="1"/>
      <c r="U25" s="40" t="s">
        <v>52</v>
      </c>
      <c r="V25" s="38">
        <v>660.09999999999991</v>
      </c>
      <c r="W25" s="1"/>
      <c r="Y25" s="37"/>
    </row>
    <row r="26" spans="4:25" x14ac:dyDescent="0.15">
      <c r="D26" s="13" t="s">
        <v>175</v>
      </c>
      <c r="F26" s="1" t="s">
        <v>24</v>
      </c>
      <c r="G26" s="1">
        <f t="shared" si="1"/>
        <v>754.4</v>
      </c>
      <c r="H26" s="1"/>
      <c r="I26" s="1">
        <f t="shared" si="2"/>
        <v>0</v>
      </c>
      <c r="J26" s="1"/>
      <c r="K26" s="1">
        <f t="shared" si="3"/>
        <v>0</v>
      </c>
      <c r="L26" s="1"/>
      <c r="M26" s="1">
        <f t="shared" si="4"/>
        <v>0</v>
      </c>
      <c r="N26" s="1"/>
      <c r="O26" s="46">
        <f t="shared" si="5"/>
        <v>754.4</v>
      </c>
      <c r="P26" s="46">
        <f t="shared" si="0"/>
        <v>2246.6</v>
      </c>
      <c r="Q26" s="47">
        <f t="shared" si="6"/>
        <v>2.0486399999999998</v>
      </c>
      <c r="R26" s="37">
        <f t="shared" si="7"/>
        <v>1545.4940159999999</v>
      </c>
      <c r="S26" s="1"/>
      <c r="U26" s="40" t="s">
        <v>46</v>
      </c>
      <c r="V26" s="38">
        <v>761.69999999999993</v>
      </c>
      <c r="W26" s="1"/>
      <c r="Y26" s="37"/>
    </row>
    <row r="27" spans="4:25" x14ac:dyDescent="0.15">
      <c r="D27" s="13" t="s">
        <v>177</v>
      </c>
      <c r="F27" s="1" t="s">
        <v>51</v>
      </c>
      <c r="G27" s="1">
        <f t="shared" si="1"/>
        <v>589.37499999999989</v>
      </c>
      <c r="H27" s="1"/>
      <c r="I27" s="1">
        <f t="shared" si="2"/>
        <v>0</v>
      </c>
      <c r="J27" s="1"/>
      <c r="K27" s="1">
        <f t="shared" si="3"/>
        <v>0</v>
      </c>
      <c r="L27" s="1"/>
      <c r="M27" s="1">
        <f t="shared" si="4"/>
        <v>0</v>
      </c>
      <c r="N27" s="1"/>
      <c r="O27" s="46">
        <f t="shared" si="5"/>
        <v>589.37499999999989</v>
      </c>
      <c r="P27" s="46">
        <f t="shared" si="0"/>
        <v>2411.625</v>
      </c>
      <c r="Q27" s="47">
        <f t="shared" si="6"/>
        <v>2.1146500000000001</v>
      </c>
      <c r="R27" s="37">
        <f t="shared" si="7"/>
        <v>1246.3218437499997</v>
      </c>
      <c r="S27" s="1"/>
      <c r="U27" s="40" t="s">
        <v>47</v>
      </c>
      <c r="V27" s="38">
        <v>761.7</v>
      </c>
      <c r="W27" s="1"/>
      <c r="Y27" s="37"/>
    </row>
    <row r="28" spans="4:25" x14ac:dyDescent="0.15">
      <c r="D28" s="13" t="s">
        <v>179</v>
      </c>
      <c r="F28" s="1" t="s">
        <v>46</v>
      </c>
      <c r="G28" s="1">
        <f t="shared" si="1"/>
        <v>761.69999999999993</v>
      </c>
      <c r="H28" s="1"/>
      <c r="I28" s="1">
        <f t="shared" si="2"/>
        <v>0</v>
      </c>
      <c r="J28" s="1"/>
      <c r="K28" s="1">
        <f t="shared" si="3"/>
        <v>0</v>
      </c>
      <c r="L28" s="1"/>
      <c r="M28" s="1">
        <f t="shared" si="4"/>
        <v>0</v>
      </c>
      <c r="N28" s="1"/>
      <c r="O28" s="46">
        <f t="shared" si="5"/>
        <v>761.69999999999993</v>
      </c>
      <c r="P28" s="46">
        <f t="shared" si="0"/>
        <v>2239.3000000000002</v>
      </c>
      <c r="Q28" s="47">
        <f t="shared" si="6"/>
        <v>2.0457200000000002</v>
      </c>
      <c r="R28" s="37">
        <f t="shared" si="7"/>
        <v>1558.2249240000001</v>
      </c>
      <c r="S28" s="1"/>
      <c r="U28" s="40" t="s">
        <v>48</v>
      </c>
      <c r="V28" s="38">
        <v>761.7</v>
      </c>
      <c r="W28" s="1"/>
      <c r="Y28" s="37"/>
    </row>
    <row r="29" spans="4:25" x14ac:dyDescent="0.15">
      <c r="D29" s="13" t="s">
        <v>180</v>
      </c>
      <c r="F29" s="1" t="s">
        <v>47</v>
      </c>
      <c r="G29" s="1">
        <f t="shared" si="1"/>
        <v>761.7</v>
      </c>
      <c r="H29" s="1"/>
      <c r="I29" s="1">
        <f t="shared" si="2"/>
        <v>0</v>
      </c>
      <c r="J29" s="1"/>
      <c r="K29" s="1">
        <f t="shared" si="3"/>
        <v>0</v>
      </c>
      <c r="L29" s="1"/>
      <c r="M29" s="1">
        <f t="shared" si="4"/>
        <v>0</v>
      </c>
      <c r="N29" s="1"/>
      <c r="O29" s="46">
        <f t="shared" si="5"/>
        <v>761.7</v>
      </c>
      <c r="P29" s="46">
        <f t="shared" si="0"/>
        <v>2239.3000000000002</v>
      </c>
      <c r="Q29" s="47">
        <f t="shared" si="6"/>
        <v>2.0457200000000002</v>
      </c>
      <c r="R29" s="37">
        <f t="shared" si="7"/>
        <v>1558.2249240000003</v>
      </c>
      <c r="S29" s="1"/>
      <c r="U29" s="40" t="s">
        <v>49</v>
      </c>
      <c r="V29" s="38">
        <v>761.7</v>
      </c>
      <c r="W29" s="1"/>
      <c r="Y29" s="37"/>
    </row>
    <row r="30" spans="4:25" x14ac:dyDescent="0.15">
      <c r="D30" s="13" t="s">
        <v>203</v>
      </c>
      <c r="F30" s="1" t="s">
        <v>43</v>
      </c>
      <c r="G30" s="1">
        <f t="shared" si="1"/>
        <v>408.9</v>
      </c>
      <c r="H30" s="1"/>
      <c r="I30" s="1">
        <f t="shared" si="2"/>
        <v>0</v>
      </c>
      <c r="J30" s="1"/>
      <c r="K30" s="1">
        <f t="shared" si="3"/>
        <v>0</v>
      </c>
      <c r="L30" s="1"/>
      <c r="M30" s="1">
        <f t="shared" si="4"/>
        <v>0</v>
      </c>
      <c r="N30" s="1"/>
      <c r="O30" s="46">
        <f t="shared" si="5"/>
        <v>408.9</v>
      </c>
      <c r="P30" s="46">
        <f t="shared" si="0"/>
        <v>2592.1</v>
      </c>
      <c r="Q30" s="47">
        <f t="shared" si="6"/>
        <v>2.1868400000000001</v>
      </c>
      <c r="R30" s="37">
        <f t="shared" si="7"/>
        <v>894.19887600000004</v>
      </c>
      <c r="S30" s="1"/>
      <c r="U30" s="7" t="s">
        <v>942</v>
      </c>
      <c r="V30" s="38">
        <v>180</v>
      </c>
      <c r="W30" s="1"/>
      <c r="Y30" s="37"/>
    </row>
    <row r="31" spans="4:25" x14ac:dyDescent="0.15">
      <c r="D31" s="13" t="s">
        <v>204</v>
      </c>
      <c r="F31" s="1" t="s">
        <v>48</v>
      </c>
      <c r="G31" s="1">
        <f t="shared" si="1"/>
        <v>761.7</v>
      </c>
      <c r="H31" s="1" t="s">
        <v>193</v>
      </c>
      <c r="I31" s="1">
        <f t="shared" si="2"/>
        <v>179</v>
      </c>
      <c r="J31" s="1"/>
      <c r="K31" s="1">
        <f t="shared" si="3"/>
        <v>0</v>
      </c>
      <c r="L31" s="1"/>
      <c r="M31" s="1">
        <f t="shared" si="4"/>
        <v>0</v>
      </c>
      <c r="N31" s="1"/>
      <c r="O31" s="46">
        <f t="shared" si="5"/>
        <v>940.7</v>
      </c>
      <c r="P31" s="46">
        <f t="shared" si="0"/>
        <v>2060.3000000000002</v>
      </c>
      <c r="Q31" s="47">
        <f t="shared" si="6"/>
        <v>1.9741200000000001</v>
      </c>
      <c r="R31" s="37">
        <f t="shared" si="7"/>
        <v>1857.0546840000002</v>
      </c>
      <c r="S31" s="1"/>
      <c r="U31" s="7" t="s">
        <v>943</v>
      </c>
      <c r="V31" s="38">
        <v>405</v>
      </c>
      <c r="W31" s="1"/>
      <c r="Y31" s="37"/>
    </row>
    <row r="32" spans="4:25" x14ac:dyDescent="0.15">
      <c r="D32" s="13" t="s">
        <v>181</v>
      </c>
      <c r="F32" s="1" t="s">
        <v>49</v>
      </c>
      <c r="G32" s="1">
        <f t="shared" si="1"/>
        <v>761.7</v>
      </c>
      <c r="H32" s="1"/>
      <c r="I32" s="1">
        <f t="shared" si="2"/>
        <v>0</v>
      </c>
      <c r="J32" s="1"/>
      <c r="K32" s="1">
        <f t="shared" si="3"/>
        <v>0</v>
      </c>
      <c r="L32" s="1"/>
      <c r="M32" s="1">
        <f t="shared" si="4"/>
        <v>0</v>
      </c>
      <c r="N32" s="1"/>
      <c r="O32" s="46">
        <f t="shared" si="5"/>
        <v>761.7</v>
      </c>
      <c r="P32" s="46">
        <f t="shared" si="0"/>
        <v>2239.3000000000002</v>
      </c>
      <c r="Q32" s="47">
        <f t="shared" si="6"/>
        <v>2.0457200000000002</v>
      </c>
      <c r="R32" s="37">
        <f t="shared" si="7"/>
        <v>1558.2249240000003</v>
      </c>
      <c r="U32" s="7" t="s">
        <v>944</v>
      </c>
      <c r="V32" s="38">
        <v>360</v>
      </c>
      <c r="W32" s="1"/>
      <c r="Y32" s="37"/>
    </row>
    <row r="33" spans="4:25" x14ac:dyDescent="0.15">
      <c r="D33" s="13" t="s">
        <v>206</v>
      </c>
      <c r="F33" s="1" t="s">
        <v>162</v>
      </c>
      <c r="G33" s="1">
        <f t="shared" si="1"/>
        <v>360</v>
      </c>
      <c r="H33" s="1" t="s">
        <v>188</v>
      </c>
      <c r="I33" s="1">
        <f t="shared" si="2"/>
        <v>86.5</v>
      </c>
      <c r="J33" s="1"/>
      <c r="K33" s="1">
        <f t="shared" si="3"/>
        <v>0</v>
      </c>
      <c r="L33" s="1"/>
      <c r="M33" s="1">
        <f t="shared" si="4"/>
        <v>0</v>
      </c>
      <c r="N33" s="1"/>
      <c r="O33" s="46">
        <f t="shared" si="5"/>
        <v>446.5</v>
      </c>
      <c r="P33" s="46">
        <f t="shared" si="0"/>
        <v>2554.5</v>
      </c>
      <c r="Q33" s="47">
        <f t="shared" si="6"/>
        <v>2.1718000000000002</v>
      </c>
      <c r="R33" s="37">
        <f t="shared" si="7"/>
        <v>969.70870000000002</v>
      </c>
      <c r="U33" s="7" t="s">
        <v>947</v>
      </c>
      <c r="V33" s="38">
        <v>360</v>
      </c>
      <c r="W33" s="1"/>
      <c r="Y33" s="37"/>
    </row>
    <row r="34" spans="4:25" x14ac:dyDescent="0.15">
      <c r="D34" s="13" t="s">
        <v>207</v>
      </c>
      <c r="F34" s="1" t="s">
        <v>53</v>
      </c>
      <c r="G34" s="1">
        <f t="shared" si="1"/>
        <v>194.1</v>
      </c>
      <c r="H34" s="1" t="s">
        <v>25</v>
      </c>
      <c r="I34" s="1">
        <f t="shared" si="2"/>
        <v>429.75</v>
      </c>
      <c r="J34" s="1" t="s">
        <v>919</v>
      </c>
      <c r="K34" s="1">
        <f t="shared" si="3"/>
        <v>43.125</v>
      </c>
      <c r="L34" s="1" t="s">
        <v>189</v>
      </c>
      <c r="M34" s="1">
        <f t="shared" si="4"/>
        <v>25</v>
      </c>
      <c r="N34" s="1"/>
      <c r="O34" s="46">
        <f t="shared" si="5"/>
        <v>691.97500000000002</v>
      </c>
      <c r="P34" s="46">
        <f t="shared" si="0"/>
        <v>2309.0250000000001</v>
      </c>
      <c r="Q34" s="47">
        <f t="shared" si="6"/>
        <v>2.07361</v>
      </c>
      <c r="R34" s="37">
        <f t="shared" si="7"/>
        <v>1434.8862797500001</v>
      </c>
      <c r="U34" t="s">
        <v>187</v>
      </c>
      <c r="V34" s="38">
        <v>30</v>
      </c>
      <c r="W34" s="1"/>
      <c r="Y34" s="37"/>
    </row>
    <row r="35" spans="4:25" x14ac:dyDescent="0.15">
      <c r="D35" s="13" t="s">
        <v>183</v>
      </c>
      <c r="F35" s="1" t="s">
        <v>174</v>
      </c>
      <c r="G35" s="1">
        <f t="shared" si="1"/>
        <v>319.45312499999994</v>
      </c>
      <c r="H35" s="1" t="s">
        <v>161</v>
      </c>
      <c r="I35" s="1">
        <f t="shared" si="2"/>
        <v>405</v>
      </c>
      <c r="J35" s="1" t="s">
        <v>34</v>
      </c>
      <c r="K35" s="1">
        <f t="shared" si="3"/>
        <v>43.125</v>
      </c>
      <c r="L35" s="1" t="s">
        <v>919</v>
      </c>
      <c r="M35" s="1">
        <f t="shared" si="4"/>
        <v>43.125</v>
      </c>
      <c r="N35" s="1"/>
      <c r="O35" s="46">
        <f t="shared" si="5"/>
        <v>810.703125</v>
      </c>
      <c r="P35" s="46">
        <f t="shared" ref="P35:P66" si="8">3001-O35</f>
        <v>2190.296875</v>
      </c>
      <c r="Q35" s="47">
        <f t="shared" si="6"/>
        <v>2.0261187499999997</v>
      </c>
      <c r="R35" s="37">
        <f t="shared" si="7"/>
        <v>1642.5808022460935</v>
      </c>
      <c r="U35" t="s">
        <v>188</v>
      </c>
      <c r="V35" s="38">
        <v>86.5</v>
      </c>
      <c r="W35" s="1"/>
      <c r="Y35" s="37"/>
    </row>
    <row r="36" spans="4:25" x14ac:dyDescent="0.15">
      <c r="D36" s="13" t="s">
        <v>208</v>
      </c>
      <c r="F36" s="1" t="s">
        <v>36</v>
      </c>
      <c r="G36" s="1">
        <f t="shared" si="1"/>
        <v>51.9</v>
      </c>
      <c r="H36" s="1" t="s">
        <v>22</v>
      </c>
      <c r="I36" s="1">
        <f t="shared" si="2"/>
        <v>358.125</v>
      </c>
      <c r="J36" s="1" t="s">
        <v>49</v>
      </c>
      <c r="K36" s="1">
        <f t="shared" si="3"/>
        <v>761.7</v>
      </c>
      <c r="L36" s="1" t="s">
        <v>205</v>
      </c>
      <c r="M36" s="1">
        <f t="shared" si="4"/>
        <v>360</v>
      </c>
      <c r="N36" s="1"/>
      <c r="O36" s="46">
        <f t="shared" si="5"/>
        <v>1531.7249999999999</v>
      </c>
      <c r="P36" s="46">
        <f t="shared" si="8"/>
        <v>1469.2750000000001</v>
      </c>
      <c r="Q36" s="47">
        <f t="shared" si="6"/>
        <v>1.7377099999999999</v>
      </c>
      <c r="R36" s="37">
        <f t="shared" si="7"/>
        <v>2661.6938497499996</v>
      </c>
      <c r="U36" s="1" t="s">
        <v>189</v>
      </c>
      <c r="V36" s="38">
        <v>25</v>
      </c>
      <c r="W36" s="1"/>
      <c r="Y36" s="37"/>
    </row>
    <row r="37" spans="4:25" x14ac:dyDescent="0.15">
      <c r="D37" s="13" t="s">
        <v>209</v>
      </c>
      <c r="F37" s="1" t="s">
        <v>45</v>
      </c>
      <c r="G37" s="1">
        <f t="shared" si="1"/>
        <v>382</v>
      </c>
      <c r="H37" s="1"/>
      <c r="I37" s="1">
        <f t="shared" si="2"/>
        <v>0</v>
      </c>
      <c r="J37" s="1"/>
      <c r="K37" s="1">
        <f t="shared" si="3"/>
        <v>0</v>
      </c>
      <c r="L37" s="1"/>
      <c r="M37" s="1">
        <f t="shared" si="4"/>
        <v>0</v>
      </c>
      <c r="N37" s="1"/>
      <c r="O37" s="46">
        <f t="shared" si="5"/>
        <v>382</v>
      </c>
      <c r="P37" s="46">
        <f t="shared" si="8"/>
        <v>2619</v>
      </c>
      <c r="Q37" s="47">
        <f t="shared" si="6"/>
        <v>2.1975999999999996</v>
      </c>
      <c r="R37" s="37">
        <f t="shared" si="7"/>
        <v>839.48319999999978</v>
      </c>
      <c r="U37" s="1" t="s">
        <v>856</v>
      </c>
      <c r="V37" s="38">
        <v>51.9</v>
      </c>
      <c r="W37" s="1"/>
      <c r="Y37" s="37"/>
    </row>
    <row r="38" spans="4:25" x14ac:dyDescent="0.15">
      <c r="D38" s="13" t="s">
        <v>210</v>
      </c>
      <c r="F38" s="1" t="s">
        <v>49</v>
      </c>
      <c r="G38" s="1">
        <f t="shared" si="1"/>
        <v>761.7</v>
      </c>
      <c r="H38" s="1" t="s">
        <v>36</v>
      </c>
      <c r="I38" s="1">
        <f t="shared" si="2"/>
        <v>51.9</v>
      </c>
      <c r="J38" s="1" t="s">
        <v>39</v>
      </c>
      <c r="K38" s="1">
        <f t="shared" si="3"/>
        <v>135.5</v>
      </c>
      <c r="L38" s="1" t="s">
        <v>827</v>
      </c>
      <c r="M38" s="1">
        <f t="shared" si="4"/>
        <v>25</v>
      </c>
      <c r="N38" s="1"/>
      <c r="O38" s="46">
        <f t="shared" si="5"/>
        <v>974.1</v>
      </c>
      <c r="P38" s="46">
        <f t="shared" si="8"/>
        <v>2026.9</v>
      </c>
      <c r="Q38" s="47">
        <f t="shared" si="6"/>
        <v>1.9607599999999998</v>
      </c>
      <c r="R38" s="37">
        <f t="shared" si="7"/>
        <v>1909.976316</v>
      </c>
      <c r="U38" s="1" t="s">
        <v>193</v>
      </c>
      <c r="V38" s="34">
        <v>179</v>
      </c>
      <c r="W38" s="1"/>
      <c r="Y38" s="37"/>
    </row>
    <row r="39" spans="4:25" x14ac:dyDescent="0.15">
      <c r="D39" s="13" t="s">
        <v>169</v>
      </c>
      <c r="F39" s="1" t="s">
        <v>54</v>
      </c>
      <c r="G39" s="1">
        <f t="shared" si="1"/>
        <v>339.67500000000001</v>
      </c>
      <c r="H39" s="1" t="s">
        <v>161</v>
      </c>
      <c r="I39" s="1">
        <f t="shared" si="2"/>
        <v>405</v>
      </c>
      <c r="J39" s="1" t="s">
        <v>23</v>
      </c>
      <c r="K39" s="1">
        <f t="shared" si="3"/>
        <v>243.9</v>
      </c>
      <c r="L39" s="1" t="s">
        <v>827</v>
      </c>
      <c r="M39" s="1">
        <f t="shared" si="4"/>
        <v>25</v>
      </c>
      <c r="N39" s="1"/>
      <c r="O39" s="46">
        <f t="shared" si="5"/>
        <v>1013.5749999999999</v>
      </c>
      <c r="P39" s="46">
        <f t="shared" si="8"/>
        <v>1987.4250000000002</v>
      </c>
      <c r="Q39" s="47">
        <f t="shared" si="6"/>
        <v>1.9449700000000001</v>
      </c>
      <c r="R39" s="37">
        <f t="shared" si="7"/>
        <v>1971.37296775</v>
      </c>
      <c r="S39" s="34"/>
      <c r="U39" s="1" t="s">
        <v>174</v>
      </c>
      <c r="V39" s="38">
        <v>319.45312499999994</v>
      </c>
      <c r="W39" s="1"/>
      <c r="Y39" s="37"/>
    </row>
    <row r="40" spans="4:25" x14ac:dyDescent="0.15">
      <c r="D40" s="13" t="s">
        <v>211</v>
      </c>
      <c r="F40" s="1" t="s">
        <v>162</v>
      </c>
      <c r="G40" s="1">
        <f t="shared" si="1"/>
        <v>360</v>
      </c>
      <c r="H40" s="1" t="s">
        <v>179</v>
      </c>
      <c r="I40" s="1">
        <f t="shared" si="2"/>
        <v>761.69999999999993</v>
      </c>
      <c r="J40" s="1"/>
      <c r="K40" s="1">
        <f t="shared" si="3"/>
        <v>0</v>
      </c>
      <c r="L40" s="1"/>
      <c r="M40" s="1">
        <f t="shared" si="4"/>
        <v>0</v>
      </c>
      <c r="N40" s="1"/>
      <c r="O40" s="46">
        <f t="shared" si="5"/>
        <v>1121.6999999999998</v>
      </c>
      <c r="P40" s="46">
        <f t="shared" si="8"/>
        <v>1879.3000000000002</v>
      </c>
      <c r="Q40" s="47">
        <f t="shared" si="6"/>
        <v>1.9017200000000001</v>
      </c>
      <c r="R40" s="37">
        <f t="shared" si="7"/>
        <v>2133.1593239999997</v>
      </c>
      <c r="S40" s="34"/>
      <c r="U40" s="1" t="s">
        <v>178</v>
      </c>
      <c r="V40" s="38">
        <v>660.09999999999991</v>
      </c>
      <c r="W40" s="1"/>
      <c r="Y40" s="37"/>
    </row>
    <row r="41" spans="4:25" x14ac:dyDescent="0.15">
      <c r="D41" s="13" t="s">
        <v>212</v>
      </c>
      <c r="F41" s="1" t="s">
        <v>47</v>
      </c>
      <c r="G41" s="1">
        <f t="shared" si="1"/>
        <v>761.7</v>
      </c>
      <c r="H41" s="1" t="s">
        <v>46</v>
      </c>
      <c r="I41" s="1">
        <f t="shared" si="2"/>
        <v>761.69999999999993</v>
      </c>
      <c r="J41" s="1" t="s">
        <v>193</v>
      </c>
      <c r="K41" s="1">
        <f t="shared" si="3"/>
        <v>179</v>
      </c>
      <c r="L41" s="1"/>
      <c r="M41" s="1">
        <f t="shared" si="4"/>
        <v>0</v>
      </c>
      <c r="N41" s="1"/>
      <c r="O41" s="46">
        <f t="shared" si="5"/>
        <v>1702.4</v>
      </c>
      <c r="P41" s="46">
        <f t="shared" si="8"/>
        <v>1298.5999999999999</v>
      </c>
      <c r="Q41" s="47">
        <f t="shared" si="6"/>
        <v>1.6694399999999998</v>
      </c>
      <c r="R41" s="37">
        <f t="shared" si="7"/>
        <v>2842.0546559999998</v>
      </c>
      <c r="S41" s="34"/>
      <c r="U41" s="1" t="s">
        <v>250</v>
      </c>
      <c r="V41" s="38">
        <v>121.94999999999997</v>
      </c>
      <c r="W41" s="1"/>
      <c r="Y41" s="37"/>
    </row>
    <row r="42" spans="4:25" x14ac:dyDescent="0.15">
      <c r="D42" s="13" t="s">
        <v>213</v>
      </c>
      <c r="F42" s="1" t="s">
        <v>187</v>
      </c>
      <c r="G42" s="1">
        <f t="shared" si="1"/>
        <v>30</v>
      </c>
      <c r="H42" s="1" t="s">
        <v>136</v>
      </c>
      <c r="I42" s="1">
        <f t="shared" si="2"/>
        <v>1781.25</v>
      </c>
      <c r="J42" s="1" t="s">
        <v>198</v>
      </c>
      <c r="K42" s="1">
        <f t="shared" si="3"/>
        <v>121.94999999999997</v>
      </c>
      <c r="L42" s="1"/>
      <c r="M42" s="1">
        <f t="shared" si="4"/>
        <v>0</v>
      </c>
      <c r="N42" s="1"/>
      <c r="O42" s="46">
        <f t="shared" si="5"/>
        <v>1933.2</v>
      </c>
      <c r="P42" s="46">
        <f t="shared" si="8"/>
        <v>1067.8</v>
      </c>
      <c r="Q42" s="47">
        <f t="shared" si="6"/>
        <v>1.5771199999999999</v>
      </c>
      <c r="R42" s="37">
        <f t="shared" si="7"/>
        <v>3048.8883839999999</v>
      </c>
      <c r="U42" s="1" t="s">
        <v>827</v>
      </c>
      <c r="V42" s="34">
        <v>25</v>
      </c>
      <c r="W42" s="1"/>
      <c r="Y42" s="37"/>
    </row>
    <row r="43" spans="4:25" x14ac:dyDescent="0.15">
      <c r="D43" s="13" t="s">
        <v>214</v>
      </c>
      <c r="F43" s="1" t="s">
        <v>178</v>
      </c>
      <c r="G43" s="1">
        <f t="shared" si="1"/>
        <v>660.09999999999991</v>
      </c>
      <c r="H43" s="1" t="s">
        <v>162</v>
      </c>
      <c r="I43" s="1">
        <f t="shared" si="2"/>
        <v>360</v>
      </c>
      <c r="J43" s="1" t="s">
        <v>827</v>
      </c>
      <c r="K43" s="1">
        <f t="shared" si="3"/>
        <v>25</v>
      </c>
      <c r="L43" s="1"/>
      <c r="M43" s="1">
        <f t="shared" si="4"/>
        <v>0</v>
      </c>
      <c r="N43" s="1"/>
      <c r="O43" s="46">
        <f t="shared" si="5"/>
        <v>1045.0999999999999</v>
      </c>
      <c r="P43" s="46">
        <f t="shared" si="8"/>
        <v>1955.9</v>
      </c>
      <c r="Q43" s="47">
        <f t="shared" si="6"/>
        <v>1.9323600000000001</v>
      </c>
      <c r="R43" s="37">
        <f t="shared" si="7"/>
        <v>2019.5094359999998</v>
      </c>
      <c r="U43" s="34" t="s">
        <v>446</v>
      </c>
      <c r="V43" s="34">
        <v>179</v>
      </c>
      <c r="W43" s="1"/>
      <c r="Y43" s="37"/>
    </row>
    <row r="44" spans="4:25" x14ac:dyDescent="0.15">
      <c r="D44" s="13" t="s">
        <v>215</v>
      </c>
      <c r="F44" s="1" t="s">
        <v>178</v>
      </c>
      <c r="G44" s="1">
        <f t="shared" si="1"/>
        <v>660.09999999999991</v>
      </c>
      <c r="H44" s="1" t="s">
        <v>827</v>
      </c>
      <c r="I44" s="1">
        <f t="shared" si="2"/>
        <v>25</v>
      </c>
      <c r="J44" s="1"/>
      <c r="K44" s="1">
        <f t="shared" si="3"/>
        <v>0</v>
      </c>
      <c r="L44" s="1"/>
      <c r="M44" s="1">
        <f t="shared" si="4"/>
        <v>0</v>
      </c>
      <c r="N44" s="1"/>
      <c r="O44" s="46">
        <f t="shared" si="5"/>
        <v>685.09999999999991</v>
      </c>
      <c r="P44" s="46">
        <f t="shared" si="8"/>
        <v>2315.9</v>
      </c>
      <c r="Q44" s="47">
        <f t="shared" si="6"/>
        <v>2.0763599999999998</v>
      </c>
      <c r="R44" s="37">
        <f t="shared" si="7"/>
        <v>1422.5142359999998</v>
      </c>
      <c r="T44" s="34"/>
      <c r="U44" s="13" t="s">
        <v>249</v>
      </c>
      <c r="V44" s="46">
        <v>344.45312499999994</v>
      </c>
      <c r="W44" s="1"/>
      <c r="Y44" s="37"/>
    </row>
    <row r="45" spans="4:25" x14ac:dyDescent="0.15">
      <c r="D45" s="13" t="s">
        <v>176</v>
      </c>
      <c r="F45" s="1" t="s">
        <v>175</v>
      </c>
      <c r="G45" s="1">
        <f t="shared" si="1"/>
        <v>754.4</v>
      </c>
      <c r="H45" s="1" t="s">
        <v>188</v>
      </c>
      <c r="I45" s="1">
        <f t="shared" si="2"/>
        <v>86.5</v>
      </c>
      <c r="J45" s="1"/>
      <c r="K45" s="1">
        <f t="shared" si="3"/>
        <v>0</v>
      </c>
      <c r="L45" s="1"/>
      <c r="M45" s="1">
        <f t="shared" si="4"/>
        <v>0</v>
      </c>
      <c r="N45" s="1"/>
      <c r="O45" s="46">
        <f t="shared" si="5"/>
        <v>840.9</v>
      </c>
      <c r="P45" s="46">
        <f t="shared" si="8"/>
        <v>2160.1</v>
      </c>
      <c r="Q45" s="47">
        <f t="shared" si="6"/>
        <v>2.0140399999999996</v>
      </c>
      <c r="R45" s="37">
        <f t="shared" si="7"/>
        <v>1693.6062359999996</v>
      </c>
      <c r="T45" s="34"/>
      <c r="U45" s="13" t="s">
        <v>196</v>
      </c>
      <c r="V45" s="46">
        <v>180</v>
      </c>
      <c r="W45" s="1"/>
      <c r="Y45" s="37"/>
    </row>
    <row r="46" spans="4:25" x14ac:dyDescent="0.15">
      <c r="D46" s="13" t="s">
        <v>186</v>
      </c>
      <c r="F46" s="1" t="s">
        <v>44</v>
      </c>
      <c r="G46" s="1">
        <f t="shared" si="1"/>
        <v>226.45</v>
      </c>
      <c r="H46" s="1" t="s">
        <v>188</v>
      </c>
      <c r="I46" s="1">
        <f t="shared" si="2"/>
        <v>86.5</v>
      </c>
      <c r="J46" s="1"/>
      <c r="K46" s="1">
        <f t="shared" si="3"/>
        <v>0</v>
      </c>
      <c r="L46" s="1"/>
      <c r="M46" s="1">
        <f t="shared" si="4"/>
        <v>0</v>
      </c>
      <c r="N46" s="1"/>
      <c r="O46" s="46">
        <f t="shared" si="5"/>
        <v>312.95</v>
      </c>
      <c r="P46" s="46">
        <f t="shared" si="8"/>
        <v>2688.05</v>
      </c>
      <c r="Q46" s="47">
        <f t="shared" si="6"/>
        <v>2.2252200000000002</v>
      </c>
      <c r="R46" s="37">
        <f t="shared" si="7"/>
        <v>696.38259900000003</v>
      </c>
      <c r="T46" s="34"/>
      <c r="U46" s="13" t="s">
        <v>206</v>
      </c>
      <c r="V46" s="46">
        <v>446.5</v>
      </c>
      <c r="W46" s="1"/>
      <c r="Y46" s="37"/>
    </row>
    <row r="47" spans="4:25" x14ac:dyDescent="0.15">
      <c r="D47" s="13" t="s">
        <v>173</v>
      </c>
      <c r="F47" s="1" t="s">
        <v>954</v>
      </c>
      <c r="G47" s="1">
        <f t="shared" si="1"/>
        <v>319.45312499999994</v>
      </c>
      <c r="H47" s="1" t="s">
        <v>50</v>
      </c>
      <c r="I47" s="1">
        <f t="shared" si="2"/>
        <v>340.74999999999994</v>
      </c>
      <c r="J47" s="1" t="s">
        <v>188</v>
      </c>
      <c r="K47" s="1">
        <f t="shared" si="3"/>
        <v>86.5</v>
      </c>
      <c r="L47" s="1"/>
      <c r="M47" s="1">
        <f t="shared" si="4"/>
        <v>0</v>
      </c>
      <c r="N47" s="1"/>
      <c r="O47" s="46">
        <f t="shared" si="5"/>
        <v>746.70312499999989</v>
      </c>
      <c r="P47" s="46">
        <f t="shared" si="8"/>
        <v>2254.296875</v>
      </c>
      <c r="Q47" s="47">
        <f t="shared" si="6"/>
        <v>2.05171875</v>
      </c>
      <c r="R47" s="37">
        <f t="shared" si="7"/>
        <v>1532.0248022460935</v>
      </c>
      <c r="S47" s="1"/>
      <c r="U47" s="1" t="s">
        <v>198</v>
      </c>
      <c r="V47" s="38">
        <v>121.94999999999997</v>
      </c>
      <c r="W47" s="1"/>
      <c r="Y47" s="37"/>
    </row>
    <row r="48" spans="4:25" x14ac:dyDescent="0.15">
      <c r="D48" s="13" t="s">
        <v>216</v>
      </c>
      <c r="F48" s="1" t="s">
        <v>181</v>
      </c>
      <c r="G48" s="1">
        <f t="shared" si="1"/>
        <v>761.7</v>
      </c>
      <c r="H48" s="1" t="s">
        <v>188</v>
      </c>
      <c r="I48" s="1">
        <f t="shared" si="2"/>
        <v>86.5</v>
      </c>
      <c r="J48" s="1"/>
      <c r="K48" s="1">
        <f t="shared" si="3"/>
        <v>0</v>
      </c>
      <c r="L48" s="1"/>
      <c r="M48" s="1">
        <f t="shared" si="4"/>
        <v>0</v>
      </c>
      <c r="N48" s="1"/>
      <c r="O48" s="46">
        <f t="shared" si="5"/>
        <v>848.2</v>
      </c>
      <c r="P48" s="46">
        <f t="shared" si="8"/>
        <v>2152.8000000000002</v>
      </c>
      <c r="Q48" s="47">
        <f t="shared" si="6"/>
        <v>2.01112</v>
      </c>
      <c r="R48" s="37">
        <f t="shared" si="7"/>
        <v>1705.8319840000001</v>
      </c>
      <c r="S48" s="1"/>
      <c r="U48" s="1" t="s">
        <v>171</v>
      </c>
      <c r="V48" s="46">
        <v>859.75</v>
      </c>
      <c r="W48" s="1"/>
      <c r="Y48" s="37"/>
    </row>
    <row r="49" spans="4:25" x14ac:dyDescent="0.15">
      <c r="D49" s="13" t="s">
        <v>217</v>
      </c>
      <c r="F49" s="1" t="s">
        <v>193</v>
      </c>
      <c r="G49" s="1">
        <f t="shared" si="1"/>
        <v>179</v>
      </c>
      <c r="H49" s="1" t="s">
        <v>50</v>
      </c>
      <c r="I49" s="1">
        <f t="shared" si="2"/>
        <v>340.74999999999994</v>
      </c>
      <c r="J49" s="1" t="s">
        <v>188</v>
      </c>
      <c r="K49" s="1">
        <f t="shared" si="3"/>
        <v>86.5</v>
      </c>
      <c r="L49" s="1"/>
      <c r="M49" s="1">
        <f t="shared" si="4"/>
        <v>0</v>
      </c>
      <c r="N49" s="1"/>
      <c r="O49" s="46">
        <f t="shared" si="5"/>
        <v>606.25</v>
      </c>
      <c r="P49" s="46">
        <f t="shared" si="8"/>
        <v>2394.75</v>
      </c>
      <c r="Q49" s="47">
        <f t="shared" si="6"/>
        <v>2.1078999999999999</v>
      </c>
      <c r="R49" s="37">
        <f t="shared" si="7"/>
        <v>1277.9143749999998</v>
      </c>
      <c r="S49" s="1"/>
      <c r="U49" s="1" t="s">
        <v>236</v>
      </c>
      <c r="V49" s="34"/>
      <c r="W49" s="1"/>
      <c r="Y49" s="37"/>
    </row>
    <row r="50" spans="4:25" x14ac:dyDescent="0.15">
      <c r="D50" s="13" t="s">
        <v>218</v>
      </c>
      <c r="F50" s="1" t="s">
        <v>180</v>
      </c>
      <c r="G50" s="1">
        <f t="shared" si="1"/>
        <v>761.7</v>
      </c>
      <c r="H50" s="1" t="s">
        <v>179</v>
      </c>
      <c r="I50" s="1">
        <f t="shared" si="2"/>
        <v>761.69999999999993</v>
      </c>
      <c r="J50" s="1" t="s">
        <v>188</v>
      </c>
      <c r="K50" s="1">
        <f t="shared" si="3"/>
        <v>86.5</v>
      </c>
      <c r="L50" s="1"/>
      <c r="M50" s="1">
        <f t="shared" si="4"/>
        <v>0</v>
      </c>
      <c r="N50" s="1"/>
      <c r="O50" s="46">
        <f t="shared" si="5"/>
        <v>1609.9</v>
      </c>
      <c r="P50" s="46">
        <f t="shared" si="8"/>
        <v>1391.1</v>
      </c>
      <c r="Q50" s="47">
        <f t="shared" si="6"/>
        <v>1.7064399999999997</v>
      </c>
      <c r="R50" s="37">
        <f t="shared" si="7"/>
        <v>2747.1977559999996</v>
      </c>
      <c r="S50" s="1"/>
      <c r="U50" s="1" t="s">
        <v>205</v>
      </c>
      <c r="V50" s="38">
        <v>360</v>
      </c>
      <c r="W50" s="1"/>
      <c r="Y50" s="37"/>
    </row>
    <row r="51" spans="4:25" x14ac:dyDescent="0.15">
      <c r="D51" s="13" t="s">
        <v>219</v>
      </c>
      <c r="F51" s="1" t="s">
        <v>179</v>
      </c>
      <c r="G51" s="1">
        <f t="shared" si="1"/>
        <v>761.69999999999993</v>
      </c>
      <c r="H51" s="1" t="s">
        <v>175</v>
      </c>
      <c r="I51" s="1">
        <f t="shared" si="2"/>
        <v>754.4</v>
      </c>
      <c r="J51" s="1" t="s">
        <v>185</v>
      </c>
      <c r="K51" s="1">
        <f t="shared" si="3"/>
        <v>127.2</v>
      </c>
      <c r="L51" s="1" t="s">
        <v>188</v>
      </c>
      <c r="M51" s="1">
        <f t="shared" si="4"/>
        <v>86.5</v>
      </c>
      <c r="N51" s="1"/>
      <c r="O51" s="46">
        <f t="shared" si="5"/>
        <v>1729.8</v>
      </c>
      <c r="P51" s="46">
        <f t="shared" si="8"/>
        <v>1271.2</v>
      </c>
      <c r="Q51" s="47">
        <f t="shared" si="6"/>
        <v>1.65848</v>
      </c>
      <c r="R51" s="37">
        <f t="shared" si="7"/>
        <v>2868.8387039999998</v>
      </c>
      <c r="S51" s="1"/>
      <c r="U51" s="13" t="s">
        <v>179</v>
      </c>
      <c r="V51" s="34">
        <v>761.69999999999993</v>
      </c>
      <c r="W51" s="1"/>
      <c r="Y51" s="37"/>
    </row>
    <row r="52" spans="4:25" x14ac:dyDescent="0.15">
      <c r="D52" s="13" t="s">
        <v>286</v>
      </c>
      <c r="F52" s="1" t="s">
        <v>168</v>
      </c>
      <c r="G52" s="1">
        <f t="shared" si="1"/>
        <v>275.59999999999997</v>
      </c>
      <c r="H52" s="1" t="s">
        <v>177</v>
      </c>
      <c r="I52" s="1">
        <f t="shared" si="2"/>
        <v>589.37499999999989</v>
      </c>
      <c r="J52" s="1" t="s">
        <v>203</v>
      </c>
      <c r="K52" s="1">
        <f t="shared" si="3"/>
        <v>408.9</v>
      </c>
      <c r="L52" s="1" t="s">
        <v>188</v>
      </c>
      <c r="M52" s="1">
        <f t="shared" si="4"/>
        <v>86.5</v>
      </c>
      <c r="N52" s="1"/>
      <c r="O52" s="46">
        <f t="shared" si="5"/>
        <v>1360.375</v>
      </c>
      <c r="P52" s="46">
        <f t="shared" si="8"/>
        <v>1640.625</v>
      </c>
      <c r="Q52" s="47">
        <f t="shared" si="6"/>
        <v>1.8062499999999999</v>
      </c>
      <c r="R52" s="37">
        <f t="shared" si="7"/>
        <v>2457.1773437500001</v>
      </c>
      <c r="S52" s="1"/>
      <c r="U52" s="1" t="s">
        <v>175</v>
      </c>
      <c r="V52" s="34">
        <v>754.4</v>
      </c>
      <c r="W52" s="1"/>
      <c r="Y52" s="37"/>
    </row>
    <row r="53" spans="4:25" x14ac:dyDescent="0.15">
      <c r="D53" s="13" t="s">
        <v>220</v>
      </c>
      <c r="F53" s="1" t="s">
        <v>123</v>
      </c>
      <c r="G53" s="1">
        <f t="shared" si="1"/>
        <v>209.2</v>
      </c>
      <c r="H53" s="1" t="s">
        <v>189</v>
      </c>
      <c r="I53" s="1">
        <f t="shared" si="2"/>
        <v>25</v>
      </c>
      <c r="J53" s="1"/>
      <c r="K53" s="1">
        <f t="shared" si="3"/>
        <v>0</v>
      </c>
      <c r="L53" s="1"/>
      <c r="M53" s="1">
        <f t="shared" si="4"/>
        <v>0</v>
      </c>
      <c r="N53" s="1"/>
      <c r="O53" s="46">
        <f t="shared" si="5"/>
        <v>234.2</v>
      </c>
      <c r="P53" s="46">
        <f t="shared" si="8"/>
        <v>2766.8</v>
      </c>
      <c r="Q53" s="47">
        <f t="shared" si="6"/>
        <v>2.2567199999999996</v>
      </c>
      <c r="R53" s="37">
        <f t="shared" si="7"/>
        <v>528.52382399999988</v>
      </c>
      <c r="S53" s="1"/>
      <c r="U53" s="1" t="s">
        <v>181</v>
      </c>
      <c r="V53" s="34">
        <v>761.7</v>
      </c>
      <c r="W53" s="1"/>
      <c r="Y53" s="37"/>
    </row>
    <row r="54" spans="4:25" x14ac:dyDescent="0.15">
      <c r="D54" s="13" t="s">
        <v>221</v>
      </c>
      <c r="F54" s="1" t="s">
        <v>125</v>
      </c>
      <c r="G54" s="1">
        <f t="shared" si="1"/>
        <v>266</v>
      </c>
      <c r="H54" s="1" t="s">
        <v>189</v>
      </c>
      <c r="I54" s="1">
        <f t="shared" si="2"/>
        <v>25</v>
      </c>
      <c r="J54" s="1"/>
      <c r="K54" s="1">
        <f t="shared" si="3"/>
        <v>0</v>
      </c>
      <c r="L54" s="1"/>
      <c r="M54" s="1">
        <f t="shared" si="4"/>
        <v>0</v>
      </c>
      <c r="N54" s="1"/>
      <c r="O54" s="46">
        <f t="shared" si="5"/>
        <v>291</v>
      </c>
      <c r="P54" s="46">
        <f t="shared" si="8"/>
        <v>2710</v>
      </c>
      <c r="Q54" s="47">
        <f t="shared" si="6"/>
        <v>2.234</v>
      </c>
      <c r="R54" s="37">
        <f t="shared" si="7"/>
        <v>650.09400000000005</v>
      </c>
      <c r="S54" s="1"/>
      <c r="U54" s="1" t="s">
        <v>180</v>
      </c>
      <c r="V54" s="34">
        <v>761.7</v>
      </c>
      <c r="W54" s="1"/>
      <c r="Y54" s="37"/>
    </row>
    <row r="55" spans="4:25" x14ac:dyDescent="0.15">
      <c r="D55" s="13" t="s">
        <v>222</v>
      </c>
      <c r="F55" s="1" t="s">
        <v>131</v>
      </c>
      <c r="G55" s="1">
        <f t="shared" si="1"/>
        <v>538.65</v>
      </c>
      <c r="H55" s="1" t="s">
        <v>189</v>
      </c>
      <c r="I55" s="1">
        <f t="shared" si="2"/>
        <v>25</v>
      </c>
      <c r="J55" s="1"/>
      <c r="K55" s="1">
        <f t="shared" si="3"/>
        <v>0</v>
      </c>
      <c r="L55" s="1"/>
      <c r="M55" s="1">
        <f t="shared" si="4"/>
        <v>0</v>
      </c>
      <c r="N55" s="1"/>
      <c r="O55" s="46">
        <f t="shared" si="5"/>
        <v>563.65</v>
      </c>
      <c r="P55" s="46">
        <f t="shared" si="8"/>
        <v>2437.35</v>
      </c>
      <c r="Q55" s="47">
        <f t="shared" si="6"/>
        <v>2.1249399999999996</v>
      </c>
      <c r="R55" s="37">
        <f t="shared" si="7"/>
        <v>1197.7224309999997</v>
      </c>
      <c r="S55" s="1"/>
      <c r="U55" s="1" t="s">
        <v>185</v>
      </c>
      <c r="V55" s="34">
        <v>127.2</v>
      </c>
      <c r="W55" s="1"/>
      <c r="Y55" s="37"/>
    </row>
    <row r="56" spans="4:25" x14ac:dyDescent="0.15">
      <c r="D56" s="13" t="s">
        <v>223</v>
      </c>
      <c r="F56" s="1" t="s">
        <v>132</v>
      </c>
      <c r="G56" s="1">
        <f t="shared" si="1"/>
        <v>916.40000000000009</v>
      </c>
      <c r="H56" s="1" t="s">
        <v>856</v>
      </c>
      <c r="I56" s="1">
        <f t="shared" si="2"/>
        <v>51.9</v>
      </c>
      <c r="J56" s="1"/>
      <c r="K56" s="1">
        <f t="shared" si="3"/>
        <v>0</v>
      </c>
      <c r="L56" s="1"/>
      <c r="M56" s="1">
        <f t="shared" si="4"/>
        <v>0</v>
      </c>
      <c r="N56" s="1"/>
      <c r="O56" s="46">
        <f t="shared" si="5"/>
        <v>968.30000000000007</v>
      </c>
      <c r="P56" s="46">
        <f t="shared" si="8"/>
        <v>2032.6999999999998</v>
      </c>
      <c r="Q56" s="47">
        <f t="shared" si="6"/>
        <v>1.9630799999999997</v>
      </c>
      <c r="R56" s="37">
        <f t="shared" si="7"/>
        <v>1900.8503639999999</v>
      </c>
      <c r="S56" s="1"/>
      <c r="U56" s="1" t="s">
        <v>203</v>
      </c>
      <c r="V56" s="34">
        <v>408.9</v>
      </c>
      <c r="W56" s="1"/>
      <c r="Y56" s="37"/>
    </row>
    <row r="57" spans="4:25" x14ac:dyDescent="0.15">
      <c r="D57" s="13" t="s">
        <v>224</v>
      </c>
      <c r="F57" s="1" t="s">
        <v>133</v>
      </c>
      <c r="G57" s="1">
        <f t="shared" si="1"/>
        <v>1120</v>
      </c>
      <c r="H57" s="1" t="s">
        <v>189</v>
      </c>
      <c r="I57" s="1">
        <f t="shared" si="2"/>
        <v>25</v>
      </c>
      <c r="J57" s="1"/>
      <c r="K57" s="1">
        <f t="shared" si="3"/>
        <v>0</v>
      </c>
      <c r="L57" s="1"/>
      <c r="M57" s="1">
        <f t="shared" si="4"/>
        <v>0</v>
      </c>
      <c r="N57" s="1"/>
      <c r="O57" s="46">
        <f t="shared" si="5"/>
        <v>1145</v>
      </c>
      <c r="P57" s="46">
        <f t="shared" si="8"/>
        <v>1856</v>
      </c>
      <c r="Q57" s="47">
        <f t="shared" si="6"/>
        <v>1.8923999999999999</v>
      </c>
      <c r="R57" s="37">
        <f t="shared" si="7"/>
        <v>2166.7979999999998</v>
      </c>
      <c r="S57" s="1"/>
      <c r="U57" s="1" t="s">
        <v>177</v>
      </c>
      <c r="V57" s="34">
        <v>589.37499999999989</v>
      </c>
      <c r="W57" s="1"/>
      <c r="Y57" s="37"/>
    </row>
    <row r="58" spans="4:25" x14ac:dyDescent="0.15">
      <c r="D58" s="13" t="s">
        <v>225</v>
      </c>
      <c r="F58" s="1" t="s">
        <v>136</v>
      </c>
      <c r="G58" s="1">
        <f t="shared" si="1"/>
        <v>1781.25</v>
      </c>
      <c r="H58" s="1" t="s">
        <v>189</v>
      </c>
      <c r="I58" s="1">
        <f t="shared" si="2"/>
        <v>25</v>
      </c>
      <c r="J58" s="1"/>
      <c r="K58" s="1">
        <f t="shared" si="3"/>
        <v>0</v>
      </c>
      <c r="L58" s="1"/>
      <c r="M58" s="1">
        <f t="shared" si="4"/>
        <v>0</v>
      </c>
      <c r="N58" s="1"/>
      <c r="O58" s="46">
        <f t="shared" si="5"/>
        <v>1806.25</v>
      </c>
      <c r="P58" s="46">
        <f t="shared" si="8"/>
        <v>1194.75</v>
      </c>
      <c r="Q58" s="47">
        <f t="shared" si="6"/>
        <v>1.6278999999999999</v>
      </c>
      <c r="R58" s="37">
        <f t="shared" si="7"/>
        <v>2940.3943749999999</v>
      </c>
      <c r="S58" s="1"/>
      <c r="U58" s="1" t="s">
        <v>168</v>
      </c>
      <c r="V58" s="34">
        <v>275.59999999999997</v>
      </c>
      <c r="W58" s="1"/>
      <c r="Y58" s="37"/>
    </row>
    <row r="59" spans="4:25" x14ac:dyDescent="0.15">
      <c r="D59" s="13" t="s">
        <v>226</v>
      </c>
      <c r="F59" s="1" t="s">
        <v>140</v>
      </c>
      <c r="G59" s="1">
        <f t="shared" si="1"/>
        <v>218.15</v>
      </c>
      <c r="H59" s="1" t="s">
        <v>856</v>
      </c>
      <c r="I59" s="1">
        <f t="shared" si="2"/>
        <v>51.9</v>
      </c>
      <c r="J59" s="1"/>
      <c r="K59" s="1">
        <f t="shared" si="3"/>
        <v>0</v>
      </c>
      <c r="L59" s="1"/>
      <c r="M59" s="1">
        <f t="shared" si="4"/>
        <v>0</v>
      </c>
      <c r="N59" s="1"/>
      <c r="O59" s="46">
        <f t="shared" si="5"/>
        <v>270.05</v>
      </c>
      <c r="P59" s="46">
        <f t="shared" si="8"/>
        <v>2730.95</v>
      </c>
      <c r="Q59" s="47">
        <f t="shared" si="6"/>
        <v>2.2423799999999998</v>
      </c>
      <c r="R59" s="37">
        <f t="shared" si="7"/>
        <v>605.55471899999998</v>
      </c>
      <c r="S59" s="1"/>
      <c r="U59" s="1" t="s">
        <v>120</v>
      </c>
      <c r="V59" s="34">
        <v>203.25</v>
      </c>
      <c r="W59" s="1"/>
      <c r="Y59" s="37"/>
    </row>
    <row r="60" spans="4:25" x14ac:dyDescent="0.15">
      <c r="D60" s="13" t="s">
        <v>227</v>
      </c>
      <c r="F60" s="1" t="s">
        <v>141</v>
      </c>
      <c r="G60" s="1">
        <f t="shared" si="1"/>
        <v>246.25</v>
      </c>
      <c r="H60" s="1" t="s">
        <v>856</v>
      </c>
      <c r="I60" s="1">
        <f t="shared" si="2"/>
        <v>51.9</v>
      </c>
      <c r="J60" s="1"/>
      <c r="K60" s="1">
        <f t="shared" si="3"/>
        <v>0</v>
      </c>
      <c r="L60" s="1"/>
      <c r="M60" s="1">
        <f t="shared" si="4"/>
        <v>0</v>
      </c>
      <c r="N60" s="1"/>
      <c r="O60" s="46">
        <f t="shared" si="5"/>
        <v>298.14999999999998</v>
      </c>
      <c r="P60" s="46">
        <f t="shared" si="8"/>
        <v>2702.85</v>
      </c>
      <c r="Q60" s="47">
        <f t="shared" si="6"/>
        <v>2.2311399999999999</v>
      </c>
      <c r="R60" s="37">
        <f t="shared" si="7"/>
        <v>665.21439099999986</v>
      </c>
      <c r="S60" s="1"/>
      <c r="U60" s="1" t="s">
        <v>123</v>
      </c>
      <c r="V60" s="34">
        <v>209.2</v>
      </c>
      <c r="W60" s="1"/>
      <c r="Y60" s="37"/>
    </row>
    <row r="61" spans="4:25" x14ac:dyDescent="0.15">
      <c r="D61" s="13" t="s">
        <v>228</v>
      </c>
      <c r="F61" s="1" t="s">
        <v>142</v>
      </c>
      <c r="G61" s="1">
        <f t="shared" si="1"/>
        <v>289.95</v>
      </c>
      <c r="H61" s="1" t="s">
        <v>856</v>
      </c>
      <c r="I61" s="1">
        <f t="shared" si="2"/>
        <v>51.9</v>
      </c>
      <c r="J61" s="1"/>
      <c r="K61" s="1">
        <f t="shared" si="3"/>
        <v>0</v>
      </c>
      <c r="L61" s="1"/>
      <c r="M61" s="1">
        <f t="shared" si="4"/>
        <v>0</v>
      </c>
      <c r="N61" s="1"/>
      <c r="O61" s="46">
        <f t="shared" si="5"/>
        <v>341.84999999999997</v>
      </c>
      <c r="P61" s="46">
        <f t="shared" si="8"/>
        <v>2659.15</v>
      </c>
      <c r="Q61" s="47">
        <f t="shared" si="6"/>
        <v>2.21366</v>
      </c>
      <c r="R61" s="37">
        <f t="shared" si="7"/>
        <v>756.73967099999993</v>
      </c>
      <c r="S61" s="1"/>
      <c r="U61" s="1" t="s">
        <v>140</v>
      </c>
      <c r="V61" s="34">
        <v>218.15</v>
      </c>
      <c r="W61" s="1"/>
      <c r="Y61" s="37"/>
    </row>
    <row r="62" spans="4:25" x14ac:dyDescent="0.15">
      <c r="D62" s="13" t="s">
        <v>229</v>
      </c>
      <c r="F62" s="1" t="s">
        <v>143</v>
      </c>
      <c r="G62" s="1">
        <f t="shared" si="1"/>
        <v>483.2</v>
      </c>
      <c r="H62" s="1" t="s">
        <v>856</v>
      </c>
      <c r="I62" s="1">
        <f t="shared" si="2"/>
        <v>51.9</v>
      </c>
      <c r="J62" s="1"/>
      <c r="K62" s="1">
        <f t="shared" si="3"/>
        <v>0</v>
      </c>
      <c r="L62" s="1"/>
      <c r="M62" s="1">
        <f t="shared" si="4"/>
        <v>0</v>
      </c>
      <c r="N62" s="1"/>
      <c r="O62" s="46">
        <f t="shared" si="5"/>
        <v>535.1</v>
      </c>
      <c r="P62" s="46">
        <f t="shared" si="8"/>
        <v>2465.9</v>
      </c>
      <c r="Q62" s="47">
        <f t="shared" si="6"/>
        <v>2.1363599999999998</v>
      </c>
      <c r="R62" s="37">
        <f t="shared" si="7"/>
        <v>1143.166236</v>
      </c>
      <c r="S62" s="1"/>
      <c r="U62" s="1" t="s">
        <v>921</v>
      </c>
      <c r="V62" s="34">
        <v>230.4</v>
      </c>
      <c r="W62" s="1"/>
      <c r="Y62" s="37"/>
    </row>
    <row r="63" spans="4:25" x14ac:dyDescent="0.15">
      <c r="D63" s="13" t="s">
        <v>230</v>
      </c>
      <c r="F63" s="1" t="s">
        <v>144</v>
      </c>
      <c r="G63" s="1">
        <f t="shared" si="1"/>
        <v>433.75</v>
      </c>
      <c r="H63" s="1" t="s">
        <v>856</v>
      </c>
      <c r="I63" s="1">
        <f t="shared" si="2"/>
        <v>51.9</v>
      </c>
      <c r="J63" s="1"/>
      <c r="K63" s="1">
        <f t="shared" si="3"/>
        <v>0</v>
      </c>
      <c r="L63" s="1"/>
      <c r="M63" s="1">
        <f t="shared" si="4"/>
        <v>0</v>
      </c>
      <c r="N63" s="1"/>
      <c r="O63" s="46">
        <f t="shared" si="5"/>
        <v>485.65</v>
      </c>
      <c r="P63" s="46">
        <f t="shared" si="8"/>
        <v>2515.35</v>
      </c>
      <c r="Q63" s="47">
        <f t="shared" si="6"/>
        <v>2.1561399999999997</v>
      </c>
      <c r="R63" s="37">
        <f t="shared" si="7"/>
        <v>1047.1293909999997</v>
      </c>
      <c r="S63" s="1"/>
      <c r="U63" s="1" t="s">
        <v>141</v>
      </c>
      <c r="V63" s="34">
        <v>246.25</v>
      </c>
      <c r="W63" s="1"/>
      <c r="Y63" s="37"/>
    </row>
    <row r="64" spans="4:25" x14ac:dyDescent="0.15">
      <c r="D64" s="13" t="s">
        <v>231</v>
      </c>
      <c r="F64" s="1" t="s">
        <v>146</v>
      </c>
      <c r="G64" s="1">
        <f t="shared" si="1"/>
        <v>826.45</v>
      </c>
      <c r="H64" s="1" t="s">
        <v>856</v>
      </c>
      <c r="I64" s="1">
        <f t="shared" si="2"/>
        <v>51.9</v>
      </c>
      <c r="J64" s="1"/>
      <c r="K64" s="1">
        <f t="shared" si="3"/>
        <v>0</v>
      </c>
      <c r="L64" s="1"/>
      <c r="M64" s="1">
        <f t="shared" si="4"/>
        <v>0</v>
      </c>
      <c r="N64" s="1"/>
      <c r="O64" s="46">
        <f t="shared" si="5"/>
        <v>878.35</v>
      </c>
      <c r="P64" s="46">
        <f t="shared" si="8"/>
        <v>2122.65</v>
      </c>
      <c r="Q64" s="47">
        <f t="shared" si="6"/>
        <v>1.9990600000000001</v>
      </c>
      <c r="R64" s="37">
        <f t="shared" si="7"/>
        <v>1755.8743510000002</v>
      </c>
      <c r="S64" s="1"/>
      <c r="U64" s="1" t="s">
        <v>125</v>
      </c>
      <c r="V64" s="34">
        <v>266</v>
      </c>
      <c r="W64" s="1"/>
      <c r="Y64" s="37"/>
    </row>
    <row r="65" spans="4:25" x14ac:dyDescent="0.15">
      <c r="D65" s="13" t="s">
        <v>232</v>
      </c>
      <c r="F65" s="1" t="s">
        <v>147</v>
      </c>
      <c r="G65" s="1">
        <f t="shared" si="1"/>
        <v>1014.1500000000001</v>
      </c>
      <c r="H65" s="1" t="s">
        <v>856</v>
      </c>
      <c r="I65" s="1">
        <f t="shared" si="2"/>
        <v>51.9</v>
      </c>
      <c r="J65" s="1"/>
      <c r="K65" s="1">
        <f t="shared" si="3"/>
        <v>0</v>
      </c>
      <c r="L65" s="1"/>
      <c r="M65" s="1">
        <f t="shared" si="4"/>
        <v>0</v>
      </c>
      <c r="N65" s="1"/>
      <c r="O65" s="46">
        <f t="shared" si="5"/>
        <v>1066.0500000000002</v>
      </c>
      <c r="P65" s="46">
        <f t="shared" si="8"/>
        <v>1934.9499999999998</v>
      </c>
      <c r="Q65" s="47">
        <f t="shared" si="6"/>
        <v>1.9239799999999998</v>
      </c>
      <c r="R65" s="37">
        <f t="shared" si="7"/>
        <v>2051.0588790000002</v>
      </c>
      <c r="S65" s="1"/>
      <c r="U65" s="1" t="s">
        <v>142</v>
      </c>
      <c r="V65" s="34">
        <v>289.95</v>
      </c>
      <c r="W65" s="1"/>
      <c r="Y65" s="37"/>
    </row>
    <row r="66" spans="4:25" x14ac:dyDescent="0.15">
      <c r="D66" s="13" t="s">
        <v>233</v>
      </c>
      <c r="F66" s="1" t="s">
        <v>148</v>
      </c>
      <c r="G66" s="1">
        <f t="shared" si="1"/>
        <v>1357.1999999999998</v>
      </c>
      <c r="H66" s="1" t="s">
        <v>856</v>
      </c>
      <c r="I66" s="1">
        <f t="shared" si="2"/>
        <v>51.9</v>
      </c>
      <c r="J66" s="1"/>
      <c r="K66" s="1">
        <f t="shared" si="3"/>
        <v>0</v>
      </c>
      <c r="L66" s="1"/>
      <c r="M66" s="1">
        <f t="shared" si="4"/>
        <v>0</v>
      </c>
      <c r="N66" s="1"/>
      <c r="O66" s="46">
        <f t="shared" si="5"/>
        <v>1409.1</v>
      </c>
      <c r="P66" s="46">
        <f t="shared" si="8"/>
        <v>1591.9</v>
      </c>
      <c r="Q66" s="47">
        <f t="shared" si="6"/>
        <v>1.7867599999999997</v>
      </c>
      <c r="R66" s="37">
        <f t="shared" si="7"/>
        <v>2517.7235159999996</v>
      </c>
      <c r="S66" s="1"/>
      <c r="U66" s="1" t="s">
        <v>192</v>
      </c>
      <c r="V66" s="34">
        <v>318.39999999999998</v>
      </c>
      <c r="W66" s="1"/>
      <c r="Y66" s="37"/>
    </row>
    <row r="67" spans="4:25" x14ac:dyDescent="0.15">
      <c r="D67" s="13" t="s">
        <v>234</v>
      </c>
      <c r="F67" s="1" t="s">
        <v>150</v>
      </c>
      <c r="G67" s="1">
        <f t="shared" si="1"/>
        <v>1942</v>
      </c>
      <c r="H67" s="1" t="s">
        <v>856</v>
      </c>
      <c r="I67" s="1">
        <f t="shared" si="2"/>
        <v>51.9</v>
      </c>
      <c r="J67" s="1"/>
      <c r="K67" s="1">
        <f t="shared" si="3"/>
        <v>0</v>
      </c>
      <c r="L67" s="1"/>
      <c r="M67" s="1">
        <f t="shared" si="4"/>
        <v>0</v>
      </c>
      <c r="N67" s="1"/>
      <c r="O67" s="46">
        <f t="shared" ref="O67:O82" si="9">G67+I67+K67+M67</f>
        <v>1993.9</v>
      </c>
      <c r="P67" s="46">
        <f t="shared" ref="P67:P82" si="10">3001-O67</f>
        <v>1007.0999999999999</v>
      </c>
      <c r="Q67" s="47">
        <f t="shared" si="6"/>
        <v>1.5528399999999998</v>
      </c>
      <c r="R67" s="37">
        <f t="shared" si="7"/>
        <v>3096.2076759999995</v>
      </c>
      <c r="S67" s="1"/>
      <c r="U67" s="1" t="s">
        <v>126</v>
      </c>
      <c r="V67" s="34">
        <v>351.65</v>
      </c>
      <c r="W67" s="1"/>
      <c r="Y67" s="37"/>
    </row>
    <row r="68" spans="4:25" x14ac:dyDescent="0.15">
      <c r="D68" s="13" t="s">
        <v>235</v>
      </c>
      <c r="F68" s="1" t="s">
        <v>151</v>
      </c>
      <c r="G68" s="1">
        <f t="shared" ref="G68:G82" si="11">IF(F68&lt;&gt;"",VLOOKUP(F68,$U$2:$V$123,2,FALSE),0)</f>
        <v>2486.65</v>
      </c>
      <c r="H68" s="1" t="s">
        <v>856</v>
      </c>
      <c r="I68" s="1">
        <f t="shared" ref="I68:I82" si="12">IF(H68&lt;&gt;"",VLOOKUP(H68,$U$2:$V$123,2,FALSE),0)</f>
        <v>51.9</v>
      </c>
      <c r="J68" s="1"/>
      <c r="K68" s="1">
        <f t="shared" ref="K68:K82" si="13">IF(J68&lt;&gt;"",VLOOKUP(J68,$U$2:$V$123,2,FALSE),0)</f>
        <v>0</v>
      </c>
      <c r="L68" s="1"/>
      <c r="M68" s="1">
        <f t="shared" ref="M68:M82" si="14">IF(L68&lt;&gt;"",VLOOKUP(L68,$U$2:$V$123,2,FALSE),0)</f>
        <v>0</v>
      </c>
      <c r="N68" s="1"/>
      <c r="O68" s="46">
        <f t="shared" si="9"/>
        <v>2538.5500000000002</v>
      </c>
      <c r="P68" s="46">
        <f t="shared" si="10"/>
        <v>462.44999999999982</v>
      </c>
      <c r="Q68" s="47">
        <f t="shared" ref="Q68:Q82" si="15">(1-(3000-P68)/3000)*1.2+1.15</f>
        <v>1.3349799999999998</v>
      </c>
      <c r="R68" s="37">
        <f t="shared" ref="R68:R82" si="16">O68*Q68</f>
        <v>3388.9134789999998</v>
      </c>
      <c r="S68" s="1"/>
      <c r="U68" s="1" t="s">
        <v>127</v>
      </c>
      <c r="V68" s="34">
        <v>390</v>
      </c>
      <c r="W68" s="1"/>
      <c r="Y68" s="37"/>
    </row>
    <row r="69" spans="4:25" x14ac:dyDescent="0.15">
      <c r="D69" s="13" t="s">
        <v>236</v>
      </c>
      <c r="F69" s="1" t="s">
        <v>921</v>
      </c>
      <c r="G69" s="1">
        <f t="shared" si="11"/>
        <v>230.4</v>
      </c>
      <c r="H69" s="1" t="s">
        <v>827</v>
      </c>
      <c r="I69" s="1">
        <f t="shared" si="12"/>
        <v>25</v>
      </c>
      <c r="J69" s="1"/>
      <c r="K69" s="1">
        <f t="shared" si="13"/>
        <v>0</v>
      </c>
      <c r="L69" s="1"/>
      <c r="M69" s="1">
        <f t="shared" si="14"/>
        <v>0</v>
      </c>
      <c r="N69" s="1"/>
      <c r="O69" s="46">
        <f t="shared" si="9"/>
        <v>255.4</v>
      </c>
      <c r="P69" s="46">
        <f t="shared" si="10"/>
        <v>2745.6</v>
      </c>
      <c r="Q69" s="47">
        <f t="shared" si="15"/>
        <v>2.24824</v>
      </c>
      <c r="R69" s="37">
        <f t="shared" si="16"/>
        <v>574.20049600000004</v>
      </c>
      <c r="S69" s="1"/>
      <c r="U69" s="1" t="s">
        <v>144</v>
      </c>
      <c r="V69" s="34">
        <v>433.75</v>
      </c>
      <c r="W69" s="1"/>
      <c r="Y69" s="37"/>
    </row>
    <row r="70" spans="4:25" x14ac:dyDescent="0.15">
      <c r="D70" s="13" t="s">
        <v>237</v>
      </c>
      <c r="F70" s="1" t="s">
        <v>22</v>
      </c>
      <c r="G70" s="1">
        <f t="shared" si="11"/>
        <v>358.125</v>
      </c>
      <c r="H70" s="1" t="s">
        <v>827</v>
      </c>
      <c r="I70" s="1">
        <f t="shared" si="12"/>
        <v>25</v>
      </c>
      <c r="J70" s="1" t="s">
        <v>140</v>
      </c>
      <c r="K70" s="1">
        <f t="shared" si="13"/>
        <v>218.15</v>
      </c>
      <c r="L70" s="1" t="s">
        <v>148</v>
      </c>
      <c r="M70" s="1">
        <f t="shared" si="14"/>
        <v>1357.1999999999998</v>
      </c>
      <c r="N70" s="1"/>
      <c r="O70" s="46">
        <f t="shared" si="9"/>
        <v>1958.4749999999999</v>
      </c>
      <c r="P70" s="46">
        <f t="shared" si="10"/>
        <v>1042.5250000000001</v>
      </c>
      <c r="Q70" s="47">
        <f t="shared" si="15"/>
        <v>1.56701</v>
      </c>
      <c r="R70" s="37">
        <f t="shared" si="16"/>
        <v>3068.9499097499997</v>
      </c>
      <c r="S70" s="1"/>
      <c r="U70" s="1" t="s">
        <v>143</v>
      </c>
      <c r="V70" s="34">
        <v>483.2</v>
      </c>
      <c r="W70" s="1"/>
      <c r="Y70" s="37"/>
    </row>
    <row r="71" spans="4:25" x14ac:dyDescent="0.15">
      <c r="D71" s="13" t="s">
        <v>238</v>
      </c>
      <c r="F71" s="1" t="s">
        <v>228</v>
      </c>
      <c r="G71" s="1">
        <f t="shared" si="11"/>
        <v>341.84999999999997</v>
      </c>
      <c r="H71" s="1" t="s">
        <v>187</v>
      </c>
      <c r="I71" s="1">
        <f t="shared" si="12"/>
        <v>30</v>
      </c>
      <c r="J71" s="1"/>
      <c r="K71" s="1">
        <f t="shared" si="13"/>
        <v>0</v>
      </c>
      <c r="L71" s="1"/>
      <c r="M71" s="1">
        <f t="shared" si="14"/>
        <v>0</v>
      </c>
      <c r="N71" s="1"/>
      <c r="O71" s="46">
        <f t="shared" si="9"/>
        <v>371.84999999999997</v>
      </c>
      <c r="P71" s="46">
        <f t="shared" si="10"/>
        <v>2629.15</v>
      </c>
      <c r="Q71" s="47">
        <f t="shared" si="15"/>
        <v>2.20166</v>
      </c>
      <c r="R71" s="37">
        <f t="shared" si="16"/>
        <v>818.6872709999999</v>
      </c>
      <c r="S71" s="1"/>
      <c r="U71" s="1" t="s">
        <v>131</v>
      </c>
      <c r="V71" s="34">
        <v>538.65</v>
      </c>
      <c r="W71" s="1"/>
      <c r="Y71" s="37"/>
    </row>
    <row r="72" spans="4:25" x14ac:dyDescent="0.15">
      <c r="D72" s="13" t="s">
        <v>239</v>
      </c>
      <c r="F72" s="1" t="s">
        <v>120</v>
      </c>
      <c r="G72" s="1">
        <f t="shared" si="11"/>
        <v>203.25</v>
      </c>
      <c r="H72" s="1" t="s">
        <v>54</v>
      </c>
      <c r="I72" s="1">
        <f t="shared" si="12"/>
        <v>339.67500000000001</v>
      </c>
      <c r="J72" s="1" t="s">
        <v>827</v>
      </c>
      <c r="K72" s="1">
        <f t="shared" si="13"/>
        <v>25</v>
      </c>
      <c r="L72" s="1" t="s">
        <v>45</v>
      </c>
      <c r="M72" s="1">
        <f t="shared" si="14"/>
        <v>382</v>
      </c>
      <c r="N72" s="1"/>
      <c r="O72" s="46">
        <f t="shared" si="9"/>
        <v>949.92499999999995</v>
      </c>
      <c r="P72" s="46">
        <f t="shared" si="10"/>
        <v>2051.0749999999998</v>
      </c>
      <c r="Q72" s="47">
        <f t="shared" si="15"/>
        <v>1.9704299999999999</v>
      </c>
      <c r="R72" s="37">
        <f t="shared" si="16"/>
        <v>1871.7607177499999</v>
      </c>
      <c r="S72" s="1"/>
      <c r="U72" s="1" t="s">
        <v>129</v>
      </c>
      <c r="V72" s="34">
        <v>600.4</v>
      </c>
      <c r="W72" s="1"/>
      <c r="Y72" s="37"/>
    </row>
    <row r="73" spans="4:25" x14ac:dyDescent="0.15">
      <c r="D73" s="13" t="s">
        <v>240</v>
      </c>
      <c r="F73" s="1" t="s">
        <v>123</v>
      </c>
      <c r="G73" s="1">
        <f t="shared" si="11"/>
        <v>209.2</v>
      </c>
      <c r="H73" s="1" t="s">
        <v>48</v>
      </c>
      <c r="I73" s="1">
        <f t="shared" si="12"/>
        <v>761.7</v>
      </c>
      <c r="J73" s="1"/>
      <c r="K73" s="1">
        <f t="shared" si="13"/>
        <v>0</v>
      </c>
      <c r="L73" s="1"/>
      <c r="M73" s="1">
        <f t="shared" si="14"/>
        <v>0</v>
      </c>
      <c r="N73" s="1"/>
      <c r="O73" s="46">
        <f t="shared" si="9"/>
        <v>970.90000000000009</v>
      </c>
      <c r="P73" s="46">
        <f t="shared" si="10"/>
        <v>2030.1</v>
      </c>
      <c r="Q73" s="47">
        <f t="shared" si="15"/>
        <v>1.96204</v>
      </c>
      <c r="R73" s="37">
        <f t="shared" si="16"/>
        <v>1904.9446360000002</v>
      </c>
      <c r="S73" s="1"/>
      <c r="U73" s="1" t="s">
        <v>956</v>
      </c>
      <c r="V73" s="34">
        <v>668.75</v>
      </c>
      <c r="W73" s="1"/>
      <c r="Y73" s="37"/>
    </row>
    <row r="74" spans="4:25" x14ac:dyDescent="0.15">
      <c r="D74" s="13" t="s">
        <v>309</v>
      </c>
      <c r="F74" s="1" t="s">
        <v>136</v>
      </c>
      <c r="G74" s="1">
        <f t="shared" si="11"/>
        <v>1781.25</v>
      </c>
      <c r="H74" s="1"/>
      <c r="I74" s="1">
        <f t="shared" si="12"/>
        <v>0</v>
      </c>
      <c r="J74" s="1"/>
      <c r="K74" s="1">
        <f t="shared" si="13"/>
        <v>0</v>
      </c>
      <c r="L74" s="1"/>
      <c r="M74" s="1">
        <f t="shared" si="14"/>
        <v>0</v>
      </c>
      <c r="N74" s="1"/>
      <c r="O74" s="46">
        <f t="shared" si="9"/>
        <v>1781.25</v>
      </c>
      <c r="P74" s="46">
        <f t="shared" si="10"/>
        <v>1219.75</v>
      </c>
      <c r="Q74" s="47">
        <f t="shared" si="15"/>
        <v>1.6378999999999999</v>
      </c>
      <c r="R74" s="37">
        <f t="shared" si="16"/>
        <v>2917.5093749999996</v>
      </c>
      <c r="S74" s="1"/>
      <c r="U74" s="1" t="s">
        <v>130</v>
      </c>
      <c r="V74" s="34">
        <v>744</v>
      </c>
      <c r="W74" s="1"/>
      <c r="Y74" s="37"/>
    </row>
    <row r="75" spans="4:25" x14ac:dyDescent="0.15">
      <c r="D75" s="13" t="s">
        <v>308</v>
      </c>
      <c r="F75" s="1" t="s">
        <v>192</v>
      </c>
      <c r="G75" s="1">
        <f t="shared" si="11"/>
        <v>318.39999999999998</v>
      </c>
      <c r="H75" s="1" t="s">
        <v>159</v>
      </c>
      <c r="I75" s="1">
        <f t="shared" si="12"/>
        <v>180</v>
      </c>
      <c r="J75" s="1" t="s">
        <v>250</v>
      </c>
      <c r="K75" s="1">
        <f t="shared" si="13"/>
        <v>121.94999999999997</v>
      </c>
      <c r="L75" s="1"/>
      <c r="M75" s="1">
        <f t="shared" si="14"/>
        <v>0</v>
      </c>
      <c r="N75" s="1"/>
      <c r="O75" s="46">
        <f t="shared" si="9"/>
        <v>620.34999999999991</v>
      </c>
      <c r="P75" s="46">
        <f t="shared" si="10"/>
        <v>2380.65</v>
      </c>
      <c r="Q75" s="47">
        <f t="shared" si="15"/>
        <v>2.1022599999999998</v>
      </c>
      <c r="R75" s="37">
        <f t="shared" si="16"/>
        <v>1304.1369909999996</v>
      </c>
      <c r="S75" s="1"/>
      <c r="U75" s="1" t="s">
        <v>146</v>
      </c>
      <c r="V75" s="34">
        <v>826.45</v>
      </c>
      <c r="W75" s="1"/>
      <c r="Y75" s="37"/>
    </row>
    <row r="76" spans="4:25" x14ac:dyDescent="0.15">
      <c r="D76" s="13" t="s">
        <v>310</v>
      </c>
      <c r="F76" s="1" t="s">
        <v>146</v>
      </c>
      <c r="G76" s="1">
        <f t="shared" si="11"/>
        <v>826.45</v>
      </c>
      <c r="H76" s="1" t="s">
        <v>35</v>
      </c>
      <c r="I76" s="1">
        <f t="shared" si="12"/>
        <v>86.5</v>
      </c>
      <c r="J76" s="1"/>
      <c r="K76" s="1">
        <f t="shared" si="13"/>
        <v>0</v>
      </c>
      <c r="L76" s="1"/>
      <c r="M76" s="1">
        <f t="shared" si="14"/>
        <v>0</v>
      </c>
      <c r="N76" s="1"/>
      <c r="O76" s="46">
        <f t="shared" si="9"/>
        <v>912.95</v>
      </c>
      <c r="P76" s="46">
        <f t="shared" si="10"/>
        <v>2088.0500000000002</v>
      </c>
      <c r="Q76" s="47">
        <f t="shared" si="15"/>
        <v>1.98522</v>
      </c>
      <c r="R76" s="37">
        <f t="shared" si="16"/>
        <v>1812.4065990000001</v>
      </c>
      <c r="S76" s="1"/>
      <c r="U76" s="1" t="s">
        <v>132</v>
      </c>
      <c r="V76" s="34">
        <v>916.40000000000009</v>
      </c>
      <c r="W76" s="1"/>
      <c r="Y76" s="37"/>
    </row>
    <row r="77" spans="4:25" x14ac:dyDescent="0.15">
      <c r="D77" s="13" t="s">
        <v>244</v>
      </c>
      <c r="F77" s="1" t="s">
        <v>147</v>
      </c>
      <c r="G77" s="1">
        <f t="shared" si="11"/>
        <v>1014.1500000000001</v>
      </c>
      <c r="H77" s="1"/>
      <c r="I77" s="1">
        <f t="shared" si="12"/>
        <v>0</v>
      </c>
      <c r="J77" s="1"/>
      <c r="K77" s="1">
        <f t="shared" si="13"/>
        <v>0</v>
      </c>
      <c r="L77" s="1"/>
      <c r="M77" s="1">
        <f t="shared" si="14"/>
        <v>0</v>
      </c>
      <c r="N77" s="1"/>
      <c r="O77" s="46">
        <f t="shared" si="9"/>
        <v>1014.1500000000001</v>
      </c>
      <c r="P77" s="46">
        <f t="shared" si="10"/>
        <v>1986.85</v>
      </c>
      <c r="Q77" s="47">
        <f t="shared" si="15"/>
        <v>1.9447399999999999</v>
      </c>
      <c r="R77" s="37">
        <f t="shared" si="16"/>
        <v>1972.2580710000002</v>
      </c>
      <c r="S77" s="1"/>
      <c r="U77" s="1" t="s">
        <v>147</v>
      </c>
      <c r="V77" s="34">
        <v>1014.1500000000001</v>
      </c>
      <c r="W77" s="1"/>
      <c r="Y77" s="37"/>
    </row>
    <row r="78" spans="4:25" x14ac:dyDescent="0.15">
      <c r="D78" s="13" t="s">
        <v>312</v>
      </c>
      <c r="F78" s="1" t="s">
        <v>144</v>
      </c>
      <c r="G78" s="1">
        <f t="shared" si="11"/>
        <v>433.75</v>
      </c>
      <c r="H78" s="1"/>
      <c r="I78" s="1">
        <f t="shared" si="12"/>
        <v>0</v>
      </c>
      <c r="J78" s="1"/>
      <c r="K78" s="1">
        <f t="shared" si="13"/>
        <v>0</v>
      </c>
      <c r="L78" s="1"/>
      <c r="M78" s="1">
        <f t="shared" si="14"/>
        <v>0</v>
      </c>
      <c r="N78" s="1"/>
      <c r="O78" s="46">
        <f t="shared" si="9"/>
        <v>433.75</v>
      </c>
      <c r="P78" s="46">
        <f t="shared" si="10"/>
        <v>2567.25</v>
      </c>
      <c r="Q78" s="47">
        <f t="shared" si="15"/>
        <v>2.1768999999999998</v>
      </c>
      <c r="R78" s="37">
        <f t="shared" si="16"/>
        <v>944.23037499999998</v>
      </c>
      <c r="S78" s="1"/>
      <c r="U78" s="1" t="s">
        <v>133</v>
      </c>
      <c r="V78" s="34">
        <v>1120</v>
      </c>
      <c r="W78" s="1"/>
      <c r="Y78" s="37"/>
    </row>
    <row r="79" spans="4:25" x14ac:dyDescent="0.15">
      <c r="D79" s="13" t="s">
        <v>246</v>
      </c>
      <c r="F79" s="1" t="s">
        <v>148</v>
      </c>
      <c r="G79" s="1">
        <f t="shared" si="11"/>
        <v>1357.1999999999998</v>
      </c>
      <c r="H79" s="1" t="s">
        <v>41</v>
      </c>
      <c r="I79" s="1">
        <f t="shared" si="12"/>
        <v>105.99999999999999</v>
      </c>
      <c r="J79" s="1" t="s">
        <v>23</v>
      </c>
      <c r="K79" s="1">
        <f t="shared" si="13"/>
        <v>243.9</v>
      </c>
      <c r="L79" s="1" t="s">
        <v>38</v>
      </c>
      <c r="M79" s="1">
        <f t="shared" si="14"/>
        <v>121.94999999999997</v>
      </c>
      <c r="N79" s="1"/>
      <c r="O79" s="46">
        <f t="shared" si="9"/>
        <v>1829.05</v>
      </c>
      <c r="P79" s="46">
        <f t="shared" si="10"/>
        <v>1171.95</v>
      </c>
      <c r="Q79" s="47">
        <f t="shared" si="15"/>
        <v>1.6187799999999999</v>
      </c>
      <c r="R79" s="37">
        <f t="shared" si="16"/>
        <v>2960.8295589999998</v>
      </c>
      <c r="S79" s="1"/>
      <c r="U79" s="1" t="s">
        <v>134</v>
      </c>
      <c r="V79" s="34">
        <v>1234.25</v>
      </c>
      <c r="W79" s="1"/>
      <c r="Y79" s="37"/>
    </row>
    <row r="80" spans="4:25" x14ac:dyDescent="0.15">
      <c r="D80" s="13" t="s">
        <v>314</v>
      </c>
      <c r="F80" s="1" t="s">
        <v>151</v>
      </c>
      <c r="G80" s="1">
        <f t="shared" si="11"/>
        <v>2486.65</v>
      </c>
      <c r="H80" s="1"/>
      <c r="I80" s="1">
        <f t="shared" si="12"/>
        <v>0</v>
      </c>
      <c r="J80" s="1"/>
      <c r="K80" s="1">
        <f t="shared" si="13"/>
        <v>0</v>
      </c>
      <c r="L80" s="1"/>
      <c r="M80" s="1">
        <f t="shared" si="14"/>
        <v>0</v>
      </c>
      <c r="N80" s="1"/>
      <c r="O80" s="46">
        <f t="shared" si="9"/>
        <v>2486.65</v>
      </c>
      <c r="P80" s="46">
        <f t="shared" si="10"/>
        <v>514.34999999999991</v>
      </c>
      <c r="Q80" s="47">
        <f t="shared" si="15"/>
        <v>1.3557399999999999</v>
      </c>
      <c r="R80" s="37">
        <f t="shared" si="16"/>
        <v>3371.2508710000002</v>
      </c>
      <c r="S80" s="1"/>
      <c r="U80" s="1" t="s">
        <v>148</v>
      </c>
      <c r="V80" s="34">
        <v>1357.1999999999998</v>
      </c>
      <c r="W80" s="1"/>
      <c r="Y80" s="37"/>
    </row>
    <row r="81" spans="4:25" x14ac:dyDescent="0.15">
      <c r="D81" s="13" t="s">
        <v>958</v>
      </c>
      <c r="F81" t="s">
        <v>234</v>
      </c>
      <c r="G81" s="1">
        <f t="shared" si="11"/>
        <v>1993.9</v>
      </c>
      <c r="H81" t="s">
        <v>209</v>
      </c>
      <c r="I81" s="1">
        <f t="shared" si="12"/>
        <v>382</v>
      </c>
      <c r="J81" t="s">
        <v>37</v>
      </c>
      <c r="K81" s="1">
        <f t="shared" si="13"/>
        <v>86.5</v>
      </c>
      <c r="L81" t="s">
        <v>131</v>
      </c>
      <c r="M81" s="1">
        <f t="shared" si="14"/>
        <v>538.65</v>
      </c>
      <c r="O81" s="46">
        <f t="shared" si="9"/>
        <v>3001.05</v>
      </c>
      <c r="P81" s="46">
        <f t="shared" si="10"/>
        <v>-5.0000000000181899E-2</v>
      </c>
      <c r="Q81" s="47">
        <f t="shared" si="15"/>
        <v>1.1499799999999998</v>
      </c>
      <c r="R81" s="37">
        <f t="shared" si="16"/>
        <v>3451.1474789999997</v>
      </c>
      <c r="S81" s="1"/>
      <c r="U81" s="1" t="s">
        <v>149</v>
      </c>
      <c r="V81" s="34">
        <v>1489.15</v>
      </c>
      <c r="W81" s="1"/>
      <c r="Y81" s="37"/>
    </row>
    <row r="82" spans="4:25" x14ac:dyDescent="0.15">
      <c r="D82" s="45" t="s">
        <v>953</v>
      </c>
      <c r="F82" t="s">
        <v>827</v>
      </c>
      <c r="G82" s="1">
        <f t="shared" si="11"/>
        <v>25</v>
      </c>
      <c r="H82" t="s">
        <v>446</v>
      </c>
      <c r="I82" s="1">
        <f t="shared" si="12"/>
        <v>179</v>
      </c>
      <c r="K82" s="1">
        <f t="shared" si="13"/>
        <v>0</v>
      </c>
      <c r="M82" s="1">
        <f t="shared" si="14"/>
        <v>0</v>
      </c>
      <c r="O82" s="46">
        <f t="shared" si="9"/>
        <v>204</v>
      </c>
      <c r="P82" s="46">
        <f t="shared" si="10"/>
        <v>2797</v>
      </c>
      <c r="Q82" s="47">
        <f t="shared" si="15"/>
        <v>2.2687999999999997</v>
      </c>
      <c r="R82" s="37">
        <f t="shared" si="16"/>
        <v>462.83519999999993</v>
      </c>
      <c r="U82" t="s">
        <v>955</v>
      </c>
      <c r="V82">
        <v>1630.4</v>
      </c>
    </row>
    <row r="83" spans="4:25" x14ac:dyDescent="0.15">
      <c r="U83" t="s">
        <v>136</v>
      </c>
      <c r="V83">
        <v>1781.25</v>
      </c>
    </row>
    <row r="84" spans="4:25" x14ac:dyDescent="0.15">
      <c r="U84" t="s">
        <v>150</v>
      </c>
      <c r="V84">
        <v>1942</v>
      </c>
    </row>
    <row r="85" spans="4:25" x14ac:dyDescent="0.15">
      <c r="U85" t="s">
        <v>137</v>
      </c>
      <c r="V85">
        <v>2112.9499999999998</v>
      </c>
    </row>
    <row r="86" spans="4:25" x14ac:dyDescent="0.15">
      <c r="U86" t="s">
        <v>138</v>
      </c>
      <c r="V86">
        <v>2294.4</v>
      </c>
    </row>
    <row r="87" spans="4:25" x14ac:dyDescent="0.15">
      <c r="U87" t="s">
        <v>151</v>
      </c>
      <c r="V87">
        <v>2486.65</v>
      </c>
    </row>
    <row r="88" spans="4:25" x14ac:dyDescent="0.15">
      <c r="U88" t="s">
        <v>152</v>
      </c>
      <c r="V88">
        <v>2690</v>
      </c>
    </row>
    <row r="89" spans="4:25" x14ac:dyDescent="0.15">
      <c r="U89" t="s">
        <v>139</v>
      </c>
      <c r="V89">
        <v>2904.75</v>
      </c>
    </row>
    <row r="90" spans="4:25" x14ac:dyDescent="0.15">
      <c r="U90" s="13" t="s">
        <v>228</v>
      </c>
      <c r="V90" s="46">
        <v>341.84999999999997</v>
      </c>
    </row>
    <row r="91" spans="4:25" x14ac:dyDescent="0.15">
      <c r="U91" s="13" t="s">
        <v>234</v>
      </c>
      <c r="V91">
        <v>1993.9</v>
      </c>
    </row>
    <row r="92" spans="4:25" x14ac:dyDescent="0.15">
      <c r="U92" s="34" t="s">
        <v>209</v>
      </c>
      <c r="V92">
        <v>382</v>
      </c>
    </row>
  </sheetData>
  <phoneticPr fontId="1" type="noConversion"/>
  <conditionalFormatting sqref="D3:D82">
    <cfRule type="duplicateValues" dxfId="11" priority="8"/>
  </conditionalFormatting>
  <conditionalFormatting sqref="U2:U29">
    <cfRule type="duplicateValues" dxfId="10" priority="7"/>
  </conditionalFormatting>
  <conditionalFormatting sqref="U44">
    <cfRule type="duplicateValues" dxfId="9" priority="6"/>
  </conditionalFormatting>
  <conditionalFormatting sqref="U45">
    <cfRule type="duplicateValues" dxfId="8" priority="5"/>
  </conditionalFormatting>
  <conditionalFormatting sqref="U46">
    <cfRule type="duplicateValues" dxfId="7" priority="4"/>
  </conditionalFormatting>
  <conditionalFormatting sqref="U51">
    <cfRule type="duplicateValues" dxfId="6" priority="3"/>
  </conditionalFormatting>
  <conditionalFormatting sqref="U90">
    <cfRule type="duplicateValues" dxfId="5" priority="2"/>
  </conditionalFormatting>
  <conditionalFormatting sqref="U91">
    <cfRule type="duplicateValues" dxfId="4"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O32"/>
  <sheetViews>
    <sheetView workbookViewId="0">
      <selection activeCell="J11" sqref="J11"/>
    </sheetView>
  </sheetViews>
  <sheetFormatPr defaultRowHeight="13.5" x14ac:dyDescent="0.15"/>
  <cols>
    <col min="10" max="10" width="12.125" customWidth="1"/>
  </cols>
  <sheetData>
    <row r="2" spans="7:15" ht="15" x14ac:dyDescent="0.2">
      <c r="G2" t="s">
        <v>120</v>
      </c>
      <c r="I2">
        <v>1</v>
      </c>
      <c r="J2" s="6" t="s">
        <v>120</v>
      </c>
      <c r="K2" s="38">
        <f>I2*I2*I2*0.05+I2*I2*1.2+I2*2+200</f>
        <v>203.25</v>
      </c>
    </row>
    <row r="3" spans="7:15" x14ac:dyDescent="0.15">
      <c r="G3" t="s">
        <v>123</v>
      </c>
      <c r="I3" s="34">
        <v>2</v>
      </c>
      <c r="J3" s="7" t="s">
        <v>123</v>
      </c>
      <c r="K3" s="38">
        <f t="shared" ref="K3:K32" si="0">I3*I3*I3*0.05+I3*I3*1.2+I3*2+200</f>
        <v>209.2</v>
      </c>
    </row>
    <row r="4" spans="7:15" x14ac:dyDescent="0.15">
      <c r="G4" s="7" t="s">
        <v>1303</v>
      </c>
      <c r="I4" s="34">
        <v>3</v>
      </c>
      <c r="J4" s="8" t="s">
        <v>140</v>
      </c>
      <c r="K4" s="38">
        <f t="shared" si="0"/>
        <v>218.15</v>
      </c>
    </row>
    <row r="5" spans="7:15" x14ac:dyDescent="0.15">
      <c r="G5" t="s">
        <v>125</v>
      </c>
      <c r="I5" s="34">
        <v>4</v>
      </c>
      <c r="J5" s="7" t="s">
        <v>1303</v>
      </c>
      <c r="K5" s="38">
        <f t="shared" si="0"/>
        <v>230.4</v>
      </c>
    </row>
    <row r="6" spans="7:15" x14ac:dyDescent="0.15">
      <c r="G6" t="s">
        <v>126</v>
      </c>
      <c r="I6" s="34">
        <v>5</v>
      </c>
      <c r="J6" s="8" t="s">
        <v>141</v>
      </c>
      <c r="K6" s="38">
        <f t="shared" si="0"/>
        <v>246.25</v>
      </c>
    </row>
    <row r="7" spans="7:15" x14ac:dyDescent="0.15">
      <c r="G7" s="7" t="s">
        <v>1304</v>
      </c>
      <c r="I7" s="34">
        <v>6</v>
      </c>
      <c r="J7" s="7" t="s">
        <v>125</v>
      </c>
      <c r="K7" s="38">
        <f t="shared" si="0"/>
        <v>266</v>
      </c>
    </row>
    <row r="8" spans="7:15" x14ac:dyDescent="0.15">
      <c r="G8" t="s">
        <v>129</v>
      </c>
      <c r="I8" s="34">
        <v>7</v>
      </c>
      <c r="J8" s="8" t="s">
        <v>142</v>
      </c>
      <c r="K8" s="38">
        <f t="shared" si="0"/>
        <v>289.95</v>
      </c>
    </row>
    <row r="9" spans="7:15" x14ac:dyDescent="0.15">
      <c r="G9" t="s">
        <v>130</v>
      </c>
      <c r="I9" s="34">
        <v>8</v>
      </c>
      <c r="J9" s="8" t="s">
        <v>957</v>
      </c>
      <c r="K9" s="38">
        <f t="shared" si="0"/>
        <v>318.39999999999998</v>
      </c>
    </row>
    <row r="10" spans="7:15" x14ac:dyDescent="0.15">
      <c r="G10" t="s">
        <v>131</v>
      </c>
      <c r="I10" s="34">
        <v>9</v>
      </c>
      <c r="J10" s="8" t="s">
        <v>126</v>
      </c>
      <c r="K10" s="38">
        <f t="shared" si="0"/>
        <v>351.65</v>
      </c>
    </row>
    <row r="11" spans="7:15" x14ac:dyDescent="0.15">
      <c r="G11" t="s">
        <v>132</v>
      </c>
      <c r="I11" s="34">
        <v>10</v>
      </c>
      <c r="J11" s="7" t="s">
        <v>1304</v>
      </c>
      <c r="K11" s="38">
        <f t="shared" si="0"/>
        <v>390</v>
      </c>
    </row>
    <row r="12" spans="7:15" x14ac:dyDescent="0.15">
      <c r="G12" t="s">
        <v>133</v>
      </c>
      <c r="I12" s="34">
        <v>11</v>
      </c>
      <c r="J12" s="8" t="s">
        <v>144</v>
      </c>
      <c r="K12" s="38">
        <f t="shared" si="0"/>
        <v>433.75</v>
      </c>
    </row>
    <row r="13" spans="7:15" x14ac:dyDescent="0.15">
      <c r="G13" t="s">
        <v>134</v>
      </c>
      <c r="I13" s="34">
        <v>12</v>
      </c>
      <c r="J13" s="8" t="s">
        <v>143</v>
      </c>
      <c r="K13" s="38">
        <f t="shared" si="0"/>
        <v>483.2</v>
      </c>
      <c r="N13" s="34"/>
      <c r="O13" s="34"/>
    </row>
    <row r="14" spans="7:15" x14ac:dyDescent="0.15">
      <c r="G14" t="s">
        <v>955</v>
      </c>
      <c r="I14" s="34">
        <v>13</v>
      </c>
      <c r="J14" s="7" t="s">
        <v>131</v>
      </c>
      <c r="K14" s="38">
        <f t="shared" si="0"/>
        <v>538.65</v>
      </c>
      <c r="N14" s="34"/>
      <c r="O14" s="34"/>
    </row>
    <row r="15" spans="7:15" x14ac:dyDescent="0.15">
      <c r="G15" t="s">
        <v>136</v>
      </c>
      <c r="I15" s="34">
        <v>14</v>
      </c>
      <c r="J15" s="7" t="s">
        <v>129</v>
      </c>
      <c r="K15" s="38">
        <f t="shared" si="0"/>
        <v>600.4</v>
      </c>
    </row>
    <row r="16" spans="7:15" x14ac:dyDescent="0.15">
      <c r="G16" t="s">
        <v>137</v>
      </c>
      <c r="I16" s="34">
        <v>15</v>
      </c>
      <c r="J16" s="8" t="s">
        <v>145</v>
      </c>
      <c r="K16" s="38">
        <f t="shared" si="0"/>
        <v>668.75</v>
      </c>
    </row>
    <row r="17" spans="7:11" x14ac:dyDescent="0.15">
      <c r="G17" t="s">
        <v>138</v>
      </c>
      <c r="I17" s="34">
        <v>16</v>
      </c>
      <c r="J17" s="7" t="s">
        <v>130</v>
      </c>
      <c r="K17" s="38">
        <f t="shared" si="0"/>
        <v>744</v>
      </c>
    </row>
    <row r="18" spans="7:11" x14ac:dyDescent="0.15">
      <c r="G18" t="s">
        <v>139</v>
      </c>
      <c r="I18" s="34">
        <v>17</v>
      </c>
      <c r="J18" s="8" t="s">
        <v>146</v>
      </c>
      <c r="K18" s="38">
        <f t="shared" si="0"/>
        <v>826.45</v>
      </c>
    </row>
    <row r="19" spans="7:11" x14ac:dyDescent="0.15">
      <c r="G19" t="s">
        <v>140</v>
      </c>
      <c r="I19" s="34">
        <v>18</v>
      </c>
      <c r="J19" s="7" t="s">
        <v>132</v>
      </c>
      <c r="K19" s="38">
        <f t="shared" si="0"/>
        <v>916.40000000000009</v>
      </c>
    </row>
    <row r="20" spans="7:11" x14ac:dyDescent="0.15">
      <c r="G20" t="s">
        <v>141</v>
      </c>
      <c r="I20" s="34">
        <v>19</v>
      </c>
      <c r="J20" s="8" t="s">
        <v>147</v>
      </c>
      <c r="K20" s="38">
        <f t="shared" si="0"/>
        <v>1014.1500000000001</v>
      </c>
    </row>
    <row r="21" spans="7:11" x14ac:dyDescent="0.15">
      <c r="G21" t="s">
        <v>142</v>
      </c>
      <c r="I21" s="34">
        <v>20</v>
      </c>
      <c r="J21" s="7" t="s">
        <v>133</v>
      </c>
      <c r="K21" s="38">
        <f t="shared" si="0"/>
        <v>1120</v>
      </c>
    </row>
    <row r="22" spans="7:11" x14ac:dyDescent="0.15">
      <c r="G22" t="s">
        <v>192</v>
      </c>
      <c r="I22" s="34">
        <v>21</v>
      </c>
      <c r="J22" s="7" t="s">
        <v>134</v>
      </c>
      <c r="K22" s="38">
        <f t="shared" si="0"/>
        <v>1234.25</v>
      </c>
    </row>
    <row r="23" spans="7:11" x14ac:dyDescent="0.15">
      <c r="G23" t="s">
        <v>143</v>
      </c>
      <c r="I23" s="34">
        <v>22</v>
      </c>
      <c r="J23" s="8" t="s">
        <v>148</v>
      </c>
      <c r="K23" s="38">
        <f t="shared" si="0"/>
        <v>1357.1999999999998</v>
      </c>
    </row>
    <row r="24" spans="7:11" x14ac:dyDescent="0.15">
      <c r="G24" t="s">
        <v>144</v>
      </c>
      <c r="I24" s="34">
        <v>23</v>
      </c>
      <c r="J24" s="8" t="s">
        <v>149</v>
      </c>
      <c r="K24" s="38">
        <f t="shared" si="0"/>
        <v>1489.15</v>
      </c>
    </row>
    <row r="25" spans="7:11" x14ac:dyDescent="0.15">
      <c r="G25" t="s">
        <v>956</v>
      </c>
      <c r="I25" s="34">
        <v>24</v>
      </c>
      <c r="J25" s="8" t="s">
        <v>135</v>
      </c>
      <c r="K25" s="38">
        <f t="shared" si="0"/>
        <v>1630.4</v>
      </c>
    </row>
    <row r="26" spans="7:11" x14ac:dyDescent="0.15">
      <c r="G26" t="s">
        <v>146</v>
      </c>
      <c r="I26" s="34">
        <v>25</v>
      </c>
      <c r="J26" s="7" t="s">
        <v>136</v>
      </c>
      <c r="K26" s="38">
        <f t="shared" si="0"/>
        <v>1781.25</v>
      </c>
    </row>
    <row r="27" spans="7:11" x14ac:dyDescent="0.15">
      <c r="G27" t="s">
        <v>147</v>
      </c>
      <c r="I27" s="34">
        <v>26</v>
      </c>
      <c r="J27" s="8" t="s">
        <v>150</v>
      </c>
      <c r="K27" s="38">
        <f t="shared" si="0"/>
        <v>1942</v>
      </c>
    </row>
    <row r="28" spans="7:11" x14ac:dyDescent="0.15">
      <c r="G28" t="s">
        <v>148</v>
      </c>
      <c r="I28" s="34">
        <v>27</v>
      </c>
      <c r="J28" s="7" t="s">
        <v>137</v>
      </c>
      <c r="K28" s="38">
        <f t="shared" si="0"/>
        <v>2112.9499999999998</v>
      </c>
    </row>
    <row r="29" spans="7:11" x14ac:dyDescent="0.15">
      <c r="G29" t="s">
        <v>149</v>
      </c>
      <c r="I29" s="34">
        <v>28</v>
      </c>
      <c r="J29" s="7" t="s">
        <v>138</v>
      </c>
      <c r="K29" s="38">
        <f t="shared" si="0"/>
        <v>2294.4</v>
      </c>
    </row>
    <row r="30" spans="7:11" x14ac:dyDescent="0.15">
      <c r="G30" t="s">
        <v>150</v>
      </c>
      <c r="I30" s="34">
        <v>29</v>
      </c>
      <c r="J30" s="8" t="s">
        <v>151</v>
      </c>
      <c r="K30" s="38">
        <f t="shared" si="0"/>
        <v>2486.65</v>
      </c>
    </row>
    <row r="31" spans="7:11" x14ac:dyDescent="0.15">
      <c r="G31" t="s">
        <v>151</v>
      </c>
      <c r="I31" s="34">
        <v>30</v>
      </c>
      <c r="J31" s="8" t="s">
        <v>152</v>
      </c>
      <c r="K31" s="38">
        <f t="shared" si="0"/>
        <v>2690</v>
      </c>
    </row>
    <row r="32" spans="7:11" x14ac:dyDescent="0.15">
      <c r="G32" t="s">
        <v>152</v>
      </c>
      <c r="I32" s="34">
        <v>31</v>
      </c>
      <c r="J32" s="7" t="s">
        <v>139</v>
      </c>
      <c r="K32" s="38">
        <f t="shared" si="0"/>
        <v>2904.75</v>
      </c>
    </row>
  </sheetData>
  <phoneticPr fontId="1" type="noConversion"/>
  <conditionalFormatting sqref="G7">
    <cfRule type="duplicateValues" dxfId="3" priority="4"/>
  </conditionalFormatting>
  <conditionalFormatting sqref="G4">
    <cfRule type="duplicateValues" dxfId="2" priority="3"/>
  </conditionalFormatting>
  <conditionalFormatting sqref="J5">
    <cfRule type="duplicateValues" dxfId="1" priority="2"/>
  </conditionalFormatting>
  <conditionalFormatting sqref="J1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ItemData</vt:lpstr>
      <vt:lpstr>Sheet6</vt:lpstr>
      <vt:lpstr>Sheet4</vt:lpstr>
      <vt:lpstr>Sheet13</vt:lpstr>
      <vt:lpstr>Sheet2</vt:lpstr>
      <vt:lpstr>Sheet3</vt:lpstr>
      <vt:lpstr>Sheet1</vt:lpstr>
      <vt:lpstr>Sheet5</vt:lpstr>
      <vt:lpstr>植物</vt:lpstr>
      <vt:lpstr>动物</vt:lpstr>
      <vt:lpstr>装备</vt:lpstr>
      <vt:lpstr>Sheet8</vt:lpstr>
      <vt:lpstr>材料</vt:lpstr>
      <vt:lpstr>食物</vt:lpstr>
      <vt:lpstr>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flyer</cp:lastModifiedBy>
  <dcterms:created xsi:type="dcterms:W3CDTF">2018-01-26T12:49:06Z</dcterms:created>
  <dcterms:modified xsi:type="dcterms:W3CDTF">2025-10-13T13:26:39Z</dcterms:modified>
</cp:coreProperties>
</file>