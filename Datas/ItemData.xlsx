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1" sheetId="4" r:id="rId3"/>
    <sheet name="Sheet3" sheetId="5" r:id="rId4"/>
  </sheets>
  <definedNames>
    <definedName name="_xlnm._FilterDatabase" localSheetId="0" hidden="1">ItemData!$A$3:$C$3</definedName>
    <definedName name="_xlnm._FilterDatabase" localSheetId="2" hidden="1">Sheet1!$G$1:$I$1</definedName>
    <definedName name="_xlnm._FilterDatabase" localSheetId="1" hidden="1">Sheet2!$G$96:$G$145</definedName>
  </definedNames>
  <calcPr calcId="162913"/>
</workbook>
</file>

<file path=xl/calcChain.xml><?xml version="1.0" encoding="utf-8"?>
<calcChain xmlns="http://schemas.openxmlformats.org/spreadsheetml/2006/main"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P30" i="3"/>
  <c r="N31" i="3"/>
  <c r="S31" i="3" s="1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O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S52" i="3" s="1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75" i="3" l="1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69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43" i="1" l="1"/>
  <c r="B144" i="1" l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C140" i="1"/>
  <c r="C141" i="1"/>
  <c r="C142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15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<sst xmlns="http://schemas.openxmlformats.org/spreadsheetml/2006/main" count="1908" uniqueCount="729">
  <si>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</si>
  <si>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</si>
  <si>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</si>
  <si>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</si>
  <si>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</si>
  <si>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</si>
  <si>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</si>
  <si>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</si>
  <si>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</si>
  <si>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</si>
  <si>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</si>
  <si>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</si>
  <si>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</si>
  <si>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</si>
  <si>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</si>
  <si>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</si>
  <si>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</si>
  <si>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</si>
  <si>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</si>
  <si>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</si>
  <si>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</si>
  <si>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</si>
  <si>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</si>
  <si>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</si>
  <si>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</si>
  <si>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</si>
  <si>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</si>
  <si>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</si>
  <si>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</si>
  <si>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</si>
  <si>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</si>
  <si>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</si>
  <si>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</si>
  <si>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</si>
  <si>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</si>
  <si>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</si>
  <si>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</si>
  <si>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</si>
  <si>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</si>
  <si>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</si>
  <si>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</si>
  <si>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</si>
  <si>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</si>
  <si>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</si>
  <si>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</si>
  <si>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</si>
  <si>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</si>
  <si>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</si>
  <si>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</si>
  <si>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</si>
  <si>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</si>
  <si>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</si>
  <si>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</si>
  <si>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</si>
  <si>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</si>
  <si>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</si>
  <si>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</si>
  <si>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</si>
  <si>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</si>
  <si>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</si>
  <si>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</si>
  <si>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</si>
  <si>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</si>
  <si>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</si>
  <si>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</si>
  <si>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</si>
  <si>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</si>
  <si>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</si>
  <si>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</si>
  <si>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</si>
  <si>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</si>
  <si>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</si>
  <si>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</si>
  <si>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</si>
  <si>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</si>
  <si>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</si>
  <si>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</si>
  <si>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</si>
  <si>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</si>
  <si>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</si>
  <si>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</si>
  <si>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</si>
  <si>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</si>
  <si>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</si>
  <si>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</si>
  <si>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</si>
  <si>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</si>
  <si>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</si>
  <si>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</si>
  <si>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</si>
  <si>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</si>
  <si>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</si>
  <si>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</si>
  <si>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</si>
  <si>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</si>
  <si>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</si>
  <si>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</si>
  <si>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</si>
  <si>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</si>
  <si>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</si>
  <si>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</si>
  <si>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</si>
  <si>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</si>
  <si>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</si>
  <si>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</si>
  <si>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</si>
  <si>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</si>
  <si>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</si>
  <si>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</si>
  <si>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</si>
  <si>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</si>
  <si>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</si>
  <si>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</si>
  <si>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</si>
  <si>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</si>
  <si>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</si>
  <si>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</si>
  <si>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</si>
  <si>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</si>
  <si>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</si>
  <si>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</si>
  <si>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</si>
  <si>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</si>
  <si>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</si>
  <si>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</si>
  <si>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</si>
  <si>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</si>
  <si>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</si>
  <si>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</si>
  <si>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</si>
  <si>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</si>
  <si>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</si>
  <si>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</si>
  <si>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</si>
  <si>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</si>
  <si>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</si>
  <si>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</si>
  <si>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</si>
  <si>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</si>
  <si>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</si>
  <si>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</si>
  <si>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</si>
  <si>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</si>
  <si>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</si>
  <si>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</si>
  <si>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</si>
  <si>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</si>
  <si>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</si>
  <si>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</si>
  <si>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</si>
  <si>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</si>
  <si>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</si>
  <si>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</si>
  <si>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</si>
  <si>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</si>
  <si>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</si>
  <si>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</si>
  <si>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</si>
  <si>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</si>
  <si>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</si>
  <si>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</si>
  <si>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</si>
  <si>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</si>
  <si>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</si>
  <si>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</si>
  <si>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</si>
  <si>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</si>
  <si>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</si>
  <si>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</si>
  <si>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</si>
  <si>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</si>
  <si>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</si>
  <si>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</si>
  <si>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</si>
  <si>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</si>
  <si>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</si>
  <si>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</si>
  <si>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</si>
  <si>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</si>
  <si>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</si>
  <si>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</si>
  <si>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</si>
  <si>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</si>
  <si>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</si>
  <si>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</si>
  <si>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</si>
  <si>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</si>
  <si>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</si>
  <si>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</si>
  <si>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</si>
  <si>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</si>
  <si>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</si>
  <si>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</si>
  <si>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</si>
  <si>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</si>
  <si>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</si>
  <si>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</si>
  <si>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</si>
  <si>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</si>
  <si>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</si>
  <si>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</si>
  <si>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</si>
  <si>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</si>
  <si>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</si>
  <si>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</si>
  <si>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</si>
  <si>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</si>
  <si>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</si>
  <si>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</si>
  <si>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</si>
  <si>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</si>
  <si>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</si>
  <si>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</si>
  <si>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</si>
  <si>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</si>
  <si>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</si>
  <si>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</si>
  <si>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</si>
  <si>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</si>
  <si>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</si>
  <si>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</si>
  <si>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</si>
  <si>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</si>
  <si>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</si>
  <si>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</si>
  <si>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</si>
  <si>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</si>
  <si>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</si>
  <si>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</si>
  <si>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</si>
  <si>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</si>
  <si>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</si>
  <si>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</si>
  <si>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</si>
  <si>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</si>
  <si>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</si>
  <si>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</si>
  <si>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</si>
  <si>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</si>
  <si>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</si>
  <si>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</si>
  <si>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</si>
  <si>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</si>
  <si>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</si>
  <si>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</si>
  <si>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</si>
  <si>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</si>
  <si>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</si>
  <si>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</si>
  <si>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</si>
  <si>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</si>
  <si>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</si>
  <si>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</si>
  <si>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</si>
  <si>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</si>
  <si>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</si>
  <si>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</si>
  <si>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</si>
  <si>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</si>
  <si>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</si>
  <si>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</si>
  <si>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</si>
  <si>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</si>
  <si>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</si>
  <si>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</si>
  <si>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</si>
  <si>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</si>
  <si>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</si>
  <si>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</si>
  <si>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</si>
  <si>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</si>
  <si>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</si>
  <si>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</si>
  <si>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</si>
  <si>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搅拌机</t>
  </si>
  <si>
    <t>搅拌机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</si>
  <si>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</si>
  <si>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</si>
  <si>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</si>
  <si>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</si>
  <si>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</si>
  <si>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</si>
  <si>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</si>
  <si>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</si>
  <si>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</si>
  <si>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</si>
  <si>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</si>
  <si>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</si>
  <si>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</si>
  <si>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</si>
  <si>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</si>
  <si>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</si>
  <si>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</si>
  <si>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</si>
  <si>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</si>
  <si>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</si>
  <si>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</si>
  <si>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</si>
  <si>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</si>
  <si>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</si>
  <si>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</si>
  <si>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</si>
  <si>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</si>
  <si>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</si>
  <si>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</si>
  <si>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</si>
  <si>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</si>
  <si>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</si>
  <si>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</si>
  <si>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</si>
  <si>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</si>
  <si>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</si>
  <si>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</si>
  <si>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</si>
  <si>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</si>
  <si>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</si>
  <si>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</si>
  <si>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</si>
  <si>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</si>
  <si>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</si>
  <si>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</si>
  <si>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</si>
  <si>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</si>
  <si>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</si>
  <si>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</si>
  <si>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</si>
  <si>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</si>
  <si>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</si>
  <si>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</si>
  <si>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</si>
  <si>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</si>
  <si>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</si>
  <si>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</si>
  <si>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</si>
  <si>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</si>
  <si>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</si>
  <si>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</si>
  <si>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</si>
  <si>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</si>
  <si>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</si>
  <si>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</si>
  <si>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</si>
  <si>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</si>
  <si>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</si>
  <si>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</si>
  <si>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</si>
  <si>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</si>
  <si>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</si>
  <si>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</si>
  <si>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</si>
  <si>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</si>
  <si>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</si>
  <si>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</si>
  <si>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</si>
  <si>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</si>
  <si>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</si>
  <si>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</si>
  <si>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</si>
  <si>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</si>
  <si>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</si>
  <si>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</si>
  <si>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</si>
  <si>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</si>
  <si>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</si>
  <si>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</si>
  <si>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</si>
  <si>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</si>
  <si>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</si>
  <si>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</si>
  <si>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</si>
  <si>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</si>
  <si>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</si>
  <si>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</si>
  <si>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</si>
  <si>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</si>
  <si>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</si>
  <si>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</si>
  <si>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</si>
  <si>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</si>
  <si>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</si>
  <si>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</si>
  <si>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</si>
  <si>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</si>
  <si>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</si>
  <si>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</si>
  <si>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</si>
  <si>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</si>
  <si>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</si>
  <si>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</si>
  <si>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</si>
  <si>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</si>
  <si>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</si>
  <si>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</si>
  <si>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</si>
  <si>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</si>
  <si>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</si>
  <si>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</si>
  <si>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</si>
  <si>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</si>
  <si>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</si>
  <si>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</si>
  <si>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</si>
  <si>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</si>
  <si>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</si>
  <si>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</si>
  <si>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</si>
  <si>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</si>
  <si>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</si>
  <si>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</si>
  <si>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</si>
  <si>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</si>
  <si>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</si>
  <si>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</si>
  <si>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</si>
  <si>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</si>
  <si>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</si>
  <si>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</si>
  <si>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</si>
  <si>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</si>
  <si>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</si>
  <si>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</si>
  <si>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</si>
  <si>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</si>
  <si>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</si>
  <si>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</si>
  <si>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</si>
  <si>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</si>
  <si>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</si>
  <si>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</si>
  <si>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</si>
  <si>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</si>
  <si>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</si>
  <si>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</si>
  <si>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</si>
  <si>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</si>
  <si>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</si>
  <si>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</si>
  <si>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</si>
  <si>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</si>
  <si>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</si>
  <si>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</si>
  <si>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</si>
  <si>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</si>
  <si>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</si>
  <si>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</si>
  <si>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</si>
  <si>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</si>
  <si>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</si>
  <si>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</si>
  <si>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</si>
  <si>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</si>
  <si>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</si>
  <si>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</si>
  <si>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</si>
  <si>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</si>
  <si>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</si>
  <si>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</si>
  <si>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</si>
  <si>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</si>
  <si>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</si>
  <si>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</si>
  <si>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</si>
  <si>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</si>
  <si>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</si>
  <si>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</si>
  <si>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</si>
  <si>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</si>
  <si>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</si>
  <si>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</si>
  <si>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</si>
  <si>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</si>
  <si>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</si>
  <si>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</si>
  <si>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</si>
  <si>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</si>
  <si>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</si>
  <si>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</si>
  <si>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</si>
  <si>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</si>
  <si>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</si>
  <si>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</si>
  <si>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</si>
  <si>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</si>
  <si>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</si>
  <si>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</si>
  <si>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</si>
  <si>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</si>
  <si>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</si>
  <si>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</si>
  <si>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</si>
  <si>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</si>
  <si>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</si>
  <si>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</si>
  <si>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</si>
  <si>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</si>
  <si>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</si>
  <si>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</si>
  <si>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</si>
  <si>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</si>
  <si>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</si>
  <si>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</si>
  <si>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</si>
  <si>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</si>
  <si>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</si>
  <si>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</si>
  <si>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</si>
  <si>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</si>
  <si>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</si>
  <si>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</si>
  <si>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</si>
  <si>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</si>
  <si>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</si>
  <si>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</si>
  <si>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</si>
  <si>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</si>
  <si>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</si>
  <si>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</si>
  <si>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</si>
  <si>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</si>
  <si>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</si>
  <si>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</si>
  <si>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</si>
  <si>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</si>
  <si>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</si>
  <si>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</si>
  <si>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</si>
  <si>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</si>
  <si>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</si>
  <si>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</si>
  <si>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</si>
  <si>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</si>
  <si>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</si>
  <si>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</si>
  <si>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</si>
  <si>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</si>
  <si>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</si>
  <si>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</si>
  <si>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</si>
  <si>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</si>
  <si>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</si>
  <si>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</si>
  <si>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力量果实</t>
    <phoneticPr fontId="1" type="noConversion"/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</si>
  <si>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</si>
  <si>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</si>
  <si>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</si>
  <si>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</si>
  <si>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</si>
  <si>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</si>
  <si>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</si>
  <si>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</si>
  <si>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</si>
  <si>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</si>
  <si>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</si>
  <si>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</si>
  <si>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</si>
  <si>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</si>
  <si>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</si>
  <si>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</si>
  <si>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</si>
  <si>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</si>
  <si>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</si>
  <si>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</si>
  <si>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</si>
  <si>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</si>
  <si>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</si>
  <si>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</si>
  <si>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</si>
  <si>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</si>
  <si>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</si>
  <si>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</si>
  <si>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</si>
  <si>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</si>
  <si>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</si>
  <si>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</si>
  <si>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</si>
  <si>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</si>
  <si>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</si>
  <si>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</si>
  <si>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</si>
  <si>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</si>
  <si>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</si>
  <si>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</si>
  <si>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</si>
  <si>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</si>
  <si>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</si>
  <si>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</si>
  <si>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</si>
  <si>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</si>
  <si>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</si>
  <si>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</si>
  <si>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</si>
  <si>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</si>
  <si>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</si>
  <si>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</si>
  <si>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</si>
  <si>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</si>
  <si>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</si>
  <si>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</si>
  <si>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</si>
  <si>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</si>
  <si>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</si>
  <si>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</si>
  <si>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</si>
  <si>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</si>
  <si>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</si>
  <si>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</si>
  <si>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</si>
  <si>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</si>
  <si>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</si>
  <si>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</si>
  <si>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</si>
  <si>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</si>
  <si>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</si>
  <si>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</si>
  <si>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</si>
  <si>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</si>
  <si>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</si>
  <si>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</si>
  <si>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</si>
  <si>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</si>
  <si>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</si>
  <si>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</si>
  <si>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</si>
  <si>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</si>
  <si>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</si>
  <si>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</si>
  <si>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</si>
  <si>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</si>
  <si>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</si>
  <si>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</si>
  <si>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</si>
  <si>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</si>
  <si>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</si>
  <si>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</si>
  <si>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</si>
  <si>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</si>
  <si>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</si>
  <si>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</si>
  <si>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</si>
  <si>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魔力之土</t>
    <phoneticPr fontId="1" type="noConversion"/>
  </si>
  <si>
    <t>月之光华</t>
    <phoneticPr fontId="1" type="noConversion"/>
  </si>
  <si>
    <t>贤者晶石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</si>
  <si>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</si>
  <si>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</si>
  <si>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</si>
  <si>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</si>
  <si>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</si>
  <si>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</si>
  <si>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</si>
  <si>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</si>
  <si>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</si>
  <si>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</si>
  <si>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</si>
  <si>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</si>
  <si>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</si>
  <si>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</si>
  <si>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</si>
  <si>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</si>
  <si>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</si>
  <si>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</si>
  <si>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</si>
  <si>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</si>
  <si>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</si>
  <si>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</si>
  <si>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</si>
  <si>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</si>
  <si>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</si>
  <si>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</si>
  <si>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</si>
  <si>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</si>
  <si>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</si>
  <si>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</si>
  <si>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</si>
  <si>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</si>
  <si>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</si>
  <si>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</si>
  <si>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</si>
  <si>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</si>
  <si>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</si>
  <si>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</si>
  <si>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</si>
  <si>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</si>
  <si>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</si>
  <si>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</si>
  <si>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</si>
  <si>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</si>
  <si>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</si>
  <si>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</si>
  <si>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</si>
  <si>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</si>
  <si>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</si>
  <si>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</si>
  <si>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粘土</t>
    <phoneticPr fontId="1" type="noConversion"/>
  </si>
  <si>
    <t>布片</t>
    <phoneticPr fontId="1" type="noConversion"/>
  </si>
  <si>
    <t>蛛丝</t>
    <phoneticPr fontId="1" type="noConversion"/>
  </si>
  <si>
    <t>皮革</t>
    <phoneticPr fontId="1" type="noConversion"/>
  </si>
  <si>
    <t>蛇皮</t>
    <phoneticPr fontId="1" type="noConversion"/>
  </si>
  <si>
    <t>风晶石</t>
    <phoneticPr fontId="1" type="noConversion"/>
  </si>
  <si>
    <t>琥珀</t>
    <phoneticPr fontId="1" type="noConversion"/>
  </si>
  <si>
    <t>魔力之土</t>
    <phoneticPr fontId="1" type="noConversion"/>
  </si>
  <si>
    <t>水晶石</t>
    <phoneticPr fontId="1" type="noConversion"/>
  </si>
  <si>
    <t>彩色的布</t>
    <phoneticPr fontId="1" type="noConversion"/>
  </si>
  <si>
    <t>彩色羽毛</t>
    <phoneticPr fontId="1" type="noConversion"/>
  </si>
  <si>
    <t>防水皮革</t>
    <phoneticPr fontId="1" type="noConversion"/>
  </si>
  <si>
    <t>狼牙</t>
    <phoneticPr fontId="1" type="noConversion"/>
  </si>
  <si>
    <t>鳞片</t>
    <phoneticPr fontId="1" type="noConversion"/>
  </si>
  <si>
    <t>魔族之血</t>
    <phoneticPr fontId="1" type="noConversion"/>
  </si>
  <si>
    <t>暮光结晶</t>
    <phoneticPr fontId="1" type="noConversion"/>
  </si>
  <si>
    <t>亡者之土</t>
    <phoneticPr fontId="1" type="noConversion"/>
  </si>
  <si>
    <t>夜之幕</t>
    <phoneticPr fontId="1" type="noConversion"/>
  </si>
  <si>
    <t>植物的藤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</si>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</sst>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F2-479B-ABF8-C2B5F1379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F2-479B-ABF8-C2B5F1379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F2-479B-ABF8-C2B5F1379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F2-479B-ABF8-C2B5F1379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F2-479B-ABF8-C2B5F13793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2F2-479B-ABF8-C2B5F13793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F2-479B-ABF8-C2B5F13793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F2-479B-ABF8-C2B5F137934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F2-479B-ABF8-C2B5F137934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2F2-479B-ABF8-C2B5F13793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2F2-479B-ABF8-C2B5F13793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2F2-479B-ABF8-C2B5F137934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2F2-479B-ABF8-C2B5F137934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2F2-479B-ABF8-C2B5F137934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2F2-479B-ABF8-C2B5F137934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2F2-479B-ABF8-C2B5F137934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2F2-479B-ABF8-C2B5F137934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2F2-479B-ABF8-C2B5F137934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2F2-479B-ABF8-C2B5F137934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2F2-479B-ABF8-C2B5F137934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2F2-479B-ABF8-C2B5F137934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2F2-479B-ABF8-C2B5F137934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2F2-479B-ABF8-C2B5F137934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2F2-479B-ABF8-C2B5F137934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2F2-479B-ABF8-C2B5F137934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2F2-479B-ABF8-C2B5F137934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2F2-479B-ABF8-C2B5F137934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2F2-479B-ABF8-C2B5F137934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2F2-479B-ABF8-C2B5F137934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2F2-479B-ABF8-C2B5F137934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2F2-479B-ABF8-C2B5F137934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2F2-479B-ABF8-C2B5F137934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2F2-479B-ABF8-C2B5F137934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2F2-479B-ABF8-C2B5F137934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2F2-479B-ABF8-C2B5F137934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2F2-479B-ABF8-C2B5F137934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2F2-479B-ABF8-C2B5F137934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2F2-479B-ABF8-C2B5F137934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2F2-479B-ABF8-C2B5F137934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2F2-479B-ABF8-C2B5F137934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2F2-479B-ABF8-C2B5F137934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2F2-479B-ABF8-C2B5F137934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2F2-479B-ABF8-C2B5F137934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2F2-479B-ABF8-C2B5F137934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2F2-479B-ABF8-C2B5F137934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2F2-479B-ABF8-C2B5F137934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2F2-479B-ABF8-C2B5F137934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2F2-479B-ABF8-C2B5F137934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2F2-479B-ABF8-C2B5F137934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2F2-479B-ABF8-C2B5F137934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2F2-479B-ABF8-C2B5F137934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2F2-479B-ABF8-C2B5F137934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2F2-479B-ABF8-C2B5F137934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2F2-479B-ABF8-C2B5F137934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2F2-479B-ABF8-C2B5F137934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2F2-479B-ABF8-C2B5F137934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2F2-479B-ABF8-C2B5F137934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2F2-479B-ABF8-C2B5F137934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2F2-479B-ABF8-C2B5F137934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2F2-479B-ABF8-C2B5F137934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62F2-479B-ABF8-C2B5F137934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62F2-479B-ABF8-C2B5F137934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62F2-479B-ABF8-C2B5F137934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62F2-479B-ABF8-C2B5F137934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62F2-479B-ABF8-C2B5F137934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62F2-479B-ABF8-C2B5F137934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62F2-479B-ABF8-C2B5F137934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62F2-479B-ABF8-C2B5F137934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62F2-479B-ABF8-C2B5F137934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62F2-479B-ABF8-C2B5F137934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62F2-479B-ABF8-C2B5F137934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62F2-479B-ABF8-C2B5F137934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62F2-479B-ABF8-C2B5F137934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62F2-479B-ABF8-C2B5F137934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62F2-479B-ABF8-C2B5F137934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62F2-479B-ABF8-C2B5F137934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62F2-479B-ABF8-C2B5F137934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62F2-479B-ABF8-C2B5F137934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62F2-479B-ABF8-C2B5F137934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62F2-479B-ABF8-C2B5F137934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62F2-479B-ABF8-C2B5F137934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62F2-479B-ABF8-C2B5F1379349}"/>
              </c:ext>
            </c:extLst>
          </c:dPt>
          <c:cat>
            <c:strRef>
              <c:f>Sheet1!$G$2:$G$80</c:f>
              <c:strCache>
                <c:ptCount val="79"/>
                <c:pt idx="0">
                  <c:v>铁块</c:v>
                </c:pt>
                <c:pt idx="1">
                  <c:v>刀刃</c:v>
                </c:pt>
                <c:pt idx="2">
                  <c:v>粘液</c:v>
                </c:pt>
                <c:pt idx="3">
                  <c:v>蛛丝</c:v>
                </c:pt>
                <c:pt idx="4">
                  <c:v>焦炭</c:v>
                </c:pt>
                <c:pt idx="5">
                  <c:v>鹿角</c:v>
                </c:pt>
                <c:pt idx="6">
                  <c:v>布片</c:v>
                </c:pt>
                <c:pt idx="7">
                  <c:v>马尾</c:v>
                </c:pt>
                <c:pt idx="8">
                  <c:v>毛线</c:v>
                </c:pt>
                <c:pt idx="9">
                  <c:v>皮革</c:v>
                </c:pt>
                <c:pt idx="10">
                  <c:v>蛇皮</c:v>
                </c:pt>
                <c:pt idx="11">
                  <c:v>木棒</c:v>
                </c:pt>
                <c:pt idx="12">
                  <c:v>石英砂</c:v>
                </c:pt>
                <c:pt idx="13">
                  <c:v>兽角</c:v>
                </c:pt>
                <c:pt idx="14">
                  <c:v>风晶石</c:v>
                </c:pt>
                <c:pt idx="15">
                  <c:v>琥珀</c:v>
                </c:pt>
                <c:pt idx="16">
                  <c:v>魔力之土</c:v>
                </c:pt>
                <c:pt idx="17">
                  <c:v>水晶石</c:v>
                </c:pt>
                <c:pt idx="18">
                  <c:v>羊毛</c:v>
                </c:pt>
                <c:pt idx="19">
                  <c:v>彩色的布</c:v>
                </c:pt>
                <c:pt idx="20">
                  <c:v>彩色羽毛</c:v>
                </c:pt>
                <c:pt idx="21">
                  <c:v>防水皮革</c:v>
                </c:pt>
                <c:pt idx="22">
                  <c:v>龟壳</c:v>
                </c:pt>
                <c:pt idx="23">
                  <c:v>寒冰气息</c:v>
                </c:pt>
                <c:pt idx="24">
                  <c:v>狼牙</c:v>
                </c:pt>
                <c:pt idx="25">
                  <c:v>鳞片</c:v>
                </c:pt>
                <c:pt idx="26">
                  <c:v>魔族之血</c:v>
                </c:pt>
                <c:pt idx="27">
                  <c:v>暮光结晶</c:v>
                </c:pt>
                <c:pt idx="28">
                  <c:v>亡者之土</c:v>
                </c:pt>
                <c:pt idx="29">
                  <c:v>象牙</c:v>
                </c:pt>
                <c:pt idx="30">
                  <c:v>夜之幕</c:v>
                </c:pt>
                <c:pt idx="31">
                  <c:v>幽魂</c:v>
                </c:pt>
                <c:pt idx="32">
                  <c:v>植物的藤</c:v>
                </c:pt>
                <c:pt idx="33">
                  <c:v>白磷粉末</c:v>
                </c:pt>
                <c:pt idx="34">
                  <c:v>冰的结晶</c:v>
                </c:pt>
                <c:pt idx="35">
                  <c:v>冰晶石</c:v>
                </c:pt>
                <c:pt idx="36">
                  <c:v>电偶瓶</c:v>
                </c:pt>
                <c:pt idx="37">
                  <c:v>毒淤泥</c:v>
                </c:pt>
                <c:pt idx="38">
                  <c:v>蜂刺</c:v>
                </c:pt>
                <c:pt idx="39">
                  <c:v>贵族徽章</c:v>
                </c:pt>
                <c:pt idx="40">
                  <c:v>火晶石</c:v>
                </c:pt>
                <c:pt idx="41">
                  <c:v>尖刺</c:v>
                </c:pt>
                <c:pt idx="42">
                  <c:v>金块</c:v>
                </c:pt>
                <c:pt idx="43">
                  <c:v>魔兽皮毛</c:v>
                </c:pt>
                <c:pt idx="44">
                  <c:v>奇美拉之翼</c:v>
                </c:pt>
                <c:pt idx="45">
                  <c:v>骑士之证</c:v>
                </c:pt>
                <c:pt idx="46">
                  <c:v>人狼之证</c:v>
                </c:pt>
                <c:pt idx="47">
                  <c:v>珊瑚</c:v>
                </c:pt>
                <c:pt idx="48">
                  <c:v>石化之眼</c:v>
                </c:pt>
                <c:pt idx="49">
                  <c:v>土晶石</c:v>
                </c:pt>
                <c:pt idx="50">
                  <c:v>贤者晶石</c:v>
                </c:pt>
                <c:pt idx="51">
                  <c:v>雪球</c:v>
                </c:pt>
                <c:pt idx="52">
                  <c:v>妖精粉</c:v>
                </c:pt>
                <c:pt idx="53">
                  <c:v>遗骨</c:v>
                </c:pt>
                <c:pt idx="54">
                  <c:v>银块</c:v>
                </c:pt>
                <c:pt idx="55">
                  <c:v>月之光华</c:v>
                </c:pt>
                <c:pt idx="56">
                  <c:v>脏绷带</c:v>
                </c:pt>
                <c:pt idx="57">
                  <c:v>珍珠</c:v>
                </c:pt>
                <c:pt idx="58">
                  <c:v>咒术药水</c:v>
                </c:pt>
                <c:pt idx="59">
                  <c:v>诅咒宝珠</c:v>
                </c:pt>
                <c:pt idx="60">
                  <c:v>暗夜之露</c:v>
                </c:pt>
                <c:pt idx="61">
                  <c:v>草药茶</c:v>
                </c:pt>
                <c:pt idx="62">
                  <c:v>恶魔花瓣</c:v>
                </c:pt>
                <c:pt idx="63">
                  <c:v>寒冰火种</c:v>
                </c:pt>
                <c:pt idx="64">
                  <c:v>幻影水晶</c:v>
                </c:pt>
                <c:pt idx="65">
                  <c:v>雷鸣宝珠</c:v>
                </c:pt>
                <c:pt idx="66">
                  <c:v>力量果实</c:v>
                </c:pt>
                <c:pt idx="67">
                  <c:v>魅惑药水</c:v>
                </c:pt>
                <c:pt idx="68">
                  <c:v>迷幻孢子</c:v>
                </c:pt>
                <c:pt idx="69">
                  <c:v>神奇泥浆</c:v>
                </c:pt>
                <c:pt idx="70">
                  <c:v>水晶球</c:v>
                </c:pt>
                <c:pt idx="71">
                  <c:v>图腾号角</c:v>
                </c:pt>
                <c:pt idx="72">
                  <c:v>武道精华</c:v>
                </c:pt>
                <c:pt idx="73">
                  <c:v>仙人掌</c:v>
                </c:pt>
                <c:pt idx="74">
                  <c:v>星的眼泪</c:v>
                </c:pt>
                <c:pt idx="75">
                  <c:v>眼球</c:v>
                </c:pt>
                <c:pt idx="76">
                  <c:v>萤火树汁</c:v>
                </c:pt>
                <c:pt idx="77">
                  <c:v>远古的硬币</c:v>
                </c:pt>
                <c:pt idx="78">
                  <c:v>粘土</c:v>
                </c:pt>
              </c:strCache>
            </c:strRef>
          </c:cat>
          <c:val>
            <c:numRef>
              <c:f>Sheet1!$H$2:$H$80</c:f>
              <c:numCache>
                <c:formatCode>General</c:formatCode>
                <c:ptCount val="79"/>
                <c:pt idx="0">
                  <c:v>25</c:v>
                </c:pt>
                <c:pt idx="1">
                  <c:v>16</c:v>
                </c:pt>
                <c:pt idx="2">
                  <c:v>15</c:v>
                </c:pt>
                <c:pt idx="3">
                  <c:v>14</c:v>
                </c:pt>
                <c:pt idx="4">
                  <c:v>10</c:v>
                </c:pt>
                <c:pt idx="5">
                  <c:v>9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9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E-4A0B-B2B8-8CC07A4C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581025</xdr:colOff>
      <xdr:row>2</xdr:row>
      <xdr:rowOff>38101</xdr:rowOff>
    </xdr:from>
    <xdr:to>
      <xdr:col>24</xdr:col>
      <xdr:colOff>542925</xdr:colOff>
      <xdr:row>35</xdr:row>
      <xdr:rowOff>104775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378"/>
  <sheetViews>
    <sheetView tabSelected="1" zoomScaleNormal="100" workbookViewId="0">
      <pane xSplit="1" ySplit="3" topLeftCell="B69" activePane="bottomRight" state="frozen"/>
      <selection pane="topRight" activeCell="B1" sqref="B1"/>
      <selection pane="bottomLeft" activeCell="A4" sqref="A4"/>
      <selection pane="bottomRight" activeCell="Q82" sqref="Q82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hidden="1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37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126</v>
      </c>
      <c r="B4" s="1">
        <v>1</v>
      </c>
      <c r="C4" s="1" t="s">
        <v>127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128</v>
      </c>
    </row>
    <row r="5" spans="1:17" x14ac:dyDescent="0.15">
      <c r="A5" s="1" t="s">
        <v>342</v>
      </c>
      <c r="B5" s="1">
        <v>20</v>
      </c>
      <c r="C5" s="1" t="s">
        <v>342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129</v>
      </c>
    </row>
    <row r="6" spans="1:17" x14ac:dyDescent="0.15">
      <c r="A6" s="1" t="s">
        <v>343</v>
      </c>
      <c r="B6" s="1">
        <v>21</v>
      </c>
      <c r="C6" s="1" t="s">
        <v>343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Q6" s="1" t="s">
        <v>129</v>
      </c>
    </row>
    <row r="7" spans="1:17" x14ac:dyDescent="0.15">
      <c r="A7" s="1" t="s">
        <v>344</v>
      </c>
      <c r="B7" s="1">
        <v>22</v>
      </c>
      <c r="C7" s="1" t="s">
        <v>344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Q7" s="1" t="s">
        <v>129</v>
      </c>
    </row>
    <row r="8" spans="1:17" x14ac:dyDescent="0.15">
      <c r="A8" s="1" t="s">
        <v>345</v>
      </c>
      <c r="B8" s="1">
        <v>23</v>
      </c>
      <c r="C8" s="1" t="s">
        <v>345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Q8" s="1" t="s">
        <v>129</v>
      </c>
    </row>
    <row r="9" spans="1:17" x14ac:dyDescent="0.15">
      <c r="A9" s="1" t="s">
        <v>346</v>
      </c>
      <c r="B9" s="1">
        <v>24</v>
      </c>
      <c r="C9" s="1" t="s">
        <v>346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Q9" s="1" t="s">
        <v>129</v>
      </c>
    </row>
    <row r="10" spans="1:17" x14ac:dyDescent="0.15">
      <c r="A10" s="1" t="s">
        <v>645</v>
      </c>
      <c r="B10" s="1">
        <v>25</v>
      </c>
      <c r="C10" s="1" t="s">
        <v>726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Q10" s="1" t="s">
        <v>644</v>
      </c>
    </row>
    <row r="11" spans="1:17" x14ac:dyDescent="0.15">
      <c r="A11" s="1" t="s">
        <v>643</v>
      </c>
      <c r="B11" s="1">
        <v>26</v>
      </c>
      <c r="C11" s="1" t="s">
        <v>728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Q11" s="1" t="s">
        <v>644</v>
      </c>
    </row>
    <row r="12" spans="1:17" x14ac:dyDescent="0.15">
      <c r="A12" s="1" t="s">
        <v>646</v>
      </c>
      <c r="B12" s="1">
        <v>27</v>
      </c>
      <c r="C12" s="1" t="s">
        <v>727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Q12" s="1" t="s">
        <v>644</v>
      </c>
    </row>
    <row r="13" spans="1:17" x14ac:dyDescent="0.15">
      <c r="A13" s="1" t="s">
        <v>132</v>
      </c>
      <c r="B13" s="1">
        <v>11</v>
      </c>
      <c r="C13" s="1" t="s">
        <v>133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19</v>
      </c>
      <c r="J13" s="1">
        <v>0</v>
      </c>
      <c r="K13" s="1">
        <v>0</v>
      </c>
      <c r="L13" s="1">
        <v>0</v>
      </c>
      <c r="O13" s="2" t="s">
        <v>135</v>
      </c>
      <c r="Q13" s="1" t="s">
        <v>134</v>
      </c>
    </row>
    <row r="14" spans="1:17" x14ac:dyDescent="0.15">
      <c r="A14" s="1" t="s">
        <v>176</v>
      </c>
      <c r="B14" s="1">
        <v>12</v>
      </c>
      <c r="C14" s="1" t="s">
        <v>176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19</v>
      </c>
      <c r="J14" s="1">
        <v>0</v>
      </c>
      <c r="K14" s="1">
        <v>0</v>
      </c>
      <c r="L14" s="1">
        <v>0</v>
      </c>
      <c r="Q14" s="1" t="s">
        <v>177</v>
      </c>
    </row>
    <row r="15" spans="1:17" x14ac:dyDescent="0.15">
      <c r="A15" s="1" t="s">
        <v>130</v>
      </c>
      <c r="B15" s="1">
        <v>100</v>
      </c>
      <c r="C15" s="1" t="s">
        <v>130</v>
      </c>
      <c r="D15" s="1">
        <v>-1</v>
      </c>
      <c r="E15" s="1">
        <v>0</v>
      </c>
      <c r="F15" s="1">
        <v>0</v>
      </c>
      <c r="G15" s="1">
        <v>0</v>
      </c>
      <c r="H15" s="1">
        <v>0</v>
      </c>
      <c r="I15" s="1">
        <v>29</v>
      </c>
      <c r="J15" s="1">
        <v>0</v>
      </c>
      <c r="K15" s="1">
        <v>0</v>
      </c>
      <c r="L15" s="1">
        <v>0</v>
      </c>
      <c r="Q15" s="1" t="s">
        <v>131</v>
      </c>
    </row>
    <row r="16" spans="1:17" x14ac:dyDescent="0.15">
      <c r="A16" s="12" t="s">
        <v>347</v>
      </c>
      <c r="B16" s="1">
        <v>101</v>
      </c>
      <c r="C16" s="12" t="s">
        <v>347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29</v>
      </c>
      <c r="J16" s="1">
        <v>0</v>
      </c>
      <c r="K16" s="1">
        <v>0</v>
      </c>
      <c r="L16" s="1">
        <v>0</v>
      </c>
      <c r="Q16" s="12" t="s">
        <v>347</v>
      </c>
    </row>
    <row r="17" spans="1:17" x14ac:dyDescent="0.15">
      <c r="A17" s="12" t="s">
        <v>348</v>
      </c>
      <c r="B17" s="1">
        <v>102</v>
      </c>
      <c r="C17" s="12" t="s">
        <v>348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9</v>
      </c>
      <c r="J17" s="1">
        <v>0</v>
      </c>
      <c r="K17" s="1">
        <v>0</v>
      </c>
      <c r="L17" s="1">
        <v>0</v>
      </c>
      <c r="Q17" s="12" t="s">
        <v>348</v>
      </c>
    </row>
    <row r="18" spans="1:17" x14ac:dyDescent="0.15">
      <c r="A18" s="12" t="s">
        <v>349</v>
      </c>
      <c r="B18" s="1">
        <v>103</v>
      </c>
      <c r="C18" s="12" t="s">
        <v>349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49</v>
      </c>
      <c r="J18" s="1">
        <v>0</v>
      </c>
      <c r="K18" s="1">
        <v>0</v>
      </c>
      <c r="L18" s="1">
        <v>0</v>
      </c>
      <c r="Q18" s="12" t="s">
        <v>349</v>
      </c>
    </row>
    <row r="19" spans="1:17" x14ac:dyDescent="0.15">
      <c r="A19" s="12" t="s">
        <v>350</v>
      </c>
      <c r="B19" s="1">
        <v>104</v>
      </c>
      <c r="C19" s="12" t="s">
        <v>350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39</v>
      </c>
      <c r="J19" s="1">
        <v>0</v>
      </c>
      <c r="K19" s="1">
        <v>0</v>
      </c>
      <c r="L19" s="1">
        <v>0</v>
      </c>
      <c r="Q19" s="12" t="s">
        <v>350</v>
      </c>
    </row>
    <row r="20" spans="1:17" x14ac:dyDescent="0.15">
      <c r="A20" s="12" t="s">
        <v>354</v>
      </c>
      <c r="B20" s="1">
        <v>105</v>
      </c>
      <c r="C20" s="12" t="s">
        <v>354</v>
      </c>
      <c r="D20" s="1">
        <v>5</v>
      </c>
      <c r="E20" s="1">
        <v>0</v>
      </c>
      <c r="F20" s="1">
        <v>0</v>
      </c>
      <c r="G20" s="1">
        <v>0</v>
      </c>
      <c r="H20" s="1">
        <v>0</v>
      </c>
      <c r="I20" s="1">
        <v>39</v>
      </c>
      <c r="J20" s="1">
        <v>0</v>
      </c>
      <c r="K20" s="1">
        <v>0</v>
      </c>
      <c r="L20" s="1">
        <v>0</v>
      </c>
      <c r="Q20" s="12" t="s">
        <v>353</v>
      </c>
    </row>
    <row r="21" spans="1:17" x14ac:dyDescent="0.15">
      <c r="A21" s="12" t="s">
        <v>725</v>
      </c>
      <c r="B21" s="1">
        <v>200</v>
      </c>
      <c r="C21" s="12" t="s">
        <v>725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49</v>
      </c>
      <c r="J21" s="1">
        <v>0</v>
      </c>
      <c r="K21" s="1">
        <v>0</v>
      </c>
      <c r="L21" s="1">
        <v>0</v>
      </c>
      <c r="Q21" s="12"/>
    </row>
    <row r="22" spans="1:17" x14ac:dyDescent="0.15">
      <c r="A22" s="12" t="s">
        <v>470</v>
      </c>
      <c r="B22" s="1">
        <v>201</v>
      </c>
      <c r="C22" s="12" t="s">
        <v>470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49</v>
      </c>
      <c r="J22" s="1">
        <v>0</v>
      </c>
      <c r="K22" s="1">
        <v>0</v>
      </c>
      <c r="L22" s="1">
        <v>0</v>
      </c>
      <c r="Q22" s="12"/>
    </row>
    <row r="23" spans="1:17" x14ac:dyDescent="0.15">
      <c r="A23" s="12" t="s">
        <v>471</v>
      </c>
      <c r="B23" s="1">
        <v>202</v>
      </c>
      <c r="C23" s="12" t="s">
        <v>471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49</v>
      </c>
      <c r="J23" s="1">
        <v>0</v>
      </c>
      <c r="K23" s="1">
        <v>0</v>
      </c>
      <c r="L23" s="1">
        <v>0</v>
      </c>
      <c r="Q23" s="12"/>
    </row>
    <row r="24" spans="1:17" x14ac:dyDescent="0.15">
      <c r="A24" s="12" t="s">
        <v>371</v>
      </c>
      <c r="B24" s="1">
        <v>203</v>
      </c>
      <c r="C24" s="12" t="s">
        <v>371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49</v>
      </c>
      <c r="J24" s="1">
        <v>0</v>
      </c>
      <c r="K24" s="1">
        <v>0</v>
      </c>
      <c r="L24" s="1">
        <v>0</v>
      </c>
      <c r="Q24" s="12"/>
    </row>
    <row r="25" spans="1:17" x14ac:dyDescent="0.15">
      <c r="A25" s="12" t="s">
        <v>377</v>
      </c>
      <c r="B25" s="1">
        <v>204</v>
      </c>
      <c r="C25" s="12" t="s">
        <v>377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49</v>
      </c>
      <c r="J25" s="1">
        <v>0</v>
      </c>
      <c r="K25" s="1">
        <v>0</v>
      </c>
      <c r="L25" s="1">
        <v>0</v>
      </c>
      <c r="Q25" s="12"/>
    </row>
    <row r="26" spans="1:17" x14ac:dyDescent="0.15">
      <c r="A26" s="12" t="s">
        <v>472</v>
      </c>
      <c r="B26" s="1">
        <v>205</v>
      </c>
      <c r="C26" s="12" t="s">
        <v>472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49</v>
      </c>
      <c r="J26" s="1">
        <v>0</v>
      </c>
      <c r="K26" s="1">
        <v>0</v>
      </c>
      <c r="L26" s="1">
        <v>0</v>
      </c>
      <c r="Q26" s="12"/>
    </row>
    <row r="27" spans="1:17" x14ac:dyDescent="0.15">
      <c r="A27" s="12" t="s">
        <v>473</v>
      </c>
      <c r="B27" s="1">
        <v>207</v>
      </c>
      <c r="C27" s="12" t="s">
        <v>473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49</v>
      </c>
      <c r="J27" s="1">
        <v>0</v>
      </c>
      <c r="K27" s="1">
        <v>0</v>
      </c>
      <c r="L27" s="1">
        <v>0</v>
      </c>
      <c r="Q27" s="12"/>
    </row>
    <row r="28" spans="1:17" x14ac:dyDescent="0.15">
      <c r="A28" s="12" t="s">
        <v>474</v>
      </c>
      <c r="B28" s="1">
        <v>208</v>
      </c>
      <c r="C28" s="12" t="s">
        <v>474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49</v>
      </c>
      <c r="J28" s="1">
        <v>0</v>
      </c>
      <c r="K28" s="1">
        <v>0</v>
      </c>
      <c r="L28" s="1">
        <v>0</v>
      </c>
      <c r="Q28" s="12"/>
    </row>
    <row r="29" spans="1:17" x14ac:dyDescent="0.15">
      <c r="A29" s="12" t="s">
        <v>475</v>
      </c>
      <c r="B29" s="1">
        <v>210</v>
      </c>
      <c r="C29" s="12" t="s">
        <v>475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49</v>
      </c>
      <c r="J29" s="1">
        <v>0</v>
      </c>
      <c r="K29" s="1">
        <v>0</v>
      </c>
      <c r="L29" s="1">
        <v>0</v>
      </c>
      <c r="Q29" s="12"/>
    </row>
    <row r="30" spans="1:17" x14ac:dyDescent="0.15">
      <c r="A30" s="12" t="s">
        <v>395</v>
      </c>
      <c r="B30" s="1">
        <v>211</v>
      </c>
      <c r="C30" s="12" t="s">
        <v>395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49</v>
      </c>
      <c r="J30" s="1">
        <v>0</v>
      </c>
      <c r="K30" s="1">
        <v>0</v>
      </c>
      <c r="L30" s="1">
        <v>0</v>
      </c>
      <c r="Q30" s="12"/>
    </row>
    <row r="31" spans="1:17" x14ac:dyDescent="0.15">
      <c r="A31" s="12" t="s">
        <v>476</v>
      </c>
      <c r="B31" s="1">
        <v>212</v>
      </c>
      <c r="C31" s="12" t="s">
        <v>476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49</v>
      </c>
      <c r="J31" s="1">
        <v>0</v>
      </c>
      <c r="K31" s="1">
        <v>0</v>
      </c>
      <c r="L31" s="1">
        <v>0</v>
      </c>
      <c r="Q31" s="12"/>
    </row>
    <row r="32" spans="1:17" x14ac:dyDescent="0.15">
      <c r="A32" s="12" t="s">
        <v>477</v>
      </c>
      <c r="B32" s="1">
        <v>213</v>
      </c>
      <c r="C32" s="12" t="s">
        <v>477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49</v>
      </c>
      <c r="J32" s="1">
        <v>0</v>
      </c>
      <c r="K32" s="1">
        <v>0</v>
      </c>
      <c r="L32" s="1">
        <v>0</v>
      </c>
      <c r="Q32" s="12"/>
    </row>
    <row r="33" spans="1:17" x14ac:dyDescent="0.15">
      <c r="A33" s="12" t="s">
        <v>382</v>
      </c>
      <c r="B33" s="1">
        <v>214</v>
      </c>
      <c r="C33" s="12" t="s">
        <v>382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49</v>
      </c>
      <c r="J33" s="1">
        <v>0</v>
      </c>
      <c r="K33" s="1">
        <v>0</v>
      </c>
      <c r="L33" s="1">
        <v>0</v>
      </c>
      <c r="Q33" s="12"/>
    </row>
    <row r="34" spans="1:17" x14ac:dyDescent="0.15">
      <c r="A34" s="12" t="s">
        <v>714</v>
      </c>
      <c r="B34" s="1">
        <v>215</v>
      </c>
      <c r="C34" s="12" t="s">
        <v>478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49</v>
      </c>
      <c r="J34" s="1">
        <v>0</v>
      </c>
      <c r="K34" s="1">
        <v>0</v>
      </c>
      <c r="L34" s="1">
        <v>0</v>
      </c>
      <c r="Q34" s="12"/>
    </row>
    <row r="35" spans="1:17" x14ac:dyDescent="0.15">
      <c r="A35" s="12" t="s">
        <v>715</v>
      </c>
      <c r="B35" s="1">
        <v>216</v>
      </c>
      <c r="C35" s="12" t="s">
        <v>479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49</v>
      </c>
      <c r="J35" s="1">
        <v>0</v>
      </c>
      <c r="K35" s="1">
        <v>0</v>
      </c>
      <c r="L35" s="1">
        <v>0</v>
      </c>
      <c r="Q35" s="12"/>
    </row>
    <row r="36" spans="1:17" x14ac:dyDescent="0.15">
      <c r="A36" s="12" t="s">
        <v>480</v>
      </c>
      <c r="B36" s="1">
        <v>217</v>
      </c>
      <c r="C36" s="12" t="s">
        <v>480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49</v>
      </c>
      <c r="J36" s="1">
        <v>0</v>
      </c>
      <c r="K36" s="1">
        <v>0</v>
      </c>
      <c r="L36" s="1">
        <v>0</v>
      </c>
      <c r="Q36" s="12"/>
    </row>
    <row r="37" spans="1:17" x14ac:dyDescent="0.15">
      <c r="A37" s="12" t="s">
        <v>481</v>
      </c>
      <c r="B37" s="1">
        <v>218</v>
      </c>
      <c r="C37" s="12" t="s">
        <v>481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49</v>
      </c>
      <c r="J37" s="1">
        <v>0</v>
      </c>
      <c r="K37" s="1">
        <v>0</v>
      </c>
      <c r="L37" s="1">
        <v>0</v>
      </c>
      <c r="Q37" s="12"/>
    </row>
    <row r="38" spans="1:17" x14ac:dyDescent="0.15">
      <c r="A38" s="12" t="s">
        <v>482</v>
      </c>
      <c r="B38" s="1">
        <v>219</v>
      </c>
      <c r="C38" s="12" t="s">
        <v>482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49</v>
      </c>
      <c r="J38" s="1">
        <v>0</v>
      </c>
      <c r="K38" s="1">
        <v>0</v>
      </c>
      <c r="L38" s="1">
        <v>0</v>
      </c>
      <c r="Q38" s="12"/>
    </row>
    <row r="39" spans="1:17" x14ac:dyDescent="0.15">
      <c r="A39" s="12" t="s">
        <v>385</v>
      </c>
      <c r="B39" s="1">
        <v>220</v>
      </c>
      <c r="C39" s="12" t="s">
        <v>385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49</v>
      </c>
      <c r="J39" s="1">
        <v>0</v>
      </c>
      <c r="K39" s="1">
        <v>0</v>
      </c>
      <c r="L39" s="1">
        <v>0</v>
      </c>
      <c r="Q39" s="12"/>
    </row>
    <row r="40" spans="1:17" x14ac:dyDescent="0.15">
      <c r="A40" s="12" t="s">
        <v>483</v>
      </c>
      <c r="B40" s="1">
        <v>221</v>
      </c>
      <c r="C40" s="12" t="s">
        <v>483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49</v>
      </c>
      <c r="J40" s="1">
        <v>0</v>
      </c>
      <c r="K40" s="1">
        <v>0</v>
      </c>
      <c r="L40" s="1">
        <v>0</v>
      </c>
      <c r="Q40" s="12"/>
    </row>
    <row r="41" spans="1:17" x14ac:dyDescent="0.15">
      <c r="A41" s="12" t="s">
        <v>484</v>
      </c>
      <c r="B41" s="1">
        <v>222</v>
      </c>
      <c r="C41" s="12" t="s">
        <v>484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49</v>
      </c>
      <c r="J41" s="1">
        <v>0</v>
      </c>
      <c r="K41" s="1">
        <v>0</v>
      </c>
      <c r="L41" s="1">
        <v>0</v>
      </c>
      <c r="Q41" s="12"/>
    </row>
    <row r="42" spans="1:17" x14ac:dyDescent="0.15">
      <c r="A42" s="12" t="s">
        <v>373</v>
      </c>
      <c r="B42" s="1">
        <v>223</v>
      </c>
      <c r="C42" s="12" t="s">
        <v>373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49</v>
      </c>
      <c r="J42" s="1">
        <v>0</v>
      </c>
      <c r="K42" s="1">
        <v>0</v>
      </c>
      <c r="L42" s="1">
        <v>0</v>
      </c>
      <c r="Q42" s="12"/>
    </row>
    <row r="43" spans="1:17" x14ac:dyDescent="0.15">
      <c r="A43" s="12" t="s">
        <v>394</v>
      </c>
      <c r="B43" s="1">
        <v>224</v>
      </c>
      <c r="C43" s="12" t="s">
        <v>394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49</v>
      </c>
      <c r="J43" s="1">
        <v>0</v>
      </c>
      <c r="K43" s="1">
        <v>0</v>
      </c>
      <c r="L43" s="1">
        <v>0</v>
      </c>
      <c r="Q43" s="12"/>
    </row>
    <row r="44" spans="1:17" x14ac:dyDescent="0.15">
      <c r="A44" s="12" t="s">
        <v>485</v>
      </c>
      <c r="B44" s="1">
        <v>225</v>
      </c>
      <c r="C44" s="12" t="s">
        <v>485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49</v>
      </c>
      <c r="J44" s="1">
        <v>0</v>
      </c>
      <c r="K44" s="1">
        <v>0</v>
      </c>
      <c r="L44" s="1">
        <v>0</v>
      </c>
      <c r="Q44" s="12"/>
    </row>
    <row r="45" spans="1:17" x14ac:dyDescent="0.15">
      <c r="A45" s="12" t="s">
        <v>486</v>
      </c>
      <c r="B45" s="1">
        <v>226</v>
      </c>
      <c r="C45" s="12" t="s">
        <v>486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49</v>
      </c>
      <c r="J45" s="1">
        <v>0</v>
      </c>
      <c r="K45" s="1">
        <v>0</v>
      </c>
      <c r="L45" s="1">
        <v>0</v>
      </c>
      <c r="Q45" s="12"/>
    </row>
    <row r="46" spans="1:17" x14ac:dyDescent="0.15">
      <c r="A46" s="12" t="s">
        <v>387</v>
      </c>
      <c r="B46" s="1">
        <v>227</v>
      </c>
      <c r="C46" s="12" t="s">
        <v>387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49</v>
      </c>
      <c r="J46" s="1">
        <v>0</v>
      </c>
      <c r="K46" s="1">
        <v>0</v>
      </c>
      <c r="L46" s="1">
        <v>0</v>
      </c>
      <c r="Q46" s="12"/>
    </row>
    <row r="47" spans="1:17" x14ac:dyDescent="0.15">
      <c r="A47" s="12" t="s">
        <v>386</v>
      </c>
      <c r="B47" s="1">
        <v>228</v>
      </c>
      <c r="C47" s="12" t="s">
        <v>386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49</v>
      </c>
      <c r="J47" s="1">
        <v>0</v>
      </c>
      <c r="K47" s="1">
        <v>0</v>
      </c>
      <c r="L47" s="1">
        <v>0</v>
      </c>
      <c r="Q47" s="12"/>
    </row>
    <row r="48" spans="1:17" x14ac:dyDescent="0.15">
      <c r="A48" s="12" t="s">
        <v>487</v>
      </c>
      <c r="B48" s="1">
        <v>229</v>
      </c>
      <c r="C48" s="12" t="s">
        <v>487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49</v>
      </c>
      <c r="J48" s="1">
        <v>0</v>
      </c>
      <c r="K48" s="1">
        <v>0</v>
      </c>
      <c r="L48" s="1">
        <v>0</v>
      </c>
      <c r="Q48" s="12"/>
    </row>
    <row r="49" spans="1:17" x14ac:dyDescent="0.15">
      <c r="A49" s="12" t="s">
        <v>488</v>
      </c>
      <c r="B49" s="1">
        <v>230</v>
      </c>
      <c r="C49" s="12" t="s">
        <v>488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49</v>
      </c>
      <c r="J49" s="1">
        <v>0</v>
      </c>
      <c r="K49" s="1">
        <v>0</v>
      </c>
      <c r="L49" s="1">
        <v>0</v>
      </c>
      <c r="Q49" s="12"/>
    </row>
    <row r="50" spans="1:17" x14ac:dyDescent="0.15">
      <c r="A50" s="12" t="s">
        <v>489</v>
      </c>
      <c r="B50" s="1">
        <v>232</v>
      </c>
      <c r="C50" s="12" t="s">
        <v>489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49</v>
      </c>
      <c r="J50" s="1">
        <v>0</v>
      </c>
      <c r="K50" s="1">
        <v>0</v>
      </c>
      <c r="L50" s="1">
        <v>0</v>
      </c>
      <c r="Q50" s="12"/>
    </row>
    <row r="51" spans="1:17" x14ac:dyDescent="0.15">
      <c r="A51" s="12" t="s">
        <v>490</v>
      </c>
      <c r="B51" s="1">
        <v>234</v>
      </c>
      <c r="C51" s="12" t="s">
        <v>490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49</v>
      </c>
      <c r="J51" s="1">
        <v>0</v>
      </c>
      <c r="K51" s="1">
        <v>0</v>
      </c>
      <c r="L51" s="1">
        <v>0</v>
      </c>
      <c r="Q51" s="12"/>
    </row>
    <row r="52" spans="1:17" x14ac:dyDescent="0.15">
      <c r="A52" s="12" t="s">
        <v>491</v>
      </c>
      <c r="B52" s="1">
        <v>235</v>
      </c>
      <c r="C52" s="12" t="s">
        <v>491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49</v>
      </c>
      <c r="J52" s="1">
        <v>0</v>
      </c>
      <c r="K52" s="1">
        <v>0</v>
      </c>
      <c r="L52" s="1">
        <v>0</v>
      </c>
      <c r="Q52" s="12"/>
    </row>
    <row r="53" spans="1:17" x14ac:dyDescent="0.15">
      <c r="A53" s="12" t="s">
        <v>492</v>
      </c>
      <c r="B53" s="1">
        <v>236</v>
      </c>
      <c r="C53" s="12" t="s">
        <v>492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49</v>
      </c>
      <c r="J53" s="1">
        <v>0</v>
      </c>
      <c r="K53" s="1">
        <v>0</v>
      </c>
      <c r="L53" s="1">
        <v>0</v>
      </c>
      <c r="Q53" s="12"/>
    </row>
    <row r="54" spans="1:17" x14ac:dyDescent="0.15">
      <c r="A54" s="12" t="s">
        <v>493</v>
      </c>
      <c r="B54" s="1">
        <v>237</v>
      </c>
      <c r="C54" s="12" t="s">
        <v>493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49</v>
      </c>
      <c r="J54" s="1">
        <v>0</v>
      </c>
      <c r="K54" s="1">
        <v>0</v>
      </c>
      <c r="L54" s="1">
        <v>0</v>
      </c>
      <c r="Q54" s="12"/>
    </row>
    <row r="55" spans="1:17" x14ac:dyDescent="0.15">
      <c r="A55" s="12" t="s">
        <v>375</v>
      </c>
      <c r="B55" s="1">
        <v>238</v>
      </c>
      <c r="C55" s="12" t="s">
        <v>375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49</v>
      </c>
      <c r="J55" s="1">
        <v>0</v>
      </c>
      <c r="K55" s="1">
        <v>0</v>
      </c>
      <c r="L55" s="1">
        <v>0</v>
      </c>
      <c r="Q55" s="12"/>
    </row>
    <row r="56" spans="1:17" x14ac:dyDescent="0.15">
      <c r="A56" s="12" t="s">
        <v>392</v>
      </c>
      <c r="B56" s="1">
        <v>239</v>
      </c>
      <c r="C56" s="12" t="s">
        <v>392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49</v>
      </c>
      <c r="J56" s="1">
        <v>0</v>
      </c>
      <c r="K56" s="1">
        <v>0</v>
      </c>
      <c r="L56" s="1">
        <v>0</v>
      </c>
      <c r="Q56" s="12"/>
    </row>
    <row r="57" spans="1:17" x14ac:dyDescent="0.15">
      <c r="A57" s="12" t="s">
        <v>494</v>
      </c>
      <c r="B57" s="1">
        <v>240</v>
      </c>
      <c r="C57" s="12" t="s">
        <v>494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49</v>
      </c>
      <c r="J57" s="1">
        <v>0</v>
      </c>
      <c r="K57" s="1">
        <v>0</v>
      </c>
      <c r="L57" s="1">
        <v>0</v>
      </c>
      <c r="Q57" s="12"/>
    </row>
    <row r="58" spans="1:17" x14ac:dyDescent="0.15">
      <c r="A58" s="12" t="s">
        <v>388</v>
      </c>
      <c r="B58" s="1">
        <v>241</v>
      </c>
      <c r="C58" s="12" t="s">
        <v>388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49</v>
      </c>
      <c r="J58" s="1">
        <v>0</v>
      </c>
      <c r="K58" s="1">
        <v>0</v>
      </c>
      <c r="L58" s="1">
        <v>0</v>
      </c>
      <c r="Q58" s="12"/>
    </row>
    <row r="59" spans="1:17" x14ac:dyDescent="0.15">
      <c r="A59" s="12" t="s">
        <v>514</v>
      </c>
      <c r="B59" s="1">
        <v>242</v>
      </c>
      <c r="C59" s="12" t="s">
        <v>390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49</v>
      </c>
      <c r="J59" s="1">
        <v>0</v>
      </c>
      <c r="K59" s="1">
        <v>0</v>
      </c>
      <c r="L59" s="1">
        <v>0</v>
      </c>
      <c r="Q59" s="12"/>
    </row>
    <row r="60" spans="1:17" x14ac:dyDescent="0.15">
      <c r="A60" s="12" t="s">
        <v>513</v>
      </c>
      <c r="B60" s="1">
        <v>243</v>
      </c>
      <c r="C60" s="12" t="s">
        <v>513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49</v>
      </c>
      <c r="J60" s="1">
        <v>0</v>
      </c>
      <c r="K60" s="1">
        <v>0</v>
      </c>
      <c r="L60" s="1">
        <v>0</v>
      </c>
      <c r="Q60" s="12"/>
    </row>
    <row r="61" spans="1:17" x14ac:dyDescent="0.15">
      <c r="A61" s="12" t="s">
        <v>495</v>
      </c>
      <c r="B61" s="1">
        <v>244</v>
      </c>
      <c r="C61" s="12" t="s">
        <v>495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49</v>
      </c>
      <c r="J61" s="1">
        <v>0</v>
      </c>
      <c r="K61" s="1">
        <v>0</v>
      </c>
      <c r="L61" s="1">
        <v>0</v>
      </c>
      <c r="Q61" s="12"/>
    </row>
    <row r="62" spans="1:17" x14ac:dyDescent="0.15">
      <c r="A62" s="12" t="s">
        <v>496</v>
      </c>
      <c r="B62" s="1">
        <v>245</v>
      </c>
      <c r="C62" s="12" t="s">
        <v>496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49</v>
      </c>
      <c r="J62" s="1">
        <v>0</v>
      </c>
      <c r="K62" s="1">
        <v>0</v>
      </c>
      <c r="L62" s="1">
        <v>0</v>
      </c>
      <c r="Q62" s="12"/>
    </row>
    <row r="63" spans="1:17" ht="12.75" customHeight="1" x14ac:dyDescent="0.15">
      <c r="A63" s="12" t="s">
        <v>396</v>
      </c>
      <c r="B63" s="1">
        <v>246</v>
      </c>
      <c r="C63" s="12" t="s">
        <v>396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49</v>
      </c>
      <c r="J63" s="1">
        <v>0</v>
      </c>
      <c r="K63" s="1">
        <v>0</v>
      </c>
      <c r="L63" s="1">
        <v>0</v>
      </c>
      <c r="Q63" s="12"/>
    </row>
    <row r="64" spans="1:17" x14ac:dyDescent="0.15">
      <c r="A64" s="12" t="s">
        <v>397</v>
      </c>
      <c r="B64" s="1">
        <v>247</v>
      </c>
      <c r="C64" s="12" t="s">
        <v>397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49</v>
      </c>
      <c r="J64" s="1">
        <v>0</v>
      </c>
      <c r="K64" s="1">
        <v>0</v>
      </c>
      <c r="L64" s="1">
        <v>0</v>
      </c>
      <c r="Q64" s="12"/>
    </row>
    <row r="65" spans="1:17" x14ac:dyDescent="0.15">
      <c r="A65" s="12" t="s">
        <v>497</v>
      </c>
      <c r="B65" s="1">
        <v>248</v>
      </c>
      <c r="C65" s="12" t="s">
        <v>497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49</v>
      </c>
      <c r="J65" s="1">
        <v>0</v>
      </c>
      <c r="K65" s="1">
        <v>0</v>
      </c>
      <c r="L65" s="1">
        <v>0</v>
      </c>
      <c r="Q65" s="12"/>
    </row>
    <row r="66" spans="1:17" x14ac:dyDescent="0.15">
      <c r="A66" s="12" t="s">
        <v>498</v>
      </c>
      <c r="B66" s="1">
        <v>249</v>
      </c>
      <c r="C66" s="12" t="s">
        <v>498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49</v>
      </c>
      <c r="J66" s="1">
        <v>0</v>
      </c>
      <c r="K66" s="1">
        <v>0</v>
      </c>
      <c r="L66" s="1">
        <v>0</v>
      </c>
      <c r="Q66" s="12"/>
    </row>
    <row r="67" spans="1:17" x14ac:dyDescent="0.15">
      <c r="A67" s="12" t="s">
        <v>499</v>
      </c>
      <c r="B67" s="1">
        <v>250</v>
      </c>
      <c r="C67" s="12" t="s">
        <v>499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49</v>
      </c>
      <c r="J67" s="1">
        <v>0</v>
      </c>
      <c r="K67" s="1">
        <v>0</v>
      </c>
      <c r="L67" s="1">
        <v>0</v>
      </c>
      <c r="Q67" s="12"/>
    </row>
    <row r="68" spans="1:17" x14ac:dyDescent="0.15">
      <c r="A68" s="12" t="s">
        <v>500</v>
      </c>
      <c r="B68" s="1">
        <v>251</v>
      </c>
      <c r="C68" s="12" t="s">
        <v>500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49</v>
      </c>
      <c r="J68" s="1">
        <v>0</v>
      </c>
      <c r="K68" s="1">
        <v>0</v>
      </c>
      <c r="L68" s="1">
        <v>0</v>
      </c>
      <c r="Q68" s="12"/>
    </row>
    <row r="69" spans="1:17" x14ac:dyDescent="0.15">
      <c r="A69" s="12" t="s">
        <v>389</v>
      </c>
      <c r="B69" s="1">
        <v>253</v>
      </c>
      <c r="C69" s="12" t="s">
        <v>389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49</v>
      </c>
      <c r="J69" s="1">
        <v>0</v>
      </c>
      <c r="K69" s="1">
        <v>0</v>
      </c>
      <c r="L69" s="1">
        <v>0</v>
      </c>
      <c r="Q69" s="12"/>
    </row>
    <row r="70" spans="1:17" x14ac:dyDescent="0.15">
      <c r="A70" s="12" t="s">
        <v>501</v>
      </c>
      <c r="B70" s="1">
        <v>254</v>
      </c>
      <c r="C70" s="12" t="s">
        <v>501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49</v>
      </c>
      <c r="J70" s="1">
        <v>0</v>
      </c>
      <c r="K70" s="1">
        <v>0</v>
      </c>
      <c r="L70" s="1">
        <v>0</v>
      </c>
      <c r="Q70" s="12"/>
    </row>
    <row r="71" spans="1:17" x14ac:dyDescent="0.15">
      <c r="A71" s="12" t="s">
        <v>502</v>
      </c>
      <c r="B71" s="1">
        <v>255</v>
      </c>
      <c r="C71" s="12" t="s">
        <v>502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49</v>
      </c>
      <c r="J71" s="1">
        <v>0</v>
      </c>
      <c r="K71" s="1">
        <v>0</v>
      </c>
      <c r="L71" s="1">
        <v>0</v>
      </c>
      <c r="Q71" s="12"/>
    </row>
    <row r="72" spans="1:17" x14ac:dyDescent="0.15">
      <c r="A72" s="12" t="s">
        <v>503</v>
      </c>
      <c r="B72" s="1">
        <v>256</v>
      </c>
      <c r="C72" s="12" t="s">
        <v>503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49</v>
      </c>
      <c r="J72" s="1">
        <v>0</v>
      </c>
      <c r="K72" s="1">
        <v>0</v>
      </c>
      <c r="L72" s="1">
        <v>0</v>
      </c>
      <c r="Q72" s="12"/>
    </row>
    <row r="73" spans="1:17" x14ac:dyDescent="0.15">
      <c r="A73" s="12" t="s">
        <v>504</v>
      </c>
      <c r="B73" s="1">
        <v>257</v>
      </c>
      <c r="C73" s="12" t="s">
        <v>504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49</v>
      </c>
      <c r="J73" s="1">
        <v>0</v>
      </c>
      <c r="K73" s="1">
        <v>0</v>
      </c>
      <c r="L73" s="1">
        <v>0</v>
      </c>
      <c r="Q73" s="12"/>
    </row>
    <row r="74" spans="1:17" x14ac:dyDescent="0.15">
      <c r="A74" s="12" t="s">
        <v>505</v>
      </c>
      <c r="B74" s="1">
        <v>258</v>
      </c>
      <c r="C74" s="12" t="s">
        <v>505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49</v>
      </c>
      <c r="J74" s="1">
        <v>0</v>
      </c>
      <c r="K74" s="1">
        <v>0</v>
      </c>
      <c r="L74" s="1">
        <v>0</v>
      </c>
      <c r="Q74" s="12"/>
    </row>
    <row r="75" spans="1:17" x14ac:dyDescent="0.15">
      <c r="A75" s="12" t="s">
        <v>391</v>
      </c>
      <c r="B75" s="1">
        <v>259</v>
      </c>
      <c r="C75" s="12" t="s">
        <v>391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49</v>
      </c>
      <c r="J75" s="1">
        <v>0</v>
      </c>
      <c r="K75" s="1">
        <v>0</v>
      </c>
      <c r="L75" s="1">
        <v>0</v>
      </c>
      <c r="Q75" s="12"/>
    </row>
    <row r="76" spans="1:17" x14ac:dyDescent="0.15">
      <c r="A76" s="12" t="s">
        <v>506</v>
      </c>
      <c r="B76" s="1">
        <v>260</v>
      </c>
      <c r="C76" s="12" t="s">
        <v>506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49</v>
      </c>
      <c r="J76" s="1">
        <v>0</v>
      </c>
      <c r="K76" s="1">
        <v>0</v>
      </c>
      <c r="L76" s="1">
        <v>0</v>
      </c>
      <c r="Q76" s="12"/>
    </row>
    <row r="77" spans="1:17" x14ac:dyDescent="0.15">
      <c r="A77" s="12" t="s">
        <v>507</v>
      </c>
      <c r="B77" s="1">
        <v>261</v>
      </c>
      <c r="C77" s="12" t="s">
        <v>507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49</v>
      </c>
      <c r="J77" s="1">
        <v>0</v>
      </c>
      <c r="K77" s="1">
        <v>0</v>
      </c>
      <c r="L77" s="1">
        <v>0</v>
      </c>
      <c r="Q77" s="12"/>
    </row>
    <row r="78" spans="1:17" x14ac:dyDescent="0.15">
      <c r="A78" s="12" t="s">
        <v>393</v>
      </c>
      <c r="B78" s="1">
        <v>263</v>
      </c>
      <c r="C78" s="12" t="s">
        <v>393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49</v>
      </c>
      <c r="J78" s="1">
        <v>0</v>
      </c>
      <c r="K78" s="1">
        <v>0</v>
      </c>
      <c r="L78" s="1">
        <v>0</v>
      </c>
      <c r="Q78" s="12"/>
    </row>
    <row r="79" spans="1:17" x14ac:dyDescent="0.15">
      <c r="A79" s="12" t="s">
        <v>508</v>
      </c>
      <c r="B79" s="1">
        <v>264</v>
      </c>
      <c r="C79" s="12" t="s">
        <v>508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49</v>
      </c>
      <c r="J79" s="1">
        <v>0</v>
      </c>
      <c r="K79" s="1">
        <v>0</v>
      </c>
      <c r="L79" s="1">
        <v>0</v>
      </c>
      <c r="Q79" s="12"/>
    </row>
    <row r="80" spans="1:17" x14ac:dyDescent="0.15">
      <c r="A80" s="12" t="s">
        <v>509</v>
      </c>
      <c r="B80" s="1">
        <v>265</v>
      </c>
      <c r="C80" s="12" t="s">
        <v>509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49</v>
      </c>
      <c r="J80" s="1">
        <v>0</v>
      </c>
      <c r="K80" s="1">
        <v>0</v>
      </c>
      <c r="L80" s="1">
        <v>0</v>
      </c>
      <c r="Q80" s="12"/>
    </row>
    <row r="81" spans="1:17" x14ac:dyDescent="0.15">
      <c r="A81" s="12" t="s">
        <v>510</v>
      </c>
      <c r="B81" s="1">
        <v>266</v>
      </c>
      <c r="C81" s="12" t="s">
        <v>510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49</v>
      </c>
      <c r="J81" s="1">
        <v>0</v>
      </c>
      <c r="K81" s="1">
        <v>0</v>
      </c>
      <c r="L81" s="1">
        <v>0</v>
      </c>
      <c r="Q81" s="12"/>
    </row>
    <row r="82" spans="1:17" x14ac:dyDescent="0.15">
      <c r="A82" s="12" t="s">
        <v>511</v>
      </c>
      <c r="B82" s="1">
        <v>267</v>
      </c>
      <c r="C82" s="12" t="s">
        <v>511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49</v>
      </c>
      <c r="J82" s="1">
        <v>0</v>
      </c>
      <c r="K82" s="1">
        <v>0</v>
      </c>
      <c r="L82" s="1">
        <v>0</v>
      </c>
      <c r="Q82" s="12"/>
    </row>
    <row r="83" spans="1:17" x14ac:dyDescent="0.15">
      <c r="A83" s="12" t="s">
        <v>512</v>
      </c>
      <c r="B83" s="1">
        <v>268</v>
      </c>
      <c r="C83" s="12" t="s">
        <v>512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49</v>
      </c>
      <c r="J83" s="1">
        <v>0</v>
      </c>
      <c r="K83" s="1">
        <v>0</v>
      </c>
      <c r="L83" s="1">
        <v>0</v>
      </c>
      <c r="Q83" s="12"/>
    </row>
    <row r="84" spans="1:17" x14ac:dyDescent="0.15">
      <c r="A84" s="12" t="s">
        <v>538</v>
      </c>
      <c r="B84" s="1">
        <v>269</v>
      </c>
      <c r="C84" s="12" t="s">
        <v>538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49</v>
      </c>
      <c r="J84" s="1">
        <v>0</v>
      </c>
      <c r="K84" s="1">
        <v>0</v>
      </c>
      <c r="L84" s="1">
        <v>0</v>
      </c>
      <c r="Q84" s="12"/>
    </row>
    <row r="85" spans="1:17" x14ac:dyDescent="0.15">
      <c r="A85" s="12" t="s">
        <v>535</v>
      </c>
      <c r="B85" s="1">
        <v>270</v>
      </c>
      <c r="C85" s="12" t="s">
        <v>535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49</v>
      </c>
      <c r="J85" s="1">
        <v>0</v>
      </c>
      <c r="K85" s="1">
        <v>0</v>
      </c>
      <c r="L85" s="1">
        <v>0</v>
      </c>
      <c r="Q85" s="12"/>
    </row>
    <row r="86" spans="1:17" x14ac:dyDescent="0.15">
      <c r="A86" s="12" t="s">
        <v>467</v>
      </c>
      <c r="B86" s="1">
        <v>271</v>
      </c>
      <c r="C86" s="12" t="s">
        <v>467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49</v>
      </c>
      <c r="J86" s="1">
        <v>0</v>
      </c>
      <c r="K86" s="1">
        <v>0</v>
      </c>
      <c r="L86" s="1">
        <v>0</v>
      </c>
      <c r="Q86" s="12"/>
    </row>
    <row r="87" spans="1:17" x14ac:dyDescent="0.15">
      <c r="A87" s="12" t="s">
        <v>583</v>
      </c>
      <c r="B87" s="1">
        <v>272</v>
      </c>
      <c r="C87" s="12" t="s">
        <v>583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49</v>
      </c>
      <c r="J87" s="1">
        <v>0</v>
      </c>
      <c r="K87" s="1">
        <v>0</v>
      </c>
      <c r="L87" s="1">
        <v>0</v>
      </c>
      <c r="Q87" s="12"/>
    </row>
    <row r="88" spans="1:17" x14ac:dyDescent="0.15">
      <c r="A88" s="12" t="s">
        <v>544</v>
      </c>
      <c r="B88" s="1">
        <v>273</v>
      </c>
      <c r="C88" s="12" t="s">
        <v>544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49</v>
      </c>
      <c r="J88" s="1">
        <v>0</v>
      </c>
      <c r="K88" s="1">
        <v>0</v>
      </c>
      <c r="L88" s="1">
        <v>0</v>
      </c>
      <c r="Q88" s="12"/>
    </row>
    <row r="89" spans="1:17" x14ac:dyDescent="0.15">
      <c r="A89" s="12" t="s">
        <v>381</v>
      </c>
      <c r="B89" s="1">
        <v>274</v>
      </c>
      <c r="C89" s="12" t="s">
        <v>381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49</v>
      </c>
      <c r="J89" s="1">
        <v>0</v>
      </c>
      <c r="K89" s="1">
        <v>0</v>
      </c>
      <c r="L89" s="1">
        <v>0</v>
      </c>
      <c r="Q89" s="12"/>
    </row>
    <row r="90" spans="1:17" x14ac:dyDescent="0.15">
      <c r="A90" s="12" t="s">
        <v>527</v>
      </c>
      <c r="B90" s="1">
        <v>275</v>
      </c>
      <c r="C90" s="12" t="s">
        <v>527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49</v>
      </c>
      <c r="J90" s="1">
        <v>0</v>
      </c>
      <c r="K90" s="1">
        <v>0</v>
      </c>
      <c r="L90" s="1">
        <v>0</v>
      </c>
      <c r="Q90" s="12"/>
    </row>
    <row r="91" spans="1:17" x14ac:dyDescent="0.15">
      <c r="A91" s="12" t="s">
        <v>384</v>
      </c>
      <c r="B91" s="1">
        <v>276</v>
      </c>
      <c r="C91" s="12" t="s">
        <v>384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49</v>
      </c>
      <c r="J91" s="1">
        <v>0</v>
      </c>
      <c r="K91" s="1">
        <v>0</v>
      </c>
      <c r="L91" s="1">
        <v>0</v>
      </c>
      <c r="Q91" s="12"/>
    </row>
    <row r="92" spans="1:17" x14ac:dyDescent="0.15">
      <c r="A92" s="12" t="s">
        <v>610</v>
      </c>
      <c r="B92" s="1">
        <v>277</v>
      </c>
      <c r="C92" s="12" t="s">
        <v>610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49</v>
      </c>
      <c r="J92" s="1">
        <v>0</v>
      </c>
      <c r="K92" s="1">
        <v>0</v>
      </c>
      <c r="L92" s="1">
        <v>0</v>
      </c>
      <c r="Q92" s="12"/>
    </row>
    <row r="93" spans="1:17" x14ac:dyDescent="0.15">
      <c r="A93" s="12" t="s">
        <v>554</v>
      </c>
      <c r="B93" s="1">
        <v>278</v>
      </c>
      <c r="C93" s="12" t="s">
        <v>554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49</v>
      </c>
      <c r="J93" s="1">
        <v>0</v>
      </c>
      <c r="K93" s="1">
        <v>0</v>
      </c>
      <c r="L93" s="1">
        <v>0</v>
      </c>
      <c r="Q93" s="12"/>
    </row>
    <row r="94" spans="1:17" x14ac:dyDescent="0.15">
      <c r="A94" s="12" t="s">
        <v>529</v>
      </c>
      <c r="B94" s="1">
        <v>279</v>
      </c>
      <c r="C94" s="12" t="s">
        <v>529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49</v>
      </c>
      <c r="J94" s="1">
        <v>0</v>
      </c>
      <c r="K94" s="1">
        <v>0</v>
      </c>
      <c r="L94" s="1">
        <v>0</v>
      </c>
      <c r="Q94" s="12"/>
    </row>
    <row r="95" spans="1:17" x14ac:dyDescent="0.15">
      <c r="A95" s="12" t="s">
        <v>516</v>
      </c>
      <c r="B95" s="1">
        <v>280</v>
      </c>
      <c r="C95" s="12" t="s">
        <v>516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49</v>
      </c>
      <c r="J95" s="1">
        <v>0</v>
      </c>
      <c r="K95" s="1">
        <v>0</v>
      </c>
      <c r="L95" s="1">
        <v>0</v>
      </c>
      <c r="Q95" s="12"/>
    </row>
    <row r="96" spans="1:17" x14ac:dyDescent="0.15">
      <c r="A96" s="12" t="s">
        <v>533</v>
      </c>
      <c r="B96" s="1">
        <v>281</v>
      </c>
      <c r="C96" s="12" t="s">
        <v>533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49</v>
      </c>
      <c r="J96" s="1">
        <v>0</v>
      </c>
      <c r="K96" s="1">
        <v>0</v>
      </c>
      <c r="L96" s="1">
        <v>0</v>
      </c>
      <c r="Q96" s="12"/>
    </row>
    <row r="97" spans="1:17" x14ac:dyDescent="0.15">
      <c r="A97" s="12" t="s">
        <v>582</v>
      </c>
      <c r="B97" s="1">
        <v>282</v>
      </c>
      <c r="C97" s="12" t="s">
        <v>582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49</v>
      </c>
      <c r="J97" s="1">
        <v>0</v>
      </c>
      <c r="K97" s="1">
        <v>0</v>
      </c>
      <c r="L97" s="1">
        <v>0</v>
      </c>
      <c r="Q97" s="12"/>
    </row>
    <row r="98" spans="1:17" x14ac:dyDescent="0.15">
      <c r="A98" s="12" t="s">
        <v>383</v>
      </c>
      <c r="B98" s="1">
        <v>283</v>
      </c>
      <c r="C98" s="12" t="s">
        <v>383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49</v>
      </c>
      <c r="J98" s="1">
        <v>0</v>
      </c>
      <c r="K98" s="1">
        <v>0</v>
      </c>
      <c r="L98" s="1">
        <v>0</v>
      </c>
      <c r="Q98" s="12"/>
    </row>
    <row r="99" spans="1:17" x14ac:dyDescent="0.15">
      <c r="A99" s="12" t="s">
        <v>534</v>
      </c>
      <c r="B99" s="1">
        <v>284</v>
      </c>
      <c r="C99" s="12" t="s">
        <v>534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49</v>
      </c>
      <c r="J99" s="1">
        <v>0</v>
      </c>
      <c r="K99" s="1">
        <v>0</v>
      </c>
      <c r="L99" s="1">
        <v>0</v>
      </c>
      <c r="Q99" s="12"/>
    </row>
    <row r="100" spans="1:17" x14ac:dyDescent="0.15">
      <c r="A100" s="12" t="s">
        <v>587</v>
      </c>
      <c r="B100" s="1">
        <v>285</v>
      </c>
      <c r="C100" s="12" t="s">
        <v>587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49</v>
      </c>
      <c r="J100" s="1">
        <v>0</v>
      </c>
      <c r="K100" s="1">
        <v>0</v>
      </c>
      <c r="L100" s="1">
        <v>0</v>
      </c>
      <c r="Q100" s="12"/>
    </row>
    <row r="101" spans="1:17" x14ac:dyDescent="0.15">
      <c r="A101" s="12" t="s">
        <v>585</v>
      </c>
      <c r="B101" s="1">
        <v>286</v>
      </c>
      <c r="C101" s="12" t="s">
        <v>585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49</v>
      </c>
      <c r="J101" s="1">
        <v>0</v>
      </c>
      <c r="K101" s="1">
        <v>0</v>
      </c>
      <c r="L101" s="1">
        <v>0</v>
      </c>
      <c r="Q101" s="12"/>
    </row>
    <row r="102" spans="1:17" x14ac:dyDescent="0.15">
      <c r="A102" s="12" t="s">
        <v>581</v>
      </c>
      <c r="B102" s="1">
        <v>287</v>
      </c>
      <c r="C102" s="12" t="s">
        <v>581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49</v>
      </c>
      <c r="J102" s="1">
        <v>0</v>
      </c>
      <c r="K102" s="1">
        <v>0</v>
      </c>
      <c r="L102" s="1">
        <v>0</v>
      </c>
      <c r="Q102" s="12"/>
    </row>
    <row r="103" spans="1:17" x14ac:dyDescent="0.15">
      <c r="A103" s="12" t="s">
        <v>540</v>
      </c>
      <c r="B103" s="1">
        <v>288</v>
      </c>
      <c r="C103" s="12" t="s">
        <v>540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49</v>
      </c>
      <c r="J103" s="1">
        <v>0</v>
      </c>
      <c r="K103" s="1">
        <v>0</v>
      </c>
      <c r="L103" s="1">
        <v>0</v>
      </c>
      <c r="Q103" s="12"/>
    </row>
    <row r="104" spans="1:17" x14ac:dyDescent="0.15">
      <c r="A104" s="12" t="s">
        <v>536</v>
      </c>
      <c r="B104" s="1">
        <v>289</v>
      </c>
      <c r="C104" s="12" t="s">
        <v>536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49</v>
      </c>
      <c r="J104" s="1">
        <v>0</v>
      </c>
      <c r="K104" s="1">
        <v>0</v>
      </c>
      <c r="L104" s="1">
        <v>0</v>
      </c>
      <c r="Q104" s="12"/>
    </row>
    <row r="105" spans="1:17" x14ac:dyDescent="0.15">
      <c r="A105" s="12" t="s">
        <v>584</v>
      </c>
      <c r="B105" s="1">
        <v>290</v>
      </c>
      <c r="C105" s="12" t="s">
        <v>584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49</v>
      </c>
      <c r="J105" s="1">
        <v>0</v>
      </c>
      <c r="K105" s="1">
        <v>0</v>
      </c>
      <c r="L105" s="1">
        <v>0</v>
      </c>
      <c r="Q105" s="12"/>
    </row>
    <row r="106" spans="1:17" x14ac:dyDescent="0.15">
      <c r="A106" s="12" t="s">
        <v>518</v>
      </c>
      <c r="B106" s="1">
        <v>291</v>
      </c>
      <c r="C106" s="12" t="s">
        <v>518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49</v>
      </c>
      <c r="J106" s="1">
        <v>0</v>
      </c>
      <c r="K106" s="1">
        <v>0</v>
      </c>
      <c r="L106" s="1">
        <v>0</v>
      </c>
      <c r="Q106" s="12"/>
    </row>
    <row r="107" spans="1:17" x14ac:dyDescent="0.15">
      <c r="A107" s="12" t="s">
        <v>586</v>
      </c>
      <c r="B107" s="1">
        <v>292</v>
      </c>
      <c r="C107" s="12" t="s">
        <v>586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49</v>
      </c>
      <c r="J107" s="1">
        <v>0</v>
      </c>
      <c r="K107" s="1">
        <v>0</v>
      </c>
      <c r="L107" s="1">
        <v>0</v>
      </c>
      <c r="Q107" s="12"/>
    </row>
    <row r="108" spans="1:17" x14ac:dyDescent="0.15">
      <c r="A108" s="12" t="s">
        <v>539</v>
      </c>
      <c r="B108" s="1">
        <v>293</v>
      </c>
      <c r="C108" s="12" t="s">
        <v>539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49</v>
      </c>
      <c r="J108" s="1">
        <v>0</v>
      </c>
      <c r="K108" s="1">
        <v>0</v>
      </c>
      <c r="L108" s="1">
        <v>0</v>
      </c>
      <c r="Q108" s="12"/>
    </row>
    <row r="109" spans="1:17" x14ac:dyDescent="0.15">
      <c r="A109" s="12" t="s">
        <v>543</v>
      </c>
      <c r="B109" s="1">
        <v>294</v>
      </c>
      <c r="C109" s="12" t="s">
        <v>543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49</v>
      </c>
      <c r="J109" s="1">
        <v>0</v>
      </c>
      <c r="K109" s="1">
        <v>0</v>
      </c>
      <c r="L109" s="1">
        <v>0</v>
      </c>
      <c r="Q109" s="12"/>
    </row>
    <row r="110" spans="1:17" x14ac:dyDescent="0.15">
      <c r="A110" s="12" t="s">
        <v>720</v>
      </c>
      <c r="B110" s="1">
        <v>295</v>
      </c>
      <c r="C110" s="12" t="s">
        <v>665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49</v>
      </c>
      <c r="J110" s="1">
        <v>0</v>
      </c>
      <c r="K110" s="1">
        <v>0</v>
      </c>
      <c r="L110" s="1">
        <v>0</v>
      </c>
      <c r="Q110" s="12"/>
    </row>
    <row r="111" spans="1:17" x14ac:dyDescent="0.15">
      <c r="A111" s="12" t="s">
        <v>653</v>
      </c>
      <c r="B111" s="1">
        <v>296</v>
      </c>
      <c r="C111" s="12" t="s">
        <v>653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49</v>
      </c>
      <c r="J111" s="1">
        <v>0</v>
      </c>
      <c r="K111" s="1">
        <v>0</v>
      </c>
      <c r="L111" s="1">
        <v>0</v>
      </c>
      <c r="Q111" s="12"/>
    </row>
    <row r="112" spans="1:17" x14ac:dyDescent="0.15">
      <c r="A112" s="12" t="s">
        <v>580</v>
      </c>
      <c r="B112" s="1">
        <v>297</v>
      </c>
      <c r="C112" s="12" t="s">
        <v>580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49</v>
      </c>
      <c r="J112" s="1">
        <v>0</v>
      </c>
      <c r="K112" s="1">
        <v>0</v>
      </c>
      <c r="L112" s="1">
        <v>0</v>
      </c>
      <c r="Q112" s="12"/>
    </row>
    <row r="113" spans="1:17" x14ac:dyDescent="0.15">
      <c r="A113" s="12" t="s">
        <v>550</v>
      </c>
      <c r="B113" s="1">
        <v>298</v>
      </c>
      <c r="C113" s="12" t="s">
        <v>550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49</v>
      </c>
      <c r="J113" s="1">
        <v>0</v>
      </c>
      <c r="K113" s="1">
        <v>0</v>
      </c>
      <c r="L113" s="1">
        <v>0</v>
      </c>
      <c r="Q113" s="12"/>
    </row>
    <row r="114" spans="1:17" x14ac:dyDescent="0.15">
      <c r="A114" s="12" t="s">
        <v>379</v>
      </c>
      <c r="B114" s="1">
        <v>299</v>
      </c>
      <c r="C114" s="12" t="s">
        <v>379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49</v>
      </c>
      <c r="J114" s="1">
        <v>0</v>
      </c>
      <c r="K114" s="1">
        <v>0</v>
      </c>
      <c r="L114" s="1">
        <v>0</v>
      </c>
      <c r="Q114" s="12"/>
    </row>
    <row r="115" spans="1:17" s="3" customFormat="1" x14ac:dyDescent="0.15">
      <c r="A115" s="5" t="s">
        <v>38</v>
      </c>
      <c r="B115" s="3">
        <v>1001</v>
      </c>
      <c r="C115" s="3" t="str">
        <f>A115&amp;"_01"</f>
        <v>芜菁_01</v>
      </c>
      <c r="D115" s="1">
        <v>5</v>
      </c>
      <c r="E115" s="1">
        <v>1</v>
      </c>
      <c r="F115" s="1">
        <v>1</v>
      </c>
      <c r="G115" s="1">
        <v>0</v>
      </c>
      <c r="H115" s="1">
        <v>0</v>
      </c>
      <c r="I115" s="3">
        <v>29</v>
      </c>
      <c r="J115" s="3">
        <v>1</v>
      </c>
      <c r="K115" s="1">
        <v>100</v>
      </c>
      <c r="L115" s="1">
        <v>100</v>
      </c>
      <c r="M115" s="4"/>
      <c r="N115" s="4"/>
      <c r="O115" s="4"/>
      <c r="P115" s="4"/>
      <c r="Q115" s="5"/>
    </row>
    <row r="116" spans="1:17" s="3" customFormat="1" x14ac:dyDescent="0.15">
      <c r="A116" s="5" t="s">
        <v>39</v>
      </c>
      <c r="B116" s="3">
        <v>1002</v>
      </c>
      <c r="C116" s="3" t="str">
        <f t="shared" ref="C116:C142" si="0">A116&amp;"_01"</f>
        <v>卷心菜_01</v>
      </c>
      <c r="D116" s="1">
        <v>5</v>
      </c>
      <c r="E116" s="1">
        <v>1</v>
      </c>
      <c r="F116" s="1">
        <v>1</v>
      </c>
      <c r="G116" s="1">
        <v>0</v>
      </c>
      <c r="H116" s="1">
        <v>0</v>
      </c>
      <c r="I116" s="3">
        <v>29</v>
      </c>
      <c r="J116" s="3">
        <v>1</v>
      </c>
      <c r="K116" s="1">
        <v>100</v>
      </c>
      <c r="L116" s="1">
        <v>100</v>
      </c>
      <c r="M116" s="4"/>
      <c r="N116" s="4"/>
      <c r="O116" s="4"/>
      <c r="P116" s="4"/>
      <c r="Q116" s="5"/>
    </row>
    <row r="117" spans="1:17" x14ac:dyDescent="0.15">
      <c r="A117" s="5" t="s">
        <v>172</v>
      </c>
      <c r="B117" s="3">
        <v>1003</v>
      </c>
      <c r="C117" s="3" t="str">
        <f t="shared" si="0"/>
        <v>葱_01</v>
      </c>
      <c r="D117" s="1">
        <v>5</v>
      </c>
      <c r="E117" s="1">
        <v>1</v>
      </c>
      <c r="F117" s="1">
        <v>1</v>
      </c>
      <c r="G117" s="1">
        <v>0</v>
      </c>
      <c r="H117" s="1">
        <v>0</v>
      </c>
      <c r="I117" s="3">
        <v>29</v>
      </c>
      <c r="J117" s="3">
        <v>1</v>
      </c>
      <c r="K117" s="1">
        <v>100</v>
      </c>
      <c r="L117" s="1">
        <v>100</v>
      </c>
      <c r="Q117" s="5"/>
    </row>
    <row r="118" spans="1:17" x14ac:dyDescent="0.15">
      <c r="A118" s="5" t="s">
        <v>40</v>
      </c>
      <c r="B118" s="3">
        <v>1004</v>
      </c>
      <c r="C118" s="3" t="str">
        <f t="shared" si="0"/>
        <v>萝卜_01</v>
      </c>
      <c r="D118" s="1">
        <v>5</v>
      </c>
      <c r="E118" s="1">
        <v>1</v>
      </c>
      <c r="F118" s="1">
        <v>1</v>
      </c>
      <c r="G118" s="1">
        <v>0</v>
      </c>
      <c r="H118" s="1">
        <v>0</v>
      </c>
      <c r="I118" s="3">
        <v>29</v>
      </c>
      <c r="J118" s="3">
        <v>1</v>
      </c>
      <c r="K118" s="1">
        <v>100</v>
      </c>
      <c r="L118" s="1">
        <v>100</v>
      </c>
      <c r="Q118" s="5"/>
    </row>
    <row r="119" spans="1:17" x14ac:dyDescent="0.15">
      <c r="A119" s="5" t="s">
        <v>41</v>
      </c>
      <c r="B119" s="3">
        <v>1005</v>
      </c>
      <c r="C119" s="3" t="str">
        <f t="shared" si="0"/>
        <v>紫甘蓝_01</v>
      </c>
      <c r="D119" s="1">
        <v>5</v>
      </c>
      <c r="E119" s="1">
        <v>1</v>
      </c>
      <c r="F119" s="1">
        <v>1</v>
      </c>
      <c r="G119" s="1">
        <v>0</v>
      </c>
      <c r="H119" s="1">
        <v>0</v>
      </c>
      <c r="I119" s="3">
        <v>29</v>
      </c>
      <c r="J119" s="3">
        <v>1</v>
      </c>
      <c r="K119" s="1">
        <v>100</v>
      </c>
      <c r="L119" s="1">
        <v>100</v>
      </c>
      <c r="Q119" s="5"/>
    </row>
    <row r="120" spans="1:17" x14ac:dyDescent="0.15">
      <c r="A120" s="5" t="s">
        <v>42</v>
      </c>
      <c r="B120" s="3">
        <v>1006</v>
      </c>
      <c r="C120" s="3" t="str">
        <f t="shared" si="0"/>
        <v>黄瓜_01</v>
      </c>
      <c r="D120" s="1">
        <v>5</v>
      </c>
      <c r="E120" s="1">
        <v>1</v>
      </c>
      <c r="F120" s="1">
        <v>1</v>
      </c>
      <c r="G120" s="1">
        <v>0</v>
      </c>
      <c r="H120" s="1">
        <v>0</v>
      </c>
      <c r="I120" s="3">
        <v>29</v>
      </c>
      <c r="J120" s="1">
        <v>1</v>
      </c>
      <c r="K120" s="1">
        <v>100</v>
      </c>
      <c r="L120" s="1">
        <v>100</v>
      </c>
      <c r="Q120" s="5"/>
    </row>
    <row r="121" spans="1:17" x14ac:dyDescent="0.15">
      <c r="A121" s="5" t="s">
        <v>43</v>
      </c>
      <c r="B121" s="3">
        <v>1007</v>
      </c>
      <c r="C121" s="3" t="str">
        <f t="shared" si="0"/>
        <v>西兰花_01</v>
      </c>
      <c r="D121" s="1">
        <v>5</v>
      </c>
      <c r="E121" s="1">
        <v>1</v>
      </c>
      <c r="F121" s="1">
        <v>1</v>
      </c>
      <c r="G121" s="1">
        <v>0</v>
      </c>
      <c r="H121" s="1">
        <v>0</v>
      </c>
      <c r="I121" s="3">
        <v>29</v>
      </c>
      <c r="J121" s="1">
        <v>1</v>
      </c>
      <c r="K121" s="1">
        <v>100</v>
      </c>
      <c r="L121" s="1">
        <v>100</v>
      </c>
      <c r="Q121" s="5"/>
    </row>
    <row r="122" spans="1:17" x14ac:dyDescent="0.15">
      <c r="A122" s="5" t="s">
        <v>44</v>
      </c>
      <c r="B122" s="3">
        <v>1008</v>
      </c>
      <c r="C122" s="3" t="str">
        <f t="shared" si="0"/>
        <v>番茄_01</v>
      </c>
      <c r="D122" s="1">
        <v>5</v>
      </c>
      <c r="E122" s="1">
        <v>1</v>
      </c>
      <c r="F122" s="1">
        <v>1</v>
      </c>
      <c r="G122" s="1">
        <v>0</v>
      </c>
      <c r="H122" s="1">
        <v>0</v>
      </c>
      <c r="I122" s="3">
        <v>29</v>
      </c>
      <c r="J122" s="1">
        <v>1</v>
      </c>
      <c r="K122" s="1">
        <v>100</v>
      </c>
      <c r="L122" s="1">
        <v>100</v>
      </c>
      <c r="Q122" s="5"/>
    </row>
    <row r="123" spans="1:17" x14ac:dyDescent="0.15">
      <c r="A123" s="5" t="s">
        <v>23</v>
      </c>
      <c r="B123" s="3">
        <v>1009</v>
      </c>
      <c r="C123" s="3" t="str">
        <f t="shared" si="0"/>
        <v>胡萝卜_01</v>
      </c>
      <c r="D123" s="1">
        <v>5</v>
      </c>
      <c r="E123" s="1">
        <v>1</v>
      </c>
      <c r="F123" s="1">
        <v>1</v>
      </c>
      <c r="G123" s="1">
        <v>0</v>
      </c>
      <c r="H123" s="1">
        <v>0</v>
      </c>
      <c r="I123" s="3">
        <v>29</v>
      </c>
      <c r="J123" s="1">
        <v>1</v>
      </c>
      <c r="K123" s="1">
        <v>100</v>
      </c>
      <c r="L123" s="1">
        <v>100</v>
      </c>
      <c r="Q123" s="5"/>
    </row>
    <row r="124" spans="1:17" x14ac:dyDescent="0.15">
      <c r="A124" s="5" t="s">
        <v>45</v>
      </c>
      <c r="B124" s="3">
        <v>1010</v>
      </c>
      <c r="C124" s="3" t="str">
        <f t="shared" si="0"/>
        <v>西瓜_01</v>
      </c>
      <c r="D124" s="1">
        <v>5</v>
      </c>
      <c r="E124" s="1">
        <v>1</v>
      </c>
      <c r="F124" s="1">
        <v>1</v>
      </c>
      <c r="G124" s="1">
        <v>0</v>
      </c>
      <c r="H124" s="1">
        <v>0</v>
      </c>
      <c r="I124" s="3">
        <v>29</v>
      </c>
      <c r="J124" s="1">
        <v>1</v>
      </c>
      <c r="K124" s="1">
        <v>100</v>
      </c>
      <c r="L124" s="1">
        <v>100</v>
      </c>
      <c r="Q124" s="5"/>
    </row>
    <row r="125" spans="1:17" x14ac:dyDescent="0.15">
      <c r="A125" s="5" t="s">
        <v>46</v>
      </c>
      <c r="B125" s="3">
        <v>1011</v>
      </c>
      <c r="C125" s="3" t="str">
        <f t="shared" si="0"/>
        <v>辣椒_01</v>
      </c>
      <c r="D125" s="1">
        <v>5</v>
      </c>
      <c r="E125" s="1">
        <v>1</v>
      </c>
      <c r="F125" s="1">
        <v>1</v>
      </c>
      <c r="G125" s="1">
        <v>0</v>
      </c>
      <c r="H125" s="1">
        <v>0</v>
      </c>
      <c r="I125" s="3">
        <v>29</v>
      </c>
      <c r="J125" s="1">
        <v>1</v>
      </c>
      <c r="K125" s="1">
        <v>100</v>
      </c>
      <c r="L125" s="1">
        <v>100</v>
      </c>
      <c r="Q125" s="5"/>
    </row>
    <row r="126" spans="1:17" x14ac:dyDescent="0.15">
      <c r="A126" s="5" t="s">
        <v>47</v>
      </c>
      <c r="B126" s="3">
        <v>1012</v>
      </c>
      <c r="C126" s="3" t="str">
        <f t="shared" si="0"/>
        <v>奇异果_01</v>
      </c>
      <c r="D126" s="1">
        <v>5</v>
      </c>
      <c r="E126" s="1">
        <v>1</v>
      </c>
      <c r="F126" s="1">
        <v>1</v>
      </c>
      <c r="G126" s="1">
        <v>0</v>
      </c>
      <c r="H126" s="1">
        <v>0</v>
      </c>
      <c r="I126" s="3">
        <v>29</v>
      </c>
      <c r="J126" s="1">
        <v>1</v>
      </c>
      <c r="K126" s="1">
        <v>100</v>
      </c>
      <c r="L126" s="1">
        <v>100</v>
      </c>
      <c r="Q126" s="5"/>
    </row>
    <row r="127" spans="1:17" x14ac:dyDescent="0.15">
      <c r="A127" s="5" t="s">
        <v>58</v>
      </c>
      <c r="B127" s="3">
        <v>1013</v>
      </c>
      <c r="C127" s="3" t="str">
        <f t="shared" si="0"/>
        <v>茄子_01</v>
      </c>
      <c r="D127" s="1">
        <v>5</v>
      </c>
      <c r="E127" s="1">
        <v>1</v>
      </c>
      <c r="F127" s="1">
        <v>1</v>
      </c>
      <c r="G127" s="1">
        <v>0</v>
      </c>
      <c r="H127" s="1">
        <v>0</v>
      </c>
      <c r="I127" s="3">
        <v>29</v>
      </c>
      <c r="J127" s="1">
        <v>1</v>
      </c>
      <c r="K127" s="1">
        <v>100</v>
      </c>
      <c r="L127" s="1">
        <v>100</v>
      </c>
      <c r="Q127" s="5"/>
    </row>
    <row r="128" spans="1:17" x14ac:dyDescent="0.15">
      <c r="A128" s="5" t="s">
        <v>59</v>
      </c>
      <c r="B128" s="3">
        <v>1014</v>
      </c>
      <c r="C128" s="3" t="str">
        <f t="shared" si="0"/>
        <v>豌豆_01</v>
      </c>
      <c r="D128" s="1">
        <v>5</v>
      </c>
      <c r="E128" s="1">
        <v>1</v>
      </c>
      <c r="F128" s="1">
        <v>1</v>
      </c>
      <c r="G128" s="1">
        <v>0</v>
      </c>
      <c r="H128" s="1">
        <v>0</v>
      </c>
      <c r="I128" s="3">
        <v>29</v>
      </c>
      <c r="J128" s="1">
        <v>1</v>
      </c>
      <c r="K128" s="1">
        <v>100</v>
      </c>
      <c r="L128" s="1">
        <v>100</v>
      </c>
      <c r="Q128" s="5"/>
    </row>
    <row r="129" spans="1:17" x14ac:dyDescent="0.15">
      <c r="A129" s="5" t="s">
        <v>49</v>
      </c>
      <c r="B129" s="3">
        <v>1015</v>
      </c>
      <c r="C129" s="3" t="str">
        <f t="shared" si="0"/>
        <v>土豆_01</v>
      </c>
      <c r="D129" s="1">
        <v>5</v>
      </c>
      <c r="E129" s="1">
        <v>1</v>
      </c>
      <c r="F129" s="1">
        <v>1</v>
      </c>
      <c r="G129" s="1">
        <v>0</v>
      </c>
      <c r="H129" s="1">
        <v>0</v>
      </c>
      <c r="I129" s="3">
        <v>29</v>
      </c>
      <c r="J129" s="1">
        <v>1</v>
      </c>
      <c r="K129" s="1">
        <v>100</v>
      </c>
      <c r="L129" s="1">
        <v>100</v>
      </c>
      <c r="Q129" s="5"/>
    </row>
    <row r="130" spans="1:17" x14ac:dyDescent="0.15">
      <c r="A130" s="5" t="s">
        <v>25</v>
      </c>
      <c r="B130" s="3">
        <v>1016</v>
      </c>
      <c r="C130" s="3" t="str">
        <f t="shared" si="0"/>
        <v>大蒜_01</v>
      </c>
      <c r="D130" s="1">
        <v>5</v>
      </c>
      <c r="E130" s="1">
        <v>1</v>
      </c>
      <c r="F130" s="1">
        <v>1</v>
      </c>
      <c r="G130" s="1">
        <v>0</v>
      </c>
      <c r="H130" s="1">
        <v>0</v>
      </c>
      <c r="I130" s="3">
        <v>29</v>
      </c>
      <c r="J130" s="1">
        <v>1</v>
      </c>
      <c r="K130" s="1">
        <v>100</v>
      </c>
      <c r="L130" s="1">
        <v>100</v>
      </c>
      <c r="Q130" s="5"/>
    </row>
    <row r="131" spans="1:17" x14ac:dyDescent="0.15">
      <c r="A131" s="5" t="s">
        <v>50</v>
      </c>
      <c r="B131" s="3">
        <v>1017</v>
      </c>
      <c r="C131" s="3" t="str">
        <f t="shared" si="0"/>
        <v>芦笋_01</v>
      </c>
      <c r="D131" s="1">
        <v>5</v>
      </c>
      <c r="E131" s="1">
        <v>1</v>
      </c>
      <c r="F131" s="1">
        <v>1</v>
      </c>
      <c r="G131" s="1">
        <v>0</v>
      </c>
      <c r="H131" s="1">
        <v>0</v>
      </c>
      <c r="I131" s="3">
        <v>29</v>
      </c>
      <c r="J131" s="1">
        <v>1</v>
      </c>
      <c r="K131" s="1">
        <v>100</v>
      </c>
      <c r="L131" s="1">
        <v>100</v>
      </c>
      <c r="Q131" s="5"/>
    </row>
    <row r="132" spans="1:17" x14ac:dyDescent="0.15">
      <c r="A132" s="5" t="s">
        <v>22</v>
      </c>
      <c r="B132" s="3">
        <v>1018</v>
      </c>
      <c r="C132" s="3" t="str">
        <f t="shared" si="0"/>
        <v>南瓜_01</v>
      </c>
      <c r="D132" s="1">
        <v>5</v>
      </c>
      <c r="E132" s="1">
        <v>1</v>
      </c>
      <c r="F132" s="1">
        <v>1</v>
      </c>
      <c r="G132" s="1">
        <v>0</v>
      </c>
      <c r="H132" s="1">
        <v>0</v>
      </c>
      <c r="I132" s="3">
        <v>29</v>
      </c>
      <c r="J132" s="1">
        <v>1</v>
      </c>
      <c r="K132" s="1">
        <v>100</v>
      </c>
      <c r="L132" s="1">
        <v>100</v>
      </c>
    </row>
    <row r="133" spans="1:17" x14ac:dyDescent="0.15">
      <c r="A133" s="5" t="s">
        <v>48</v>
      </c>
      <c r="B133" s="3">
        <v>1019</v>
      </c>
      <c r="C133" s="3" t="str">
        <f t="shared" si="0"/>
        <v>玉米_01</v>
      </c>
      <c r="D133" s="1">
        <v>5</v>
      </c>
      <c r="E133" s="1">
        <v>1</v>
      </c>
      <c r="F133" s="1">
        <v>1</v>
      </c>
      <c r="G133" s="1">
        <v>0</v>
      </c>
      <c r="H133" s="1">
        <v>0</v>
      </c>
      <c r="I133" s="3">
        <v>29</v>
      </c>
      <c r="J133" s="1">
        <v>1</v>
      </c>
      <c r="K133" s="1">
        <v>100</v>
      </c>
      <c r="L133" s="1">
        <v>100</v>
      </c>
    </row>
    <row r="134" spans="1:17" x14ac:dyDescent="0.15">
      <c r="A134" s="5" t="s">
        <v>270</v>
      </c>
      <c r="B134" s="3">
        <v>1020</v>
      </c>
      <c r="C134" s="3" t="str">
        <f t="shared" si="0"/>
        <v>小麦_01</v>
      </c>
      <c r="D134" s="1">
        <v>5</v>
      </c>
      <c r="E134" s="1">
        <v>1</v>
      </c>
      <c r="F134" s="1">
        <v>1</v>
      </c>
      <c r="G134" s="1">
        <v>0</v>
      </c>
      <c r="H134" s="1">
        <v>0</v>
      </c>
      <c r="I134" s="3">
        <v>29</v>
      </c>
      <c r="J134" s="1">
        <v>1</v>
      </c>
      <c r="K134" s="1">
        <v>100</v>
      </c>
      <c r="L134" s="1">
        <v>100</v>
      </c>
    </row>
    <row r="135" spans="1:17" x14ac:dyDescent="0.15">
      <c r="A135" s="5" t="s">
        <v>55</v>
      </c>
      <c r="B135" s="3">
        <v>1021</v>
      </c>
      <c r="C135" s="3" t="str">
        <f t="shared" si="0"/>
        <v>啤酒花_01</v>
      </c>
      <c r="D135" s="1">
        <v>5</v>
      </c>
      <c r="E135" s="1">
        <v>1</v>
      </c>
      <c r="F135" s="1">
        <v>1</v>
      </c>
      <c r="G135" s="1">
        <v>0</v>
      </c>
      <c r="H135" s="1">
        <v>0</v>
      </c>
      <c r="I135" s="3">
        <v>29</v>
      </c>
      <c r="J135" s="1">
        <v>1</v>
      </c>
      <c r="K135" s="1">
        <v>100</v>
      </c>
      <c r="L135" s="1">
        <v>100</v>
      </c>
    </row>
    <row r="136" spans="1:17" x14ac:dyDescent="0.15">
      <c r="A136" s="5" t="s">
        <v>24</v>
      </c>
      <c r="B136" s="3">
        <v>1022</v>
      </c>
      <c r="C136" s="3" t="str">
        <f t="shared" si="0"/>
        <v>葡萄_01</v>
      </c>
      <c r="D136" s="1">
        <v>5</v>
      </c>
      <c r="E136" s="1">
        <v>1</v>
      </c>
      <c r="F136" s="1">
        <v>1</v>
      </c>
      <c r="G136" s="1">
        <v>0</v>
      </c>
      <c r="H136" s="1">
        <v>0</v>
      </c>
      <c r="I136" s="3">
        <v>29</v>
      </c>
      <c r="J136" s="1">
        <v>1</v>
      </c>
      <c r="K136" s="1">
        <v>100</v>
      </c>
      <c r="L136" s="1">
        <v>100</v>
      </c>
    </row>
    <row r="137" spans="1:17" x14ac:dyDescent="0.15">
      <c r="A137" s="5" t="s">
        <v>56</v>
      </c>
      <c r="B137" s="3">
        <v>1023</v>
      </c>
      <c r="C137" s="3" t="str">
        <f t="shared" si="0"/>
        <v>菠萝_01</v>
      </c>
      <c r="D137" s="1">
        <v>5</v>
      </c>
      <c r="E137" s="1">
        <v>1</v>
      </c>
      <c r="F137" s="1">
        <v>1</v>
      </c>
      <c r="G137" s="1">
        <v>0</v>
      </c>
      <c r="H137" s="1">
        <v>0</v>
      </c>
      <c r="I137" s="3">
        <v>29</v>
      </c>
      <c r="J137" s="1">
        <v>1</v>
      </c>
      <c r="K137" s="1">
        <v>100</v>
      </c>
      <c r="L137" s="1">
        <v>100</v>
      </c>
    </row>
    <row r="138" spans="1:17" x14ac:dyDescent="0.15">
      <c r="A138" s="5" t="s">
        <v>57</v>
      </c>
      <c r="B138" s="3">
        <v>1024</v>
      </c>
      <c r="C138" s="3" t="str">
        <f t="shared" si="0"/>
        <v>咖啡_01</v>
      </c>
      <c r="D138" s="1">
        <v>5</v>
      </c>
      <c r="E138" s="1">
        <v>1</v>
      </c>
      <c r="F138" s="1">
        <v>1</v>
      </c>
      <c r="G138" s="1">
        <v>0</v>
      </c>
      <c r="H138" s="1">
        <v>0</v>
      </c>
      <c r="I138" s="3">
        <v>29</v>
      </c>
      <c r="J138" s="1">
        <v>1</v>
      </c>
      <c r="K138" s="1">
        <v>100</v>
      </c>
      <c r="L138" s="1">
        <v>100</v>
      </c>
    </row>
    <row r="139" spans="1:17" x14ac:dyDescent="0.15">
      <c r="A139" s="5" t="s">
        <v>51</v>
      </c>
      <c r="B139" s="3">
        <v>1025</v>
      </c>
      <c r="C139" s="3" t="str">
        <f t="shared" si="0"/>
        <v>草莓_01</v>
      </c>
      <c r="D139" s="1">
        <v>5</v>
      </c>
      <c r="E139" s="1">
        <v>1</v>
      </c>
      <c r="F139" s="1">
        <v>1</v>
      </c>
      <c r="G139" s="1">
        <v>0</v>
      </c>
      <c r="H139" s="1">
        <v>0</v>
      </c>
      <c r="I139" s="3">
        <v>29</v>
      </c>
      <c r="J139" s="1">
        <v>1</v>
      </c>
      <c r="K139" s="1">
        <v>100</v>
      </c>
      <c r="L139" s="1">
        <v>100</v>
      </c>
    </row>
    <row r="140" spans="1:17" x14ac:dyDescent="0.15">
      <c r="A140" s="5" t="s">
        <v>52</v>
      </c>
      <c r="B140" s="3">
        <v>1026</v>
      </c>
      <c r="C140" s="3" t="str">
        <f t="shared" si="0"/>
        <v>蓝莓_01</v>
      </c>
      <c r="D140" s="1">
        <v>5</v>
      </c>
      <c r="E140" s="1">
        <v>1</v>
      </c>
      <c r="F140" s="1">
        <v>1</v>
      </c>
      <c r="G140" s="1">
        <v>0</v>
      </c>
      <c r="H140" s="1">
        <v>0</v>
      </c>
      <c r="I140" s="3">
        <v>29</v>
      </c>
      <c r="J140" s="1">
        <v>1</v>
      </c>
      <c r="K140" s="1">
        <v>100</v>
      </c>
      <c r="L140" s="1">
        <v>100</v>
      </c>
    </row>
    <row r="141" spans="1:17" x14ac:dyDescent="0.15">
      <c r="A141" s="5" t="s">
        <v>53</v>
      </c>
      <c r="B141" s="3">
        <v>1027</v>
      </c>
      <c r="C141" s="3" t="str">
        <f t="shared" si="0"/>
        <v>红薯_01</v>
      </c>
      <c r="D141" s="1">
        <v>5</v>
      </c>
      <c r="E141" s="1">
        <v>1</v>
      </c>
      <c r="F141" s="1">
        <v>1</v>
      </c>
      <c r="G141" s="1">
        <v>0</v>
      </c>
      <c r="H141" s="1">
        <v>0</v>
      </c>
      <c r="I141" s="3">
        <v>29</v>
      </c>
      <c r="J141" s="1">
        <v>1</v>
      </c>
      <c r="K141" s="1">
        <v>100</v>
      </c>
      <c r="L141" s="1">
        <v>100</v>
      </c>
    </row>
    <row r="142" spans="1:17" x14ac:dyDescent="0.15">
      <c r="A142" s="5" t="s">
        <v>54</v>
      </c>
      <c r="B142" s="3">
        <v>1028</v>
      </c>
      <c r="C142" s="3" t="str">
        <f t="shared" si="0"/>
        <v>甜菜_01</v>
      </c>
      <c r="D142" s="1">
        <v>5</v>
      </c>
      <c r="E142" s="1">
        <v>1</v>
      </c>
      <c r="F142" s="1">
        <v>1</v>
      </c>
      <c r="G142" s="1">
        <v>0</v>
      </c>
      <c r="H142" s="1">
        <v>0</v>
      </c>
      <c r="I142" s="3">
        <v>29</v>
      </c>
      <c r="J142" s="1">
        <v>1</v>
      </c>
      <c r="K142" s="1">
        <v>100</v>
      </c>
      <c r="L142" s="1">
        <v>100</v>
      </c>
    </row>
    <row r="143" spans="1:17" x14ac:dyDescent="0.15">
      <c r="A143" s="5" t="s">
        <v>60</v>
      </c>
      <c r="B143" s="3">
        <f>B115+100</f>
        <v>1101</v>
      </c>
      <c r="C143" s="3" t="s">
        <v>60</v>
      </c>
      <c r="D143" s="1">
        <v>0</v>
      </c>
      <c r="E143" s="1">
        <v>8001</v>
      </c>
      <c r="F143" s="1">
        <v>0</v>
      </c>
      <c r="G143" s="1">
        <v>0</v>
      </c>
      <c r="H143" s="1">
        <v>0</v>
      </c>
      <c r="I143" s="3">
        <v>29</v>
      </c>
      <c r="J143" s="1">
        <v>1</v>
      </c>
      <c r="K143" s="1">
        <v>100</v>
      </c>
      <c r="L143" s="1">
        <v>100</v>
      </c>
    </row>
    <row r="144" spans="1:17" x14ac:dyDescent="0.15">
      <c r="A144" s="9" t="s">
        <v>61</v>
      </c>
      <c r="B144" s="3">
        <f t="shared" ref="B144:B170" si="1">B116+100</f>
        <v>1102</v>
      </c>
      <c r="C144" s="3" t="s">
        <v>61</v>
      </c>
      <c r="D144" s="1">
        <v>0</v>
      </c>
      <c r="E144" s="1">
        <v>8002</v>
      </c>
      <c r="F144" s="1">
        <v>0</v>
      </c>
      <c r="G144" s="1">
        <v>0</v>
      </c>
      <c r="H144" s="1">
        <v>0</v>
      </c>
      <c r="I144" s="3">
        <v>29</v>
      </c>
      <c r="J144" s="1">
        <v>1</v>
      </c>
      <c r="K144" s="1">
        <v>100</v>
      </c>
      <c r="L144" s="1">
        <v>100</v>
      </c>
    </row>
    <row r="145" spans="1:12" x14ac:dyDescent="0.15">
      <c r="A145" s="5" t="s">
        <v>171</v>
      </c>
      <c r="B145" s="3">
        <f t="shared" si="1"/>
        <v>1103</v>
      </c>
      <c r="C145" s="3" t="s">
        <v>171</v>
      </c>
      <c r="D145" s="1">
        <v>0</v>
      </c>
      <c r="E145" s="1">
        <v>8003</v>
      </c>
      <c r="F145" s="1">
        <v>0</v>
      </c>
      <c r="G145" s="1">
        <v>0</v>
      </c>
      <c r="H145" s="1">
        <v>0</v>
      </c>
      <c r="I145" s="3">
        <v>29</v>
      </c>
      <c r="J145" s="1">
        <v>1</v>
      </c>
      <c r="K145" s="1">
        <v>100</v>
      </c>
      <c r="L145" s="1">
        <v>100</v>
      </c>
    </row>
    <row r="146" spans="1:12" x14ac:dyDescent="0.15">
      <c r="A146" s="9" t="s">
        <v>62</v>
      </c>
      <c r="B146" s="3">
        <f t="shared" si="1"/>
        <v>1104</v>
      </c>
      <c r="C146" s="3" t="s">
        <v>62</v>
      </c>
      <c r="D146" s="1">
        <v>0</v>
      </c>
      <c r="E146" s="1">
        <v>8004</v>
      </c>
      <c r="F146" s="1">
        <v>0</v>
      </c>
      <c r="G146" s="1">
        <v>0</v>
      </c>
      <c r="H146" s="1">
        <v>0</v>
      </c>
      <c r="I146" s="3">
        <v>29</v>
      </c>
      <c r="J146" s="1">
        <v>1</v>
      </c>
      <c r="K146" s="1">
        <v>100</v>
      </c>
      <c r="L146" s="1">
        <v>100</v>
      </c>
    </row>
    <row r="147" spans="1:12" x14ac:dyDescent="0.15">
      <c r="A147" s="5" t="s">
        <v>63</v>
      </c>
      <c r="B147" s="3">
        <f t="shared" si="1"/>
        <v>1105</v>
      </c>
      <c r="C147" s="3" t="s">
        <v>63</v>
      </c>
      <c r="D147" s="1">
        <v>0</v>
      </c>
      <c r="E147" s="1">
        <v>8005</v>
      </c>
      <c r="F147" s="1">
        <v>0</v>
      </c>
      <c r="G147" s="1">
        <v>0</v>
      </c>
      <c r="H147" s="1">
        <v>0</v>
      </c>
      <c r="I147" s="3">
        <v>29</v>
      </c>
      <c r="J147" s="1">
        <v>1</v>
      </c>
      <c r="K147" s="1">
        <v>100</v>
      </c>
      <c r="L147" s="1">
        <v>100</v>
      </c>
    </row>
    <row r="148" spans="1:12" x14ac:dyDescent="0.15">
      <c r="A148" s="9" t="s">
        <v>64</v>
      </c>
      <c r="B148" s="3">
        <f t="shared" si="1"/>
        <v>1106</v>
      </c>
      <c r="C148" s="3" t="s">
        <v>64</v>
      </c>
      <c r="D148" s="1">
        <v>0</v>
      </c>
      <c r="E148" s="1">
        <v>8006</v>
      </c>
      <c r="F148" s="1">
        <v>0</v>
      </c>
      <c r="G148" s="1">
        <v>0</v>
      </c>
      <c r="H148" s="1">
        <v>0</v>
      </c>
      <c r="I148" s="3">
        <v>29</v>
      </c>
      <c r="J148" s="1">
        <v>1</v>
      </c>
      <c r="K148" s="1">
        <v>100</v>
      </c>
      <c r="L148" s="1">
        <v>100</v>
      </c>
    </row>
    <row r="149" spans="1:12" x14ac:dyDescent="0.15">
      <c r="A149" s="9" t="s">
        <v>65</v>
      </c>
      <c r="B149" s="3">
        <f t="shared" si="1"/>
        <v>1107</v>
      </c>
      <c r="C149" s="3" t="s">
        <v>65</v>
      </c>
      <c r="D149" s="1">
        <v>0</v>
      </c>
      <c r="E149" s="1">
        <v>8007</v>
      </c>
      <c r="F149" s="1">
        <v>0</v>
      </c>
      <c r="G149" s="1">
        <v>0</v>
      </c>
      <c r="H149" s="1">
        <v>0</v>
      </c>
      <c r="I149" s="3">
        <v>29</v>
      </c>
      <c r="J149" s="1">
        <v>1</v>
      </c>
      <c r="K149" s="1">
        <v>100</v>
      </c>
      <c r="L149" s="1">
        <v>100</v>
      </c>
    </row>
    <row r="150" spans="1:12" x14ac:dyDescent="0.15">
      <c r="A150" s="9" t="s">
        <v>66</v>
      </c>
      <c r="B150" s="3">
        <f t="shared" si="1"/>
        <v>1108</v>
      </c>
      <c r="C150" s="3" t="s">
        <v>66</v>
      </c>
      <c r="D150" s="1">
        <v>0</v>
      </c>
      <c r="E150" s="1">
        <v>8008</v>
      </c>
      <c r="F150" s="1">
        <v>0</v>
      </c>
      <c r="G150" s="1">
        <v>0</v>
      </c>
      <c r="H150" s="1">
        <v>0</v>
      </c>
      <c r="I150" s="3">
        <v>29</v>
      </c>
      <c r="J150" s="1">
        <v>1</v>
      </c>
      <c r="K150" s="1">
        <v>100</v>
      </c>
      <c r="L150" s="1">
        <v>100</v>
      </c>
    </row>
    <row r="151" spans="1:12" x14ac:dyDescent="0.15">
      <c r="A151" s="9" t="s">
        <v>67</v>
      </c>
      <c r="B151" s="3">
        <f t="shared" si="1"/>
        <v>1109</v>
      </c>
      <c r="C151" s="3" t="s">
        <v>67</v>
      </c>
      <c r="D151" s="1">
        <v>0</v>
      </c>
      <c r="E151" s="1">
        <v>8009</v>
      </c>
      <c r="F151" s="1">
        <v>0</v>
      </c>
      <c r="G151" s="1">
        <v>0</v>
      </c>
      <c r="H151" s="1">
        <v>0</v>
      </c>
      <c r="I151" s="3">
        <v>29</v>
      </c>
      <c r="J151" s="1">
        <v>1</v>
      </c>
      <c r="K151" s="1">
        <v>100</v>
      </c>
      <c r="L151" s="1">
        <v>100</v>
      </c>
    </row>
    <row r="152" spans="1:12" x14ac:dyDescent="0.15">
      <c r="A152" s="9" t="s">
        <v>68</v>
      </c>
      <c r="B152" s="3">
        <f t="shared" si="1"/>
        <v>1110</v>
      </c>
      <c r="C152" s="3" t="s">
        <v>68</v>
      </c>
      <c r="D152" s="1">
        <v>0</v>
      </c>
      <c r="E152" s="1">
        <v>8010</v>
      </c>
      <c r="F152" s="1">
        <v>0</v>
      </c>
      <c r="G152" s="1">
        <v>0</v>
      </c>
      <c r="H152" s="1">
        <v>0</v>
      </c>
      <c r="I152" s="3">
        <v>29</v>
      </c>
      <c r="J152" s="1">
        <v>1</v>
      </c>
      <c r="K152" s="1">
        <v>100</v>
      </c>
      <c r="L152" s="1">
        <v>100</v>
      </c>
    </row>
    <row r="153" spans="1:12" x14ac:dyDescent="0.15">
      <c r="A153" s="9" t="s">
        <v>69</v>
      </c>
      <c r="B153" s="3">
        <f t="shared" si="1"/>
        <v>1111</v>
      </c>
      <c r="C153" s="3" t="s">
        <v>69</v>
      </c>
      <c r="D153" s="1">
        <v>0</v>
      </c>
      <c r="E153" s="1">
        <v>8011</v>
      </c>
      <c r="F153" s="1">
        <v>0</v>
      </c>
      <c r="G153" s="1">
        <v>0</v>
      </c>
      <c r="H153" s="1">
        <v>0</v>
      </c>
      <c r="I153" s="3">
        <v>29</v>
      </c>
      <c r="J153" s="1">
        <v>1</v>
      </c>
      <c r="K153" s="1">
        <v>100</v>
      </c>
      <c r="L153" s="1">
        <v>100</v>
      </c>
    </row>
    <row r="154" spans="1:12" x14ac:dyDescent="0.15">
      <c r="A154" s="5" t="s">
        <v>70</v>
      </c>
      <c r="B154" s="3">
        <f t="shared" si="1"/>
        <v>1112</v>
      </c>
      <c r="C154" s="3" t="s">
        <v>70</v>
      </c>
      <c r="D154" s="1">
        <v>0</v>
      </c>
      <c r="E154" s="1">
        <v>8012</v>
      </c>
      <c r="F154" s="1">
        <v>0</v>
      </c>
      <c r="G154" s="1">
        <v>0</v>
      </c>
      <c r="H154" s="1">
        <v>0</v>
      </c>
      <c r="I154" s="3">
        <v>29</v>
      </c>
      <c r="J154" s="1">
        <v>1</v>
      </c>
      <c r="K154" s="1">
        <v>100</v>
      </c>
      <c r="L154" s="1">
        <v>100</v>
      </c>
    </row>
    <row r="155" spans="1:12" x14ac:dyDescent="0.15">
      <c r="A155" s="9" t="s">
        <v>71</v>
      </c>
      <c r="B155" s="3">
        <f t="shared" si="1"/>
        <v>1113</v>
      </c>
      <c r="C155" s="3" t="s">
        <v>71</v>
      </c>
      <c r="D155" s="1">
        <v>0</v>
      </c>
      <c r="E155" s="1">
        <v>8013</v>
      </c>
      <c r="F155" s="1">
        <v>0</v>
      </c>
      <c r="G155" s="1">
        <v>0</v>
      </c>
      <c r="H155" s="1">
        <v>0</v>
      </c>
      <c r="I155" s="3">
        <v>29</v>
      </c>
      <c r="J155" s="1">
        <v>1</v>
      </c>
      <c r="K155" s="1">
        <v>100</v>
      </c>
      <c r="L155" s="1">
        <v>100</v>
      </c>
    </row>
    <row r="156" spans="1:12" x14ac:dyDescent="0.15">
      <c r="A156" s="5" t="s">
        <v>72</v>
      </c>
      <c r="B156" s="3">
        <f t="shared" si="1"/>
        <v>1114</v>
      </c>
      <c r="C156" s="3" t="s">
        <v>72</v>
      </c>
      <c r="D156" s="1">
        <v>0</v>
      </c>
      <c r="E156" s="1">
        <v>8014</v>
      </c>
      <c r="F156" s="1">
        <v>0</v>
      </c>
      <c r="G156" s="1">
        <v>0</v>
      </c>
      <c r="H156" s="1">
        <v>0</v>
      </c>
      <c r="I156" s="3">
        <v>29</v>
      </c>
      <c r="J156" s="1">
        <v>1</v>
      </c>
      <c r="K156" s="1">
        <v>100</v>
      </c>
      <c r="L156" s="1">
        <v>100</v>
      </c>
    </row>
    <row r="157" spans="1:12" x14ac:dyDescent="0.15">
      <c r="A157" s="9" t="s">
        <v>73</v>
      </c>
      <c r="B157" s="3">
        <f t="shared" si="1"/>
        <v>1115</v>
      </c>
      <c r="C157" s="3" t="s">
        <v>73</v>
      </c>
      <c r="D157" s="1">
        <v>0</v>
      </c>
      <c r="E157" s="1">
        <v>8015</v>
      </c>
      <c r="F157" s="1">
        <v>0</v>
      </c>
      <c r="G157" s="1">
        <v>0</v>
      </c>
      <c r="H157" s="1">
        <v>0</v>
      </c>
      <c r="I157" s="3">
        <v>29</v>
      </c>
      <c r="J157" s="1">
        <v>1</v>
      </c>
      <c r="K157" s="1">
        <v>100</v>
      </c>
      <c r="L157" s="1">
        <v>100</v>
      </c>
    </row>
    <row r="158" spans="1:12" x14ac:dyDescent="0.15">
      <c r="A158" s="9" t="s">
        <v>74</v>
      </c>
      <c r="B158" s="3">
        <f t="shared" si="1"/>
        <v>1116</v>
      </c>
      <c r="C158" s="3" t="s">
        <v>74</v>
      </c>
      <c r="D158" s="1">
        <v>0</v>
      </c>
      <c r="E158" s="1">
        <v>8016</v>
      </c>
      <c r="F158" s="1">
        <v>0</v>
      </c>
      <c r="G158" s="1">
        <v>0</v>
      </c>
      <c r="H158" s="1">
        <v>0</v>
      </c>
      <c r="I158" s="3">
        <v>29</v>
      </c>
      <c r="J158" s="1">
        <v>1</v>
      </c>
      <c r="K158" s="1">
        <v>100</v>
      </c>
      <c r="L158" s="1">
        <v>100</v>
      </c>
    </row>
    <row r="159" spans="1:12" x14ac:dyDescent="0.15">
      <c r="A159" s="5" t="s">
        <v>75</v>
      </c>
      <c r="B159" s="3">
        <f t="shared" si="1"/>
        <v>1117</v>
      </c>
      <c r="C159" s="3" t="s">
        <v>75</v>
      </c>
      <c r="D159" s="1">
        <v>0</v>
      </c>
      <c r="E159" s="1">
        <v>8017</v>
      </c>
      <c r="F159" s="1">
        <v>0</v>
      </c>
      <c r="G159" s="1">
        <v>0</v>
      </c>
      <c r="H159" s="1">
        <v>0</v>
      </c>
      <c r="I159" s="3">
        <v>29</v>
      </c>
      <c r="J159" s="1">
        <v>1</v>
      </c>
      <c r="K159" s="1">
        <v>100</v>
      </c>
      <c r="L159" s="1">
        <v>100</v>
      </c>
    </row>
    <row r="160" spans="1:12" x14ac:dyDescent="0.15">
      <c r="A160" s="9" t="s">
        <v>76</v>
      </c>
      <c r="B160" s="3">
        <f t="shared" si="1"/>
        <v>1118</v>
      </c>
      <c r="C160" s="3" t="s">
        <v>76</v>
      </c>
      <c r="D160" s="1">
        <v>0</v>
      </c>
      <c r="E160" s="1">
        <v>8018</v>
      </c>
      <c r="F160" s="1">
        <v>0</v>
      </c>
      <c r="G160" s="1">
        <v>0</v>
      </c>
      <c r="H160" s="1">
        <v>0</v>
      </c>
      <c r="I160" s="3">
        <v>29</v>
      </c>
      <c r="J160" s="1">
        <v>1</v>
      </c>
      <c r="K160" s="1">
        <v>100</v>
      </c>
      <c r="L160" s="1">
        <v>100</v>
      </c>
    </row>
    <row r="161" spans="1:12" x14ac:dyDescent="0.15">
      <c r="A161" s="9" t="s">
        <v>77</v>
      </c>
      <c r="B161" s="3">
        <f t="shared" si="1"/>
        <v>1119</v>
      </c>
      <c r="C161" s="3" t="s">
        <v>77</v>
      </c>
      <c r="D161" s="1">
        <v>0</v>
      </c>
      <c r="E161" s="1">
        <v>8019</v>
      </c>
      <c r="F161" s="1">
        <v>0</v>
      </c>
      <c r="G161" s="1">
        <v>0</v>
      </c>
      <c r="H161" s="1">
        <v>0</v>
      </c>
      <c r="I161" s="3">
        <v>29</v>
      </c>
      <c r="J161" s="1">
        <v>1</v>
      </c>
      <c r="K161" s="1">
        <v>100</v>
      </c>
      <c r="L161" s="1">
        <v>100</v>
      </c>
    </row>
    <row r="162" spans="1:12" x14ac:dyDescent="0.15">
      <c r="A162" s="9" t="s">
        <v>78</v>
      </c>
      <c r="B162" s="3">
        <f t="shared" si="1"/>
        <v>1120</v>
      </c>
      <c r="C162" s="3" t="s">
        <v>78</v>
      </c>
      <c r="D162" s="1">
        <v>0</v>
      </c>
      <c r="E162" s="1">
        <v>8020</v>
      </c>
      <c r="F162" s="1">
        <v>0</v>
      </c>
      <c r="G162" s="1">
        <v>0</v>
      </c>
      <c r="H162" s="1">
        <v>0</v>
      </c>
      <c r="I162" s="3">
        <v>29</v>
      </c>
      <c r="J162" s="1">
        <v>1</v>
      </c>
      <c r="K162" s="1">
        <v>100</v>
      </c>
      <c r="L162" s="1">
        <v>100</v>
      </c>
    </row>
    <row r="163" spans="1:12" x14ac:dyDescent="0.15">
      <c r="A163" s="5" t="s">
        <v>79</v>
      </c>
      <c r="B163" s="3">
        <f t="shared" si="1"/>
        <v>1121</v>
      </c>
      <c r="C163" s="3" t="s">
        <v>79</v>
      </c>
      <c r="D163" s="1">
        <v>0</v>
      </c>
      <c r="E163" s="1">
        <v>8021</v>
      </c>
      <c r="F163" s="1">
        <v>0</v>
      </c>
      <c r="G163" s="1">
        <v>0</v>
      </c>
      <c r="H163" s="1">
        <v>0</v>
      </c>
      <c r="I163" s="3">
        <v>29</v>
      </c>
      <c r="J163" s="1">
        <v>1</v>
      </c>
      <c r="K163" s="1">
        <v>100</v>
      </c>
      <c r="L163" s="1">
        <v>100</v>
      </c>
    </row>
    <row r="164" spans="1:12" x14ac:dyDescent="0.15">
      <c r="A164" s="9" t="s">
        <v>80</v>
      </c>
      <c r="B164" s="3">
        <f t="shared" si="1"/>
        <v>1122</v>
      </c>
      <c r="C164" s="3" t="s">
        <v>80</v>
      </c>
      <c r="D164" s="1">
        <v>0</v>
      </c>
      <c r="E164" s="1">
        <v>8022</v>
      </c>
      <c r="F164" s="1">
        <v>0</v>
      </c>
      <c r="G164" s="1">
        <v>0</v>
      </c>
      <c r="H164" s="1">
        <v>0</v>
      </c>
      <c r="I164" s="3">
        <v>29</v>
      </c>
      <c r="J164" s="1">
        <v>1</v>
      </c>
      <c r="K164" s="1">
        <v>100</v>
      </c>
      <c r="L164" s="1">
        <v>100</v>
      </c>
    </row>
    <row r="165" spans="1:12" x14ac:dyDescent="0.15">
      <c r="A165" s="5" t="s">
        <v>81</v>
      </c>
      <c r="B165" s="3">
        <f t="shared" si="1"/>
        <v>1123</v>
      </c>
      <c r="C165" s="3" t="s">
        <v>81</v>
      </c>
      <c r="D165" s="1">
        <v>0</v>
      </c>
      <c r="E165" s="1">
        <v>8023</v>
      </c>
      <c r="F165" s="1">
        <v>0</v>
      </c>
      <c r="G165" s="1">
        <v>0</v>
      </c>
      <c r="H165" s="1">
        <v>0</v>
      </c>
      <c r="I165" s="3">
        <v>29</v>
      </c>
      <c r="J165" s="1">
        <v>1</v>
      </c>
      <c r="K165" s="1">
        <v>100</v>
      </c>
      <c r="L165" s="1">
        <v>100</v>
      </c>
    </row>
    <row r="166" spans="1:12" x14ac:dyDescent="0.15">
      <c r="A166" s="5" t="s">
        <v>82</v>
      </c>
      <c r="B166" s="3">
        <f t="shared" si="1"/>
        <v>1124</v>
      </c>
      <c r="C166" s="3" t="s">
        <v>82</v>
      </c>
      <c r="D166" s="1">
        <v>0</v>
      </c>
      <c r="E166" s="1">
        <v>8024</v>
      </c>
      <c r="F166" s="1">
        <v>0</v>
      </c>
      <c r="G166" s="1">
        <v>0</v>
      </c>
      <c r="H166" s="1">
        <v>0</v>
      </c>
      <c r="I166" s="3">
        <v>29</v>
      </c>
      <c r="J166" s="1">
        <v>1</v>
      </c>
      <c r="K166" s="1">
        <v>100</v>
      </c>
      <c r="L166" s="1">
        <v>100</v>
      </c>
    </row>
    <row r="167" spans="1:12" x14ac:dyDescent="0.15">
      <c r="A167" s="9" t="s">
        <v>83</v>
      </c>
      <c r="B167" s="3">
        <f t="shared" si="1"/>
        <v>1125</v>
      </c>
      <c r="C167" s="3" t="s">
        <v>83</v>
      </c>
      <c r="D167" s="1">
        <v>0</v>
      </c>
      <c r="E167" s="1">
        <v>8025</v>
      </c>
      <c r="F167" s="1">
        <v>0</v>
      </c>
      <c r="G167" s="1">
        <v>0</v>
      </c>
      <c r="H167" s="1">
        <v>0</v>
      </c>
      <c r="I167" s="3">
        <v>29</v>
      </c>
      <c r="J167" s="1">
        <v>1</v>
      </c>
      <c r="K167" s="1">
        <v>100</v>
      </c>
      <c r="L167" s="1">
        <v>100</v>
      </c>
    </row>
    <row r="168" spans="1:12" x14ac:dyDescent="0.15">
      <c r="A168" s="9" t="s">
        <v>84</v>
      </c>
      <c r="B168" s="3">
        <f t="shared" si="1"/>
        <v>1126</v>
      </c>
      <c r="C168" s="3" t="s">
        <v>84</v>
      </c>
      <c r="D168" s="1">
        <v>0</v>
      </c>
      <c r="E168" s="1">
        <v>8026</v>
      </c>
      <c r="F168" s="1">
        <v>0</v>
      </c>
      <c r="G168" s="1">
        <v>0</v>
      </c>
      <c r="H168" s="1">
        <v>0</v>
      </c>
      <c r="I168" s="3">
        <v>29</v>
      </c>
      <c r="J168" s="1">
        <v>1</v>
      </c>
      <c r="K168" s="1">
        <v>100</v>
      </c>
      <c r="L168" s="1">
        <v>100</v>
      </c>
    </row>
    <row r="169" spans="1:12" x14ac:dyDescent="0.15">
      <c r="A169" s="9" t="s">
        <v>85</v>
      </c>
      <c r="B169" s="3">
        <f t="shared" si="1"/>
        <v>1127</v>
      </c>
      <c r="C169" s="3" t="s">
        <v>85</v>
      </c>
      <c r="D169" s="1">
        <v>0</v>
      </c>
      <c r="E169" s="1">
        <v>8027</v>
      </c>
      <c r="F169" s="1">
        <v>0</v>
      </c>
      <c r="G169" s="1">
        <v>0</v>
      </c>
      <c r="H169" s="1">
        <v>0</v>
      </c>
      <c r="I169" s="3">
        <v>29</v>
      </c>
      <c r="J169" s="1">
        <v>1</v>
      </c>
      <c r="K169" s="1">
        <v>100</v>
      </c>
      <c r="L169" s="1">
        <v>100</v>
      </c>
    </row>
    <row r="170" spans="1:12" x14ac:dyDescent="0.15">
      <c r="A170" s="9" t="s">
        <v>86</v>
      </c>
      <c r="B170" s="3">
        <f t="shared" si="1"/>
        <v>1128</v>
      </c>
      <c r="C170" s="3" t="s">
        <v>86</v>
      </c>
      <c r="D170" s="1">
        <v>0</v>
      </c>
      <c r="E170" s="1">
        <v>8028</v>
      </c>
      <c r="F170" s="1">
        <v>0</v>
      </c>
      <c r="G170" s="1">
        <v>0</v>
      </c>
      <c r="H170" s="1">
        <v>0</v>
      </c>
      <c r="I170" s="3">
        <v>29</v>
      </c>
      <c r="J170" s="1">
        <v>1</v>
      </c>
      <c r="K170" s="1">
        <v>100</v>
      </c>
      <c r="L170" s="1">
        <v>100</v>
      </c>
    </row>
    <row r="171" spans="1:12" x14ac:dyDescent="0.15">
      <c r="A171" s="1" t="s">
        <v>355</v>
      </c>
      <c r="B171" s="3">
        <v>1600</v>
      </c>
      <c r="C171" s="1" t="s">
        <v>355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3">
        <v>1</v>
      </c>
      <c r="J171" s="1">
        <v>1</v>
      </c>
      <c r="K171" s="1">
        <v>100</v>
      </c>
      <c r="L171" s="1">
        <v>100</v>
      </c>
    </row>
    <row r="172" spans="1:12" x14ac:dyDescent="0.15">
      <c r="A172" s="1" t="s">
        <v>356</v>
      </c>
      <c r="B172" s="3">
        <v>1601</v>
      </c>
      <c r="C172" s="1" t="s">
        <v>356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3">
        <v>1</v>
      </c>
      <c r="J172" s="1">
        <v>1</v>
      </c>
      <c r="K172" s="1">
        <v>100</v>
      </c>
      <c r="L172" s="1">
        <v>100</v>
      </c>
    </row>
    <row r="173" spans="1:12" x14ac:dyDescent="0.15">
      <c r="A173" s="1" t="s">
        <v>416</v>
      </c>
      <c r="B173" s="3">
        <v>1602</v>
      </c>
      <c r="C173" s="1" t="s">
        <v>416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3">
        <v>1</v>
      </c>
      <c r="J173" s="1">
        <v>1</v>
      </c>
      <c r="K173" s="1">
        <v>100</v>
      </c>
      <c r="L173" s="1">
        <v>100</v>
      </c>
    </row>
    <row r="174" spans="1:12" x14ac:dyDescent="0.15">
      <c r="A174" s="1" t="s">
        <v>357</v>
      </c>
      <c r="B174" s="3">
        <v>1603</v>
      </c>
      <c r="C174" s="1" t="s">
        <v>357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3">
        <v>1</v>
      </c>
      <c r="J174" s="1">
        <v>1</v>
      </c>
      <c r="K174" s="1">
        <v>100</v>
      </c>
      <c r="L174" s="1">
        <v>100</v>
      </c>
    </row>
    <row r="175" spans="1:12" x14ac:dyDescent="0.15">
      <c r="A175" s="1" t="s">
        <v>417</v>
      </c>
      <c r="B175" s="3">
        <v>1604</v>
      </c>
      <c r="C175" s="1" t="s">
        <v>417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3">
        <v>1</v>
      </c>
      <c r="J175" s="1">
        <v>1</v>
      </c>
      <c r="K175" s="1">
        <v>100</v>
      </c>
      <c r="L175" s="1">
        <v>100</v>
      </c>
    </row>
    <row r="176" spans="1:12" x14ac:dyDescent="0.15">
      <c r="A176" s="1" t="s">
        <v>358</v>
      </c>
      <c r="B176" s="3">
        <v>1605</v>
      </c>
      <c r="C176" s="1" t="s">
        <v>358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3">
        <v>1</v>
      </c>
      <c r="J176" s="1">
        <v>1</v>
      </c>
      <c r="K176" s="1">
        <v>100</v>
      </c>
      <c r="L176" s="1">
        <v>100</v>
      </c>
    </row>
    <row r="177" spans="1:12" x14ac:dyDescent="0.15">
      <c r="A177" s="1" t="s">
        <v>359</v>
      </c>
      <c r="B177" s="3">
        <v>1606</v>
      </c>
      <c r="C177" s="1" t="s">
        <v>359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3">
        <v>1</v>
      </c>
      <c r="J177" s="1">
        <v>1</v>
      </c>
      <c r="K177" s="1">
        <v>100</v>
      </c>
      <c r="L177" s="1">
        <v>100</v>
      </c>
    </row>
    <row r="178" spans="1:12" x14ac:dyDescent="0.15">
      <c r="A178" s="1" t="s">
        <v>437</v>
      </c>
      <c r="B178" s="3">
        <v>1607</v>
      </c>
      <c r="C178" s="1" t="s">
        <v>429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3">
        <v>1</v>
      </c>
      <c r="J178" s="1">
        <v>1</v>
      </c>
      <c r="K178" s="1">
        <v>100</v>
      </c>
      <c r="L178" s="1">
        <v>100</v>
      </c>
    </row>
    <row r="179" spans="1:12" x14ac:dyDescent="0.15">
      <c r="A179" s="1" t="s">
        <v>360</v>
      </c>
      <c r="B179" s="3">
        <v>1608</v>
      </c>
      <c r="C179" s="1" t="s">
        <v>360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3">
        <v>1</v>
      </c>
      <c r="J179" s="1">
        <v>1</v>
      </c>
      <c r="K179" s="1">
        <v>100</v>
      </c>
      <c r="L179" s="1">
        <v>100</v>
      </c>
    </row>
    <row r="180" spans="1:12" x14ac:dyDescent="0.15">
      <c r="A180" s="1" t="s">
        <v>361</v>
      </c>
      <c r="B180" s="3">
        <v>1609</v>
      </c>
      <c r="C180" s="1" t="s">
        <v>361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3">
        <v>1</v>
      </c>
      <c r="J180" s="1">
        <v>1</v>
      </c>
      <c r="K180" s="1">
        <v>100</v>
      </c>
      <c r="L180" s="1">
        <v>100</v>
      </c>
    </row>
    <row r="181" spans="1:12" x14ac:dyDescent="0.15">
      <c r="A181" s="1" t="s">
        <v>362</v>
      </c>
      <c r="B181" s="3">
        <v>1610</v>
      </c>
      <c r="C181" s="1" t="s">
        <v>362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3">
        <v>1</v>
      </c>
      <c r="J181" s="1">
        <v>1</v>
      </c>
      <c r="K181" s="1">
        <v>100</v>
      </c>
      <c r="L181" s="1">
        <v>100</v>
      </c>
    </row>
    <row r="182" spans="1:12" x14ac:dyDescent="0.15">
      <c r="A182" s="1" t="s">
        <v>363</v>
      </c>
      <c r="B182" s="3">
        <v>1611</v>
      </c>
      <c r="C182" s="1" t="s">
        <v>363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3">
        <v>1</v>
      </c>
      <c r="J182" s="1">
        <v>1</v>
      </c>
      <c r="K182" s="1">
        <v>100</v>
      </c>
      <c r="L182" s="1">
        <v>100</v>
      </c>
    </row>
    <row r="183" spans="1:12" x14ac:dyDescent="0.15">
      <c r="A183" s="1" t="s">
        <v>364</v>
      </c>
      <c r="B183" s="3">
        <v>1612</v>
      </c>
      <c r="C183" s="1" t="s">
        <v>364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3">
        <v>1</v>
      </c>
      <c r="J183" s="1">
        <v>1</v>
      </c>
      <c r="K183" s="1">
        <v>100</v>
      </c>
      <c r="L183" s="1">
        <v>100</v>
      </c>
    </row>
    <row r="184" spans="1:12" x14ac:dyDescent="0.15">
      <c r="A184" s="1" t="s">
        <v>365</v>
      </c>
      <c r="B184" s="3">
        <v>1613</v>
      </c>
      <c r="C184" s="1" t="s">
        <v>365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3">
        <v>1</v>
      </c>
      <c r="J184" s="1">
        <v>1</v>
      </c>
      <c r="K184" s="1">
        <v>100</v>
      </c>
      <c r="L184" s="1">
        <v>100</v>
      </c>
    </row>
    <row r="185" spans="1:12" x14ac:dyDescent="0.15">
      <c r="A185" s="1" t="s">
        <v>418</v>
      </c>
      <c r="B185" s="3">
        <v>1614</v>
      </c>
      <c r="C185" s="1" t="s">
        <v>418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3">
        <v>1</v>
      </c>
      <c r="J185" s="1">
        <v>1</v>
      </c>
      <c r="K185" s="1">
        <v>100</v>
      </c>
      <c r="L185" s="1">
        <v>100</v>
      </c>
    </row>
    <row r="186" spans="1:12" x14ac:dyDescent="0.15">
      <c r="A186" s="1" t="s">
        <v>366</v>
      </c>
      <c r="B186" s="3">
        <v>1615</v>
      </c>
      <c r="C186" s="1" t="s">
        <v>366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3">
        <v>1</v>
      </c>
      <c r="J186" s="1">
        <v>1</v>
      </c>
      <c r="K186" s="1">
        <v>100</v>
      </c>
      <c r="L186" s="1">
        <v>100</v>
      </c>
    </row>
    <row r="187" spans="1:12" x14ac:dyDescent="0.15">
      <c r="A187" s="1" t="s">
        <v>367</v>
      </c>
      <c r="B187" s="3">
        <v>1616</v>
      </c>
      <c r="C187" s="1" t="s">
        <v>367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3">
        <v>1</v>
      </c>
      <c r="J187" s="1">
        <v>1</v>
      </c>
      <c r="K187" s="1">
        <v>100</v>
      </c>
      <c r="L187" s="1">
        <v>100</v>
      </c>
    </row>
    <row r="188" spans="1:12" x14ac:dyDescent="0.15">
      <c r="A188" s="1" t="s">
        <v>647</v>
      </c>
      <c r="B188" s="3">
        <v>1617</v>
      </c>
      <c r="C188" s="1" t="s">
        <v>647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3">
        <v>1</v>
      </c>
      <c r="J188" s="1">
        <v>1</v>
      </c>
      <c r="K188" s="1">
        <v>100</v>
      </c>
      <c r="L188" s="1">
        <v>100</v>
      </c>
    </row>
    <row r="189" spans="1:12" x14ac:dyDescent="0.15">
      <c r="A189" s="1" t="s">
        <v>648</v>
      </c>
      <c r="B189" s="3">
        <v>1618</v>
      </c>
      <c r="C189" s="1" t="s">
        <v>648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3">
        <v>1</v>
      </c>
      <c r="J189" s="1">
        <v>1</v>
      </c>
      <c r="K189" s="1">
        <v>100</v>
      </c>
      <c r="L189" s="1">
        <v>100</v>
      </c>
    </row>
    <row r="190" spans="1:12" x14ac:dyDescent="0.15">
      <c r="A190" s="1" t="s">
        <v>649</v>
      </c>
      <c r="B190" s="3">
        <v>1619</v>
      </c>
      <c r="C190" s="1" t="s">
        <v>649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3">
        <v>1</v>
      </c>
      <c r="J190" s="1">
        <v>1</v>
      </c>
      <c r="K190" s="1">
        <v>100</v>
      </c>
      <c r="L190" s="1">
        <v>100</v>
      </c>
    </row>
    <row r="191" spans="1:12" x14ac:dyDescent="0.15">
      <c r="A191" s="1" t="s">
        <v>650</v>
      </c>
      <c r="B191" s="3">
        <v>1620</v>
      </c>
      <c r="C191" s="1" t="s">
        <v>650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3">
        <v>1</v>
      </c>
      <c r="J191" s="1">
        <v>1</v>
      </c>
      <c r="K191" s="1">
        <v>100</v>
      </c>
      <c r="L191" s="1">
        <v>100</v>
      </c>
    </row>
    <row r="192" spans="1:12" x14ac:dyDescent="0.15">
      <c r="A192" s="1" t="s">
        <v>376</v>
      </c>
      <c r="B192" s="3">
        <v>1650</v>
      </c>
      <c r="C192" s="1" t="s">
        <v>376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3">
        <v>1</v>
      </c>
      <c r="J192" s="1">
        <v>1</v>
      </c>
      <c r="K192" s="1">
        <v>100</v>
      </c>
      <c r="L192" s="1">
        <v>100</v>
      </c>
    </row>
    <row r="193" spans="1:12" x14ac:dyDescent="0.15">
      <c r="A193" s="1" t="s">
        <v>374</v>
      </c>
      <c r="B193" s="3">
        <v>1651</v>
      </c>
      <c r="C193" s="1" t="s">
        <v>374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3">
        <v>1</v>
      </c>
      <c r="J193" s="1">
        <v>1</v>
      </c>
      <c r="K193" s="1">
        <v>100</v>
      </c>
      <c r="L193" s="1">
        <v>100</v>
      </c>
    </row>
    <row r="194" spans="1:12" x14ac:dyDescent="0.15">
      <c r="A194" s="1" t="s">
        <v>419</v>
      </c>
      <c r="B194" s="3">
        <v>1652</v>
      </c>
      <c r="C194" s="1" t="s">
        <v>419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3">
        <v>1</v>
      </c>
      <c r="J194" s="1">
        <v>1</v>
      </c>
      <c r="K194" s="1">
        <v>100</v>
      </c>
      <c r="L194" s="1">
        <v>100</v>
      </c>
    </row>
    <row r="195" spans="1:12" x14ac:dyDescent="0.15">
      <c r="A195" s="1" t="s">
        <v>420</v>
      </c>
      <c r="B195" s="3">
        <v>1653</v>
      </c>
      <c r="C195" s="1" t="s">
        <v>420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3">
        <v>1</v>
      </c>
      <c r="J195" s="1">
        <v>1</v>
      </c>
      <c r="K195" s="1">
        <v>100</v>
      </c>
      <c r="L195" s="1">
        <v>100</v>
      </c>
    </row>
    <row r="196" spans="1:12" x14ac:dyDescent="0.15">
      <c r="A196" s="1" t="s">
        <v>378</v>
      </c>
      <c r="B196" s="3">
        <v>1654</v>
      </c>
      <c r="C196" s="1" t="s">
        <v>378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3">
        <v>1</v>
      </c>
      <c r="J196" s="1">
        <v>1</v>
      </c>
      <c r="K196" s="1">
        <v>100</v>
      </c>
      <c r="L196" s="1">
        <v>100</v>
      </c>
    </row>
    <row r="197" spans="1:12" x14ac:dyDescent="0.15">
      <c r="A197" s="1" t="s">
        <v>421</v>
      </c>
      <c r="B197" s="3">
        <v>1655</v>
      </c>
      <c r="C197" s="1" t="s">
        <v>421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3">
        <v>1</v>
      </c>
      <c r="J197" s="1">
        <v>1</v>
      </c>
      <c r="K197" s="1">
        <v>100</v>
      </c>
      <c r="L197" s="1">
        <v>100</v>
      </c>
    </row>
    <row r="198" spans="1:12" x14ac:dyDescent="0.15">
      <c r="A198" s="1" t="s">
        <v>717</v>
      </c>
      <c r="B198" s="3">
        <v>1656</v>
      </c>
      <c r="C198" s="1" t="s">
        <v>719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3">
        <v>1</v>
      </c>
      <c r="J198" s="1">
        <v>1</v>
      </c>
      <c r="K198" s="1">
        <v>100</v>
      </c>
      <c r="L198" s="1">
        <v>100</v>
      </c>
    </row>
    <row r="199" spans="1:12" x14ac:dyDescent="0.15">
      <c r="A199" s="1" t="s">
        <v>380</v>
      </c>
      <c r="B199" s="3">
        <v>1657</v>
      </c>
      <c r="C199" s="1" t="s">
        <v>380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3">
        <v>1</v>
      </c>
      <c r="J199" s="1">
        <v>1</v>
      </c>
      <c r="K199" s="1">
        <v>100</v>
      </c>
      <c r="L199" s="1">
        <v>100</v>
      </c>
    </row>
    <row r="200" spans="1:12" x14ac:dyDescent="0.15">
      <c r="A200" s="1" t="s">
        <v>422</v>
      </c>
      <c r="B200" s="3">
        <v>1658</v>
      </c>
      <c r="C200" s="1" t="s">
        <v>422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3">
        <v>1</v>
      </c>
      <c r="J200" s="1">
        <v>1</v>
      </c>
      <c r="K200" s="1">
        <v>100</v>
      </c>
      <c r="L200" s="1">
        <v>100</v>
      </c>
    </row>
    <row r="201" spans="1:12" x14ac:dyDescent="0.15">
      <c r="A201" s="1" t="s">
        <v>423</v>
      </c>
      <c r="B201" s="3">
        <v>1659</v>
      </c>
      <c r="C201" s="1" t="s">
        <v>423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3">
        <v>1</v>
      </c>
      <c r="J201" s="1">
        <v>1</v>
      </c>
      <c r="K201" s="1">
        <v>100</v>
      </c>
      <c r="L201" s="1">
        <v>100</v>
      </c>
    </row>
    <row r="202" spans="1:12" x14ac:dyDescent="0.15">
      <c r="A202" s="1" t="s">
        <v>424</v>
      </c>
      <c r="B202" s="3">
        <v>1660</v>
      </c>
      <c r="C202" s="1" t="s">
        <v>424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3">
        <v>1</v>
      </c>
      <c r="J202" s="1">
        <v>1</v>
      </c>
      <c r="K202" s="1">
        <v>100</v>
      </c>
      <c r="L202" s="1">
        <v>100</v>
      </c>
    </row>
    <row r="203" spans="1:12" x14ac:dyDescent="0.15">
      <c r="A203" s="1" t="s">
        <v>425</v>
      </c>
      <c r="B203" s="3">
        <v>1661</v>
      </c>
      <c r="C203" s="1" t="s">
        <v>425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3">
        <v>1</v>
      </c>
      <c r="J203" s="1">
        <v>1</v>
      </c>
      <c r="K203" s="1">
        <v>100</v>
      </c>
      <c r="L203" s="1">
        <v>100</v>
      </c>
    </row>
    <row r="204" spans="1:12" x14ac:dyDescent="0.15">
      <c r="A204" s="1" t="s">
        <v>426</v>
      </c>
      <c r="B204" s="3">
        <v>1662</v>
      </c>
      <c r="C204" s="1" t="s">
        <v>426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3">
        <v>1</v>
      </c>
      <c r="J204" s="1">
        <v>1</v>
      </c>
      <c r="K204" s="1">
        <v>100</v>
      </c>
      <c r="L204" s="1">
        <v>100</v>
      </c>
    </row>
    <row r="205" spans="1:12" x14ac:dyDescent="0.15">
      <c r="A205" s="1" t="s">
        <v>427</v>
      </c>
      <c r="B205" s="3">
        <v>1663</v>
      </c>
      <c r="C205" s="1" t="s">
        <v>427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3">
        <v>1</v>
      </c>
      <c r="J205" s="1">
        <v>1</v>
      </c>
      <c r="K205" s="1">
        <v>100</v>
      </c>
      <c r="L205" s="1">
        <v>100</v>
      </c>
    </row>
    <row r="206" spans="1:12" x14ac:dyDescent="0.15">
      <c r="A206" s="1" t="s">
        <v>428</v>
      </c>
      <c r="B206" s="3">
        <v>1664</v>
      </c>
      <c r="C206" s="1" t="s">
        <v>428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3">
        <v>1</v>
      </c>
      <c r="J206" s="1">
        <v>1</v>
      </c>
      <c r="K206" s="1">
        <v>100</v>
      </c>
      <c r="L206" s="1">
        <v>100</v>
      </c>
    </row>
    <row r="207" spans="1:12" x14ac:dyDescent="0.15">
      <c r="A207" s="1" t="s">
        <v>415</v>
      </c>
      <c r="B207" s="3">
        <v>1665</v>
      </c>
      <c r="C207" s="1" t="s">
        <v>415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3">
        <v>1</v>
      </c>
      <c r="J207" s="1">
        <v>1</v>
      </c>
      <c r="K207" s="1">
        <v>100</v>
      </c>
      <c r="L207" s="1">
        <v>100</v>
      </c>
    </row>
    <row r="208" spans="1:12" x14ac:dyDescent="0.15">
      <c r="A208" s="1" t="s">
        <v>651</v>
      </c>
      <c r="B208" s="3">
        <v>1666</v>
      </c>
      <c r="C208" s="1" t="s">
        <v>651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3">
        <v>1</v>
      </c>
      <c r="J208" s="1">
        <v>1</v>
      </c>
      <c r="K208" s="1">
        <v>100</v>
      </c>
      <c r="L208" s="1">
        <v>100</v>
      </c>
    </row>
    <row r="209" spans="1:17" x14ac:dyDescent="0.15">
      <c r="A209" s="1" t="s">
        <v>452</v>
      </c>
      <c r="B209" s="3">
        <v>1700</v>
      </c>
      <c r="C209" s="1" t="s">
        <v>452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3">
        <v>1</v>
      </c>
      <c r="J209" s="1">
        <v>1</v>
      </c>
      <c r="K209" s="1">
        <v>100</v>
      </c>
      <c r="L209" s="1">
        <v>100</v>
      </c>
    </row>
    <row r="210" spans="1:17" x14ac:dyDescent="0.15">
      <c r="A210" s="1" t="s">
        <v>449</v>
      </c>
      <c r="B210" s="3">
        <v>1701</v>
      </c>
      <c r="C210" s="1" t="s">
        <v>449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3">
        <v>1</v>
      </c>
      <c r="J210" s="1">
        <v>1</v>
      </c>
      <c r="K210" s="1">
        <v>100</v>
      </c>
      <c r="L210" s="1">
        <v>100</v>
      </c>
    </row>
    <row r="211" spans="1:17" x14ac:dyDescent="0.15">
      <c r="A211" s="1" t="s">
        <v>450</v>
      </c>
      <c r="B211" s="3">
        <v>1702</v>
      </c>
      <c r="C211" s="1" t="s">
        <v>450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3">
        <v>1</v>
      </c>
      <c r="J211" s="1">
        <v>1</v>
      </c>
      <c r="K211" s="1">
        <v>100</v>
      </c>
      <c r="L211" s="1">
        <v>100</v>
      </c>
    </row>
    <row r="212" spans="1:17" x14ac:dyDescent="0.15">
      <c r="A212" s="1" t="s">
        <v>451</v>
      </c>
      <c r="B212" s="3">
        <v>1703</v>
      </c>
      <c r="C212" s="1" t="s">
        <v>451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3">
        <v>1</v>
      </c>
      <c r="J212" s="1">
        <v>1</v>
      </c>
      <c r="K212" s="1">
        <v>100</v>
      </c>
      <c r="L212" s="1">
        <v>100</v>
      </c>
    </row>
    <row r="213" spans="1:17" x14ac:dyDescent="0.15">
      <c r="A213" s="1" t="s">
        <v>454</v>
      </c>
      <c r="B213" s="3">
        <v>1704</v>
      </c>
      <c r="C213" s="1" t="s">
        <v>454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3">
        <v>1</v>
      </c>
      <c r="J213" s="1">
        <v>1</v>
      </c>
      <c r="K213" s="1">
        <v>100</v>
      </c>
      <c r="L213" s="1">
        <v>100</v>
      </c>
    </row>
    <row r="214" spans="1:17" x14ac:dyDescent="0.15">
      <c r="A214" s="1" t="s">
        <v>458</v>
      </c>
      <c r="B214" s="3">
        <v>1705</v>
      </c>
      <c r="C214" s="1" t="s">
        <v>458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3">
        <v>1</v>
      </c>
      <c r="J214" s="1">
        <v>1</v>
      </c>
      <c r="K214" s="1">
        <v>100</v>
      </c>
      <c r="L214" s="1">
        <v>100</v>
      </c>
    </row>
    <row r="215" spans="1:17" x14ac:dyDescent="0.15">
      <c r="A215" s="1" t="s">
        <v>457</v>
      </c>
      <c r="B215" s="3">
        <v>1706</v>
      </c>
      <c r="C215" s="1" t="s">
        <v>457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3">
        <v>1</v>
      </c>
      <c r="J215" s="1">
        <v>1</v>
      </c>
      <c r="K215" s="1">
        <v>100</v>
      </c>
      <c r="L215" s="1">
        <v>100</v>
      </c>
    </row>
    <row r="216" spans="1:17" x14ac:dyDescent="0.15">
      <c r="A216" s="1" t="s">
        <v>456</v>
      </c>
      <c r="B216" s="3">
        <v>1707</v>
      </c>
      <c r="C216" s="1" t="s">
        <v>456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3">
        <v>1</v>
      </c>
      <c r="J216" s="1">
        <v>1</v>
      </c>
      <c r="K216" s="1">
        <v>100</v>
      </c>
      <c r="L216" s="1">
        <v>100</v>
      </c>
    </row>
    <row r="217" spans="1:17" x14ac:dyDescent="0.15">
      <c r="A217" s="1" t="s">
        <v>460</v>
      </c>
      <c r="B217" s="3">
        <v>1708</v>
      </c>
      <c r="C217" s="1" t="s">
        <v>460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3">
        <v>1</v>
      </c>
      <c r="J217" s="1">
        <v>1</v>
      </c>
      <c r="K217" s="1">
        <v>100</v>
      </c>
      <c r="L217" s="1">
        <v>100</v>
      </c>
    </row>
    <row r="218" spans="1:17" x14ac:dyDescent="0.15">
      <c r="A218" s="1" t="s">
        <v>455</v>
      </c>
      <c r="B218" s="3">
        <v>1709</v>
      </c>
      <c r="C218" s="1" t="s">
        <v>455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3">
        <v>1</v>
      </c>
      <c r="J218" s="1">
        <v>1</v>
      </c>
      <c r="K218" s="1">
        <v>100</v>
      </c>
      <c r="L218" s="1">
        <v>100</v>
      </c>
    </row>
    <row r="219" spans="1:17" x14ac:dyDescent="0.15">
      <c r="A219" s="1" t="s">
        <v>652</v>
      </c>
      <c r="B219" s="3">
        <v>1710</v>
      </c>
      <c r="C219" s="1" t="s">
        <v>652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3">
        <v>1</v>
      </c>
      <c r="J219" s="1">
        <v>1</v>
      </c>
      <c r="K219" s="1">
        <v>100</v>
      </c>
      <c r="L219" s="1">
        <v>100</v>
      </c>
    </row>
    <row r="220" spans="1:17" x14ac:dyDescent="0.15">
      <c r="A220" s="1" t="s">
        <v>27</v>
      </c>
      <c r="B220" s="1">
        <v>2000</v>
      </c>
      <c r="C220" s="1" t="s">
        <v>34</v>
      </c>
      <c r="D220" s="1">
        <v>6</v>
      </c>
      <c r="E220" s="1">
        <v>1</v>
      </c>
      <c r="F220" s="1">
        <v>0</v>
      </c>
      <c r="G220" s="1">
        <v>0</v>
      </c>
      <c r="H220" s="1">
        <v>0</v>
      </c>
      <c r="I220" s="1">
        <v>1</v>
      </c>
      <c r="J220" s="1">
        <v>1</v>
      </c>
      <c r="K220" s="1">
        <v>100</v>
      </c>
      <c r="L220" s="1">
        <v>100</v>
      </c>
      <c r="Q220" s="1" t="s">
        <v>30</v>
      </c>
    </row>
    <row r="221" spans="1:17" x14ac:dyDescent="0.15">
      <c r="A221" s="1" t="s">
        <v>28</v>
      </c>
      <c r="B221" s="1">
        <v>2001</v>
      </c>
      <c r="C221" s="1" t="s">
        <v>35</v>
      </c>
      <c r="D221" s="1">
        <v>6</v>
      </c>
      <c r="E221" s="1">
        <v>1</v>
      </c>
      <c r="F221" s="1">
        <v>0</v>
      </c>
      <c r="G221" s="1">
        <v>1</v>
      </c>
      <c r="H221" s="1">
        <v>0</v>
      </c>
      <c r="I221" s="1">
        <v>1</v>
      </c>
      <c r="J221" s="1">
        <v>1</v>
      </c>
      <c r="K221" s="1">
        <v>100</v>
      </c>
      <c r="L221" s="1">
        <v>100</v>
      </c>
      <c r="Q221" s="1" t="s">
        <v>31</v>
      </c>
    </row>
    <row r="222" spans="1:17" x14ac:dyDescent="0.15">
      <c r="A222" s="1" t="s">
        <v>352</v>
      </c>
      <c r="B222" s="1">
        <v>2002</v>
      </c>
      <c r="C222" s="1" t="s">
        <v>351</v>
      </c>
      <c r="D222" s="1">
        <v>6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1</v>
      </c>
      <c r="K222" s="1">
        <v>100</v>
      </c>
      <c r="L222" s="1">
        <v>100</v>
      </c>
      <c r="Q222" s="1" t="s">
        <v>32</v>
      </c>
    </row>
    <row r="223" spans="1:17" x14ac:dyDescent="0.15">
      <c r="A223" s="1" t="s">
        <v>29</v>
      </c>
      <c r="B223" s="1">
        <v>2003</v>
      </c>
      <c r="C223" s="1" t="s">
        <v>36</v>
      </c>
      <c r="D223" s="1">
        <v>6</v>
      </c>
      <c r="E223" s="1">
        <v>1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100</v>
      </c>
      <c r="L223" s="1">
        <v>100</v>
      </c>
      <c r="Q223" s="1" t="s">
        <v>33</v>
      </c>
    </row>
    <row r="224" spans="1:17" x14ac:dyDescent="0.15">
      <c r="A224" s="1" t="s">
        <v>175</v>
      </c>
      <c r="B224" s="1">
        <v>2004</v>
      </c>
      <c r="C224" s="1" t="s">
        <v>175</v>
      </c>
      <c r="D224" s="1">
        <v>6</v>
      </c>
      <c r="E224" s="1">
        <v>1</v>
      </c>
      <c r="F224" s="1">
        <v>0</v>
      </c>
      <c r="G224" s="1">
        <v>0</v>
      </c>
      <c r="H224" s="1">
        <v>0</v>
      </c>
      <c r="I224" s="1">
        <v>1</v>
      </c>
      <c r="J224" s="1">
        <v>1</v>
      </c>
      <c r="K224" s="1">
        <v>100</v>
      </c>
      <c r="L224" s="1">
        <v>100</v>
      </c>
      <c r="Q224" s="1" t="s">
        <v>178</v>
      </c>
    </row>
    <row r="225" spans="1:17" x14ac:dyDescent="0.15">
      <c r="A225" s="1" t="s">
        <v>87</v>
      </c>
      <c r="B225" s="1">
        <v>2100</v>
      </c>
      <c r="C225" s="1" t="s">
        <v>87</v>
      </c>
      <c r="D225" s="1">
        <v>10</v>
      </c>
      <c r="E225" s="1">
        <v>2100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100</v>
      </c>
      <c r="L225" s="1">
        <v>100</v>
      </c>
      <c r="Q225" s="1" t="s">
        <v>110</v>
      </c>
    </row>
    <row r="226" spans="1:17" x14ac:dyDescent="0.15">
      <c r="A226" s="1" t="s">
        <v>88</v>
      </c>
      <c r="B226" s="1">
        <v>2101</v>
      </c>
      <c r="C226" s="1" t="s">
        <v>88</v>
      </c>
      <c r="D226" s="1">
        <v>10</v>
      </c>
      <c r="E226" s="1">
        <v>2101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100</v>
      </c>
      <c r="L226" s="1">
        <v>100</v>
      </c>
      <c r="Q226" s="1" t="s">
        <v>111</v>
      </c>
    </row>
    <row r="227" spans="1:17" x14ac:dyDescent="0.15">
      <c r="A227" s="1" t="s">
        <v>109</v>
      </c>
      <c r="B227" s="1">
        <v>2102</v>
      </c>
      <c r="C227" s="1" t="s">
        <v>107</v>
      </c>
      <c r="D227" s="1">
        <v>10</v>
      </c>
      <c r="E227" s="1">
        <v>2102</v>
      </c>
      <c r="F227" s="1">
        <v>0</v>
      </c>
      <c r="G227" s="1">
        <v>0</v>
      </c>
      <c r="H227" s="1">
        <v>0</v>
      </c>
      <c r="I227" s="1">
        <v>1</v>
      </c>
      <c r="J227" s="1">
        <v>1</v>
      </c>
      <c r="K227" s="1">
        <v>100</v>
      </c>
      <c r="L227" s="1">
        <v>100</v>
      </c>
      <c r="Q227" s="1" t="s">
        <v>112</v>
      </c>
    </row>
    <row r="228" spans="1:17" x14ac:dyDescent="0.15">
      <c r="A228" s="1" t="s">
        <v>108</v>
      </c>
      <c r="B228" s="1">
        <v>2103</v>
      </c>
      <c r="C228" s="1" t="s">
        <v>108</v>
      </c>
      <c r="D228" s="1">
        <v>10</v>
      </c>
      <c r="E228" s="1">
        <v>2103</v>
      </c>
      <c r="F228" s="1">
        <v>0</v>
      </c>
      <c r="G228" s="1">
        <v>0</v>
      </c>
      <c r="H228" s="1">
        <v>0</v>
      </c>
      <c r="I228" s="1">
        <v>1</v>
      </c>
      <c r="J228" s="1">
        <v>1</v>
      </c>
      <c r="K228" s="1">
        <v>100</v>
      </c>
      <c r="L228" s="1">
        <v>100</v>
      </c>
      <c r="Q228" s="1" t="s">
        <v>113</v>
      </c>
    </row>
    <row r="229" spans="1:17" x14ac:dyDescent="0.15">
      <c r="A229" s="1" t="s">
        <v>89</v>
      </c>
      <c r="B229" s="1">
        <v>2104</v>
      </c>
      <c r="C229" s="1" t="s">
        <v>89</v>
      </c>
      <c r="D229" s="1">
        <v>10</v>
      </c>
      <c r="E229" s="1">
        <v>2104</v>
      </c>
      <c r="F229" s="1">
        <v>0</v>
      </c>
      <c r="G229" s="1">
        <v>0</v>
      </c>
      <c r="H229" s="1">
        <v>0</v>
      </c>
      <c r="I229" s="1">
        <v>1</v>
      </c>
      <c r="J229" s="1">
        <v>1</v>
      </c>
      <c r="K229" s="1">
        <v>100</v>
      </c>
      <c r="L229" s="1">
        <v>100</v>
      </c>
      <c r="Q229" s="1" t="s">
        <v>114</v>
      </c>
    </row>
    <row r="230" spans="1:17" x14ac:dyDescent="0.15">
      <c r="A230" s="1" t="s">
        <v>90</v>
      </c>
      <c r="B230" s="1">
        <v>2105</v>
      </c>
      <c r="C230" s="1" t="s">
        <v>90</v>
      </c>
      <c r="D230" s="1">
        <v>10</v>
      </c>
      <c r="E230" s="1">
        <v>2105</v>
      </c>
      <c r="F230" s="1">
        <v>0</v>
      </c>
      <c r="G230" s="1">
        <v>0</v>
      </c>
      <c r="H230" s="1">
        <v>0</v>
      </c>
      <c r="I230" s="1">
        <v>1</v>
      </c>
      <c r="J230" s="1">
        <v>1</v>
      </c>
      <c r="K230" s="1">
        <v>100</v>
      </c>
      <c r="L230" s="1">
        <v>100</v>
      </c>
      <c r="Q230" s="1" t="s">
        <v>115</v>
      </c>
    </row>
    <row r="231" spans="1:17" x14ac:dyDescent="0.15">
      <c r="A231" s="1" t="s">
        <v>91</v>
      </c>
      <c r="B231" s="1">
        <v>2106</v>
      </c>
      <c r="C231" s="1" t="s">
        <v>91</v>
      </c>
      <c r="D231" s="1">
        <v>10</v>
      </c>
      <c r="E231" s="1">
        <v>2106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100</v>
      </c>
      <c r="L231" s="1">
        <v>100</v>
      </c>
      <c r="Q231" s="1" t="s">
        <v>116</v>
      </c>
    </row>
    <row r="232" spans="1:17" x14ac:dyDescent="0.15">
      <c r="A232" s="1" t="s">
        <v>92</v>
      </c>
      <c r="B232" s="1">
        <v>2107</v>
      </c>
      <c r="C232" s="1" t="s">
        <v>92</v>
      </c>
      <c r="D232" s="1">
        <v>10</v>
      </c>
      <c r="E232" s="1">
        <v>2107</v>
      </c>
      <c r="F232" s="1">
        <v>0</v>
      </c>
      <c r="G232" s="1">
        <v>0</v>
      </c>
      <c r="H232" s="1">
        <v>0</v>
      </c>
      <c r="I232" s="1">
        <v>1</v>
      </c>
      <c r="J232" s="1">
        <v>1</v>
      </c>
      <c r="K232" s="1">
        <v>100</v>
      </c>
      <c r="L232" s="1">
        <v>100</v>
      </c>
      <c r="Q232" s="1" t="s">
        <v>117</v>
      </c>
    </row>
    <row r="233" spans="1:17" x14ac:dyDescent="0.15">
      <c r="A233" s="1" t="s">
        <v>97</v>
      </c>
      <c r="B233" s="1">
        <v>2108</v>
      </c>
      <c r="C233" s="1" t="s">
        <v>100</v>
      </c>
      <c r="D233" s="1">
        <v>10</v>
      </c>
      <c r="E233" s="1">
        <v>2108</v>
      </c>
      <c r="F233" s="1">
        <v>0</v>
      </c>
      <c r="G233" s="1">
        <v>0</v>
      </c>
      <c r="H233" s="1">
        <v>0</v>
      </c>
      <c r="I233" s="1">
        <v>1</v>
      </c>
      <c r="J233" s="1">
        <v>1</v>
      </c>
      <c r="K233" s="1">
        <v>100</v>
      </c>
      <c r="L233" s="1">
        <v>100</v>
      </c>
      <c r="Q233" s="1" t="s">
        <v>118</v>
      </c>
    </row>
    <row r="234" spans="1:17" x14ac:dyDescent="0.15">
      <c r="A234" s="1" t="s">
        <v>98</v>
      </c>
      <c r="B234" s="1">
        <v>2109</v>
      </c>
      <c r="C234" s="1" t="s">
        <v>101</v>
      </c>
      <c r="D234" s="1">
        <v>10</v>
      </c>
      <c r="E234" s="1">
        <v>2109</v>
      </c>
      <c r="F234" s="1">
        <v>0</v>
      </c>
      <c r="G234" s="1">
        <v>0</v>
      </c>
      <c r="H234" s="1">
        <v>0</v>
      </c>
      <c r="I234" s="1">
        <v>1</v>
      </c>
      <c r="J234" s="1">
        <v>1</v>
      </c>
      <c r="K234" s="1">
        <v>100</v>
      </c>
      <c r="L234" s="1">
        <v>100</v>
      </c>
      <c r="Q234" s="1" t="s">
        <v>119</v>
      </c>
    </row>
    <row r="235" spans="1:17" x14ac:dyDescent="0.15">
      <c r="A235" s="1" t="s">
        <v>99</v>
      </c>
      <c r="B235" s="1">
        <v>2110</v>
      </c>
      <c r="C235" s="1" t="s">
        <v>102</v>
      </c>
      <c r="D235" s="1">
        <v>10</v>
      </c>
      <c r="E235" s="1">
        <v>2110</v>
      </c>
      <c r="F235" s="1">
        <v>0</v>
      </c>
      <c r="G235" s="1">
        <v>0</v>
      </c>
      <c r="H235" s="1">
        <v>0</v>
      </c>
      <c r="I235" s="1">
        <v>1</v>
      </c>
      <c r="J235" s="1">
        <v>1</v>
      </c>
      <c r="K235" s="1">
        <v>100</v>
      </c>
      <c r="L235" s="1">
        <v>100</v>
      </c>
      <c r="Q235" s="1" t="s">
        <v>120</v>
      </c>
    </row>
    <row r="236" spans="1:17" x14ac:dyDescent="0.15">
      <c r="A236" s="1" t="s">
        <v>95</v>
      </c>
      <c r="B236" s="1">
        <v>2111</v>
      </c>
      <c r="C236" s="1" t="s">
        <v>103</v>
      </c>
      <c r="D236" s="1">
        <v>10</v>
      </c>
      <c r="E236" s="1">
        <v>2111</v>
      </c>
      <c r="F236" s="1">
        <v>0</v>
      </c>
      <c r="G236" s="1">
        <v>0</v>
      </c>
      <c r="H236" s="1">
        <v>0</v>
      </c>
      <c r="I236" s="1">
        <v>1</v>
      </c>
      <c r="J236" s="1">
        <v>1</v>
      </c>
      <c r="K236" s="1">
        <v>100</v>
      </c>
      <c r="L236" s="1">
        <v>100</v>
      </c>
      <c r="Q236" s="1" t="s">
        <v>121</v>
      </c>
    </row>
    <row r="237" spans="1:17" x14ac:dyDescent="0.15">
      <c r="A237" s="1" t="s">
        <v>96</v>
      </c>
      <c r="B237" s="1">
        <v>2112</v>
      </c>
      <c r="C237" s="1" t="s">
        <v>104</v>
      </c>
      <c r="D237" s="1">
        <v>10</v>
      </c>
      <c r="E237" s="1">
        <v>2112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100</v>
      </c>
      <c r="L237" s="1">
        <v>100</v>
      </c>
      <c r="Q237" s="1" t="s">
        <v>122</v>
      </c>
    </row>
    <row r="238" spans="1:17" x14ac:dyDescent="0.15">
      <c r="A238" s="1" t="s">
        <v>105</v>
      </c>
      <c r="B238" s="1">
        <v>2113</v>
      </c>
      <c r="C238" s="1" t="s">
        <v>106</v>
      </c>
      <c r="D238" s="1">
        <v>10</v>
      </c>
      <c r="E238" s="1">
        <v>2113</v>
      </c>
      <c r="F238" s="1">
        <v>0</v>
      </c>
      <c r="G238" s="1">
        <v>0</v>
      </c>
      <c r="H238" s="1">
        <v>0</v>
      </c>
      <c r="I238" s="1">
        <v>1</v>
      </c>
      <c r="J238" s="1">
        <v>1</v>
      </c>
      <c r="K238" s="1">
        <v>100</v>
      </c>
      <c r="L238" s="1">
        <v>100</v>
      </c>
      <c r="Q238" s="1" t="s">
        <v>123</v>
      </c>
    </row>
    <row r="239" spans="1:17" ht="12.75" customHeight="1" x14ac:dyDescent="0.15">
      <c r="A239" s="1" t="s">
        <v>93</v>
      </c>
      <c r="B239" s="1">
        <v>2200</v>
      </c>
      <c r="C239" s="1" t="s">
        <v>93</v>
      </c>
      <c r="D239" s="1">
        <v>10</v>
      </c>
      <c r="E239" s="1">
        <v>2200</v>
      </c>
      <c r="F239" s="1">
        <v>0</v>
      </c>
      <c r="G239" s="1">
        <v>0</v>
      </c>
      <c r="H239" s="1">
        <v>0</v>
      </c>
      <c r="I239" s="1">
        <v>1</v>
      </c>
      <c r="J239" s="1">
        <v>1</v>
      </c>
      <c r="K239" s="1">
        <v>100</v>
      </c>
      <c r="L239" s="1">
        <v>100</v>
      </c>
      <c r="Q239" s="1" t="s">
        <v>124</v>
      </c>
    </row>
    <row r="240" spans="1:17" x14ac:dyDescent="0.15">
      <c r="A240" s="1" t="s">
        <v>275</v>
      </c>
      <c r="B240" s="1">
        <v>2114</v>
      </c>
      <c r="C240" s="1" t="s">
        <v>274</v>
      </c>
      <c r="D240" s="1">
        <v>10</v>
      </c>
      <c r="E240" s="1">
        <v>2114</v>
      </c>
      <c r="F240" s="1">
        <v>0</v>
      </c>
      <c r="G240" s="1">
        <v>0</v>
      </c>
      <c r="H240" s="1">
        <v>0</v>
      </c>
      <c r="I240" s="1">
        <v>1</v>
      </c>
      <c r="J240" s="1">
        <v>1</v>
      </c>
      <c r="K240" s="1">
        <v>100</v>
      </c>
      <c r="L240" s="1">
        <v>100</v>
      </c>
      <c r="Q240" s="1" t="s">
        <v>276</v>
      </c>
    </row>
    <row r="241" spans="1:17" x14ac:dyDescent="0.15">
      <c r="A241" s="1" t="s">
        <v>94</v>
      </c>
      <c r="B241" s="1">
        <v>2201</v>
      </c>
      <c r="C241" s="1" t="s">
        <v>94</v>
      </c>
      <c r="D241" s="1">
        <v>10</v>
      </c>
      <c r="E241" s="1">
        <v>2201</v>
      </c>
      <c r="F241" s="1">
        <v>0</v>
      </c>
      <c r="G241" s="1">
        <v>0</v>
      </c>
      <c r="H241" s="1">
        <v>0</v>
      </c>
      <c r="I241" s="1">
        <v>1</v>
      </c>
      <c r="J241" s="1">
        <v>1</v>
      </c>
      <c r="K241" s="1">
        <v>100</v>
      </c>
      <c r="L241" s="1">
        <v>100</v>
      </c>
      <c r="Q241" s="1" t="s">
        <v>125</v>
      </c>
    </row>
    <row r="242" spans="1:17" ht="15" x14ac:dyDescent="0.2">
      <c r="A242" s="10" t="s">
        <v>211</v>
      </c>
      <c r="B242" s="1">
        <v>4000</v>
      </c>
      <c r="C242" s="6" t="s">
        <v>136</v>
      </c>
      <c r="D242" s="1">
        <v>3</v>
      </c>
      <c r="E242" s="7">
        <v>1000</v>
      </c>
      <c r="F242" s="1">
        <v>1</v>
      </c>
      <c r="G242" s="1">
        <v>0</v>
      </c>
      <c r="H242" s="1">
        <v>0</v>
      </c>
      <c r="I242" s="1">
        <v>9</v>
      </c>
      <c r="J242" s="1">
        <v>1</v>
      </c>
      <c r="K242" s="1">
        <v>100</v>
      </c>
      <c r="L242" s="1">
        <v>100</v>
      </c>
      <c r="Q242" s="6" t="s">
        <v>136</v>
      </c>
    </row>
    <row r="243" spans="1:17" x14ac:dyDescent="0.15">
      <c r="A243" s="7" t="s">
        <v>138</v>
      </c>
      <c r="B243" s="1">
        <v>4003</v>
      </c>
      <c r="C243" s="7" t="s">
        <v>138</v>
      </c>
      <c r="D243" s="1">
        <v>3</v>
      </c>
      <c r="E243" s="7">
        <v>1003</v>
      </c>
      <c r="F243" s="1">
        <v>1</v>
      </c>
      <c r="G243" s="1">
        <v>0</v>
      </c>
      <c r="H243" s="1">
        <v>0</v>
      </c>
      <c r="I243" s="1">
        <v>9</v>
      </c>
      <c r="J243" s="1">
        <v>1</v>
      </c>
      <c r="K243" s="1">
        <v>100</v>
      </c>
      <c r="L243" s="1">
        <v>100</v>
      </c>
      <c r="Q243" s="7" t="s">
        <v>138</v>
      </c>
    </row>
    <row r="244" spans="1:17" x14ac:dyDescent="0.15">
      <c r="A244" s="7" t="s">
        <v>137</v>
      </c>
      <c r="B244" s="1">
        <v>4004</v>
      </c>
      <c r="C244" s="7" t="s">
        <v>137</v>
      </c>
      <c r="D244" s="1">
        <v>3</v>
      </c>
      <c r="E244" s="7">
        <v>1004</v>
      </c>
      <c r="F244" s="1">
        <v>1</v>
      </c>
      <c r="G244" s="1">
        <v>0</v>
      </c>
      <c r="H244" s="1">
        <v>0</v>
      </c>
      <c r="I244" s="1">
        <v>9</v>
      </c>
      <c r="J244" s="1">
        <v>1</v>
      </c>
      <c r="K244" s="1">
        <v>100</v>
      </c>
      <c r="L244" s="1">
        <v>100</v>
      </c>
      <c r="Q244" s="7" t="s">
        <v>137</v>
      </c>
    </row>
    <row r="245" spans="1:17" x14ac:dyDescent="0.15">
      <c r="A245" s="7" t="s">
        <v>139</v>
      </c>
      <c r="B245" s="1">
        <v>4006</v>
      </c>
      <c r="C245" s="7" t="s">
        <v>139</v>
      </c>
      <c r="D245" s="1">
        <v>3</v>
      </c>
      <c r="E245" s="7">
        <v>1006</v>
      </c>
      <c r="F245" s="1">
        <v>1</v>
      </c>
      <c r="G245" s="1">
        <v>0</v>
      </c>
      <c r="H245" s="1">
        <v>0</v>
      </c>
      <c r="I245" s="1">
        <v>9</v>
      </c>
      <c r="J245" s="1">
        <v>1</v>
      </c>
      <c r="K245" s="1">
        <v>100</v>
      </c>
      <c r="L245" s="1">
        <v>100</v>
      </c>
      <c r="Q245" s="7" t="s">
        <v>139</v>
      </c>
    </row>
    <row r="246" spans="1:17" x14ac:dyDescent="0.15">
      <c r="A246" s="7" t="s">
        <v>173</v>
      </c>
      <c r="B246" s="1">
        <v>4007</v>
      </c>
      <c r="C246" s="7" t="s">
        <v>174</v>
      </c>
      <c r="D246" s="1">
        <v>3</v>
      </c>
      <c r="E246" s="7">
        <v>1007</v>
      </c>
      <c r="F246" s="1">
        <v>1</v>
      </c>
      <c r="G246" s="1">
        <v>0</v>
      </c>
      <c r="H246" s="1">
        <v>0</v>
      </c>
      <c r="I246" s="1">
        <v>9</v>
      </c>
      <c r="J246" s="1">
        <v>1</v>
      </c>
      <c r="K246" s="1">
        <v>100</v>
      </c>
      <c r="L246" s="1">
        <v>100</v>
      </c>
      <c r="Q246" s="7" t="s">
        <v>140</v>
      </c>
    </row>
    <row r="247" spans="1:17" x14ac:dyDescent="0.15">
      <c r="A247" s="8" t="s">
        <v>141</v>
      </c>
      <c r="B247" s="1">
        <v>4008</v>
      </c>
      <c r="C247" s="8" t="s">
        <v>141</v>
      </c>
      <c r="D247" s="1">
        <v>3</v>
      </c>
      <c r="E247" s="7">
        <v>1008</v>
      </c>
      <c r="F247" s="1">
        <v>1</v>
      </c>
      <c r="G247" s="1">
        <v>0</v>
      </c>
      <c r="H247" s="1">
        <v>0</v>
      </c>
      <c r="I247" s="1">
        <v>9</v>
      </c>
      <c r="J247" s="1">
        <v>1</v>
      </c>
      <c r="K247" s="1">
        <v>100</v>
      </c>
      <c r="L247" s="1">
        <v>100</v>
      </c>
      <c r="Q247" s="8" t="s">
        <v>141</v>
      </c>
    </row>
    <row r="248" spans="1:17" x14ac:dyDescent="0.15">
      <c r="A248" s="7" t="s">
        <v>142</v>
      </c>
      <c r="B248" s="1">
        <v>4009</v>
      </c>
      <c r="C248" s="7" t="s">
        <v>142</v>
      </c>
      <c r="D248" s="1">
        <v>3</v>
      </c>
      <c r="E248" s="7">
        <v>1009</v>
      </c>
      <c r="F248" s="1">
        <v>1</v>
      </c>
      <c r="G248" s="1">
        <v>0</v>
      </c>
      <c r="H248" s="1">
        <v>0</v>
      </c>
      <c r="I248" s="1">
        <v>9</v>
      </c>
      <c r="J248" s="1">
        <v>1</v>
      </c>
      <c r="K248" s="1">
        <v>100</v>
      </c>
      <c r="L248" s="1">
        <v>100</v>
      </c>
      <c r="Q248" s="7" t="s">
        <v>142</v>
      </c>
    </row>
    <row r="249" spans="1:17" x14ac:dyDescent="0.15">
      <c r="A249" s="8" t="s">
        <v>143</v>
      </c>
      <c r="B249" s="1">
        <v>4010</v>
      </c>
      <c r="C249" s="8" t="s">
        <v>143</v>
      </c>
      <c r="D249" s="1">
        <v>3</v>
      </c>
      <c r="E249" s="7">
        <v>1010</v>
      </c>
      <c r="F249" s="1">
        <v>1</v>
      </c>
      <c r="G249" s="1">
        <v>0</v>
      </c>
      <c r="H249" s="1">
        <v>0</v>
      </c>
      <c r="I249" s="1">
        <v>9</v>
      </c>
      <c r="J249" s="1">
        <v>1</v>
      </c>
      <c r="K249" s="1">
        <v>100</v>
      </c>
      <c r="L249" s="1">
        <v>100</v>
      </c>
      <c r="Q249" s="8" t="s">
        <v>143</v>
      </c>
    </row>
    <row r="250" spans="1:17" x14ac:dyDescent="0.15">
      <c r="A250" s="7" t="s">
        <v>144</v>
      </c>
      <c r="B250" s="1">
        <v>4011</v>
      </c>
      <c r="C250" s="7" t="s">
        <v>144</v>
      </c>
      <c r="D250" s="1">
        <v>3</v>
      </c>
      <c r="E250" s="7">
        <v>1011</v>
      </c>
      <c r="F250" s="1">
        <v>1</v>
      </c>
      <c r="G250" s="1">
        <v>0</v>
      </c>
      <c r="H250" s="1">
        <v>0</v>
      </c>
      <c r="I250" s="1">
        <v>9</v>
      </c>
      <c r="J250" s="1">
        <v>1</v>
      </c>
      <c r="K250" s="1">
        <v>100</v>
      </c>
      <c r="L250" s="1">
        <v>100</v>
      </c>
      <c r="Q250" s="7" t="s">
        <v>144</v>
      </c>
    </row>
    <row r="251" spans="1:17" x14ac:dyDescent="0.15">
      <c r="A251" s="7" t="s">
        <v>145</v>
      </c>
      <c r="B251" s="1">
        <v>4012</v>
      </c>
      <c r="C251" s="7" t="s">
        <v>145</v>
      </c>
      <c r="D251" s="1">
        <v>3</v>
      </c>
      <c r="E251" s="7">
        <v>1012</v>
      </c>
      <c r="F251" s="1">
        <v>1</v>
      </c>
      <c r="G251" s="1">
        <v>0</v>
      </c>
      <c r="H251" s="1">
        <v>0</v>
      </c>
      <c r="I251" s="1">
        <v>9</v>
      </c>
      <c r="J251" s="1">
        <v>1</v>
      </c>
      <c r="K251" s="1">
        <v>100</v>
      </c>
      <c r="L251" s="1">
        <v>100</v>
      </c>
      <c r="Q251" s="7" t="s">
        <v>145</v>
      </c>
    </row>
    <row r="252" spans="1:17" x14ac:dyDescent="0.15">
      <c r="A252" s="7" t="s">
        <v>146</v>
      </c>
      <c r="B252" s="1">
        <v>4013</v>
      </c>
      <c r="C252" s="7" t="s">
        <v>146</v>
      </c>
      <c r="D252" s="1">
        <v>3</v>
      </c>
      <c r="E252" s="7">
        <v>1013</v>
      </c>
      <c r="F252" s="1">
        <v>1</v>
      </c>
      <c r="G252" s="1">
        <v>0</v>
      </c>
      <c r="H252" s="1">
        <v>0</v>
      </c>
      <c r="I252" s="1">
        <v>9</v>
      </c>
      <c r="J252" s="1">
        <v>1</v>
      </c>
      <c r="K252" s="1">
        <v>100</v>
      </c>
      <c r="L252" s="1">
        <v>100</v>
      </c>
      <c r="Q252" s="7" t="s">
        <v>146</v>
      </c>
    </row>
    <row r="253" spans="1:17" x14ac:dyDescent="0.15">
      <c r="A253" s="7" t="s">
        <v>147</v>
      </c>
      <c r="B253" s="1">
        <v>4014</v>
      </c>
      <c r="C253" s="7" t="s">
        <v>147</v>
      </c>
      <c r="D253" s="1">
        <v>3</v>
      </c>
      <c r="E253" s="7">
        <v>1014</v>
      </c>
      <c r="F253" s="1">
        <v>1</v>
      </c>
      <c r="G253" s="1">
        <v>0</v>
      </c>
      <c r="H253" s="1">
        <v>0</v>
      </c>
      <c r="I253" s="1">
        <v>9</v>
      </c>
      <c r="J253" s="1">
        <v>1</v>
      </c>
      <c r="K253" s="1">
        <v>100</v>
      </c>
      <c r="L253" s="1">
        <v>100</v>
      </c>
      <c r="Q253" s="7" t="s">
        <v>147</v>
      </c>
    </row>
    <row r="254" spans="1:17" x14ac:dyDescent="0.15">
      <c r="A254" s="7" t="s">
        <v>148</v>
      </c>
      <c r="B254" s="1">
        <v>4015</v>
      </c>
      <c r="C254" s="7" t="s">
        <v>148</v>
      </c>
      <c r="D254" s="1">
        <v>3</v>
      </c>
      <c r="E254" s="7">
        <v>1015</v>
      </c>
      <c r="F254" s="1">
        <v>1</v>
      </c>
      <c r="G254" s="1">
        <v>0</v>
      </c>
      <c r="H254" s="1">
        <v>0</v>
      </c>
      <c r="I254" s="1">
        <v>9</v>
      </c>
      <c r="J254" s="1">
        <v>1</v>
      </c>
      <c r="K254" s="1">
        <v>100</v>
      </c>
      <c r="L254" s="1">
        <v>100</v>
      </c>
      <c r="Q254" s="7" t="s">
        <v>148</v>
      </c>
    </row>
    <row r="255" spans="1:17" x14ac:dyDescent="0.15">
      <c r="A255" s="7" t="s">
        <v>149</v>
      </c>
      <c r="B255" s="1">
        <v>4016</v>
      </c>
      <c r="C255" s="7" t="s">
        <v>149</v>
      </c>
      <c r="D255" s="1">
        <v>3</v>
      </c>
      <c r="E255" s="7">
        <v>1016</v>
      </c>
      <c r="F255" s="1">
        <v>1</v>
      </c>
      <c r="G255" s="1">
        <v>0</v>
      </c>
      <c r="H255" s="1">
        <v>0</v>
      </c>
      <c r="I255" s="1">
        <v>9</v>
      </c>
      <c r="J255" s="1">
        <v>1</v>
      </c>
      <c r="K255" s="1">
        <v>100</v>
      </c>
      <c r="L255" s="1">
        <v>100</v>
      </c>
      <c r="Q255" s="7" t="s">
        <v>149</v>
      </c>
    </row>
    <row r="256" spans="1:17" x14ac:dyDescent="0.15">
      <c r="A256" s="7" t="s">
        <v>150</v>
      </c>
      <c r="B256" s="1">
        <v>4017</v>
      </c>
      <c r="C256" s="7" t="s">
        <v>150</v>
      </c>
      <c r="D256" s="1">
        <v>3</v>
      </c>
      <c r="E256" s="7">
        <v>1017</v>
      </c>
      <c r="F256" s="1">
        <v>1</v>
      </c>
      <c r="G256" s="1">
        <v>0</v>
      </c>
      <c r="H256" s="1">
        <v>0</v>
      </c>
      <c r="I256" s="1">
        <v>9</v>
      </c>
      <c r="J256" s="1">
        <v>1</v>
      </c>
      <c r="K256" s="1">
        <v>100</v>
      </c>
      <c r="L256" s="1">
        <v>100</v>
      </c>
      <c r="Q256" s="7" t="s">
        <v>150</v>
      </c>
    </row>
    <row r="257" spans="1:17" x14ac:dyDescent="0.15">
      <c r="A257" s="7" t="s">
        <v>151</v>
      </c>
      <c r="B257" s="1">
        <v>4018</v>
      </c>
      <c r="C257" s="7" t="s">
        <v>151</v>
      </c>
      <c r="D257" s="1">
        <v>3</v>
      </c>
      <c r="E257" s="7">
        <v>1018</v>
      </c>
      <c r="F257" s="1">
        <v>1</v>
      </c>
      <c r="G257" s="1">
        <v>0</v>
      </c>
      <c r="H257" s="1">
        <v>0</v>
      </c>
      <c r="I257" s="1">
        <v>9</v>
      </c>
      <c r="J257" s="1">
        <v>1</v>
      </c>
      <c r="K257" s="1">
        <v>100</v>
      </c>
      <c r="L257" s="1">
        <v>100</v>
      </c>
      <c r="Q257" s="7" t="s">
        <v>151</v>
      </c>
    </row>
    <row r="258" spans="1:17" x14ac:dyDescent="0.15">
      <c r="A258" s="8" t="s">
        <v>152</v>
      </c>
      <c r="B258" s="1">
        <v>4020</v>
      </c>
      <c r="C258" s="8" t="s">
        <v>152</v>
      </c>
      <c r="D258" s="1">
        <v>3</v>
      </c>
      <c r="E258" s="7">
        <v>1020</v>
      </c>
      <c r="F258" s="1">
        <v>1</v>
      </c>
      <c r="G258" s="1">
        <v>0</v>
      </c>
      <c r="H258" s="1">
        <v>0</v>
      </c>
      <c r="I258" s="1">
        <v>9</v>
      </c>
      <c r="J258" s="1">
        <v>1</v>
      </c>
      <c r="K258" s="1">
        <v>100</v>
      </c>
      <c r="L258" s="1">
        <v>100</v>
      </c>
      <c r="Q258" s="8" t="s">
        <v>152</v>
      </c>
    </row>
    <row r="259" spans="1:17" x14ac:dyDescent="0.15">
      <c r="A259" s="7" t="s">
        <v>153</v>
      </c>
      <c r="B259" s="1">
        <v>4021</v>
      </c>
      <c r="C259" s="7" t="s">
        <v>153</v>
      </c>
      <c r="D259" s="1">
        <v>3</v>
      </c>
      <c r="E259" s="7">
        <v>1021</v>
      </c>
      <c r="F259" s="1">
        <v>1</v>
      </c>
      <c r="G259" s="1">
        <v>0</v>
      </c>
      <c r="H259" s="1">
        <v>0</v>
      </c>
      <c r="I259" s="1">
        <v>9</v>
      </c>
      <c r="J259" s="1">
        <v>1</v>
      </c>
      <c r="K259" s="1">
        <v>100</v>
      </c>
      <c r="L259" s="1">
        <v>100</v>
      </c>
      <c r="Q259" s="7" t="s">
        <v>153</v>
      </c>
    </row>
    <row r="260" spans="1:17" x14ac:dyDescent="0.15">
      <c r="A260" s="7" t="s">
        <v>154</v>
      </c>
      <c r="B260" s="1">
        <v>4022</v>
      </c>
      <c r="C260" s="7" t="s">
        <v>154</v>
      </c>
      <c r="D260" s="1">
        <v>3</v>
      </c>
      <c r="E260" s="7">
        <v>1022</v>
      </c>
      <c r="F260" s="1">
        <v>1</v>
      </c>
      <c r="G260" s="1">
        <v>0</v>
      </c>
      <c r="H260" s="1">
        <v>0</v>
      </c>
      <c r="I260" s="1">
        <v>9</v>
      </c>
      <c r="J260" s="1">
        <v>1</v>
      </c>
      <c r="K260" s="1">
        <v>100</v>
      </c>
      <c r="L260" s="1">
        <v>100</v>
      </c>
      <c r="Q260" s="7" t="s">
        <v>154</v>
      </c>
    </row>
    <row r="261" spans="1:17" x14ac:dyDescent="0.15">
      <c r="A261" s="7" t="s">
        <v>155</v>
      </c>
      <c r="B261" s="1">
        <v>4023</v>
      </c>
      <c r="C261" s="7" t="s">
        <v>155</v>
      </c>
      <c r="D261" s="1">
        <v>3</v>
      </c>
      <c r="E261" s="7">
        <v>1023</v>
      </c>
      <c r="F261" s="1">
        <v>1</v>
      </c>
      <c r="G261" s="1">
        <v>0</v>
      </c>
      <c r="H261" s="1">
        <v>0</v>
      </c>
      <c r="I261" s="1">
        <v>9</v>
      </c>
      <c r="J261" s="1">
        <v>1</v>
      </c>
      <c r="K261" s="1">
        <v>100</v>
      </c>
      <c r="L261" s="1">
        <v>100</v>
      </c>
      <c r="Q261" s="7" t="s">
        <v>155</v>
      </c>
    </row>
    <row r="262" spans="1:17" x14ac:dyDescent="0.15">
      <c r="A262" s="7" t="s">
        <v>156</v>
      </c>
      <c r="B262" s="1">
        <v>4024</v>
      </c>
      <c r="C262" s="7" t="s">
        <v>156</v>
      </c>
      <c r="D262" s="1">
        <v>3</v>
      </c>
      <c r="E262" s="7">
        <v>1024</v>
      </c>
      <c r="F262" s="1">
        <v>1</v>
      </c>
      <c r="G262" s="1">
        <v>0</v>
      </c>
      <c r="H262" s="1">
        <v>0</v>
      </c>
      <c r="I262" s="1">
        <v>9</v>
      </c>
      <c r="J262" s="1">
        <v>1</v>
      </c>
      <c r="K262" s="1">
        <v>100</v>
      </c>
      <c r="L262" s="1">
        <v>100</v>
      </c>
      <c r="Q262" s="7" t="s">
        <v>156</v>
      </c>
    </row>
    <row r="263" spans="1:17" x14ac:dyDescent="0.15">
      <c r="A263" s="8" t="s">
        <v>157</v>
      </c>
      <c r="B263" s="1">
        <v>4100</v>
      </c>
      <c r="C263" s="8" t="s">
        <v>157</v>
      </c>
      <c r="D263" s="1">
        <v>3</v>
      </c>
      <c r="E263" s="7">
        <v>1100</v>
      </c>
      <c r="F263" s="1">
        <v>1</v>
      </c>
      <c r="G263" s="1">
        <v>0</v>
      </c>
      <c r="H263" s="1">
        <v>0</v>
      </c>
      <c r="I263" s="1">
        <v>9</v>
      </c>
      <c r="J263" s="1">
        <v>1</v>
      </c>
      <c r="K263" s="1">
        <v>100</v>
      </c>
      <c r="L263" s="1">
        <v>100</v>
      </c>
      <c r="Q263" s="8" t="s">
        <v>157</v>
      </c>
    </row>
    <row r="264" spans="1:17" x14ac:dyDescent="0.15">
      <c r="A264" s="8" t="s">
        <v>158</v>
      </c>
      <c r="B264" s="1">
        <v>4101</v>
      </c>
      <c r="C264" s="8" t="s">
        <v>158</v>
      </c>
      <c r="D264" s="1">
        <v>3</v>
      </c>
      <c r="E264" s="7">
        <v>1101</v>
      </c>
      <c r="F264" s="1">
        <v>1</v>
      </c>
      <c r="G264" s="1">
        <v>0</v>
      </c>
      <c r="H264" s="1">
        <v>0</v>
      </c>
      <c r="I264" s="1">
        <v>9</v>
      </c>
      <c r="J264" s="1">
        <v>1</v>
      </c>
      <c r="K264" s="1">
        <v>100</v>
      </c>
      <c r="L264" s="1">
        <v>100</v>
      </c>
      <c r="Q264" s="8" t="s">
        <v>158</v>
      </c>
    </row>
    <row r="265" spans="1:17" x14ac:dyDescent="0.15">
      <c r="A265" s="8" t="s">
        <v>159</v>
      </c>
      <c r="B265" s="1">
        <v>4103</v>
      </c>
      <c r="C265" s="8" t="s">
        <v>159</v>
      </c>
      <c r="D265" s="1">
        <v>3</v>
      </c>
      <c r="E265" s="7">
        <v>1103</v>
      </c>
      <c r="F265" s="1">
        <v>1</v>
      </c>
      <c r="G265" s="1">
        <v>0</v>
      </c>
      <c r="H265" s="1">
        <v>0</v>
      </c>
      <c r="I265" s="1">
        <v>9</v>
      </c>
      <c r="J265" s="1">
        <v>1</v>
      </c>
      <c r="K265" s="1">
        <v>100</v>
      </c>
      <c r="L265" s="1">
        <v>100</v>
      </c>
      <c r="Q265" s="8" t="s">
        <v>159</v>
      </c>
    </row>
    <row r="266" spans="1:17" x14ac:dyDescent="0.15">
      <c r="A266" s="8" t="s">
        <v>212</v>
      </c>
      <c r="B266" s="1">
        <v>4105</v>
      </c>
      <c r="C266" s="8" t="s">
        <v>212</v>
      </c>
      <c r="D266" s="1">
        <v>3</v>
      </c>
      <c r="E266" s="7">
        <v>1105</v>
      </c>
      <c r="F266" s="1">
        <v>1</v>
      </c>
      <c r="G266" s="1">
        <v>0</v>
      </c>
      <c r="H266" s="1">
        <v>0</v>
      </c>
      <c r="I266" s="1">
        <v>9</v>
      </c>
      <c r="J266" s="1">
        <v>1</v>
      </c>
      <c r="K266" s="1">
        <v>100</v>
      </c>
      <c r="L266" s="1">
        <v>100</v>
      </c>
      <c r="Q266" s="8" t="s">
        <v>160</v>
      </c>
    </row>
    <row r="267" spans="1:17" x14ac:dyDescent="0.15">
      <c r="A267" s="8" t="s">
        <v>161</v>
      </c>
      <c r="B267" s="1">
        <v>4106</v>
      </c>
      <c r="C267" s="8" t="s">
        <v>161</v>
      </c>
      <c r="D267" s="1">
        <v>3</v>
      </c>
      <c r="E267" s="7">
        <v>1106</v>
      </c>
      <c r="F267" s="1">
        <v>1</v>
      </c>
      <c r="G267" s="1">
        <v>0</v>
      </c>
      <c r="H267" s="1">
        <v>0</v>
      </c>
      <c r="I267" s="1">
        <v>9</v>
      </c>
      <c r="J267" s="1">
        <v>1</v>
      </c>
      <c r="K267" s="1">
        <v>100</v>
      </c>
      <c r="L267" s="1">
        <v>100</v>
      </c>
      <c r="Q267" s="8" t="s">
        <v>161</v>
      </c>
    </row>
    <row r="268" spans="1:17" x14ac:dyDescent="0.15">
      <c r="A268" s="8" t="s">
        <v>273</v>
      </c>
      <c r="B268" s="1">
        <v>4109</v>
      </c>
      <c r="C268" s="8" t="s">
        <v>162</v>
      </c>
      <c r="D268" s="1">
        <v>3</v>
      </c>
      <c r="E268" s="7">
        <v>1109</v>
      </c>
      <c r="F268" s="1">
        <v>1</v>
      </c>
      <c r="G268" s="1">
        <v>0</v>
      </c>
      <c r="H268" s="1">
        <v>0</v>
      </c>
      <c r="I268" s="1">
        <v>9</v>
      </c>
      <c r="J268" s="1">
        <v>1</v>
      </c>
      <c r="K268" s="1">
        <v>100</v>
      </c>
      <c r="L268" s="1">
        <v>100</v>
      </c>
      <c r="Q268" s="8" t="s">
        <v>162</v>
      </c>
    </row>
    <row r="269" spans="1:17" x14ac:dyDescent="0.15">
      <c r="A269" s="8" t="s">
        <v>210</v>
      </c>
      <c r="B269" s="1">
        <v>4110</v>
      </c>
      <c r="C269" s="8" t="s">
        <v>163</v>
      </c>
      <c r="D269" s="1">
        <v>3</v>
      </c>
      <c r="E269" s="7">
        <v>1110</v>
      </c>
      <c r="F269" s="1">
        <v>1</v>
      </c>
      <c r="G269" s="1">
        <v>0</v>
      </c>
      <c r="H269" s="1">
        <v>0</v>
      </c>
      <c r="I269" s="1">
        <v>9</v>
      </c>
      <c r="J269" s="1">
        <v>1</v>
      </c>
      <c r="K269" s="1">
        <v>100</v>
      </c>
      <c r="L269" s="1">
        <v>100</v>
      </c>
      <c r="Q269" s="8" t="s">
        <v>163</v>
      </c>
    </row>
    <row r="270" spans="1:17" x14ac:dyDescent="0.15">
      <c r="A270" s="8" t="s">
        <v>164</v>
      </c>
      <c r="B270" s="1">
        <v>4111</v>
      </c>
      <c r="C270" s="8" t="s">
        <v>164</v>
      </c>
      <c r="D270" s="1">
        <v>3</v>
      </c>
      <c r="E270" s="7">
        <v>1111</v>
      </c>
      <c r="F270" s="1">
        <v>1</v>
      </c>
      <c r="G270" s="1">
        <v>0</v>
      </c>
      <c r="H270" s="1">
        <v>0</v>
      </c>
      <c r="I270" s="1">
        <v>9</v>
      </c>
      <c r="J270" s="1">
        <v>1</v>
      </c>
      <c r="K270" s="1">
        <v>100</v>
      </c>
      <c r="L270" s="1">
        <v>100</v>
      </c>
      <c r="Q270" s="8" t="s">
        <v>164</v>
      </c>
    </row>
    <row r="271" spans="1:17" x14ac:dyDescent="0.15">
      <c r="A271" s="8" t="s">
        <v>165</v>
      </c>
      <c r="B271" s="1">
        <v>4112</v>
      </c>
      <c r="C271" s="8" t="s">
        <v>165</v>
      </c>
      <c r="D271" s="1">
        <v>3</v>
      </c>
      <c r="E271" s="7">
        <v>1112</v>
      </c>
      <c r="F271" s="1">
        <v>1</v>
      </c>
      <c r="G271" s="1">
        <v>0</v>
      </c>
      <c r="H271" s="1">
        <v>0</v>
      </c>
      <c r="I271" s="1">
        <v>9</v>
      </c>
      <c r="J271" s="1">
        <v>1</v>
      </c>
      <c r="K271" s="1">
        <v>100</v>
      </c>
      <c r="L271" s="1">
        <v>100</v>
      </c>
      <c r="Q271" s="8" t="s">
        <v>165</v>
      </c>
    </row>
    <row r="272" spans="1:17" x14ac:dyDescent="0.15">
      <c r="A272" s="8" t="s">
        <v>166</v>
      </c>
      <c r="B272" s="1">
        <v>4113</v>
      </c>
      <c r="C272" s="8" t="s">
        <v>166</v>
      </c>
      <c r="D272" s="1">
        <v>3</v>
      </c>
      <c r="E272" s="7">
        <v>1113</v>
      </c>
      <c r="F272" s="1">
        <v>1</v>
      </c>
      <c r="G272" s="1">
        <v>0</v>
      </c>
      <c r="H272" s="1">
        <v>0</v>
      </c>
      <c r="I272" s="1">
        <v>9</v>
      </c>
      <c r="J272" s="1">
        <v>1</v>
      </c>
      <c r="K272" s="1">
        <v>100</v>
      </c>
      <c r="L272" s="1">
        <v>100</v>
      </c>
      <c r="Q272" s="8" t="s">
        <v>166</v>
      </c>
    </row>
    <row r="273" spans="1:17" x14ac:dyDescent="0.15">
      <c r="A273" s="8" t="s">
        <v>167</v>
      </c>
      <c r="B273" s="1">
        <v>4114</v>
      </c>
      <c r="C273" s="8" t="s">
        <v>167</v>
      </c>
      <c r="D273" s="1">
        <v>3</v>
      </c>
      <c r="E273" s="7">
        <v>1114</v>
      </c>
      <c r="F273" s="1">
        <v>1</v>
      </c>
      <c r="G273" s="1">
        <v>0</v>
      </c>
      <c r="H273" s="1">
        <v>0</v>
      </c>
      <c r="I273" s="1">
        <v>9</v>
      </c>
      <c r="J273" s="1">
        <v>1</v>
      </c>
      <c r="K273" s="1">
        <v>100</v>
      </c>
      <c r="L273" s="1">
        <v>100</v>
      </c>
      <c r="Q273" s="8" t="s">
        <v>167</v>
      </c>
    </row>
    <row r="274" spans="1:17" x14ac:dyDescent="0.15">
      <c r="A274" s="8" t="s">
        <v>168</v>
      </c>
      <c r="B274" s="1">
        <v>4115</v>
      </c>
      <c r="C274" s="8" t="s">
        <v>168</v>
      </c>
      <c r="D274" s="1">
        <v>3</v>
      </c>
      <c r="E274" s="7">
        <v>1115</v>
      </c>
      <c r="F274" s="1">
        <v>1</v>
      </c>
      <c r="G274" s="1">
        <v>0</v>
      </c>
      <c r="H274" s="1">
        <v>0</v>
      </c>
      <c r="I274" s="1">
        <v>9</v>
      </c>
      <c r="J274" s="1">
        <v>1</v>
      </c>
      <c r="K274" s="1">
        <v>100</v>
      </c>
      <c r="L274" s="1">
        <v>100</v>
      </c>
      <c r="Q274" s="8" t="s">
        <v>168</v>
      </c>
    </row>
    <row r="275" spans="1:17" x14ac:dyDescent="0.15">
      <c r="A275" s="8" t="s">
        <v>169</v>
      </c>
      <c r="B275" s="1">
        <v>4116</v>
      </c>
      <c r="C275" s="8" t="s">
        <v>169</v>
      </c>
      <c r="D275" s="1">
        <v>3</v>
      </c>
      <c r="E275" s="7">
        <v>1116</v>
      </c>
      <c r="F275" s="1">
        <v>1</v>
      </c>
      <c r="G275" s="1">
        <v>0</v>
      </c>
      <c r="H275" s="1">
        <v>0</v>
      </c>
      <c r="I275" s="1">
        <v>9</v>
      </c>
      <c r="J275" s="1">
        <v>1</v>
      </c>
      <c r="K275" s="1">
        <v>100</v>
      </c>
      <c r="L275" s="1">
        <v>100</v>
      </c>
      <c r="Q275" s="8" t="s">
        <v>169</v>
      </c>
    </row>
    <row r="276" spans="1:17" x14ac:dyDescent="0.15">
      <c r="A276" s="8" t="s">
        <v>170</v>
      </c>
      <c r="B276" s="1">
        <v>4117</v>
      </c>
      <c r="C276" s="8" t="s">
        <v>170</v>
      </c>
      <c r="D276" s="1">
        <v>3</v>
      </c>
      <c r="E276" s="7">
        <v>1117</v>
      </c>
      <c r="F276" s="1">
        <v>1</v>
      </c>
      <c r="G276" s="1">
        <v>0</v>
      </c>
      <c r="H276" s="1">
        <v>0</v>
      </c>
      <c r="I276" s="1">
        <v>9</v>
      </c>
      <c r="J276" s="1">
        <v>1</v>
      </c>
      <c r="K276" s="1">
        <v>100</v>
      </c>
      <c r="L276" s="1">
        <v>100</v>
      </c>
      <c r="Q276" s="8" t="s">
        <v>170</v>
      </c>
    </row>
    <row r="277" spans="1:17" x14ac:dyDescent="0.15">
      <c r="A277" s="11" t="s">
        <v>207</v>
      </c>
      <c r="B277" s="1">
        <v>3000</v>
      </c>
      <c r="C277" s="14" t="s">
        <v>207</v>
      </c>
      <c r="D277" s="1">
        <v>3</v>
      </c>
      <c r="E277" s="1">
        <v>0</v>
      </c>
      <c r="F277" s="1">
        <v>1</v>
      </c>
      <c r="G277" s="1">
        <v>0</v>
      </c>
      <c r="H277" s="1">
        <v>0</v>
      </c>
      <c r="I277" s="1">
        <v>9</v>
      </c>
      <c r="J277" s="1">
        <v>1</v>
      </c>
      <c r="K277" s="1">
        <v>100</v>
      </c>
      <c r="L277" s="1">
        <v>100</v>
      </c>
    </row>
    <row r="278" spans="1:17" x14ac:dyDescent="0.15">
      <c r="A278" s="11" t="s">
        <v>208</v>
      </c>
      <c r="B278" s="1">
        <v>3001</v>
      </c>
      <c r="C278" s="14" t="s">
        <v>208</v>
      </c>
      <c r="D278" s="1">
        <v>3</v>
      </c>
      <c r="E278" s="1">
        <v>0</v>
      </c>
      <c r="F278" s="1">
        <v>0</v>
      </c>
      <c r="G278" s="1">
        <v>0</v>
      </c>
      <c r="H278" s="1">
        <v>0</v>
      </c>
      <c r="I278" s="1">
        <v>29</v>
      </c>
      <c r="J278" s="1">
        <v>1</v>
      </c>
      <c r="K278" s="1">
        <v>100</v>
      </c>
      <c r="L278" s="1">
        <v>100</v>
      </c>
    </row>
    <row r="279" spans="1:17" x14ac:dyDescent="0.15">
      <c r="A279" s="11" t="s">
        <v>716</v>
      </c>
      <c r="B279" s="1">
        <v>3002</v>
      </c>
      <c r="C279" s="14" t="s">
        <v>209</v>
      </c>
      <c r="D279" s="1">
        <v>3</v>
      </c>
      <c r="E279" s="1">
        <v>0</v>
      </c>
      <c r="F279" s="1">
        <v>0</v>
      </c>
      <c r="G279" s="1">
        <v>0</v>
      </c>
      <c r="H279" s="1">
        <v>0</v>
      </c>
      <c r="I279" s="1">
        <v>29</v>
      </c>
      <c r="J279" s="1">
        <v>1</v>
      </c>
      <c r="K279" s="1">
        <v>100</v>
      </c>
      <c r="L279" s="1">
        <v>100</v>
      </c>
    </row>
    <row r="280" spans="1:17" x14ac:dyDescent="0.15">
      <c r="A280" s="11" t="s">
        <v>468</v>
      </c>
      <c r="B280" s="1">
        <v>3003</v>
      </c>
      <c r="C280" s="14" t="s">
        <v>280</v>
      </c>
      <c r="D280" s="1">
        <v>3</v>
      </c>
      <c r="E280" s="1">
        <v>0</v>
      </c>
      <c r="F280" s="1">
        <v>0</v>
      </c>
      <c r="G280" s="1">
        <v>0</v>
      </c>
      <c r="H280" s="1">
        <v>0</v>
      </c>
      <c r="I280" s="1">
        <v>29</v>
      </c>
      <c r="J280" s="1">
        <v>1</v>
      </c>
      <c r="K280" s="1">
        <v>100</v>
      </c>
      <c r="L280" s="1">
        <v>100</v>
      </c>
    </row>
    <row r="281" spans="1:17" x14ac:dyDescent="0.15">
      <c r="A281" s="12" t="s">
        <v>469</v>
      </c>
      <c r="B281" s="1">
        <v>3005</v>
      </c>
      <c r="C281" s="14" t="s">
        <v>213</v>
      </c>
      <c r="D281" s="1">
        <v>3</v>
      </c>
      <c r="E281" s="1">
        <v>0</v>
      </c>
      <c r="F281" s="1">
        <v>0</v>
      </c>
      <c r="G281" s="1">
        <v>0</v>
      </c>
      <c r="H281" s="1">
        <v>0</v>
      </c>
      <c r="I281" s="1">
        <v>29</v>
      </c>
      <c r="J281" s="1">
        <v>1</v>
      </c>
      <c r="K281" s="1">
        <v>100</v>
      </c>
      <c r="L281" s="1">
        <v>100</v>
      </c>
    </row>
    <row r="282" spans="1:17" x14ac:dyDescent="0.15">
      <c r="A282" s="12" t="s">
        <v>182</v>
      </c>
      <c r="B282" s="1">
        <v>3006</v>
      </c>
      <c r="C282" s="14" t="s">
        <v>182</v>
      </c>
      <c r="D282" s="1">
        <v>3</v>
      </c>
      <c r="E282" s="1">
        <v>0</v>
      </c>
      <c r="F282" s="1">
        <v>1</v>
      </c>
      <c r="G282" s="1">
        <v>0</v>
      </c>
      <c r="H282" s="1">
        <v>0</v>
      </c>
      <c r="I282" s="1">
        <v>29</v>
      </c>
      <c r="J282" s="1">
        <v>1</v>
      </c>
      <c r="K282" s="1">
        <v>100</v>
      </c>
      <c r="L282" s="1">
        <v>100</v>
      </c>
    </row>
    <row r="283" spans="1:17" x14ac:dyDescent="0.15">
      <c r="A283" s="12" t="s">
        <v>179</v>
      </c>
      <c r="B283" s="1">
        <v>3007</v>
      </c>
      <c r="C283" s="14" t="s">
        <v>179</v>
      </c>
      <c r="D283" s="1">
        <v>3</v>
      </c>
      <c r="E283" s="1">
        <v>0</v>
      </c>
      <c r="F283" s="1">
        <v>1</v>
      </c>
      <c r="G283" s="1">
        <v>0</v>
      </c>
      <c r="H283" s="1">
        <v>0</v>
      </c>
      <c r="I283" s="1">
        <v>9</v>
      </c>
      <c r="J283" s="1">
        <v>1</v>
      </c>
      <c r="K283" s="1">
        <v>100</v>
      </c>
      <c r="L283" s="1">
        <v>100</v>
      </c>
    </row>
    <row r="284" spans="1:17" x14ac:dyDescent="0.15">
      <c r="A284" s="12" t="s">
        <v>181</v>
      </c>
      <c r="B284" s="1">
        <v>3008</v>
      </c>
      <c r="C284" s="14" t="s">
        <v>181</v>
      </c>
      <c r="D284" s="1">
        <v>3</v>
      </c>
      <c r="E284" s="1">
        <v>0</v>
      </c>
      <c r="F284" s="1">
        <v>1</v>
      </c>
      <c r="G284" s="1">
        <v>0</v>
      </c>
      <c r="H284" s="1">
        <v>0</v>
      </c>
      <c r="I284" s="1">
        <v>9</v>
      </c>
      <c r="J284" s="1">
        <v>1</v>
      </c>
      <c r="K284" s="1">
        <v>100</v>
      </c>
      <c r="L284" s="1">
        <v>100</v>
      </c>
    </row>
    <row r="285" spans="1:17" x14ac:dyDescent="0.15">
      <c r="A285" s="1" t="s">
        <v>194</v>
      </c>
      <c r="B285" s="1">
        <v>3009</v>
      </c>
      <c r="C285" s="14" t="s">
        <v>194</v>
      </c>
      <c r="D285" s="1">
        <v>3</v>
      </c>
      <c r="E285" s="1">
        <v>0</v>
      </c>
      <c r="F285" s="1">
        <v>0</v>
      </c>
      <c r="G285" s="1">
        <v>0</v>
      </c>
      <c r="H285" s="1">
        <v>0</v>
      </c>
      <c r="I285" s="1">
        <v>29</v>
      </c>
      <c r="J285" s="1">
        <v>1</v>
      </c>
      <c r="K285" s="1">
        <v>100</v>
      </c>
      <c r="L285" s="1">
        <v>100</v>
      </c>
    </row>
    <row r="286" spans="1:17" x14ac:dyDescent="0.15">
      <c r="A286" s="1" t="s">
        <v>198</v>
      </c>
      <c r="B286" s="1">
        <v>3010</v>
      </c>
      <c r="C286" s="14" t="s">
        <v>198</v>
      </c>
      <c r="D286" s="1">
        <v>3</v>
      </c>
      <c r="E286" s="1">
        <v>0</v>
      </c>
      <c r="F286" s="1">
        <v>0</v>
      </c>
      <c r="G286" s="1">
        <v>0</v>
      </c>
      <c r="H286" s="1">
        <v>0</v>
      </c>
      <c r="I286" s="1">
        <v>29</v>
      </c>
      <c r="J286" s="1">
        <v>1</v>
      </c>
      <c r="K286" s="1">
        <v>100</v>
      </c>
      <c r="L286" s="1">
        <v>100</v>
      </c>
    </row>
    <row r="287" spans="1:17" x14ac:dyDescent="0.15">
      <c r="A287" s="1" t="s">
        <v>277</v>
      </c>
      <c r="B287" s="1">
        <v>3011</v>
      </c>
      <c r="C287" s="14" t="s">
        <v>272</v>
      </c>
      <c r="D287" s="1">
        <v>3</v>
      </c>
      <c r="E287" s="1">
        <v>0</v>
      </c>
      <c r="F287" s="1">
        <v>0</v>
      </c>
      <c r="G287" s="1">
        <v>0</v>
      </c>
      <c r="H287" s="1">
        <v>0</v>
      </c>
      <c r="I287" s="1">
        <v>29</v>
      </c>
      <c r="J287" s="1">
        <v>1</v>
      </c>
      <c r="K287" s="1">
        <v>100</v>
      </c>
      <c r="L287" s="1">
        <v>100</v>
      </c>
    </row>
    <row r="288" spans="1:17" x14ac:dyDescent="0.15">
      <c r="A288" s="13" t="s">
        <v>269</v>
      </c>
      <c r="B288" s="1">
        <v>3011</v>
      </c>
      <c r="C288" s="14" t="s">
        <v>225</v>
      </c>
      <c r="D288" s="1">
        <v>3</v>
      </c>
      <c r="E288" s="1">
        <v>0</v>
      </c>
      <c r="F288" s="1">
        <v>1</v>
      </c>
      <c r="G288" s="1">
        <v>0</v>
      </c>
      <c r="H288" s="1">
        <v>0</v>
      </c>
      <c r="I288" s="1">
        <v>29</v>
      </c>
      <c r="J288" s="1">
        <v>1</v>
      </c>
      <c r="K288" s="1">
        <v>100</v>
      </c>
      <c r="L288" s="1">
        <v>100</v>
      </c>
    </row>
    <row r="289" spans="1:12" x14ac:dyDescent="0.15">
      <c r="A289" s="13" t="s">
        <v>278</v>
      </c>
      <c r="B289" s="1">
        <v>3100</v>
      </c>
      <c r="C289" s="14" t="s">
        <v>340</v>
      </c>
      <c r="D289" s="1">
        <v>4</v>
      </c>
      <c r="E289" s="1">
        <v>0</v>
      </c>
      <c r="F289" s="1">
        <v>1</v>
      </c>
      <c r="G289" s="1">
        <v>0</v>
      </c>
      <c r="H289" s="1">
        <v>0</v>
      </c>
      <c r="I289" s="1">
        <v>1</v>
      </c>
      <c r="J289" s="1">
        <v>1</v>
      </c>
      <c r="K289" s="1">
        <v>100</v>
      </c>
      <c r="L289" s="1">
        <v>100</v>
      </c>
    </row>
    <row r="290" spans="1:12" x14ac:dyDescent="0.15">
      <c r="A290" s="13" t="s">
        <v>279</v>
      </c>
      <c r="B290" s="1">
        <v>3101</v>
      </c>
      <c r="C290" s="14" t="s">
        <v>183</v>
      </c>
      <c r="D290" s="1">
        <v>4</v>
      </c>
      <c r="E290" s="1">
        <v>0</v>
      </c>
      <c r="F290" s="1">
        <v>1</v>
      </c>
      <c r="G290" s="1">
        <v>0</v>
      </c>
      <c r="H290" s="1">
        <v>0</v>
      </c>
      <c r="I290" s="1">
        <v>1</v>
      </c>
      <c r="J290" s="1">
        <v>1</v>
      </c>
      <c r="K290" s="1">
        <v>100</v>
      </c>
      <c r="L290" s="1">
        <v>100</v>
      </c>
    </row>
    <row r="291" spans="1:12" x14ac:dyDescent="0.15">
      <c r="A291" s="13" t="s">
        <v>204</v>
      </c>
      <c r="B291" s="1">
        <v>3102</v>
      </c>
      <c r="C291" s="14" t="s">
        <v>204</v>
      </c>
      <c r="D291" s="1">
        <v>4</v>
      </c>
      <c r="E291" s="1">
        <v>0</v>
      </c>
      <c r="F291" s="1">
        <v>1</v>
      </c>
      <c r="G291" s="1">
        <v>0</v>
      </c>
      <c r="H291" s="1">
        <v>0</v>
      </c>
      <c r="I291" s="1">
        <v>1</v>
      </c>
      <c r="J291" s="1">
        <v>1</v>
      </c>
      <c r="K291" s="1">
        <v>100</v>
      </c>
      <c r="L291" s="1">
        <v>100</v>
      </c>
    </row>
    <row r="292" spans="1:12" x14ac:dyDescent="0.15">
      <c r="A292" s="13" t="s">
        <v>186</v>
      </c>
      <c r="B292" s="1">
        <v>3103</v>
      </c>
      <c r="C292" s="14" t="s">
        <v>186</v>
      </c>
      <c r="D292" s="1">
        <v>4</v>
      </c>
      <c r="E292" s="1">
        <v>0</v>
      </c>
      <c r="F292" s="1">
        <v>1</v>
      </c>
      <c r="G292" s="1">
        <v>0</v>
      </c>
      <c r="H292" s="1">
        <v>0</v>
      </c>
      <c r="I292" s="1">
        <v>1</v>
      </c>
      <c r="J292" s="1">
        <v>1</v>
      </c>
      <c r="K292" s="1">
        <v>100</v>
      </c>
      <c r="L292" s="1">
        <v>100</v>
      </c>
    </row>
    <row r="293" spans="1:12" x14ac:dyDescent="0.15">
      <c r="A293" s="13" t="s">
        <v>202</v>
      </c>
      <c r="B293" s="1">
        <v>3104</v>
      </c>
      <c r="C293" s="14" t="s">
        <v>202</v>
      </c>
      <c r="D293" s="1">
        <v>4</v>
      </c>
      <c r="E293" s="1">
        <v>0</v>
      </c>
      <c r="F293" s="1">
        <v>1</v>
      </c>
      <c r="G293" s="1">
        <v>0</v>
      </c>
      <c r="H293" s="1">
        <v>0</v>
      </c>
      <c r="I293" s="1">
        <v>1</v>
      </c>
      <c r="J293" s="1">
        <v>1</v>
      </c>
      <c r="K293" s="1">
        <v>100</v>
      </c>
      <c r="L293" s="1">
        <v>100</v>
      </c>
    </row>
    <row r="294" spans="1:12" x14ac:dyDescent="0.15">
      <c r="A294" s="13" t="s">
        <v>214</v>
      </c>
      <c r="B294" s="1">
        <v>3105</v>
      </c>
      <c r="C294" s="14" t="s">
        <v>214</v>
      </c>
      <c r="D294" s="1">
        <v>4</v>
      </c>
      <c r="E294" s="1">
        <v>0</v>
      </c>
      <c r="F294" s="1">
        <v>1</v>
      </c>
      <c r="G294" s="1">
        <v>0</v>
      </c>
      <c r="H294" s="1">
        <v>0</v>
      </c>
      <c r="I294" s="1">
        <v>1</v>
      </c>
      <c r="J294" s="1">
        <v>1</v>
      </c>
      <c r="K294" s="1">
        <v>100</v>
      </c>
      <c r="L294" s="1">
        <v>100</v>
      </c>
    </row>
    <row r="295" spans="1:12" x14ac:dyDescent="0.15">
      <c r="A295" s="13" t="s">
        <v>215</v>
      </c>
      <c r="B295" s="1">
        <v>3106</v>
      </c>
      <c r="C295" s="14" t="s">
        <v>215</v>
      </c>
      <c r="D295" s="1">
        <v>4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1</v>
      </c>
      <c r="K295" s="1">
        <v>100</v>
      </c>
      <c r="L295" s="1">
        <v>100</v>
      </c>
    </row>
    <row r="296" spans="1:12" x14ac:dyDescent="0.15">
      <c r="A296" s="13" t="s">
        <v>185</v>
      </c>
      <c r="B296" s="1">
        <v>3107</v>
      </c>
      <c r="C296" s="14" t="s">
        <v>185</v>
      </c>
      <c r="D296" s="1">
        <v>4</v>
      </c>
      <c r="E296" s="1">
        <v>0</v>
      </c>
      <c r="F296" s="1">
        <v>1</v>
      </c>
      <c r="G296" s="1">
        <v>0</v>
      </c>
      <c r="H296" s="1">
        <v>0</v>
      </c>
      <c r="I296" s="1">
        <v>1</v>
      </c>
      <c r="J296" s="1">
        <v>1</v>
      </c>
      <c r="K296" s="1">
        <v>100</v>
      </c>
      <c r="L296" s="1">
        <v>100</v>
      </c>
    </row>
    <row r="297" spans="1:12" x14ac:dyDescent="0.15">
      <c r="A297" s="13" t="s">
        <v>187</v>
      </c>
      <c r="B297" s="1">
        <v>3108</v>
      </c>
      <c r="C297" s="14" t="s">
        <v>282</v>
      </c>
      <c r="D297" s="1">
        <v>4</v>
      </c>
      <c r="E297" s="1">
        <v>0</v>
      </c>
      <c r="F297" s="1">
        <v>1</v>
      </c>
      <c r="G297" s="1">
        <v>0</v>
      </c>
      <c r="H297" s="1">
        <v>0</v>
      </c>
      <c r="I297" s="1">
        <v>1</v>
      </c>
      <c r="J297" s="1">
        <v>1</v>
      </c>
      <c r="K297" s="1">
        <v>100</v>
      </c>
      <c r="L297" s="1">
        <v>100</v>
      </c>
    </row>
    <row r="298" spans="1:12" x14ac:dyDescent="0.15">
      <c r="A298" s="13" t="s">
        <v>216</v>
      </c>
      <c r="B298" s="1">
        <v>3109</v>
      </c>
      <c r="C298" s="14" t="s">
        <v>216</v>
      </c>
      <c r="D298" s="1">
        <v>4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1</v>
      </c>
      <c r="K298" s="1">
        <v>100</v>
      </c>
      <c r="L298" s="1">
        <v>100</v>
      </c>
    </row>
    <row r="299" spans="1:12" x14ac:dyDescent="0.15">
      <c r="A299" s="13" t="s">
        <v>184</v>
      </c>
      <c r="B299" s="1">
        <v>3110</v>
      </c>
      <c r="C299" s="14" t="s">
        <v>184</v>
      </c>
      <c r="D299" s="1">
        <v>4</v>
      </c>
      <c r="E299" s="1">
        <v>0</v>
      </c>
      <c r="F299" s="1">
        <v>1</v>
      </c>
      <c r="G299" s="1">
        <v>0</v>
      </c>
      <c r="H299" s="1">
        <v>0</v>
      </c>
      <c r="I299" s="1">
        <v>1</v>
      </c>
      <c r="J299" s="1">
        <v>1</v>
      </c>
      <c r="K299" s="1">
        <v>100</v>
      </c>
      <c r="L299" s="1">
        <v>100</v>
      </c>
    </row>
    <row r="300" spans="1:12" x14ac:dyDescent="0.15">
      <c r="A300" s="13" t="s">
        <v>217</v>
      </c>
      <c r="B300" s="1">
        <v>3111</v>
      </c>
      <c r="C300" s="14" t="s">
        <v>217</v>
      </c>
      <c r="D300" s="1">
        <v>4</v>
      </c>
      <c r="E300" s="1">
        <v>0</v>
      </c>
      <c r="F300" s="1">
        <v>1</v>
      </c>
      <c r="G300" s="1">
        <v>0</v>
      </c>
      <c r="H300" s="1">
        <v>0</v>
      </c>
      <c r="I300" s="1">
        <v>1</v>
      </c>
      <c r="J300" s="1">
        <v>1</v>
      </c>
      <c r="K300" s="1">
        <v>100</v>
      </c>
      <c r="L300" s="1">
        <v>100</v>
      </c>
    </row>
    <row r="301" spans="1:12" x14ac:dyDescent="0.15">
      <c r="A301" s="13" t="s">
        <v>271</v>
      </c>
      <c r="B301" s="1">
        <v>3112</v>
      </c>
      <c r="C301" s="15" t="s">
        <v>271</v>
      </c>
      <c r="D301" s="1">
        <v>4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1</v>
      </c>
      <c r="K301" s="1">
        <v>100</v>
      </c>
      <c r="L301" s="1">
        <v>100</v>
      </c>
    </row>
    <row r="302" spans="1:12" x14ac:dyDescent="0.15">
      <c r="A302" s="13" t="s">
        <v>218</v>
      </c>
      <c r="B302" s="1">
        <v>3113</v>
      </c>
      <c r="C302" s="14" t="s">
        <v>283</v>
      </c>
      <c r="D302" s="1">
        <v>4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1</v>
      </c>
      <c r="K302" s="1">
        <v>100</v>
      </c>
      <c r="L302" s="1">
        <v>100</v>
      </c>
    </row>
    <row r="303" spans="1:12" x14ac:dyDescent="0.15">
      <c r="A303" s="13" t="s">
        <v>191</v>
      </c>
      <c r="B303" s="1">
        <v>3114</v>
      </c>
      <c r="C303" s="14" t="s">
        <v>284</v>
      </c>
      <c r="D303" s="1">
        <v>4</v>
      </c>
      <c r="E303" s="1">
        <v>0</v>
      </c>
      <c r="F303" s="1">
        <v>1</v>
      </c>
      <c r="G303" s="1">
        <v>0</v>
      </c>
      <c r="H303" s="1">
        <v>0</v>
      </c>
      <c r="I303" s="1">
        <v>1</v>
      </c>
      <c r="J303" s="1">
        <v>1</v>
      </c>
      <c r="K303" s="1">
        <v>100</v>
      </c>
      <c r="L303" s="1">
        <v>100</v>
      </c>
    </row>
    <row r="304" spans="1:12" x14ac:dyDescent="0.15">
      <c r="A304" s="13" t="s">
        <v>219</v>
      </c>
      <c r="B304" s="1">
        <v>3115</v>
      </c>
      <c r="C304" s="14" t="s">
        <v>219</v>
      </c>
      <c r="D304" s="1">
        <v>4</v>
      </c>
      <c r="E304" s="1">
        <v>0</v>
      </c>
      <c r="F304" s="1">
        <v>1</v>
      </c>
      <c r="G304" s="1">
        <v>0</v>
      </c>
      <c r="H304" s="1">
        <v>0</v>
      </c>
      <c r="I304" s="1">
        <v>1</v>
      </c>
      <c r="J304" s="1">
        <v>1</v>
      </c>
      <c r="K304" s="1">
        <v>100</v>
      </c>
      <c r="L304" s="1">
        <v>100</v>
      </c>
    </row>
    <row r="305" spans="1:12" x14ac:dyDescent="0.15">
      <c r="A305" s="13" t="s">
        <v>220</v>
      </c>
      <c r="B305" s="1">
        <v>3116</v>
      </c>
      <c r="C305" s="14" t="s">
        <v>281</v>
      </c>
      <c r="D305" s="1">
        <v>4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1</v>
      </c>
      <c r="K305" s="1">
        <v>100</v>
      </c>
      <c r="L305" s="1">
        <v>100</v>
      </c>
    </row>
    <row r="306" spans="1:12" x14ac:dyDescent="0.15">
      <c r="A306" s="13" t="s">
        <v>190</v>
      </c>
      <c r="B306" s="1">
        <v>3117</v>
      </c>
      <c r="C306" s="14" t="s">
        <v>285</v>
      </c>
      <c r="D306" s="1">
        <v>4</v>
      </c>
      <c r="E306" s="1">
        <v>0</v>
      </c>
      <c r="F306" s="1">
        <v>1</v>
      </c>
      <c r="G306" s="1">
        <v>0</v>
      </c>
      <c r="H306" s="1">
        <v>0</v>
      </c>
      <c r="I306" s="1">
        <v>1</v>
      </c>
      <c r="J306" s="1">
        <v>1</v>
      </c>
      <c r="K306" s="1">
        <v>100</v>
      </c>
      <c r="L306" s="1">
        <v>100</v>
      </c>
    </row>
    <row r="307" spans="1:12" x14ac:dyDescent="0.15">
      <c r="A307" s="13" t="s">
        <v>221</v>
      </c>
      <c r="B307" s="1">
        <v>3118</v>
      </c>
      <c r="C307" s="14" t="s">
        <v>286</v>
      </c>
      <c r="D307" s="1">
        <v>4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1</v>
      </c>
      <c r="K307" s="1">
        <v>100</v>
      </c>
      <c r="L307" s="1">
        <v>100</v>
      </c>
    </row>
    <row r="308" spans="1:12" x14ac:dyDescent="0.15">
      <c r="A308" s="13" t="s">
        <v>192</v>
      </c>
      <c r="B308" s="1">
        <v>3119</v>
      </c>
      <c r="C308" s="14" t="s">
        <v>288</v>
      </c>
      <c r="D308" s="1">
        <v>4</v>
      </c>
      <c r="E308" s="1">
        <v>0</v>
      </c>
      <c r="F308" s="1">
        <v>1</v>
      </c>
      <c r="G308" s="1">
        <v>0</v>
      </c>
      <c r="H308" s="1">
        <v>0</v>
      </c>
      <c r="I308" s="1">
        <v>1</v>
      </c>
      <c r="J308" s="1">
        <v>1</v>
      </c>
      <c r="K308" s="1">
        <v>100</v>
      </c>
      <c r="L308" s="1">
        <v>100</v>
      </c>
    </row>
    <row r="309" spans="1:12" x14ac:dyDescent="0.15">
      <c r="A309" s="13" t="s">
        <v>222</v>
      </c>
      <c r="B309" s="1">
        <v>3120</v>
      </c>
      <c r="C309" s="14" t="s">
        <v>289</v>
      </c>
      <c r="D309" s="1">
        <v>4</v>
      </c>
      <c r="E309" s="1">
        <v>0</v>
      </c>
      <c r="F309" s="1">
        <v>1</v>
      </c>
      <c r="G309" s="1">
        <v>0</v>
      </c>
      <c r="H309" s="1">
        <v>0</v>
      </c>
      <c r="I309" s="1">
        <v>1</v>
      </c>
      <c r="J309" s="1">
        <v>1</v>
      </c>
      <c r="K309" s="1">
        <v>100</v>
      </c>
      <c r="L309" s="1">
        <v>100</v>
      </c>
    </row>
    <row r="310" spans="1:12" x14ac:dyDescent="0.15">
      <c r="A310" s="13" t="s">
        <v>205</v>
      </c>
      <c r="B310" s="1">
        <v>3121</v>
      </c>
      <c r="C310" s="14" t="s">
        <v>290</v>
      </c>
      <c r="D310" s="1">
        <v>4</v>
      </c>
      <c r="E310" s="1">
        <v>0</v>
      </c>
      <c r="F310" s="1">
        <v>1</v>
      </c>
      <c r="G310" s="1">
        <v>0</v>
      </c>
      <c r="H310" s="1">
        <v>0</v>
      </c>
      <c r="I310" s="1">
        <v>1</v>
      </c>
      <c r="J310" s="1">
        <v>1</v>
      </c>
      <c r="K310" s="1">
        <v>100</v>
      </c>
      <c r="L310" s="1">
        <v>100</v>
      </c>
    </row>
    <row r="311" spans="1:12" x14ac:dyDescent="0.15">
      <c r="A311" s="13" t="s">
        <v>188</v>
      </c>
      <c r="B311" s="1">
        <v>3122</v>
      </c>
      <c r="C311" s="14" t="s">
        <v>188</v>
      </c>
      <c r="D311" s="1">
        <v>4</v>
      </c>
      <c r="E311" s="1">
        <v>0</v>
      </c>
      <c r="F311" s="1">
        <v>1</v>
      </c>
      <c r="G311" s="1">
        <v>0</v>
      </c>
      <c r="H311" s="1">
        <v>0</v>
      </c>
      <c r="I311" s="1">
        <v>1</v>
      </c>
      <c r="J311" s="1">
        <v>1</v>
      </c>
      <c r="K311" s="1">
        <v>100</v>
      </c>
      <c r="L311" s="1">
        <v>100</v>
      </c>
    </row>
    <row r="312" spans="1:12" x14ac:dyDescent="0.15">
      <c r="A312" s="13" t="s">
        <v>195</v>
      </c>
      <c r="B312" s="1">
        <v>3123</v>
      </c>
      <c r="C312" s="14" t="s">
        <v>195</v>
      </c>
      <c r="D312" s="1">
        <v>4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1</v>
      </c>
      <c r="K312" s="1">
        <v>100</v>
      </c>
      <c r="L312" s="1">
        <v>100</v>
      </c>
    </row>
    <row r="313" spans="1:12" x14ac:dyDescent="0.15">
      <c r="A313" s="13" t="s">
        <v>197</v>
      </c>
      <c r="B313" s="1">
        <v>3124</v>
      </c>
      <c r="C313" s="14" t="s">
        <v>197</v>
      </c>
      <c r="D313" s="1">
        <v>4</v>
      </c>
      <c r="E313" s="1">
        <v>0</v>
      </c>
      <c r="F313" s="1">
        <v>1</v>
      </c>
      <c r="G313" s="1">
        <v>0</v>
      </c>
      <c r="H313" s="1">
        <v>0</v>
      </c>
      <c r="I313" s="1">
        <v>1</v>
      </c>
      <c r="J313" s="1">
        <v>1</v>
      </c>
      <c r="K313" s="1">
        <v>100</v>
      </c>
      <c r="L313" s="1">
        <v>100</v>
      </c>
    </row>
    <row r="314" spans="1:12" x14ac:dyDescent="0.15">
      <c r="A314" s="13" t="s">
        <v>199</v>
      </c>
      <c r="B314" s="1">
        <v>3125</v>
      </c>
      <c r="C314" s="14" t="s">
        <v>199</v>
      </c>
      <c r="D314" s="1">
        <v>4</v>
      </c>
      <c r="E314" s="1">
        <v>0</v>
      </c>
      <c r="F314" s="1">
        <v>1</v>
      </c>
      <c r="G314" s="1">
        <v>0</v>
      </c>
      <c r="H314" s="1">
        <v>0</v>
      </c>
      <c r="I314" s="1">
        <v>1</v>
      </c>
      <c r="J314" s="1">
        <v>1</v>
      </c>
      <c r="K314" s="1">
        <v>100</v>
      </c>
      <c r="L314" s="1">
        <v>100</v>
      </c>
    </row>
    <row r="315" spans="1:12" x14ac:dyDescent="0.15">
      <c r="A315" s="13" t="s">
        <v>200</v>
      </c>
      <c r="B315" s="1">
        <v>3126</v>
      </c>
      <c r="C315" s="14" t="s">
        <v>200</v>
      </c>
      <c r="D315" s="1">
        <v>4</v>
      </c>
      <c r="E315" s="1">
        <v>0</v>
      </c>
      <c r="F315" s="1">
        <v>1</v>
      </c>
      <c r="G315" s="1">
        <v>0</v>
      </c>
      <c r="H315" s="1">
        <v>0</v>
      </c>
      <c r="I315" s="1">
        <v>1</v>
      </c>
      <c r="J315" s="1">
        <v>1</v>
      </c>
      <c r="K315" s="1">
        <v>100</v>
      </c>
      <c r="L315" s="1">
        <v>100</v>
      </c>
    </row>
    <row r="316" spans="1:12" x14ac:dyDescent="0.15">
      <c r="A316" s="13" t="s">
        <v>223</v>
      </c>
      <c r="B316" s="1">
        <v>3127</v>
      </c>
      <c r="C316" s="14" t="s">
        <v>287</v>
      </c>
      <c r="D316" s="1">
        <v>4</v>
      </c>
      <c r="E316" s="1">
        <v>0</v>
      </c>
      <c r="F316" s="1">
        <v>1</v>
      </c>
      <c r="G316" s="1">
        <v>0</v>
      </c>
      <c r="H316" s="1">
        <v>0</v>
      </c>
      <c r="I316" s="1">
        <v>1</v>
      </c>
      <c r="J316" s="1">
        <v>1</v>
      </c>
      <c r="K316" s="1">
        <v>100</v>
      </c>
      <c r="L316" s="1">
        <v>100</v>
      </c>
    </row>
    <row r="317" spans="1:12" x14ac:dyDescent="0.15">
      <c r="A317" s="13" t="s">
        <v>224</v>
      </c>
      <c r="B317" s="1">
        <v>3128</v>
      </c>
      <c r="C317" s="14" t="s">
        <v>291</v>
      </c>
      <c r="D317" s="1">
        <v>4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1</v>
      </c>
      <c r="K317" s="1">
        <v>100</v>
      </c>
      <c r="L317" s="1">
        <v>100</v>
      </c>
    </row>
    <row r="318" spans="1:12" x14ac:dyDescent="0.15">
      <c r="A318" s="13" t="s">
        <v>201</v>
      </c>
      <c r="B318" s="1">
        <v>3129</v>
      </c>
      <c r="C318" s="14" t="s">
        <v>201</v>
      </c>
      <c r="D318" s="1">
        <v>4</v>
      </c>
      <c r="E318" s="1">
        <v>0</v>
      </c>
      <c r="F318" s="1">
        <v>1</v>
      </c>
      <c r="G318" s="1">
        <v>0</v>
      </c>
      <c r="H318" s="1">
        <v>0</v>
      </c>
      <c r="I318" s="1">
        <v>1</v>
      </c>
      <c r="J318" s="1">
        <v>1</v>
      </c>
      <c r="K318" s="1">
        <v>100</v>
      </c>
      <c r="L318" s="1">
        <v>100</v>
      </c>
    </row>
    <row r="319" spans="1:12" x14ac:dyDescent="0.15">
      <c r="A319" s="13" t="s">
        <v>226</v>
      </c>
      <c r="B319" s="1">
        <v>3130</v>
      </c>
      <c r="C319" s="14" t="s">
        <v>226</v>
      </c>
      <c r="D319" s="1">
        <v>4</v>
      </c>
      <c r="E319" s="1">
        <v>0</v>
      </c>
      <c r="F319" s="1">
        <v>1</v>
      </c>
      <c r="G319" s="1">
        <v>0</v>
      </c>
      <c r="H319" s="1">
        <v>0</v>
      </c>
      <c r="I319" s="1">
        <v>1</v>
      </c>
      <c r="J319" s="1">
        <v>1</v>
      </c>
      <c r="K319" s="1">
        <v>100</v>
      </c>
      <c r="L319" s="1">
        <v>100</v>
      </c>
    </row>
    <row r="320" spans="1:12" x14ac:dyDescent="0.15">
      <c r="A320" s="13" t="s">
        <v>227</v>
      </c>
      <c r="B320" s="1">
        <v>3131</v>
      </c>
      <c r="C320" s="14" t="s">
        <v>292</v>
      </c>
      <c r="D320" s="1">
        <v>4</v>
      </c>
      <c r="E320" s="1">
        <v>0</v>
      </c>
      <c r="F320" s="1">
        <v>1</v>
      </c>
      <c r="G320" s="1">
        <v>0</v>
      </c>
      <c r="H320" s="1">
        <v>0</v>
      </c>
      <c r="I320" s="1">
        <v>1</v>
      </c>
      <c r="J320" s="1">
        <v>1</v>
      </c>
      <c r="K320" s="1">
        <v>100</v>
      </c>
      <c r="L320" s="1">
        <v>100</v>
      </c>
    </row>
    <row r="321" spans="1:12" x14ac:dyDescent="0.15">
      <c r="A321" s="13" t="s">
        <v>203</v>
      </c>
      <c r="B321" s="1">
        <v>3132</v>
      </c>
      <c r="C321" s="14" t="s">
        <v>293</v>
      </c>
      <c r="D321" s="1">
        <v>4</v>
      </c>
      <c r="E321" s="1">
        <v>0</v>
      </c>
      <c r="F321" s="1">
        <v>1</v>
      </c>
      <c r="G321" s="1">
        <v>0</v>
      </c>
      <c r="H321" s="1">
        <v>0</v>
      </c>
      <c r="I321" s="1">
        <v>1</v>
      </c>
      <c r="J321" s="1">
        <v>1</v>
      </c>
      <c r="K321" s="1">
        <v>100</v>
      </c>
      <c r="L321" s="1">
        <v>100</v>
      </c>
    </row>
    <row r="322" spans="1:12" x14ac:dyDescent="0.15">
      <c r="A322" s="13" t="s">
        <v>228</v>
      </c>
      <c r="B322" s="1">
        <v>3133</v>
      </c>
      <c r="C322" s="14" t="s">
        <v>294</v>
      </c>
      <c r="D322" s="1">
        <v>4</v>
      </c>
      <c r="E322" s="1">
        <v>0</v>
      </c>
      <c r="F322" s="1">
        <v>1</v>
      </c>
      <c r="G322" s="1">
        <v>0</v>
      </c>
      <c r="H322" s="1">
        <v>0</v>
      </c>
      <c r="I322" s="1">
        <v>1</v>
      </c>
      <c r="J322" s="1">
        <v>1</v>
      </c>
      <c r="K322" s="1">
        <v>100</v>
      </c>
      <c r="L322" s="1">
        <v>100</v>
      </c>
    </row>
    <row r="323" spans="1:12" x14ac:dyDescent="0.15">
      <c r="A323" s="13" t="s">
        <v>229</v>
      </c>
      <c r="B323" s="1">
        <v>3134</v>
      </c>
      <c r="C323" s="14" t="s">
        <v>295</v>
      </c>
      <c r="D323" s="1">
        <v>4</v>
      </c>
      <c r="E323" s="1">
        <v>0</v>
      </c>
      <c r="F323" s="1">
        <v>1</v>
      </c>
      <c r="G323" s="1">
        <v>0</v>
      </c>
      <c r="H323" s="1">
        <v>0</v>
      </c>
      <c r="I323" s="1">
        <v>1</v>
      </c>
      <c r="J323" s="1">
        <v>1</v>
      </c>
      <c r="K323" s="1">
        <v>100</v>
      </c>
      <c r="L323" s="1">
        <v>100</v>
      </c>
    </row>
    <row r="324" spans="1:12" x14ac:dyDescent="0.15">
      <c r="A324" s="13" t="s">
        <v>230</v>
      </c>
      <c r="B324" s="1">
        <v>3135</v>
      </c>
      <c r="C324" s="14" t="s">
        <v>297</v>
      </c>
      <c r="D324" s="1">
        <v>4</v>
      </c>
      <c r="E324" s="1">
        <v>0</v>
      </c>
      <c r="F324" s="1">
        <v>1</v>
      </c>
      <c r="G324" s="1">
        <v>0</v>
      </c>
      <c r="H324" s="1">
        <v>0</v>
      </c>
      <c r="I324" s="1">
        <v>1</v>
      </c>
      <c r="J324" s="1">
        <v>1</v>
      </c>
      <c r="K324" s="1">
        <v>100</v>
      </c>
      <c r="L324" s="1">
        <v>100</v>
      </c>
    </row>
    <row r="325" spans="1:12" x14ac:dyDescent="0.15">
      <c r="A325" s="13" t="s">
        <v>189</v>
      </c>
      <c r="B325" s="1">
        <v>3136</v>
      </c>
      <c r="C325" s="14" t="s">
        <v>298</v>
      </c>
      <c r="D325" s="1">
        <v>4</v>
      </c>
      <c r="E325" s="1">
        <v>0</v>
      </c>
      <c r="F325" s="1">
        <v>1</v>
      </c>
      <c r="G325" s="1">
        <v>0</v>
      </c>
      <c r="H325" s="1">
        <v>0</v>
      </c>
      <c r="I325" s="1">
        <v>1</v>
      </c>
      <c r="J325" s="1">
        <v>1</v>
      </c>
      <c r="K325" s="1">
        <v>100</v>
      </c>
      <c r="L325" s="1">
        <v>100</v>
      </c>
    </row>
    <row r="326" spans="1:12" x14ac:dyDescent="0.15">
      <c r="A326" s="13" t="s">
        <v>231</v>
      </c>
      <c r="B326" s="1">
        <v>3137</v>
      </c>
      <c r="C326" s="14" t="s">
        <v>299</v>
      </c>
      <c r="D326" s="1">
        <v>4</v>
      </c>
      <c r="E326" s="1">
        <v>0</v>
      </c>
      <c r="F326" s="1">
        <v>1</v>
      </c>
      <c r="G326" s="1">
        <v>0</v>
      </c>
      <c r="H326" s="1">
        <v>0</v>
      </c>
      <c r="I326" s="1">
        <v>1</v>
      </c>
      <c r="J326" s="1">
        <v>1</v>
      </c>
      <c r="K326" s="1">
        <v>100</v>
      </c>
      <c r="L326" s="1">
        <v>100</v>
      </c>
    </row>
    <row r="327" spans="1:12" x14ac:dyDescent="0.15">
      <c r="A327" s="13" t="s">
        <v>232</v>
      </c>
      <c r="B327" s="1">
        <v>3138</v>
      </c>
      <c r="C327" s="14" t="s">
        <v>296</v>
      </c>
      <c r="D327" s="1">
        <v>4</v>
      </c>
      <c r="E327" s="1">
        <v>0</v>
      </c>
      <c r="F327" s="1">
        <v>1</v>
      </c>
      <c r="G327" s="1">
        <v>0</v>
      </c>
      <c r="H327" s="1">
        <v>0</v>
      </c>
      <c r="I327" s="1">
        <v>1</v>
      </c>
      <c r="J327" s="1">
        <v>1</v>
      </c>
      <c r="K327" s="1">
        <v>100</v>
      </c>
      <c r="L327" s="1">
        <v>100</v>
      </c>
    </row>
    <row r="328" spans="1:12" x14ac:dyDescent="0.15">
      <c r="A328" s="13" t="s">
        <v>233</v>
      </c>
      <c r="B328" s="1">
        <v>3139</v>
      </c>
      <c r="C328" s="14" t="s">
        <v>300</v>
      </c>
      <c r="D328" s="1">
        <v>4</v>
      </c>
      <c r="E328" s="1">
        <v>0</v>
      </c>
      <c r="F328" s="1">
        <v>1</v>
      </c>
      <c r="G328" s="1">
        <v>0</v>
      </c>
      <c r="H328" s="1">
        <v>0</v>
      </c>
      <c r="I328" s="1">
        <v>1</v>
      </c>
      <c r="J328" s="1">
        <v>1</v>
      </c>
      <c r="K328" s="1">
        <v>100</v>
      </c>
      <c r="L328" s="1">
        <v>100</v>
      </c>
    </row>
    <row r="329" spans="1:12" x14ac:dyDescent="0.15">
      <c r="A329" s="13" t="s">
        <v>234</v>
      </c>
      <c r="B329" s="1">
        <v>3140</v>
      </c>
      <c r="C329" s="14" t="s">
        <v>301</v>
      </c>
      <c r="D329" s="1">
        <v>4</v>
      </c>
      <c r="E329" s="1">
        <v>0</v>
      </c>
      <c r="F329" s="1">
        <v>1</v>
      </c>
      <c r="G329" s="1">
        <v>0</v>
      </c>
      <c r="H329" s="1">
        <v>0</v>
      </c>
      <c r="I329" s="1">
        <v>1</v>
      </c>
      <c r="J329" s="1">
        <v>1</v>
      </c>
      <c r="K329" s="1">
        <v>100</v>
      </c>
      <c r="L329" s="1">
        <v>100</v>
      </c>
    </row>
    <row r="330" spans="1:12" x14ac:dyDescent="0.15">
      <c r="A330" s="13" t="s">
        <v>235</v>
      </c>
      <c r="B330" s="1">
        <v>3141</v>
      </c>
      <c r="C330" s="14" t="s">
        <v>302</v>
      </c>
      <c r="D330" s="1">
        <v>4</v>
      </c>
      <c r="E330" s="1">
        <v>0</v>
      </c>
      <c r="F330" s="1">
        <v>1</v>
      </c>
      <c r="G330" s="1">
        <v>0</v>
      </c>
      <c r="H330" s="1">
        <v>0</v>
      </c>
      <c r="I330" s="1">
        <v>1</v>
      </c>
      <c r="J330" s="1">
        <v>1</v>
      </c>
      <c r="K330" s="1">
        <v>100</v>
      </c>
      <c r="L330" s="1">
        <v>100</v>
      </c>
    </row>
    <row r="331" spans="1:12" x14ac:dyDescent="0.15">
      <c r="A331" s="13" t="s">
        <v>196</v>
      </c>
      <c r="B331" s="1">
        <v>3142</v>
      </c>
      <c r="C331" s="14" t="s">
        <v>303</v>
      </c>
      <c r="D331" s="1">
        <v>4</v>
      </c>
      <c r="E331" s="1">
        <v>0</v>
      </c>
      <c r="F331" s="1">
        <v>1</v>
      </c>
      <c r="G331" s="1">
        <v>0</v>
      </c>
      <c r="H331" s="1">
        <v>0</v>
      </c>
      <c r="I331" s="1">
        <v>1</v>
      </c>
      <c r="J331" s="1">
        <v>1</v>
      </c>
      <c r="K331" s="1">
        <v>100</v>
      </c>
      <c r="L331" s="1">
        <v>100</v>
      </c>
    </row>
    <row r="332" spans="1:12" x14ac:dyDescent="0.15">
      <c r="A332" s="13" t="s">
        <v>206</v>
      </c>
      <c r="B332" s="1">
        <v>3143</v>
      </c>
      <c r="C332" s="14" t="s">
        <v>304</v>
      </c>
      <c r="D332" s="1">
        <v>4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100</v>
      </c>
      <c r="L332" s="1">
        <v>100</v>
      </c>
    </row>
    <row r="333" spans="1:12" x14ac:dyDescent="0.15">
      <c r="A333" s="13" t="s">
        <v>193</v>
      </c>
      <c r="B333" s="1">
        <v>3144</v>
      </c>
      <c r="C333" s="14" t="s">
        <v>305</v>
      </c>
      <c r="D333" s="1">
        <v>4</v>
      </c>
      <c r="E333" s="1">
        <v>0</v>
      </c>
      <c r="F333" s="1">
        <v>1</v>
      </c>
      <c r="G333" s="1">
        <v>0</v>
      </c>
      <c r="H333" s="1">
        <v>0</v>
      </c>
      <c r="I333" s="1">
        <v>1</v>
      </c>
      <c r="J333" s="1">
        <v>1</v>
      </c>
      <c r="K333" s="1">
        <v>100</v>
      </c>
      <c r="L333" s="1">
        <v>100</v>
      </c>
    </row>
    <row r="334" spans="1:12" x14ac:dyDescent="0.15">
      <c r="A334" s="13" t="s">
        <v>236</v>
      </c>
      <c r="B334" s="1">
        <v>3145</v>
      </c>
      <c r="C334" s="14" t="s">
        <v>306</v>
      </c>
      <c r="D334" s="1">
        <v>4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1</v>
      </c>
      <c r="K334" s="1">
        <v>100</v>
      </c>
      <c r="L334" s="1">
        <v>100</v>
      </c>
    </row>
    <row r="335" spans="1:12" x14ac:dyDescent="0.15">
      <c r="A335" s="13" t="s">
        <v>237</v>
      </c>
      <c r="B335" s="1">
        <v>3146</v>
      </c>
      <c r="C335" s="14" t="s">
        <v>307</v>
      </c>
      <c r="D335" s="1">
        <v>4</v>
      </c>
      <c r="E335" s="1">
        <v>0</v>
      </c>
      <c r="F335" s="1">
        <v>1</v>
      </c>
      <c r="G335" s="1">
        <v>0</v>
      </c>
      <c r="H335" s="1">
        <v>0</v>
      </c>
      <c r="I335" s="1">
        <v>1</v>
      </c>
      <c r="J335" s="1">
        <v>1</v>
      </c>
      <c r="K335" s="1">
        <v>100</v>
      </c>
      <c r="L335" s="1">
        <v>100</v>
      </c>
    </row>
    <row r="336" spans="1:12" x14ac:dyDescent="0.15">
      <c r="A336" s="13" t="s">
        <v>238</v>
      </c>
      <c r="B336" s="1">
        <v>3147</v>
      </c>
      <c r="C336" s="14" t="s">
        <v>309</v>
      </c>
      <c r="D336" s="1">
        <v>4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1</v>
      </c>
      <c r="K336" s="1">
        <v>100</v>
      </c>
      <c r="L336" s="1">
        <v>100</v>
      </c>
    </row>
    <row r="337" spans="1:12" x14ac:dyDescent="0.15">
      <c r="A337" s="13" t="s">
        <v>239</v>
      </c>
      <c r="B337" s="1">
        <v>3148</v>
      </c>
      <c r="C337" s="14" t="s">
        <v>308</v>
      </c>
      <c r="D337" s="1">
        <v>4</v>
      </c>
      <c r="E337" s="1">
        <v>0</v>
      </c>
      <c r="F337" s="1">
        <v>1</v>
      </c>
      <c r="G337" s="1">
        <v>0</v>
      </c>
      <c r="H337" s="1">
        <v>0</v>
      </c>
      <c r="I337" s="1">
        <v>1</v>
      </c>
      <c r="J337" s="1">
        <v>1</v>
      </c>
      <c r="K337" s="1">
        <v>100</v>
      </c>
      <c r="L337" s="1">
        <v>100</v>
      </c>
    </row>
    <row r="338" spans="1:12" x14ac:dyDescent="0.15">
      <c r="A338" s="13" t="s">
        <v>311</v>
      </c>
      <c r="B338" s="1">
        <v>3149</v>
      </c>
      <c r="C338" s="14" t="s">
        <v>310</v>
      </c>
      <c r="D338" s="1">
        <v>4</v>
      </c>
      <c r="E338" s="1">
        <v>0</v>
      </c>
      <c r="F338" s="1">
        <v>1</v>
      </c>
      <c r="G338" s="1">
        <v>0</v>
      </c>
      <c r="H338" s="1">
        <v>0</v>
      </c>
      <c r="I338" s="1">
        <v>1</v>
      </c>
      <c r="J338" s="1">
        <v>1</v>
      </c>
      <c r="K338" s="1">
        <v>100</v>
      </c>
      <c r="L338" s="1">
        <v>100</v>
      </c>
    </row>
    <row r="339" spans="1:12" x14ac:dyDescent="0.15">
      <c r="A339" s="13" t="s">
        <v>240</v>
      </c>
      <c r="B339" s="1">
        <v>3150</v>
      </c>
      <c r="C339" s="14" t="s">
        <v>312</v>
      </c>
      <c r="D339" s="1">
        <v>4</v>
      </c>
      <c r="E339" s="1">
        <v>0</v>
      </c>
      <c r="F339" s="1">
        <v>1</v>
      </c>
      <c r="G339" s="1">
        <v>0</v>
      </c>
      <c r="H339" s="1">
        <v>0</v>
      </c>
      <c r="I339" s="1">
        <v>1</v>
      </c>
      <c r="J339" s="1">
        <v>1</v>
      </c>
      <c r="K339" s="1">
        <v>100</v>
      </c>
      <c r="L339" s="1">
        <v>100</v>
      </c>
    </row>
    <row r="340" spans="1:12" x14ac:dyDescent="0.15">
      <c r="A340" s="13" t="s">
        <v>241</v>
      </c>
      <c r="B340" s="1">
        <v>3151</v>
      </c>
      <c r="C340" s="14" t="s">
        <v>313</v>
      </c>
      <c r="D340" s="1">
        <v>4</v>
      </c>
      <c r="E340" s="1">
        <v>0</v>
      </c>
      <c r="F340" s="1">
        <v>1</v>
      </c>
      <c r="G340" s="1">
        <v>0</v>
      </c>
      <c r="H340" s="1">
        <v>0</v>
      </c>
      <c r="I340" s="1">
        <v>1</v>
      </c>
      <c r="J340" s="1">
        <v>1</v>
      </c>
      <c r="K340" s="1">
        <v>100</v>
      </c>
      <c r="L340" s="1">
        <v>100</v>
      </c>
    </row>
    <row r="341" spans="1:12" x14ac:dyDescent="0.15">
      <c r="A341" s="13" t="s">
        <v>242</v>
      </c>
      <c r="B341" s="1">
        <v>3152</v>
      </c>
      <c r="C341" s="14" t="s">
        <v>314</v>
      </c>
      <c r="D341" s="1">
        <v>4</v>
      </c>
      <c r="E341" s="1">
        <v>0</v>
      </c>
      <c r="F341" s="1">
        <v>1</v>
      </c>
      <c r="G341" s="1">
        <v>0</v>
      </c>
      <c r="H341" s="1">
        <v>0</v>
      </c>
      <c r="I341" s="1">
        <v>1</v>
      </c>
      <c r="J341" s="1">
        <v>1</v>
      </c>
      <c r="K341" s="1">
        <v>100</v>
      </c>
      <c r="L341" s="1">
        <v>100</v>
      </c>
    </row>
    <row r="342" spans="1:12" x14ac:dyDescent="0.15">
      <c r="A342" s="13" t="s">
        <v>243</v>
      </c>
      <c r="B342" s="1">
        <v>3153</v>
      </c>
      <c r="C342" s="14" t="s">
        <v>315</v>
      </c>
      <c r="D342" s="1">
        <v>4</v>
      </c>
      <c r="E342" s="1">
        <v>0</v>
      </c>
      <c r="F342" s="1">
        <v>1</v>
      </c>
      <c r="G342" s="1">
        <v>0</v>
      </c>
      <c r="H342" s="1">
        <v>0</v>
      </c>
      <c r="I342" s="1">
        <v>1</v>
      </c>
      <c r="J342" s="1">
        <v>1</v>
      </c>
      <c r="K342" s="1">
        <v>100</v>
      </c>
      <c r="L342" s="1">
        <v>100</v>
      </c>
    </row>
    <row r="343" spans="1:12" x14ac:dyDescent="0.15">
      <c r="A343" s="13" t="s">
        <v>244</v>
      </c>
      <c r="B343" s="1">
        <v>3154</v>
      </c>
      <c r="C343" s="14" t="s">
        <v>316</v>
      </c>
      <c r="D343" s="1">
        <v>4</v>
      </c>
      <c r="E343" s="1">
        <v>0</v>
      </c>
      <c r="F343" s="1">
        <v>1</v>
      </c>
      <c r="G343" s="1">
        <v>0</v>
      </c>
      <c r="H343" s="1">
        <v>0</v>
      </c>
      <c r="I343" s="1">
        <v>1</v>
      </c>
      <c r="J343" s="1">
        <v>1</v>
      </c>
      <c r="K343" s="1">
        <v>100</v>
      </c>
      <c r="L343" s="1">
        <v>100</v>
      </c>
    </row>
    <row r="344" spans="1:12" x14ac:dyDescent="0.15">
      <c r="A344" s="13" t="s">
        <v>245</v>
      </c>
      <c r="B344" s="1">
        <v>3155</v>
      </c>
      <c r="C344" s="14" t="s">
        <v>317</v>
      </c>
      <c r="D344" s="1">
        <v>4</v>
      </c>
      <c r="E344" s="1">
        <v>0</v>
      </c>
      <c r="F344" s="1">
        <v>1</v>
      </c>
      <c r="G344" s="1">
        <v>0</v>
      </c>
      <c r="H344" s="1">
        <v>0</v>
      </c>
      <c r="I344" s="1">
        <v>1</v>
      </c>
      <c r="J344" s="1">
        <v>1</v>
      </c>
      <c r="K344" s="1">
        <v>100</v>
      </c>
      <c r="L344" s="1">
        <v>100</v>
      </c>
    </row>
    <row r="345" spans="1:12" x14ac:dyDescent="0.15">
      <c r="A345" s="13" t="s">
        <v>246</v>
      </c>
      <c r="B345" s="1">
        <v>3156</v>
      </c>
      <c r="C345" s="14" t="s">
        <v>318</v>
      </c>
      <c r="D345" s="1">
        <v>4</v>
      </c>
      <c r="E345" s="1">
        <v>0</v>
      </c>
      <c r="F345" s="1">
        <v>1</v>
      </c>
      <c r="G345" s="1">
        <v>0</v>
      </c>
      <c r="H345" s="1">
        <v>0</v>
      </c>
      <c r="I345" s="1">
        <v>1</v>
      </c>
      <c r="J345" s="1">
        <v>1</v>
      </c>
      <c r="K345" s="1">
        <v>100</v>
      </c>
      <c r="L345" s="1">
        <v>100</v>
      </c>
    </row>
    <row r="346" spans="1:12" x14ac:dyDescent="0.15">
      <c r="A346" s="13" t="s">
        <v>247</v>
      </c>
      <c r="B346" s="1">
        <v>3157</v>
      </c>
      <c r="C346" s="14" t="s">
        <v>319</v>
      </c>
      <c r="D346" s="1">
        <v>4</v>
      </c>
      <c r="E346" s="1">
        <v>0</v>
      </c>
      <c r="F346" s="1">
        <v>1</v>
      </c>
      <c r="G346" s="1">
        <v>0</v>
      </c>
      <c r="H346" s="1">
        <v>0</v>
      </c>
      <c r="I346" s="1">
        <v>1</v>
      </c>
      <c r="J346" s="1">
        <v>1</v>
      </c>
      <c r="K346" s="1">
        <v>100</v>
      </c>
      <c r="L346" s="1">
        <v>100</v>
      </c>
    </row>
    <row r="347" spans="1:12" x14ac:dyDescent="0.15">
      <c r="A347" s="13" t="s">
        <v>248</v>
      </c>
      <c r="B347" s="1">
        <v>3158</v>
      </c>
      <c r="C347" s="14" t="s">
        <v>320</v>
      </c>
      <c r="D347" s="1">
        <v>4</v>
      </c>
      <c r="E347" s="1">
        <v>0</v>
      </c>
      <c r="F347" s="1">
        <v>1</v>
      </c>
      <c r="G347" s="1">
        <v>0</v>
      </c>
      <c r="H347" s="1">
        <v>0</v>
      </c>
      <c r="I347" s="1">
        <v>1</v>
      </c>
      <c r="J347" s="1">
        <v>1</v>
      </c>
      <c r="K347" s="1">
        <v>100</v>
      </c>
      <c r="L347" s="1">
        <v>100</v>
      </c>
    </row>
    <row r="348" spans="1:12" x14ac:dyDescent="0.15">
      <c r="A348" s="13" t="s">
        <v>249</v>
      </c>
      <c r="B348" s="1">
        <v>3159</v>
      </c>
      <c r="C348" s="14" t="s">
        <v>321</v>
      </c>
      <c r="D348" s="1">
        <v>4</v>
      </c>
      <c r="E348" s="1">
        <v>0</v>
      </c>
      <c r="F348" s="1">
        <v>1</v>
      </c>
      <c r="G348" s="1">
        <v>0</v>
      </c>
      <c r="H348" s="1">
        <v>0</v>
      </c>
      <c r="I348" s="1">
        <v>1</v>
      </c>
      <c r="J348" s="1">
        <v>1</v>
      </c>
      <c r="K348" s="1">
        <v>100</v>
      </c>
      <c r="L348" s="1">
        <v>100</v>
      </c>
    </row>
    <row r="349" spans="1:12" x14ac:dyDescent="0.15">
      <c r="A349" s="13" t="s">
        <v>250</v>
      </c>
      <c r="B349" s="1">
        <v>3160</v>
      </c>
      <c r="C349" s="14" t="s">
        <v>322</v>
      </c>
      <c r="D349" s="1">
        <v>4</v>
      </c>
      <c r="E349" s="1">
        <v>0</v>
      </c>
      <c r="F349" s="1">
        <v>1</v>
      </c>
      <c r="G349" s="1">
        <v>0</v>
      </c>
      <c r="H349" s="1">
        <v>0</v>
      </c>
      <c r="I349" s="1">
        <v>1</v>
      </c>
      <c r="J349" s="1">
        <v>1</v>
      </c>
      <c r="K349" s="1">
        <v>100</v>
      </c>
      <c r="L349" s="1">
        <v>100</v>
      </c>
    </row>
    <row r="350" spans="1:12" x14ac:dyDescent="0.15">
      <c r="A350" s="13" t="s">
        <v>251</v>
      </c>
      <c r="B350" s="1">
        <v>3161</v>
      </c>
      <c r="C350" s="14" t="s">
        <v>323</v>
      </c>
      <c r="D350" s="1">
        <v>4</v>
      </c>
      <c r="E350" s="1">
        <v>0</v>
      </c>
      <c r="F350" s="1">
        <v>1</v>
      </c>
      <c r="G350" s="1">
        <v>0</v>
      </c>
      <c r="H350" s="1">
        <v>0</v>
      </c>
      <c r="I350" s="1">
        <v>1</v>
      </c>
      <c r="J350" s="1">
        <v>1</v>
      </c>
      <c r="K350" s="1">
        <v>100</v>
      </c>
      <c r="L350" s="1">
        <v>100</v>
      </c>
    </row>
    <row r="351" spans="1:12" x14ac:dyDescent="0.15">
      <c r="A351" s="13" t="s">
        <v>252</v>
      </c>
      <c r="B351" s="1">
        <v>3162</v>
      </c>
      <c r="C351" s="14" t="s">
        <v>324</v>
      </c>
      <c r="D351" s="1">
        <v>4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1</v>
      </c>
      <c r="K351" s="1">
        <v>100</v>
      </c>
      <c r="L351" s="1">
        <v>100</v>
      </c>
    </row>
    <row r="352" spans="1:12" x14ac:dyDescent="0.15">
      <c r="A352" s="13" t="s">
        <v>253</v>
      </c>
      <c r="B352" s="1">
        <v>3163</v>
      </c>
      <c r="C352" s="14" t="s">
        <v>325</v>
      </c>
      <c r="D352" s="1">
        <v>4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1</v>
      </c>
      <c r="K352" s="1">
        <v>100</v>
      </c>
      <c r="L352" s="1">
        <v>100</v>
      </c>
    </row>
    <row r="353" spans="1:12" x14ac:dyDescent="0.15">
      <c r="A353" s="13" t="s">
        <v>254</v>
      </c>
      <c r="B353" s="1">
        <v>3164</v>
      </c>
      <c r="C353" s="14" t="s">
        <v>326</v>
      </c>
      <c r="D353" s="1">
        <v>4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1</v>
      </c>
      <c r="K353" s="1">
        <v>100</v>
      </c>
      <c r="L353" s="1">
        <v>100</v>
      </c>
    </row>
    <row r="354" spans="1:12" x14ac:dyDescent="0.15">
      <c r="A354" s="13" t="s">
        <v>255</v>
      </c>
      <c r="B354" s="1">
        <v>3165</v>
      </c>
      <c r="C354" s="14" t="s">
        <v>327</v>
      </c>
      <c r="D354" s="1">
        <v>4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1</v>
      </c>
      <c r="K354" s="1">
        <v>100</v>
      </c>
      <c r="L354" s="1">
        <v>100</v>
      </c>
    </row>
    <row r="355" spans="1:12" x14ac:dyDescent="0.15">
      <c r="A355" s="13" t="s">
        <v>256</v>
      </c>
      <c r="B355" s="1">
        <v>3166</v>
      </c>
      <c r="C355" s="14" t="s">
        <v>328</v>
      </c>
      <c r="D355" s="1">
        <v>4</v>
      </c>
      <c r="E355" s="1">
        <v>0</v>
      </c>
      <c r="F355" s="1">
        <v>1</v>
      </c>
      <c r="G355" s="1">
        <v>0</v>
      </c>
      <c r="H355" s="1">
        <v>0</v>
      </c>
      <c r="I355" s="1">
        <v>1</v>
      </c>
      <c r="J355" s="1">
        <v>1</v>
      </c>
      <c r="K355" s="1">
        <v>100</v>
      </c>
      <c r="L355" s="1">
        <v>100</v>
      </c>
    </row>
    <row r="356" spans="1:12" x14ac:dyDescent="0.15">
      <c r="A356" s="13" t="s">
        <v>257</v>
      </c>
      <c r="B356" s="1">
        <v>3167</v>
      </c>
      <c r="C356" s="14" t="s">
        <v>329</v>
      </c>
      <c r="D356" s="1">
        <v>4</v>
      </c>
      <c r="E356" s="1">
        <v>0</v>
      </c>
      <c r="F356" s="1">
        <v>1</v>
      </c>
      <c r="G356" s="1">
        <v>0</v>
      </c>
      <c r="H356" s="1">
        <v>0</v>
      </c>
      <c r="I356" s="1">
        <v>1</v>
      </c>
      <c r="J356" s="1">
        <v>1</v>
      </c>
      <c r="K356" s="1">
        <v>100</v>
      </c>
      <c r="L356" s="1">
        <v>100</v>
      </c>
    </row>
    <row r="357" spans="1:12" x14ac:dyDescent="0.15">
      <c r="A357" s="13" t="s">
        <v>258</v>
      </c>
      <c r="B357" s="1">
        <v>3168</v>
      </c>
      <c r="C357" s="14" t="s">
        <v>330</v>
      </c>
      <c r="D357" s="1">
        <v>4</v>
      </c>
      <c r="E357" s="1">
        <v>0</v>
      </c>
      <c r="F357" s="1">
        <v>1</v>
      </c>
      <c r="G357" s="1">
        <v>0</v>
      </c>
      <c r="H357" s="1">
        <v>0</v>
      </c>
      <c r="I357" s="1">
        <v>1</v>
      </c>
      <c r="J357" s="1">
        <v>1</v>
      </c>
      <c r="K357" s="1">
        <v>100</v>
      </c>
      <c r="L357" s="1">
        <v>100</v>
      </c>
    </row>
    <row r="358" spans="1:12" x14ac:dyDescent="0.15">
      <c r="A358" s="13" t="s">
        <v>259</v>
      </c>
      <c r="B358" s="1">
        <v>3169</v>
      </c>
      <c r="C358" s="14" t="s">
        <v>341</v>
      </c>
      <c r="D358" s="1">
        <v>4</v>
      </c>
      <c r="E358" s="1">
        <v>0</v>
      </c>
      <c r="F358" s="1">
        <v>1</v>
      </c>
      <c r="G358" s="1">
        <v>0</v>
      </c>
      <c r="H358" s="1">
        <v>0</v>
      </c>
      <c r="I358" s="1">
        <v>1</v>
      </c>
      <c r="J358" s="1">
        <v>1</v>
      </c>
      <c r="K358" s="1">
        <v>100</v>
      </c>
      <c r="L358" s="1">
        <v>100</v>
      </c>
    </row>
    <row r="359" spans="1:12" x14ac:dyDescent="0.15">
      <c r="A359" s="13" t="s">
        <v>260</v>
      </c>
      <c r="B359" s="1">
        <v>3170</v>
      </c>
      <c r="C359" s="14" t="s">
        <v>331</v>
      </c>
      <c r="D359" s="1">
        <v>4</v>
      </c>
      <c r="E359" s="1">
        <v>0</v>
      </c>
      <c r="F359" s="1">
        <v>1</v>
      </c>
      <c r="G359" s="1">
        <v>0</v>
      </c>
      <c r="H359" s="1">
        <v>0</v>
      </c>
      <c r="I359" s="1">
        <v>1</v>
      </c>
      <c r="J359" s="1">
        <v>1</v>
      </c>
      <c r="K359" s="1">
        <v>100</v>
      </c>
      <c r="L359" s="1">
        <v>100</v>
      </c>
    </row>
    <row r="360" spans="1:12" x14ac:dyDescent="0.15">
      <c r="A360" s="13" t="s">
        <v>333</v>
      </c>
      <c r="B360" s="1">
        <v>3171</v>
      </c>
      <c r="C360" s="14" t="s">
        <v>261</v>
      </c>
      <c r="D360" s="1">
        <v>4</v>
      </c>
      <c r="E360" s="1">
        <v>0</v>
      </c>
      <c r="F360" s="1">
        <v>1</v>
      </c>
      <c r="G360" s="1">
        <v>0</v>
      </c>
      <c r="H360" s="1">
        <v>0</v>
      </c>
      <c r="I360" s="1">
        <v>1</v>
      </c>
      <c r="J360" s="1">
        <v>1</v>
      </c>
      <c r="K360" s="1">
        <v>100</v>
      </c>
      <c r="L360" s="1">
        <v>100</v>
      </c>
    </row>
    <row r="361" spans="1:12" x14ac:dyDescent="0.15">
      <c r="A361" s="13" t="s">
        <v>332</v>
      </c>
      <c r="B361" s="1">
        <v>3172</v>
      </c>
      <c r="C361" s="14" t="s">
        <v>262</v>
      </c>
      <c r="D361" s="1">
        <v>4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1</v>
      </c>
      <c r="K361" s="1">
        <v>100</v>
      </c>
      <c r="L361" s="1">
        <v>100</v>
      </c>
    </row>
    <row r="362" spans="1:12" x14ac:dyDescent="0.15">
      <c r="A362" s="13" t="s">
        <v>334</v>
      </c>
      <c r="B362" s="1">
        <v>3173</v>
      </c>
      <c r="C362" s="14" t="s">
        <v>263</v>
      </c>
      <c r="D362" s="1">
        <v>4</v>
      </c>
      <c r="E362" s="1">
        <v>0</v>
      </c>
      <c r="F362" s="1">
        <v>1</v>
      </c>
      <c r="G362" s="1">
        <v>0</v>
      </c>
      <c r="H362" s="1">
        <v>0</v>
      </c>
      <c r="I362" s="1">
        <v>1</v>
      </c>
      <c r="J362" s="1">
        <v>1</v>
      </c>
      <c r="K362" s="1">
        <v>100</v>
      </c>
      <c r="L362" s="1">
        <v>100</v>
      </c>
    </row>
    <row r="363" spans="1:12" x14ac:dyDescent="0.15">
      <c r="A363" s="13" t="s">
        <v>264</v>
      </c>
      <c r="B363" s="1">
        <v>3174</v>
      </c>
      <c r="C363" s="14" t="s">
        <v>335</v>
      </c>
      <c r="D363" s="1">
        <v>4</v>
      </c>
      <c r="E363" s="1">
        <v>0</v>
      </c>
      <c r="F363" s="1">
        <v>1</v>
      </c>
      <c r="G363" s="1">
        <v>0</v>
      </c>
      <c r="H363" s="1">
        <v>0</v>
      </c>
      <c r="I363" s="1">
        <v>1</v>
      </c>
      <c r="J363" s="1">
        <v>1</v>
      </c>
      <c r="K363" s="1">
        <v>100</v>
      </c>
      <c r="L363" s="1">
        <v>100</v>
      </c>
    </row>
    <row r="364" spans="1:12" x14ac:dyDescent="0.15">
      <c r="A364" s="13" t="s">
        <v>336</v>
      </c>
      <c r="B364" s="1">
        <v>3175</v>
      </c>
      <c r="C364" s="14" t="s">
        <v>265</v>
      </c>
      <c r="D364" s="1">
        <v>4</v>
      </c>
      <c r="E364" s="1">
        <v>0</v>
      </c>
      <c r="F364" s="1">
        <v>1</v>
      </c>
      <c r="G364" s="1">
        <v>0</v>
      </c>
      <c r="H364" s="1">
        <v>0</v>
      </c>
      <c r="I364" s="1">
        <v>1</v>
      </c>
      <c r="J364" s="1">
        <v>1</v>
      </c>
      <c r="K364" s="1">
        <v>100</v>
      </c>
      <c r="L364" s="1">
        <v>100</v>
      </c>
    </row>
    <row r="365" spans="1:12" x14ac:dyDescent="0.15">
      <c r="A365" s="13" t="s">
        <v>266</v>
      </c>
      <c r="B365" s="1">
        <v>3176</v>
      </c>
      <c r="C365" s="14" t="s">
        <v>337</v>
      </c>
      <c r="D365" s="1">
        <v>4</v>
      </c>
      <c r="E365" s="1">
        <v>0</v>
      </c>
      <c r="F365" s="1">
        <v>1</v>
      </c>
      <c r="G365" s="1">
        <v>0</v>
      </c>
      <c r="H365" s="1">
        <v>0</v>
      </c>
      <c r="I365" s="1">
        <v>1</v>
      </c>
      <c r="J365" s="1">
        <v>1</v>
      </c>
      <c r="K365" s="1">
        <v>100</v>
      </c>
      <c r="L365" s="1">
        <v>100</v>
      </c>
    </row>
    <row r="366" spans="1:12" x14ac:dyDescent="0.15">
      <c r="A366" s="13" t="s">
        <v>338</v>
      </c>
      <c r="B366" s="1">
        <v>3177</v>
      </c>
      <c r="C366" s="14" t="s">
        <v>267</v>
      </c>
      <c r="D366" s="1">
        <v>4</v>
      </c>
      <c r="E366" s="1">
        <v>0</v>
      </c>
      <c r="F366" s="1">
        <v>1</v>
      </c>
      <c r="G366" s="1">
        <v>0</v>
      </c>
      <c r="H366" s="1">
        <v>0</v>
      </c>
      <c r="I366" s="1">
        <v>1</v>
      </c>
      <c r="J366" s="1">
        <v>1</v>
      </c>
      <c r="K366" s="1">
        <v>100</v>
      </c>
      <c r="L366" s="1">
        <v>100</v>
      </c>
    </row>
    <row r="367" spans="1:12" x14ac:dyDescent="0.15">
      <c r="A367" s="13" t="s">
        <v>339</v>
      </c>
      <c r="B367" s="1">
        <v>3178</v>
      </c>
      <c r="C367" s="14" t="s">
        <v>268</v>
      </c>
      <c r="D367" s="1">
        <v>4</v>
      </c>
      <c r="E367" s="1">
        <v>0</v>
      </c>
      <c r="F367" s="1">
        <v>1</v>
      </c>
      <c r="G367" s="1">
        <v>0</v>
      </c>
      <c r="H367" s="1">
        <v>0</v>
      </c>
      <c r="I367" s="1">
        <v>1</v>
      </c>
      <c r="J367" s="1">
        <v>1</v>
      </c>
      <c r="K367" s="1">
        <v>100</v>
      </c>
      <c r="L367" s="1">
        <v>100</v>
      </c>
    </row>
    <row r="368" spans="1:12" x14ac:dyDescent="0.15">
      <c r="A368" s="12" t="s">
        <v>654</v>
      </c>
      <c r="B368" s="1">
        <v>4000</v>
      </c>
      <c r="C368" s="12" t="s">
        <v>654</v>
      </c>
      <c r="D368" s="1">
        <v>5</v>
      </c>
      <c r="E368" s="1">
        <v>0</v>
      </c>
      <c r="F368" s="1">
        <v>1</v>
      </c>
      <c r="G368" s="1">
        <v>0</v>
      </c>
      <c r="H368" s="1">
        <v>0</v>
      </c>
      <c r="I368" s="1">
        <v>1</v>
      </c>
      <c r="J368" s="1">
        <v>1</v>
      </c>
      <c r="K368" s="1">
        <v>100</v>
      </c>
      <c r="L368" s="1">
        <v>100</v>
      </c>
    </row>
    <row r="369" spans="1:12" x14ac:dyDescent="0.15">
      <c r="A369" s="12" t="s">
        <v>655</v>
      </c>
      <c r="B369" s="1">
        <v>4001</v>
      </c>
      <c r="C369" s="12" t="s">
        <v>655</v>
      </c>
      <c r="D369" s="1">
        <v>5</v>
      </c>
      <c r="E369" s="1">
        <v>0</v>
      </c>
      <c r="F369" s="1">
        <v>1</v>
      </c>
      <c r="G369" s="1">
        <v>0</v>
      </c>
      <c r="H369" s="1">
        <v>0</v>
      </c>
      <c r="I369" s="1">
        <v>1</v>
      </c>
      <c r="J369" s="1">
        <v>1</v>
      </c>
      <c r="K369" s="1">
        <v>100</v>
      </c>
      <c r="L369" s="1">
        <v>100</v>
      </c>
    </row>
    <row r="370" spans="1:12" x14ac:dyDescent="0.15">
      <c r="A370" s="12" t="s">
        <v>656</v>
      </c>
      <c r="B370" s="1">
        <v>4002</v>
      </c>
      <c r="C370" s="12" t="s">
        <v>656</v>
      </c>
      <c r="D370" s="1">
        <v>5</v>
      </c>
      <c r="E370" s="1">
        <v>0</v>
      </c>
      <c r="F370" s="1">
        <v>1</v>
      </c>
      <c r="G370" s="1">
        <v>0</v>
      </c>
      <c r="H370" s="1">
        <v>0</v>
      </c>
      <c r="I370" s="1">
        <v>1</v>
      </c>
      <c r="J370" s="1">
        <v>1</v>
      </c>
      <c r="K370" s="1">
        <v>100</v>
      </c>
      <c r="L370" s="1">
        <v>100</v>
      </c>
    </row>
    <row r="371" spans="1:12" x14ac:dyDescent="0.15">
      <c r="A371" s="12" t="s">
        <v>657</v>
      </c>
      <c r="B371" s="1">
        <v>4003</v>
      </c>
      <c r="C371" s="12" t="s">
        <v>657</v>
      </c>
      <c r="D371" s="1">
        <v>5</v>
      </c>
      <c r="E371" s="1">
        <v>0</v>
      </c>
      <c r="F371" s="1">
        <v>1</v>
      </c>
      <c r="G371" s="1">
        <v>0</v>
      </c>
      <c r="H371" s="1">
        <v>0</v>
      </c>
      <c r="I371" s="1">
        <v>1</v>
      </c>
      <c r="J371" s="1">
        <v>1</v>
      </c>
      <c r="K371" s="1">
        <v>100</v>
      </c>
      <c r="L371" s="1">
        <v>100</v>
      </c>
    </row>
    <row r="372" spans="1:12" x14ac:dyDescent="0.15">
      <c r="A372" s="12" t="s">
        <v>658</v>
      </c>
      <c r="B372" s="1">
        <v>4004</v>
      </c>
      <c r="C372" s="12" t="s">
        <v>658</v>
      </c>
      <c r="D372" s="1">
        <v>5</v>
      </c>
      <c r="E372" s="1">
        <v>0</v>
      </c>
      <c r="F372" s="1">
        <v>1</v>
      </c>
      <c r="G372" s="1">
        <v>0</v>
      </c>
      <c r="H372" s="1">
        <v>0</v>
      </c>
      <c r="I372" s="1">
        <v>1</v>
      </c>
      <c r="J372" s="1">
        <v>1</v>
      </c>
      <c r="K372" s="1">
        <v>100</v>
      </c>
      <c r="L372" s="1">
        <v>100</v>
      </c>
    </row>
    <row r="373" spans="1:12" x14ac:dyDescent="0.15">
      <c r="A373" s="12" t="s">
        <v>659</v>
      </c>
      <c r="B373" s="1">
        <v>4005</v>
      </c>
      <c r="C373" s="12" t="s">
        <v>659</v>
      </c>
      <c r="D373" s="1">
        <v>5</v>
      </c>
      <c r="E373" s="1">
        <v>0</v>
      </c>
      <c r="F373" s="1">
        <v>1</v>
      </c>
      <c r="G373" s="1">
        <v>0</v>
      </c>
      <c r="H373" s="1">
        <v>0</v>
      </c>
      <c r="I373" s="1">
        <v>1</v>
      </c>
      <c r="J373" s="1">
        <v>1</v>
      </c>
      <c r="K373" s="1">
        <v>100</v>
      </c>
      <c r="L373" s="1">
        <v>100</v>
      </c>
    </row>
    <row r="374" spans="1:12" x14ac:dyDescent="0.15">
      <c r="A374" s="12" t="s">
        <v>660</v>
      </c>
      <c r="B374" s="1">
        <v>4006</v>
      </c>
      <c r="C374" s="12" t="s">
        <v>660</v>
      </c>
      <c r="D374" s="1">
        <v>5</v>
      </c>
      <c r="E374" s="1">
        <v>0</v>
      </c>
      <c r="F374" s="1">
        <v>1</v>
      </c>
      <c r="G374" s="1">
        <v>0</v>
      </c>
      <c r="H374" s="1">
        <v>0</v>
      </c>
      <c r="I374" s="1">
        <v>1</v>
      </c>
      <c r="J374" s="1">
        <v>1</v>
      </c>
      <c r="K374" s="1">
        <v>100</v>
      </c>
      <c r="L374" s="1">
        <v>100</v>
      </c>
    </row>
    <row r="375" spans="1:12" x14ac:dyDescent="0.15">
      <c r="A375" s="12" t="s">
        <v>661</v>
      </c>
      <c r="B375" s="1">
        <v>4007</v>
      </c>
      <c r="C375" s="12" t="s">
        <v>661</v>
      </c>
      <c r="D375" s="1">
        <v>5</v>
      </c>
      <c r="E375" s="1">
        <v>0</v>
      </c>
      <c r="F375" s="1">
        <v>1</v>
      </c>
      <c r="G375" s="1">
        <v>0</v>
      </c>
      <c r="H375" s="1">
        <v>0</v>
      </c>
      <c r="I375" s="1">
        <v>1</v>
      </c>
      <c r="J375" s="1">
        <v>1</v>
      </c>
      <c r="K375" s="1">
        <v>100</v>
      </c>
      <c r="L375" s="1">
        <v>100</v>
      </c>
    </row>
    <row r="376" spans="1:12" x14ac:dyDescent="0.15">
      <c r="A376" s="12" t="s">
        <v>662</v>
      </c>
      <c r="B376" s="1">
        <v>4008</v>
      </c>
      <c r="C376" s="12" t="s">
        <v>662</v>
      </c>
      <c r="D376" s="1">
        <v>5</v>
      </c>
      <c r="E376" s="1">
        <v>0</v>
      </c>
      <c r="F376" s="1">
        <v>1</v>
      </c>
      <c r="G376" s="1">
        <v>0</v>
      </c>
      <c r="H376" s="1">
        <v>0</v>
      </c>
      <c r="I376" s="1">
        <v>1</v>
      </c>
      <c r="J376" s="1">
        <v>1</v>
      </c>
      <c r="K376" s="1">
        <v>100</v>
      </c>
      <c r="L376" s="1">
        <v>100</v>
      </c>
    </row>
    <row r="377" spans="1:12" x14ac:dyDescent="0.15">
      <c r="A377" s="12" t="s">
        <v>663</v>
      </c>
      <c r="B377" s="1">
        <v>4009</v>
      </c>
      <c r="C377" s="12" t="s">
        <v>663</v>
      </c>
      <c r="D377" s="1">
        <v>5</v>
      </c>
      <c r="E377" s="1">
        <v>0</v>
      </c>
      <c r="F377" s="1">
        <v>1</v>
      </c>
      <c r="G377" s="1">
        <v>0</v>
      </c>
      <c r="H377" s="1">
        <v>0</v>
      </c>
      <c r="I377" s="1">
        <v>1</v>
      </c>
      <c r="J377" s="1">
        <v>1</v>
      </c>
      <c r="K377" s="1">
        <v>100</v>
      </c>
      <c r="L377" s="1">
        <v>100</v>
      </c>
    </row>
    <row r="378" spans="1:12" x14ac:dyDescent="0.15">
      <c r="A378" s="12" t="s">
        <v>664</v>
      </c>
      <c r="B378" s="1">
        <v>4010</v>
      </c>
      <c r="C378" s="12" t="s">
        <v>664</v>
      </c>
      <c r="D378" s="1">
        <v>5</v>
      </c>
      <c r="E378" s="1">
        <v>0</v>
      </c>
      <c r="F378" s="1">
        <v>1</v>
      </c>
      <c r="G378" s="1">
        <v>0</v>
      </c>
      <c r="H378" s="1">
        <v>0</v>
      </c>
      <c r="I378" s="1">
        <v>1</v>
      </c>
      <c r="J378" s="1">
        <v>1</v>
      </c>
      <c r="K378" s="1">
        <v>100</v>
      </c>
      <c r="L378" s="1">
        <v>100</v>
      </c>
    </row>
  </sheetData>
  <autoFilter ref="A3:C3">
    <sortState ref="A4:K127">
      <sortCondition ref="B3:B127"/>
    </sortState>
  </autoFilter>
  <phoneticPr fontId="1" type="noConversion"/>
  <conditionalFormatting sqref="A61:A1048576 A1:A59">
    <cfRule type="duplicateValues" dxfId="5" priority="7"/>
  </conditionalFormatting>
  <conditionalFormatting sqref="A60">
    <cfRule type="duplicateValues" dxfId="4" priority="5"/>
  </conditionalFormatting>
  <conditionalFormatting sqref="C10:C12">
    <cfRule type="duplicateValues" dxfId="3" priority="4"/>
  </conditionalFormatting>
  <conditionalFormatting sqref="C368:C378">
    <cfRule type="duplicateValues" dxfId="2" priority="3"/>
  </conditionalFormatting>
  <conditionalFormatting sqref="C83:C114">
    <cfRule type="duplicateValues" dxfId="1" priority="2"/>
  </conditionalFormatting>
  <conditionalFormatting sqref="C21:C8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E61" workbookViewId="0">
      <selection activeCell="P87" sqref="P87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355</v>
      </c>
      <c r="E6" t="s">
        <v>347</v>
      </c>
      <c r="F6" t="s">
        <v>459</v>
      </c>
      <c r="G6" s="3"/>
      <c r="H6" s="14" t="s">
        <v>409</v>
      </c>
      <c r="J6" s="12" t="s">
        <v>446</v>
      </c>
      <c r="K6" s="12" t="s">
        <v>515</v>
      </c>
      <c r="L6" s="12"/>
      <c r="N6" s="12">
        <f>VLOOKUP(J6,ItemData!$A$4:$B$378,2,FALSE)</f>
        <v>298</v>
      </c>
      <c r="O6" s="12">
        <f>VLOOKUP(K6,ItemData!$A$4:$B$378,2,FALSE)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356</v>
      </c>
      <c r="E7" t="s">
        <v>348</v>
      </c>
      <c r="F7" s="12" t="s">
        <v>459</v>
      </c>
      <c r="G7" s="3"/>
      <c r="H7" s="14" t="s">
        <v>408</v>
      </c>
      <c r="J7" s="12" t="s">
        <v>355</v>
      </c>
      <c r="K7" s="12" t="s">
        <v>385</v>
      </c>
      <c r="L7" s="12" t="s">
        <v>504</v>
      </c>
      <c r="N7" s="12">
        <f>VLOOKUP(J7,ItemData!$A$4:$B$378,2,FALSE)</f>
        <v>1600</v>
      </c>
      <c r="O7" s="12">
        <f>VLOOKUP(K7,ItemData!$A$4:$B$378,2,FALSE)</f>
        <v>220</v>
      </c>
      <c r="P7" s="12">
        <f>VLOOKUP(L7,ItemData!$A$4:$B$378,2,FALSE)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416</v>
      </c>
      <c r="E8" t="s">
        <v>349</v>
      </c>
      <c r="F8" s="12" t="s">
        <v>459</v>
      </c>
      <c r="G8" s="3"/>
      <c r="H8" s="17" t="s">
        <v>398</v>
      </c>
      <c r="J8" s="12" t="s">
        <v>409</v>
      </c>
      <c r="K8" s="7" t="s">
        <v>487</v>
      </c>
      <c r="L8" t="s">
        <v>472</v>
      </c>
      <c r="M8" t="s">
        <v>534</v>
      </c>
      <c r="N8" s="12">
        <f>VLOOKUP(J8,ItemData!$A$4:$B$378,2,FALSE)</f>
        <v>1600</v>
      </c>
      <c r="O8" s="12">
        <f>VLOOKUP(K8,ItemData!$A$4:$B$378,2,FALSE)</f>
        <v>229</v>
      </c>
      <c r="P8" s="12">
        <f>VLOOKUP(L8,ItemData!$A$4:$B$378,2,FALSE)</f>
        <v>205</v>
      </c>
      <c r="Q8" s="12">
        <f>VLOOKUP(M8,ItemData!$A$4:$B$378,2,FALSE)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357</v>
      </c>
      <c r="E9" t="s">
        <v>350</v>
      </c>
      <c r="F9" s="12" t="s">
        <v>459</v>
      </c>
      <c r="G9" s="3"/>
      <c r="H9" s="14" t="s">
        <v>410</v>
      </c>
      <c r="J9" s="12" t="s">
        <v>355</v>
      </c>
      <c r="K9" s="12" t="s">
        <v>481</v>
      </c>
      <c r="L9" s="12" t="s">
        <v>379</v>
      </c>
      <c r="M9" t="s">
        <v>476</v>
      </c>
      <c r="N9" s="12">
        <f>VLOOKUP(J9,ItemData!$A$4:$B$378,2,FALSE)</f>
        <v>1600</v>
      </c>
      <c r="O9" s="12">
        <f>VLOOKUP(K9,ItemData!$A$4:$B$378,2,FALSE)</f>
        <v>218</v>
      </c>
      <c r="P9" s="12">
        <f>VLOOKUP(L9,ItemData!$A$4:$B$378,2,FALSE)</f>
        <v>299</v>
      </c>
      <c r="Q9" s="12">
        <f>VLOOKUP(M9,ItemData!$A$4:$B$378,2,FALSE)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417</v>
      </c>
      <c r="F10" s="12" t="s">
        <v>459</v>
      </c>
      <c r="G10" s="3"/>
      <c r="H10" s="14" t="s">
        <v>407</v>
      </c>
      <c r="J10" s="12" t="s">
        <v>433</v>
      </c>
      <c r="K10" s="12" t="s">
        <v>506</v>
      </c>
      <c r="L10" s="12" t="s">
        <v>622</v>
      </c>
      <c r="M10" s="12" t="s">
        <v>434</v>
      </c>
      <c r="N10" s="12">
        <f>VLOOKUP(J10,ItemData!$A$4:$B$378,2,FALSE)</f>
        <v>1600</v>
      </c>
      <c r="O10" s="12">
        <f>VLOOKUP(K10,ItemData!$A$4:$B$378,2,FALSE)</f>
        <v>260</v>
      </c>
      <c r="P10" s="12">
        <f>VLOOKUP(L10,ItemData!$A$4:$B$378,2,FALSE)</f>
        <v>261</v>
      </c>
      <c r="Q10" s="12">
        <f>VLOOKUP(M10,ItemData!$A$4:$B$378,2,FALSE)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358</v>
      </c>
      <c r="F11" s="12" t="s">
        <v>459</v>
      </c>
      <c r="G11" s="3"/>
      <c r="H11" s="14" t="s">
        <v>414</v>
      </c>
      <c r="J11" s="16" t="s">
        <v>372</v>
      </c>
      <c r="K11" s="16" t="s">
        <v>550</v>
      </c>
      <c r="L11" s="16" t="s">
        <v>381</v>
      </c>
      <c r="N11" s="12">
        <f>VLOOKUP(J11,ItemData!$A$4:$B$378,2,FALSE)</f>
        <v>104</v>
      </c>
      <c r="O11" s="12">
        <f>VLOOKUP(K11,ItemData!$A$4:$B$378,2,FALSE)</f>
        <v>298</v>
      </c>
      <c r="P11" s="12">
        <f>VLOOKUP(L11,ItemData!$A$4:$B$378,2,FALSE)</f>
        <v>274</v>
      </c>
      <c r="Q11" s="12"/>
      <c r="S11" s="12" t="str">
        <f t="shared" si="0"/>
        <v>104,298,274</v>
      </c>
    </row>
    <row r="12" spans="2:19" x14ac:dyDescent="0.15">
      <c r="B12" s="3">
        <v>1606</v>
      </c>
      <c r="C12" s="1" t="s">
        <v>359</v>
      </c>
      <c r="F12" s="12" t="s">
        <v>459</v>
      </c>
      <c r="G12" s="3"/>
      <c r="H12" s="14" t="s">
        <v>436</v>
      </c>
      <c r="I12" s="12"/>
      <c r="J12" s="1" t="s">
        <v>592</v>
      </c>
      <c r="K12" s="16" t="s">
        <v>391</v>
      </c>
      <c r="L12" s="16" t="s">
        <v>493</v>
      </c>
      <c r="M12" s="12" t="s">
        <v>392</v>
      </c>
      <c r="N12" s="12">
        <f>VLOOKUP(J12,ItemData!$A$4:$B$378,2,FALSE)</f>
        <v>1605</v>
      </c>
      <c r="O12" s="12">
        <f>VLOOKUP(K12,ItemData!$A$4:$B$378,2,FALSE)</f>
        <v>259</v>
      </c>
      <c r="P12" s="12">
        <f>VLOOKUP(L12,ItemData!$A$4:$B$378,2,FALSE)</f>
        <v>237</v>
      </c>
      <c r="Q12" s="12">
        <f>VLOOKUP(M12,ItemData!$A$4:$B$378,2,FALSE)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436</v>
      </c>
      <c r="F13" s="12" t="s">
        <v>459</v>
      </c>
      <c r="G13" s="3"/>
      <c r="H13" s="14" t="s">
        <v>642</v>
      </c>
      <c r="J13" s="12" t="s">
        <v>358</v>
      </c>
      <c r="K13" s="12" t="s">
        <v>527</v>
      </c>
      <c r="L13" s="16" t="s">
        <v>602</v>
      </c>
      <c r="N13" s="12">
        <f>VLOOKUP(J13,ItemData!$A$4:$B$378,2,FALSE)</f>
        <v>1605</v>
      </c>
      <c r="O13" s="12">
        <f>VLOOKUP(K13,ItemData!$A$4:$B$378,2,FALSE)</f>
        <v>275</v>
      </c>
      <c r="P13" s="12">
        <f>VLOOKUP(L13,ItemData!$A$4:$B$378,2,FALSE)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360</v>
      </c>
      <c r="F14" s="12" t="s">
        <v>459</v>
      </c>
      <c r="G14" s="3"/>
      <c r="H14" s="14" t="s">
        <v>360</v>
      </c>
      <c r="J14" s="12" t="s">
        <v>358</v>
      </c>
      <c r="K14" s="12" t="s">
        <v>387</v>
      </c>
      <c r="L14" s="12" t="s">
        <v>494</v>
      </c>
      <c r="M14" t="s">
        <v>489</v>
      </c>
      <c r="N14" s="12">
        <f>VLOOKUP(J14,ItemData!$A$4:$B$378,2,FALSE)</f>
        <v>1605</v>
      </c>
      <c r="O14" s="12">
        <f>VLOOKUP(K14,ItemData!$A$4:$B$378,2,FALSE)</f>
        <v>227</v>
      </c>
      <c r="P14" s="12">
        <f>VLOOKUP(L14,ItemData!$A$4:$B$378,2,FALSE)</f>
        <v>240</v>
      </c>
      <c r="Q14" s="12">
        <f>VLOOKUP(M14,ItemData!$A$4:$B$378,2,FALSE)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361</v>
      </c>
      <c r="F15" s="12" t="s">
        <v>459</v>
      </c>
      <c r="G15" s="3"/>
      <c r="H15" s="9" t="s">
        <v>572</v>
      </c>
      <c r="J15" s="12" t="s">
        <v>493</v>
      </c>
      <c r="K15" s="12" t="s">
        <v>515</v>
      </c>
      <c r="L15" s="12" t="s">
        <v>503</v>
      </c>
      <c r="M15" s="12" t="s">
        <v>587</v>
      </c>
      <c r="N15" s="12">
        <f>VLOOKUP(J15,ItemData!$A$4:$B$378,2,FALSE)</f>
        <v>237</v>
      </c>
      <c r="O15" s="12">
        <f>VLOOKUP(K15,ItemData!$A$4:$B$378,2,FALSE)</f>
        <v>274</v>
      </c>
      <c r="P15" s="12">
        <f>VLOOKUP(L15,ItemData!$A$4:$B$378,2,FALSE)</f>
        <v>256</v>
      </c>
      <c r="Q15" s="12">
        <f>VLOOKUP(M15,ItemData!$A$4:$B$378,2,FALSE)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362</v>
      </c>
      <c r="F16" s="12" t="s">
        <v>459</v>
      </c>
      <c r="G16" s="3"/>
      <c r="H16" s="9" t="s">
        <v>573</v>
      </c>
      <c r="J16" s="12" t="s">
        <v>538</v>
      </c>
      <c r="K16" s="12" t="s">
        <v>358</v>
      </c>
      <c r="L16" s="12" t="s">
        <v>625</v>
      </c>
      <c r="M16" s="12" t="s">
        <v>724</v>
      </c>
      <c r="N16" s="12">
        <f>VLOOKUP(J16,ItemData!$A$4:$B$378,2,FALSE)</f>
        <v>269</v>
      </c>
      <c r="O16" s="12">
        <f>VLOOKUP(K16,ItemData!$A$4:$B$378,2,FALSE)</f>
        <v>1605</v>
      </c>
      <c r="P16" s="12">
        <f>VLOOKUP(L16,ItemData!$A$4:$B$378,2,FALSE)</f>
        <v>264</v>
      </c>
      <c r="Q16" s="12">
        <f>VLOOKUP(M16,ItemData!$A$4:$B$378,2,FALSE)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363</v>
      </c>
      <c r="F17" s="12" t="s">
        <v>459</v>
      </c>
      <c r="G17" s="3"/>
      <c r="H17" s="14" t="s">
        <v>546</v>
      </c>
      <c r="J17" s="12" t="s">
        <v>379</v>
      </c>
      <c r="K17" s="12" t="s">
        <v>381</v>
      </c>
      <c r="L17" t="s">
        <v>605</v>
      </c>
      <c r="N17" s="12">
        <f>VLOOKUP(J17,ItemData!$A$4:$B$378,2,FALSE)</f>
        <v>299</v>
      </c>
      <c r="O17" s="12">
        <f>VLOOKUP(K17,ItemData!$A$4:$B$378,2,FALSE)</f>
        <v>274</v>
      </c>
      <c r="P17" s="12">
        <f>VLOOKUP(L17,ItemData!$A$4:$B$378,2,FALSE)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364</v>
      </c>
      <c r="F18" s="12" t="s">
        <v>459</v>
      </c>
      <c r="G18" s="3"/>
      <c r="H18" s="14" t="s">
        <v>413</v>
      </c>
      <c r="J18" s="12" t="s">
        <v>547</v>
      </c>
      <c r="K18" s="12" t="s">
        <v>593</v>
      </c>
      <c r="L18" s="12" t="s">
        <v>395</v>
      </c>
      <c r="N18" s="12">
        <f>VLOOKUP(J18,ItemData!$A$4:$B$378,2,FALSE)</f>
        <v>1609</v>
      </c>
      <c r="O18" s="12">
        <f>VLOOKUP(K18,ItemData!$A$4:$B$378,2,FALSE)</f>
        <v>254</v>
      </c>
      <c r="P18" s="12">
        <f>VLOOKUP(L18,ItemData!$A$4:$B$378,2,FALSE)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365</v>
      </c>
      <c r="F19" s="12" t="s">
        <v>459</v>
      </c>
      <c r="G19" s="3"/>
      <c r="H19" s="14" t="s">
        <v>412</v>
      </c>
      <c r="J19" s="12" t="s">
        <v>361</v>
      </c>
      <c r="K19" s="12" t="s">
        <v>391</v>
      </c>
      <c r="L19" s="12" t="s">
        <v>505</v>
      </c>
      <c r="M19" s="12" t="s">
        <v>393</v>
      </c>
      <c r="N19" s="12">
        <f>VLOOKUP(J19,ItemData!$A$4:$B$378,2,FALSE)</f>
        <v>1609</v>
      </c>
      <c r="O19" s="12">
        <f>VLOOKUP(K19,ItemData!$A$4:$B$378,2,FALSE)</f>
        <v>259</v>
      </c>
      <c r="P19" s="12">
        <f>VLOOKUP(L19,ItemData!$A$4:$B$378,2,FALSE)</f>
        <v>258</v>
      </c>
      <c r="Q19" s="12">
        <f>VLOOKUP(M19,ItemData!$A$4:$B$378,2,FALSE)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418</v>
      </c>
      <c r="F20" s="12" t="s">
        <v>459</v>
      </c>
      <c r="G20" s="3"/>
      <c r="H20" s="14" t="s">
        <v>411</v>
      </c>
      <c r="J20" s="12" t="s">
        <v>361</v>
      </c>
      <c r="K20" s="12" t="s">
        <v>389</v>
      </c>
      <c r="L20" s="12" t="s">
        <v>506</v>
      </c>
      <c r="M20" s="12" t="s">
        <v>511</v>
      </c>
      <c r="N20" s="12">
        <f>VLOOKUP(J20,ItemData!$A$4:$B$378,2,FALSE)</f>
        <v>1609</v>
      </c>
      <c r="O20" s="12">
        <f>VLOOKUP(K20,ItemData!$A$4:$B$378,2,FALSE)</f>
        <v>253</v>
      </c>
      <c r="P20" s="12">
        <f>VLOOKUP(L20,ItemData!$A$4:$B$378,2,FALSE)</f>
        <v>260</v>
      </c>
      <c r="Q20" s="12">
        <f>VLOOKUP(M20,ItemData!$A$4:$B$378,2,FALSE)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366</v>
      </c>
      <c r="F21" s="12" t="s">
        <v>553</v>
      </c>
      <c r="G21" s="3"/>
      <c r="H21" s="14" t="s">
        <v>608</v>
      </c>
      <c r="J21" s="12" t="s">
        <v>375</v>
      </c>
      <c r="K21" s="12" t="s">
        <v>599</v>
      </c>
      <c r="L21" s="12" t="s">
        <v>612</v>
      </c>
      <c r="N21" s="12">
        <f>VLOOKUP(J21,ItemData!$A$4:$B$378,2,FALSE)</f>
        <v>238</v>
      </c>
      <c r="O21" s="12">
        <f>VLOOKUP(K21,ItemData!$A$4:$B$378,2,FALSE)</f>
        <v>276</v>
      </c>
      <c r="P21" s="12">
        <f>VLOOKUP(L21,ItemData!$A$4:$B$378,2,FALSE)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367</v>
      </c>
      <c r="F22" s="12" t="s">
        <v>553</v>
      </c>
      <c r="G22" s="3"/>
      <c r="H22" s="14" t="s">
        <v>600</v>
      </c>
      <c r="J22" s="12" t="s">
        <v>483</v>
      </c>
      <c r="K22" s="12" t="s">
        <v>384</v>
      </c>
      <c r="L22" s="12" t="s">
        <v>612</v>
      </c>
      <c r="N22" s="12">
        <f>VLOOKUP(J22,ItemData!$A$4:$B$378,2,FALSE)</f>
        <v>221</v>
      </c>
      <c r="O22" s="12">
        <f>VLOOKUP(K22,ItemData!$A$4:$B$378,2,FALSE)</f>
        <v>276</v>
      </c>
      <c r="P22" s="12">
        <f>VLOOKUP(L22,ItemData!$A$4:$B$378,2,FALSE)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647</v>
      </c>
      <c r="F23" s="12" t="s">
        <v>553</v>
      </c>
      <c r="G23" s="3"/>
      <c r="H23" s="14" t="s">
        <v>627</v>
      </c>
      <c r="J23" s="12" t="s">
        <v>365</v>
      </c>
      <c r="K23" s="12" t="s">
        <v>590</v>
      </c>
      <c r="L23" s="12" t="s">
        <v>396</v>
      </c>
      <c r="N23" s="12">
        <f>VLOOKUP(J23,ItemData!$A$4:$B$378,2,FALSE)</f>
        <v>1613</v>
      </c>
      <c r="O23" s="12">
        <f>VLOOKUP(K23,ItemData!$A$4:$B$378,2,FALSE)</f>
        <v>213</v>
      </c>
      <c r="P23" s="12">
        <f>VLOOKUP(L23,ItemData!$A$4:$B$378,2,FALSE)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648</v>
      </c>
      <c r="F24" s="12" t="s">
        <v>553</v>
      </c>
      <c r="G24" s="3"/>
      <c r="H24" s="14" t="s">
        <v>626</v>
      </c>
      <c r="J24" s="12" t="s">
        <v>364</v>
      </c>
      <c r="K24" s="12" t="s">
        <v>431</v>
      </c>
      <c r="L24" s="12" t="s">
        <v>364</v>
      </c>
      <c r="N24" s="12">
        <f>VLOOKUP(J24,ItemData!$A$4:$B$378,2,FALSE)</f>
        <v>1612</v>
      </c>
      <c r="O24" s="12">
        <f>VLOOKUP(K24,ItemData!$A$4:$B$378,2,FALSE)</f>
        <v>211</v>
      </c>
      <c r="P24" s="12">
        <f>VLOOKUP(L24,ItemData!$A$4:$B$378,2,FALSE)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649</v>
      </c>
      <c r="F25" s="12" t="s">
        <v>459</v>
      </c>
      <c r="G25" s="3"/>
      <c r="H25" s="9" t="s">
        <v>576</v>
      </c>
      <c r="J25" s="12" t="s">
        <v>535</v>
      </c>
      <c r="K25" s="12" t="s">
        <v>485</v>
      </c>
      <c r="L25" s="12" t="s">
        <v>634</v>
      </c>
      <c r="M25" s="12" t="s">
        <v>418</v>
      </c>
      <c r="N25" s="12">
        <f>VLOOKUP(J25,ItemData!$A$4:$B$378,2,FALSE)</f>
        <v>270</v>
      </c>
      <c r="O25" s="12">
        <f>VLOOKUP(K25,ItemData!$A$4:$B$378,2,FALSE)</f>
        <v>225</v>
      </c>
      <c r="P25" s="12">
        <f>VLOOKUP(L25,ItemData!$A$4:$B$378,2,FALSE)</f>
        <v>239</v>
      </c>
      <c r="Q25" s="12">
        <f>VLOOKUP(M25,ItemData!$A$4:$B$378,2,FALSE)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650</v>
      </c>
      <c r="F26" s="12" t="s">
        <v>459</v>
      </c>
      <c r="G26" s="3"/>
      <c r="H26" s="9" t="s">
        <v>575</v>
      </c>
      <c r="J26" s="12" t="s">
        <v>496</v>
      </c>
      <c r="K26" s="12" t="s">
        <v>635</v>
      </c>
      <c r="L26" s="12" t="s">
        <v>512</v>
      </c>
      <c r="M26" s="12" t="s">
        <v>366</v>
      </c>
      <c r="N26" s="12">
        <f>VLOOKUP(J26,ItemData!$A$4:$B$378,2,FALSE)</f>
        <v>245</v>
      </c>
      <c r="O26" s="12">
        <f>VLOOKUP(K26,ItemData!$A$4:$B$378,2,FALSE)</f>
        <v>255</v>
      </c>
      <c r="P26" s="12">
        <f>VLOOKUP(L26,ItemData!$A$4:$B$378,2,FALSE)</f>
        <v>268</v>
      </c>
      <c r="Q26" s="12">
        <f>VLOOKUP(M26,ItemData!$A$4:$B$378,2,FALSE)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376</v>
      </c>
      <c r="F27" t="s">
        <v>553</v>
      </c>
      <c r="G27" s="3"/>
      <c r="H27" s="17" t="s">
        <v>636</v>
      </c>
      <c r="J27" s="12" t="s">
        <v>430</v>
      </c>
      <c r="K27" s="12" t="s">
        <v>611</v>
      </c>
      <c r="L27" s="12"/>
      <c r="M27" s="12"/>
      <c r="N27" s="12">
        <f>VLOOKUP(J27,ItemData!$A$4:$B$378,2,FALSE)</f>
        <v>204</v>
      </c>
      <c r="O27" s="12">
        <f>VLOOKUP(K27,ItemData!$A$4:$B$378,2,FALSE)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374</v>
      </c>
      <c r="F28" s="12" t="s">
        <v>553</v>
      </c>
      <c r="G28" s="3"/>
      <c r="H28" s="17" t="s">
        <v>629</v>
      </c>
      <c r="J28" s="12" t="s">
        <v>613</v>
      </c>
      <c r="K28" s="12" t="s">
        <v>607</v>
      </c>
      <c r="L28" s="12" t="s">
        <v>630</v>
      </c>
      <c r="M28" s="12"/>
      <c r="N28" s="12">
        <f>VLOOKUP(J28,ItemData!$A$4:$B$378,2,FALSE)</f>
        <v>271</v>
      </c>
      <c r="O28" s="12">
        <f>VLOOKUP(K28,ItemData!$A$4:$B$378,2,FALSE)</f>
        <v>278</v>
      </c>
      <c r="P28" s="12">
        <f>VLOOKUP(L28,ItemData!$A$4:$B$378,2,FALSE)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419</v>
      </c>
      <c r="F29" s="12" t="s">
        <v>553</v>
      </c>
      <c r="G29" s="3"/>
      <c r="H29" s="17" t="s">
        <v>399</v>
      </c>
      <c r="J29" s="12" t="s">
        <v>374</v>
      </c>
      <c r="K29" s="12" t="s">
        <v>387</v>
      </c>
      <c r="L29" s="12" t="s">
        <v>379</v>
      </c>
      <c r="M29" s="12"/>
      <c r="N29" s="12">
        <f>VLOOKUP(J29,ItemData!$A$4:$B$378,2,FALSE)</f>
        <v>1651</v>
      </c>
      <c r="O29" s="12">
        <f>VLOOKUP(K29,ItemData!$A$4:$B$378,2,FALSE)</f>
        <v>227</v>
      </c>
      <c r="P29" s="12">
        <f>VLOOKUP(L29,ItemData!$A$4:$B$378,2,FALSE)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420</v>
      </c>
      <c r="F30" s="12" t="s">
        <v>553</v>
      </c>
      <c r="G30" s="3"/>
      <c r="H30" s="17" t="s">
        <v>368</v>
      </c>
      <c r="J30" t="s">
        <v>374</v>
      </c>
      <c r="K30" s="12" t="s">
        <v>373</v>
      </c>
      <c r="L30" s="12" t="s">
        <v>383</v>
      </c>
      <c r="M30" s="12"/>
      <c r="N30" s="12">
        <f>VLOOKUP(J30,ItemData!$A$4:$B$378,2,FALSE)</f>
        <v>1651</v>
      </c>
      <c r="O30" s="12">
        <f>VLOOKUP(K30,ItemData!$A$4:$B$378,2,FALSE)</f>
        <v>223</v>
      </c>
      <c r="P30" s="12">
        <f>VLOOKUP(L30,ItemData!$A$4:$B$378,2,FALSE)</f>
        <v>283</v>
      </c>
      <c r="Q30" s="12"/>
      <c r="S30" s="12" t="str">
        <f t="shared" si="0"/>
        <v>1651,223,283</v>
      </c>
    </row>
    <row r="31" spans="2:19" x14ac:dyDescent="0.15">
      <c r="B31" s="3">
        <v>1654</v>
      </c>
      <c r="C31" s="1" t="s">
        <v>378</v>
      </c>
      <c r="F31" s="12" t="s">
        <v>459</v>
      </c>
      <c r="G31" s="3"/>
      <c r="H31" s="17" t="s">
        <v>632</v>
      </c>
      <c r="J31" s="12" t="s">
        <v>550</v>
      </c>
      <c r="K31" t="s">
        <v>472</v>
      </c>
      <c r="L31" s="12"/>
      <c r="M31" s="12"/>
      <c r="N31" s="12">
        <f>VLOOKUP(J31,ItemData!$A$4:$B$378,2,FALSE)</f>
        <v>298</v>
      </c>
      <c r="O31" s="12">
        <f>VLOOKUP(K31,ItemData!$A$4:$B$378,2,FALSE)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421</v>
      </c>
      <c r="F32" s="12" t="s">
        <v>459</v>
      </c>
      <c r="G32" s="3"/>
      <c r="H32" s="17" t="s">
        <v>400</v>
      </c>
      <c r="J32" s="12" t="s">
        <v>378</v>
      </c>
      <c r="K32" s="12" t="s">
        <v>616</v>
      </c>
      <c r="L32" s="12" t="s">
        <v>487</v>
      </c>
      <c r="M32" s="12" t="s">
        <v>585</v>
      </c>
      <c r="N32" s="12">
        <f>VLOOKUP(J32,ItemData!$A$4:$B$378,2,FALSE)</f>
        <v>1654</v>
      </c>
      <c r="O32" s="12">
        <f>VLOOKUP(K32,ItemData!$A$4:$B$378,2,FALSE)</f>
        <v>250</v>
      </c>
      <c r="P32" s="12">
        <f>VLOOKUP(L32,ItemData!$A$4:$B$378,2,FALSE)</f>
        <v>229</v>
      </c>
      <c r="Q32" s="12">
        <f>VLOOKUP(M32,ItemData!$A$4:$B$378,2,FALSE)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717</v>
      </c>
      <c r="F33" s="12" t="s">
        <v>459</v>
      </c>
      <c r="G33" s="3"/>
      <c r="H33" s="17" t="s">
        <v>718</v>
      </c>
      <c r="J33" s="12" t="s">
        <v>471</v>
      </c>
      <c r="K33" s="12" t="s">
        <v>378</v>
      </c>
      <c r="L33" s="12" t="s">
        <v>475</v>
      </c>
      <c r="N33" s="12">
        <f>VLOOKUP(J33,ItemData!$A$4:$B$378,2,FALSE)</f>
        <v>202</v>
      </c>
      <c r="O33" s="12">
        <f>VLOOKUP(K33,ItemData!$A$4:$B$378,2,FALSE)</f>
        <v>1654</v>
      </c>
      <c r="P33" s="12">
        <f>VLOOKUP(L33,ItemData!$A$4:$B$378,2,FALSE)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380</v>
      </c>
      <c r="F34" s="12" t="s">
        <v>553</v>
      </c>
      <c r="G34" s="3"/>
      <c r="H34" s="17" t="s">
        <v>369</v>
      </c>
      <c r="J34" s="12" t="s">
        <v>614</v>
      </c>
      <c r="K34" s="12" t="s">
        <v>386</v>
      </c>
      <c r="L34" s="12" t="s">
        <v>611</v>
      </c>
      <c r="M34" s="12"/>
      <c r="N34" s="12">
        <f>VLOOKUP(J34,ItemData!$A$4:$B$378,2,FALSE)</f>
        <v>272</v>
      </c>
      <c r="O34" s="12">
        <f>VLOOKUP(K34,ItemData!$A$4:$B$378,2,FALSE)</f>
        <v>228</v>
      </c>
      <c r="P34" s="12">
        <f>VLOOKUP(L34,ItemData!$A$4:$B$378,2,FALSE)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422</v>
      </c>
      <c r="F35" s="12" t="s">
        <v>553</v>
      </c>
      <c r="G35" s="3"/>
      <c r="H35" s="17" t="s">
        <v>370</v>
      </c>
      <c r="J35" s="12" t="s">
        <v>544</v>
      </c>
      <c r="K35" s="12" t="s">
        <v>607</v>
      </c>
      <c r="L35" s="12" t="s">
        <v>613</v>
      </c>
      <c r="M35" s="12"/>
      <c r="N35" s="12">
        <f>VLOOKUP(J35,ItemData!$A$4:$B$378,2,FALSE)</f>
        <v>273</v>
      </c>
      <c r="O35" s="12">
        <f>VLOOKUP(K35,ItemData!$A$4:$B$378,2,FALSE)</f>
        <v>278</v>
      </c>
      <c r="P35" s="12">
        <f>VLOOKUP(L35,ItemData!$A$4:$B$378,2,FALSE)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423</v>
      </c>
      <c r="F36" s="12" t="s">
        <v>553</v>
      </c>
      <c r="G36" s="3"/>
      <c r="H36" s="17" t="s">
        <v>405</v>
      </c>
      <c r="J36" s="12" t="s">
        <v>545</v>
      </c>
      <c r="K36" s="12" t="s">
        <v>611</v>
      </c>
      <c r="L36" s="12" t="s">
        <v>435</v>
      </c>
      <c r="M36" s="12" t="s">
        <v>396</v>
      </c>
      <c r="N36" s="12">
        <f>VLOOKUP(J36,ItemData!$A$4:$B$378,2,FALSE)</f>
        <v>264</v>
      </c>
      <c r="O36" s="12">
        <f>VLOOKUP(K36,ItemData!$A$4:$B$378,2,FALSE)</f>
        <v>277</v>
      </c>
      <c r="P36" s="12">
        <f>VLOOKUP(L36,ItemData!$A$4:$B$378,2,FALSE)</f>
        <v>255</v>
      </c>
      <c r="Q36" s="12">
        <f>VLOOKUP(M36,ItemData!$A$4:$B$378,2,FALSE)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424</v>
      </c>
      <c r="F37" s="12" t="s">
        <v>553</v>
      </c>
      <c r="G37" s="3"/>
      <c r="H37" s="17" t="s">
        <v>406</v>
      </c>
      <c r="J37" s="12" t="s">
        <v>376</v>
      </c>
      <c r="K37" s="12" t="s">
        <v>474</v>
      </c>
      <c r="L37" s="12" t="s">
        <v>552</v>
      </c>
      <c r="M37" s="12"/>
      <c r="N37" s="12">
        <f>VLOOKUP(J37,ItemData!$A$4:$B$378,2,FALSE)</f>
        <v>1650</v>
      </c>
      <c r="O37" s="12">
        <f>VLOOKUP(K37,ItemData!$A$4:$B$378,2,FALSE)</f>
        <v>208</v>
      </c>
      <c r="P37" s="12">
        <f>VLOOKUP(L37,ItemData!$A$4:$B$378,2,FALSE)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425</v>
      </c>
      <c r="F38" s="12" t="s">
        <v>553</v>
      </c>
      <c r="G38" s="3"/>
      <c r="H38" s="17" t="s">
        <v>402</v>
      </c>
      <c r="J38" s="12" t="s">
        <v>633</v>
      </c>
      <c r="K38" s="12" t="s">
        <v>390</v>
      </c>
      <c r="L38" s="12" t="s">
        <v>397</v>
      </c>
      <c r="M38" s="12" t="s">
        <v>388</v>
      </c>
      <c r="N38" s="12">
        <f>VLOOKUP(J38,ItemData!$A$4:$B$378,2,FALSE)</f>
        <v>1651</v>
      </c>
      <c r="O38" s="12">
        <f>VLOOKUP(K38,ItemData!$A$4:$B$378,2,FALSE)</f>
        <v>242</v>
      </c>
      <c r="P38" s="12">
        <f>VLOOKUP(L38,ItemData!$A$4:$B$378,2,FALSE)</f>
        <v>247</v>
      </c>
      <c r="Q38" s="12">
        <f>VLOOKUP(M38,ItemData!$A$4:$B$378,2,FALSE)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426</v>
      </c>
      <c r="F39" s="12" t="s">
        <v>459</v>
      </c>
      <c r="G39" s="3"/>
      <c r="H39" s="17" t="s">
        <v>401</v>
      </c>
      <c r="J39" s="12" t="s">
        <v>378</v>
      </c>
      <c r="K39" s="12" t="s">
        <v>381</v>
      </c>
      <c r="L39" s="12" t="s">
        <v>432</v>
      </c>
      <c r="M39" s="12" t="s">
        <v>481</v>
      </c>
      <c r="N39" s="12">
        <f>VLOOKUP(J39,ItemData!$A$4:$B$378,2,FALSE)</f>
        <v>1654</v>
      </c>
      <c r="O39" s="12">
        <f>VLOOKUP(K39,ItemData!$A$4:$B$378,2,FALSE)</f>
        <v>274</v>
      </c>
      <c r="P39" s="12">
        <f>VLOOKUP(L39,ItemData!$A$4:$B$378,2,FALSE)</f>
        <v>299</v>
      </c>
      <c r="Q39" s="12">
        <f>VLOOKUP(M39,ItemData!$A$4:$B$378,2,FALSE)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427</v>
      </c>
      <c r="F40" s="12" t="s">
        <v>553</v>
      </c>
      <c r="G40" s="3"/>
      <c r="H40" s="17" t="s">
        <v>403</v>
      </c>
      <c r="J40" s="12" t="s">
        <v>377</v>
      </c>
      <c r="K40" s="12" t="s">
        <v>382</v>
      </c>
      <c r="L40" s="12" t="s">
        <v>386</v>
      </c>
      <c r="M40" s="12"/>
      <c r="N40" s="12">
        <f>VLOOKUP(J40,ItemData!$A$4:$B$378,2,FALSE)</f>
        <v>204</v>
      </c>
      <c r="O40" s="12">
        <f>VLOOKUP(K40,ItemData!$A$4:$B$378,2,FALSE)</f>
        <v>214</v>
      </c>
      <c r="P40" s="12">
        <f>VLOOKUP(L40,ItemData!$A$4:$B$378,2,FALSE)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428</v>
      </c>
      <c r="F41" s="12" t="s">
        <v>553</v>
      </c>
      <c r="G41" s="3"/>
      <c r="H41" s="17" t="s">
        <v>404</v>
      </c>
      <c r="J41" s="12" t="s">
        <v>376</v>
      </c>
      <c r="K41" s="12" t="s">
        <v>555</v>
      </c>
      <c r="L41" s="7" t="s">
        <v>560</v>
      </c>
      <c r="N41" s="12">
        <f>VLOOKUP(J41,ItemData!$A$4:$B$378,2,FALSE)</f>
        <v>1650</v>
      </c>
      <c r="O41" s="12">
        <f>VLOOKUP(K41,ItemData!$A$4:$B$378,2,FALSE)</f>
        <v>232</v>
      </c>
      <c r="P41" s="12">
        <f>VLOOKUP(L41,ItemData!$A$4:$B$378,2,FALSE)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415</v>
      </c>
      <c r="F42" s="12" t="s">
        <v>553</v>
      </c>
      <c r="G42" s="3"/>
      <c r="H42" s="17" t="s">
        <v>415</v>
      </c>
      <c r="J42" s="12" t="s">
        <v>380</v>
      </c>
      <c r="K42" s="12" t="s">
        <v>529</v>
      </c>
      <c r="L42" s="12" t="s">
        <v>490</v>
      </c>
      <c r="M42" s="12" t="s">
        <v>397</v>
      </c>
      <c r="N42" s="12">
        <f>VLOOKUP(J42,ItemData!$A$4:$B$378,2,FALSE)</f>
        <v>1657</v>
      </c>
      <c r="O42" s="12">
        <f>VLOOKUP(K42,ItemData!$A$4:$B$378,2,FALSE)</f>
        <v>279</v>
      </c>
      <c r="P42" s="12">
        <f>VLOOKUP(L42,ItemData!$A$4:$B$378,2,FALSE)</f>
        <v>234</v>
      </c>
      <c r="Q42" s="12">
        <f>VLOOKUP(M42,ItemData!$A$4:$B$378,2,FALSE)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651</v>
      </c>
      <c r="F43" s="12" t="s">
        <v>553</v>
      </c>
      <c r="G43" s="3"/>
      <c r="H43" s="18" t="s">
        <v>578</v>
      </c>
      <c r="J43" s="12" t="s">
        <v>497</v>
      </c>
      <c r="K43" s="12" t="s">
        <v>376</v>
      </c>
      <c r="L43" s="12" t="s">
        <v>496</v>
      </c>
      <c r="M43" s="12" t="s">
        <v>587</v>
      </c>
      <c r="N43" s="12">
        <f>VLOOKUP(J43,ItemData!$A$4:$B$378,2,FALSE)</f>
        <v>248</v>
      </c>
      <c r="O43" s="12">
        <f>VLOOKUP(K43,ItemData!$A$4:$B$378,2,FALSE)</f>
        <v>1650</v>
      </c>
      <c r="P43" s="12">
        <f>VLOOKUP(L43,ItemData!$A$4:$B$378,2,FALSE)</f>
        <v>245</v>
      </c>
      <c r="Q43" s="12">
        <f>VLOOKUP(M43,ItemData!$A$4:$B$378,2,FALSE)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452</v>
      </c>
      <c r="F44" s="12" t="s">
        <v>553</v>
      </c>
      <c r="G44" s="3"/>
      <c r="H44" s="18" t="s">
        <v>453</v>
      </c>
      <c r="J44" t="s">
        <v>461</v>
      </c>
      <c r="K44" t="s">
        <v>484</v>
      </c>
      <c r="L44" s="12" t="s">
        <v>554</v>
      </c>
      <c r="N44" s="12">
        <f>VLOOKUP(J44,ItemData!$A$4:$B$378,2,FALSE)</f>
        <v>204</v>
      </c>
      <c r="O44" s="12">
        <f>VLOOKUP(K44,ItemData!$A$4:$B$378,2,FALSE)</f>
        <v>222</v>
      </c>
      <c r="P44" s="12">
        <f>VLOOKUP(L44,ItemData!$A$4:$B$378,2,FALSE)</f>
        <v>278</v>
      </c>
      <c r="R44" s="12"/>
      <c r="S44" s="12" t="str">
        <f t="shared" si="0"/>
        <v>204,222,278</v>
      </c>
    </row>
    <row r="45" spans="2:19" x14ac:dyDescent="0.15">
      <c r="B45" s="3">
        <v>1701</v>
      </c>
      <c r="C45" s="1" t="s">
        <v>449</v>
      </c>
      <c r="F45" s="12" t="s">
        <v>553</v>
      </c>
      <c r="G45" s="3"/>
      <c r="H45" s="18" t="s">
        <v>606</v>
      </c>
      <c r="J45" t="s">
        <v>467</v>
      </c>
      <c r="K45" t="s">
        <v>484</v>
      </c>
      <c r="L45" s="12" t="s">
        <v>554</v>
      </c>
      <c r="N45" s="12">
        <f>VLOOKUP(J45,ItemData!$A$4:$B$378,2,FALSE)</f>
        <v>271</v>
      </c>
      <c r="O45" s="12">
        <f>VLOOKUP(K45,ItemData!$A$4:$B$378,2,FALSE)</f>
        <v>222</v>
      </c>
      <c r="P45" s="12">
        <f>VLOOKUP(L45,ItemData!$A$4:$B$378,2,FALSE)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450</v>
      </c>
      <c r="F46" s="12" t="s">
        <v>459</v>
      </c>
      <c r="G46" s="3"/>
      <c r="H46" s="18" t="s">
        <v>462</v>
      </c>
      <c r="J46" s="12" t="s">
        <v>446</v>
      </c>
      <c r="K46" s="12" t="s">
        <v>596</v>
      </c>
      <c r="L46" t="s">
        <v>471</v>
      </c>
      <c r="N46" s="12">
        <f>VLOOKUP(J46,ItemData!$A$4:$B$378,2,FALSE)</f>
        <v>298</v>
      </c>
      <c r="O46" s="12">
        <f>VLOOKUP(K46,ItemData!$A$4:$B$378,2,FALSE)</f>
        <v>210</v>
      </c>
      <c r="P46" s="12">
        <f>VLOOKUP(L46,ItemData!$A$4:$B$378,2,FALSE)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451</v>
      </c>
      <c r="F47" s="12" t="s">
        <v>553</v>
      </c>
      <c r="G47" s="3"/>
      <c r="H47" s="18" t="s">
        <v>623</v>
      </c>
      <c r="J47" s="12" t="s">
        <v>449</v>
      </c>
      <c r="K47" t="s">
        <v>544</v>
      </c>
      <c r="L47" t="s">
        <v>375</v>
      </c>
      <c r="N47" s="12">
        <f>VLOOKUP(J47,ItemData!$A$4:$B$378,2,FALSE)</f>
        <v>1701</v>
      </c>
      <c r="O47" s="12">
        <f>VLOOKUP(K47,ItemData!$A$4:$B$378,2,FALSE)</f>
        <v>273</v>
      </c>
      <c r="P47" s="12">
        <f>VLOOKUP(L47,ItemData!$A$4:$B$378,2,FALSE)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454</v>
      </c>
      <c r="F48" s="12" t="s">
        <v>553</v>
      </c>
      <c r="G48" s="3"/>
      <c r="H48" s="18" t="s">
        <v>620</v>
      </c>
      <c r="J48" s="12" t="s">
        <v>453</v>
      </c>
      <c r="K48" t="s">
        <v>474</v>
      </c>
      <c r="L48" t="s">
        <v>382</v>
      </c>
      <c r="N48" s="12">
        <f>VLOOKUP(J48,ItemData!$A$4:$B$378,2,FALSE)</f>
        <v>1700</v>
      </c>
      <c r="O48" s="12">
        <f>VLOOKUP(K48,ItemData!$A$4:$B$378,2,FALSE)</f>
        <v>208</v>
      </c>
      <c r="P48" s="12">
        <f>VLOOKUP(L48,ItemData!$A$4:$B$378,2,FALSE)</f>
        <v>214</v>
      </c>
      <c r="R48" s="12"/>
      <c r="S48" s="12" t="str">
        <f t="shared" si="0"/>
        <v>1700,208,214</v>
      </c>
    </row>
    <row r="49" spans="2:19" x14ac:dyDescent="0.15">
      <c r="B49" s="3">
        <v>1705</v>
      </c>
      <c r="C49" s="1" t="s">
        <v>458</v>
      </c>
      <c r="F49" s="12" t="s">
        <v>553</v>
      </c>
      <c r="G49" s="3"/>
      <c r="H49" s="18" t="s">
        <v>528</v>
      </c>
      <c r="J49" s="12" t="s">
        <v>449</v>
      </c>
      <c r="K49" t="s">
        <v>490</v>
      </c>
      <c r="L49" t="s">
        <v>373</v>
      </c>
      <c r="M49" t="s">
        <v>529</v>
      </c>
      <c r="N49" s="12">
        <f>VLOOKUP(J49,ItemData!$A$4:$B$378,2,FALSE)</f>
        <v>1701</v>
      </c>
      <c r="O49" s="12">
        <f>VLOOKUP(K49,ItemData!$A$4:$B$378,2,FALSE)</f>
        <v>234</v>
      </c>
      <c r="P49" s="12">
        <f>VLOOKUP(L49,ItemData!$A$4:$B$378,2,FALSE)</f>
        <v>223</v>
      </c>
      <c r="Q49" s="12">
        <f>VLOOKUP(M49,ItemData!$A$4:$B$378,2,FALSE)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457</v>
      </c>
      <c r="F50" s="12" t="s">
        <v>553</v>
      </c>
      <c r="G50" s="3"/>
      <c r="H50" s="18" t="s">
        <v>463</v>
      </c>
      <c r="J50" s="12" t="s">
        <v>452</v>
      </c>
      <c r="K50" s="12" t="s">
        <v>516</v>
      </c>
      <c r="L50" s="12" t="s">
        <v>621</v>
      </c>
      <c r="M50" s="12" t="s">
        <v>614</v>
      </c>
      <c r="N50" s="12">
        <f>VLOOKUP(J50,ItemData!$A$4:$B$378,2,FALSE)</f>
        <v>1700</v>
      </c>
      <c r="O50" s="12">
        <f>VLOOKUP(K50,ItemData!$A$4:$B$378,2,FALSE)</f>
        <v>280</v>
      </c>
      <c r="P50" s="12">
        <f>VLOOKUP(L50,ItemData!$A$4:$B$378,2,FALSE)</f>
        <v>232</v>
      </c>
      <c r="Q50" s="12">
        <f>VLOOKUP(M50,ItemData!$A$4:$B$378,2,FALSE)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456</v>
      </c>
      <c r="F51" s="12" t="s">
        <v>459</v>
      </c>
      <c r="G51" s="3"/>
      <c r="H51" s="18" t="s">
        <v>464</v>
      </c>
      <c r="J51" s="18" t="s">
        <v>462</v>
      </c>
      <c r="K51" s="12" t="s">
        <v>527</v>
      </c>
      <c r="L51" s="12" t="s">
        <v>494</v>
      </c>
      <c r="M51" s="12" t="s">
        <v>602</v>
      </c>
      <c r="N51" s="12">
        <f>VLOOKUP(J51,ItemData!$A$4:$B$378,2,FALSE)</f>
        <v>1702</v>
      </c>
      <c r="O51" s="12">
        <f>VLOOKUP(K51,ItemData!$A$4:$B$378,2,FALSE)</f>
        <v>275</v>
      </c>
      <c r="P51" s="12">
        <f>VLOOKUP(L51,ItemData!$A$4:$B$378,2,FALSE)</f>
        <v>240</v>
      </c>
      <c r="Q51" s="12">
        <f>VLOOKUP(M51,ItemData!$A$4:$B$378,2,FALSE)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460</v>
      </c>
      <c r="F52" s="12" t="s">
        <v>553</v>
      </c>
      <c r="G52" s="3"/>
      <c r="H52" s="18" t="s">
        <v>531</v>
      </c>
      <c r="J52" s="12" t="s">
        <v>453</v>
      </c>
      <c r="K52" s="12" t="s">
        <v>618</v>
      </c>
      <c r="L52" s="12" t="s">
        <v>500</v>
      </c>
      <c r="M52" s="12" t="s">
        <v>582</v>
      </c>
      <c r="N52" s="12">
        <f>VLOOKUP(J52,ItemData!$A$4:$B$378,2,FALSE)</f>
        <v>1700</v>
      </c>
      <c r="O52" s="12">
        <f>VLOOKUP(K52,ItemData!$A$4:$B$378,2,FALSE)</f>
        <v>281</v>
      </c>
      <c r="P52" s="12">
        <f>VLOOKUP(L52,ItemData!$A$4:$B$378,2,FALSE)</f>
        <v>251</v>
      </c>
      <c r="Q52" s="12">
        <f>VLOOKUP(M52,ItemData!$A$4:$B$378,2,FALSE)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455</v>
      </c>
      <c r="F53" s="12" t="s">
        <v>553</v>
      </c>
      <c r="G53" s="3"/>
      <c r="H53" s="18" t="s">
        <v>532</v>
      </c>
      <c r="J53" t="s">
        <v>394</v>
      </c>
      <c r="K53" t="s">
        <v>454</v>
      </c>
      <c r="L53" s="12" t="s">
        <v>508</v>
      </c>
      <c r="M53" t="s">
        <v>505</v>
      </c>
      <c r="N53" s="12">
        <f>VLOOKUP(J53,ItemData!$A$4:$B$378,2,FALSE)</f>
        <v>224</v>
      </c>
      <c r="O53" s="12">
        <f>VLOOKUP(K53,ItemData!$A$4:$B$378,2,FALSE)</f>
        <v>1704</v>
      </c>
      <c r="P53" s="12">
        <f>VLOOKUP(L53,ItemData!$A$4:$B$378,2,FALSE)</f>
        <v>264</v>
      </c>
      <c r="Q53" s="12">
        <f>VLOOKUP(M53,ItemData!$A$4:$B$378,2,FALSE)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652</v>
      </c>
      <c r="F54" s="12" t="s">
        <v>553</v>
      </c>
      <c r="H54" s="18" t="s">
        <v>579</v>
      </c>
      <c r="J54" s="12" t="s">
        <v>451</v>
      </c>
      <c r="K54" s="12" t="s">
        <v>582</v>
      </c>
      <c r="L54" s="12" t="s">
        <v>489</v>
      </c>
      <c r="M54" t="s">
        <v>511</v>
      </c>
      <c r="N54" s="12">
        <f>VLOOKUP(J54,ItemData!$A$4:$B$378,2,FALSE)</f>
        <v>1703</v>
      </c>
      <c r="O54" s="12">
        <f>VLOOKUP(K54,ItemData!$A$4:$B$378,2,FALSE)</f>
        <v>282</v>
      </c>
      <c r="P54" s="12">
        <f>VLOOKUP(L54,ItemData!$A$4:$B$378,2,FALSE)</f>
        <v>232</v>
      </c>
      <c r="Q54" s="12">
        <f>VLOOKUP(M54,ItemData!$A$4:$B$378,2,FALSE)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519</v>
      </c>
    </row>
    <row r="57" spans="2:19" s="12" customFormat="1" x14ac:dyDescent="0.15">
      <c r="H57" s="12" t="s">
        <v>521</v>
      </c>
    </row>
    <row r="58" spans="2:19" x14ac:dyDescent="0.15">
      <c r="B58" s="12"/>
      <c r="C58" s="12"/>
      <c r="H58" s="12" t="s">
        <v>520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556</v>
      </c>
      <c r="F62" t="s">
        <v>713</v>
      </c>
      <c r="H62" t="s">
        <v>441</v>
      </c>
      <c r="J62" t="s">
        <v>180</v>
      </c>
      <c r="S62" s="12"/>
    </row>
    <row r="63" spans="2:19" x14ac:dyDescent="0.15">
      <c r="D63" s="20" t="s">
        <v>541</v>
      </c>
      <c r="F63" s="12" t="s">
        <v>713</v>
      </c>
      <c r="H63" t="s">
        <v>438</v>
      </c>
      <c r="J63" t="s">
        <v>439</v>
      </c>
      <c r="S63" s="12"/>
    </row>
    <row r="64" spans="2:19" x14ac:dyDescent="0.15">
      <c r="D64" s="20" t="s">
        <v>537</v>
      </c>
      <c r="F64" s="12" t="s">
        <v>713</v>
      </c>
      <c r="H64" t="s">
        <v>443</v>
      </c>
      <c r="J64" t="s">
        <v>445</v>
      </c>
      <c r="S64" s="12"/>
    </row>
    <row r="65" spans="4:19" x14ac:dyDescent="0.15">
      <c r="D65" s="20" t="s">
        <v>574</v>
      </c>
      <c r="F65" s="19" t="s">
        <v>459</v>
      </c>
      <c r="H65" t="s">
        <v>466</v>
      </c>
      <c r="J65" t="s">
        <v>447</v>
      </c>
      <c r="K65" t="s">
        <v>637</v>
      </c>
      <c r="N65" s="12"/>
      <c r="S65" s="12"/>
    </row>
    <row r="66" spans="4:19" x14ac:dyDescent="0.15">
      <c r="D66" s="22" t="s">
        <v>542</v>
      </c>
      <c r="F66" s="19" t="s">
        <v>459</v>
      </c>
      <c r="H66" s="12" t="s">
        <v>446</v>
      </c>
      <c r="J66" t="s">
        <v>549</v>
      </c>
      <c r="K66" s="12" t="s">
        <v>448</v>
      </c>
      <c r="N66" s="12"/>
      <c r="S66" s="12"/>
    </row>
    <row r="67" spans="4:19" x14ac:dyDescent="0.15">
      <c r="D67" s="21" t="s">
        <v>641</v>
      </c>
      <c r="F67" s="19" t="s">
        <v>459</v>
      </c>
      <c r="H67" s="12" t="s">
        <v>548</v>
      </c>
      <c r="I67" s="12"/>
      <c r="J67" s="12" t="s">
        <v>551</v>
      </c>
      <c r="K67" s="12" t="s">
        <v>448</v>
      </c>
      <c r="N67" s="12"/>
      <c r="S67" s="12"/>
    </row>
    <row r="68" spans="4:19" x14ac:dyDescent="0.15">
      <c r="D68" s="21" t="s">
        <v>640</v>
      </c>
      <c r="J68" s="19"/>
      <c r="S68" s="12"/>
    </row>
    <row r="69" spans="4:19" x14ac:dyDescent="0.15">
      <c r="D69" s="20" t="s">
        <v>530</v>
      </c>
      <c r="F69" t="s">
        <v>712</v>
      </c>
      <c r="H69" s="23" t="s">
        <v>522</v>
      </c>
      <c r="J69" s="19" t="s">
        <v>584</v>
      </c>
      <c r="K69" s="12" t="s">
        <v>558</v>
      </c>
      <c r="L69" s="12" t="s">
        <v>495</v>
      </c>
      <c r="N69">
        <f>VLOOKUP(J69,ItemData!$A$4:$B$378,2,FALSE)</f>
        <v>290</v>
      </c>
      <c r="O69" s="12">
        <f>VLOOKUP(K69,ItemData!$A$4:$B$378,2,FALSE)</f>
        <v>292</v>
      </c>
      <c r="P69" s="12">
        <f>VLOOKUP(L69,ItemData!$A$4:$B$378,2,FALSE)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577</v>
      </c>
      <c r="F70" s="12" t="s">
        <v>712</v>
      </c>
      <c r="H70" s="23" t="s">
        <v>525</v>
      </c>
      <c r="J70" s="19" t="s">
        <v>543</v>
      </c>
      <c r="K70" t="s">
        <v>509</v>
      </c>
      <c r="L70" t="s">
        <v>473</v>
      </c>
      <c r="N70" s="12">
        <f>VLOOKUP(J70,ItemData!$A$4:$B$378,2,FALSE)</f>
        <v>294</v>
      </c>
      <c r="O70" s="12">
        <f>VLOOKUP(K70,ItemData!$A$4:$B$378,2,FALSE)</f>
        <v>265</v>
      </c>
      <c r="P70" s="12">
        <f>VLOOKUP(L70,ItemData!$A$4:$B$378,2,FALSE)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563</v>
      </c>
      <c r="F71" s="12" t="s">
        <v>712</v>
      </c>
      <c r="H71" s="23" t="s">
        <v>567</v>
      </c>
      <c r="J71" s="19" t="s">
        <v>619</v>
      </c>
      <c r="K71" t="s">
        <v>556</v>
      </c>
      <c r="L71" t="s">
        <v>504</v>
      </c>
      <c r="N71" s="12">
        <f>VLOOKUP(J71,ItemData!$A$4:$B$378,2,FALSE)</f>
        <v>251</v>
      </c>
      <c r="O71" s="12">
        <f>VLOOKUP(K71,ItemData!$A$4:$B$378,2,FALSE)</f>
        <v>287</v>
      </c>
      <c r="P71" s="12">
        <f>VLOOKUP(L71,ItemData!$A$4:$B$378,2,FALSE)</f>
        <v>257</v>
      </c>
      <c r="R71" s="12" t="str">
        <f t="shared" si="1"/>
        <v>251,287,257</v>
      </c>
      <c r="S71" s="12"/>
    </row>
    <row r="72" spans="4:19" x14ac:dyDescent="0.15">
      <c r="D72" s="22" t="s">
        <v>639</v>
      </c>
      <c r="F72" s="12" t="s">
        <v>712</v>
      </c>
      <c r="H72" s="23" t="s">
        <v>565</v>
      </c>
      <c r="J72" t="s">
        <v>594</v>
      </c>
      <c r="K72" t="s">
        <v>559</v>
      </c>
      <c r="L72" s="19" t="s">
        <v>517</v>
      </c>
      <c r="N72" s="12">
        <f>VLOOKUP(J72,ItemData!$A$4:$B$378,2,FALSE)</f>
        <v>290</v>
      </c>
      <c r="O72" s="12">
        <f>VLOOKUP(K72,ItemData!$A$4:$B$378,2,FALSE)</f>
        <v>225</v>
      </c>
      <c r="P72" s="12">
        <f>VLOOKUP(L72,ItemData!$A$4:$B$378,2,FALSE)</f>
        <v>286</v>
      </c>
      <c r="R72" s="12" t="str">
        <f t="shared" si="1"/>
        <v>290,225,286</v>
      </c>
      <c r="S72" s="12"/>
    </row>
    <row r="73" spans="4:19" x14ac:dyDescent="0.15">
      <c r="D73" s="22" t="s">
        <v>562</v>
      </c>
      <c r="F73" s="12" t="s">
        <v>712</v>
      </c>
      <c r="H73" s="23" t="s">
        <v>523</v>
      </c>
      <c r="J73" s="19" t="s">
        <v>511</v>
      </c>
      <c r="K73" t="s">
        <v>722</v>
      </c>
      <c r="L73" s="19" t="s">
        <v>517</v>
      </c>
      <c r="N73" s="12">
        <f>VLOOKUP(J73,ItemData!$A$4:$B$378,2,FALSE)</f>
        <v>267</v>
      </c>
      <c r="O73" s="12">
        <f>VLOOKUP(K73,ItemData!$A$4:$B$378,2,FALSE)</f>
        <v>261</v>
      </c>
      <c r="P73" s="12">
        <f>VLOOKUP(L73,ItemData!$A$4:$B$378,2,FALSE)</f>
        <v>286</v>
      </c>
      <c r="R73" s="12" t="str">
        <f t="shared" si="1"/>
        <v>267,261,286</v>
      </c>
      <c r="S73" s="12"/>
    </row>
    <row r="74" spans="4:19" x14ac:dyDescent="0.15">
      <c r="D74" s="22" t="s">
        <v>601</v>
      </c>
      <c r="F74" s="12" t="s">
        <v>712</v>
      </c>
      <c r="H74" s="23" t="s">
        <v>524</v>
      </c>
      <c r="J74" s="19" t="s">
        <v>609</v>
      </c>
      <c r="K74" s="12" t="s">
        <v>723</v>
      </c>
      <c r="L74" s="19" t="s">
        <v>517</v>
      </c>
      <c r="N74" s="12">
        <f>VLOOKUP(J74,ItemData!$A$4:$B$378,2,FALSE)</f>
        <v>284</v>
      </c>
      <c r="O74" s="12">
        <f>VLOOKUP(K74,ItemData!$A$4:$B$378,2,FALSE)</f>
        <v>291</v>
      </c>
      <c r="P74" s="12">
        <f>VLOOKUP(L74,ItemData!$A$4:$B$378,2,FALSE)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712</v>
      </c>
      <c r="H75" s="23" t="s">
        <v>566</v>
      </c>
      <c r="J75" s="19" t="s">
        <v>393</v>
      </c>
      <c r="K75" t="s">
        <v>631</v>
      </c>
      <c r="L75" t="s">
        <v>475</v>
      </c>
      <c r="N75" s="12">
        <f>VLOOKUP(J75,ItemData!$A$4:$B$378,2,FALSE)</f>
        <v>263</v>
      </c>
      <c r="O75" s="12">
        <f>VLOOKUP(K75,ItemData!$A$4:$B$378,2,FALSE)</f>
        <v>255</v>
      </c>
      <c r="P75" s="12">
        <f>VLOOKUP(L75,ItemData!$A$4:$B$378,2,FALSE)</f>
        <v>210</v>
      </c>
      <c r="R75" s="12" t="str">
        <f t="shared" si="1"/>
        <v>263,255,210</v>
      </c>
      <c r="S75" s="12"/>
    </row>
    <row r="76" spans="4:19" x14ac:dyDescent="0.15">
      <c r="D76" s="22" t="s">
        <v>711</v>
      </c>
      <c r="F76" s="12" t="s">
        <v>712</v>
      </c>
      <c r="H76" s="23" t="s">
        <v>569</v>
      </c>
      <c r="J76" s="19" t="s">
        <v>492</v>
      </c>
      <c r="K76" t="s">
        <v>391</v>
      </c>
      <c r="L76" t="s">
        <v>499</v>
      </c>
      <c r="N76" s="12">
        <f>VLOOKUP(J76,ItemData!$A$4:$B$378,2,FALSE)</f>
        <v>236</v>
      </c>
      <c r="O76" s="12">
        <f>VLOOKUP(K76,ItemData!$A$4:$B$378,2,FALSE)</f>
        <v>259</v>
      </c>
      <c r="P76" s="12">
        <f>VLOOKUP(L76,ItemData!$A$4:$B$378,2,FALSE)</f>
        <v>250</v>
      </c>
      <c r="R76" s="12" t="str">
        <f t="shared" si="1"/>
        <v>236,259,250</v>
      </c>
      <c r="S76" s="12"/>
    </row>
    <row r="77" spans="4:19" x14ac:dyDescent="0.15">
      <c r="D77" s="22" t="s">
        <v>561</v>
      </c>
      <c r="F77" s="12" t="s">
        <v>712</v>
      </c>
      <c r="H77" s="23" t="s">
        <v>570</v>
      </c>
      <c r="J77" s="19" t="s">
        <v>557</v>
      </c>
      <c r="K77" t="s">
        <v>554</v>
      </c>
      <c r="L77" t="s">
        <v>533</v>
      </c>
      <c r="N77" s="12">
        <f>VLOOKUP(J77,ItemData!$A$4:$B$378,2,FALSE)</f>
        <v>285</v>
      </c>
      <c r="O77" s="12">
        <f>VLOOKUP(K77,ItemData!$A$4:$B$378,2,FALSE)</f>
        <v>278</v>
      </c>
      <c r="P77" s="12">
        <f>VLOOKUP(L77,ItemData!$A$4:$B$378,2,FALSE)</f>
        <v>281</v>
      </c>
      <c r="R77" s="12" t="str">
        <f t="shared" si="1"/>
        <v>285,278,281</v>
      </c>
      <c r="S77" s="12"/>
    </row>
    <row r="78" spans="4:19" x14ac:dyDescent="0.15">
      <c r="D78" s="22" t="s">
        <v>624</v>
      </c>
      <c r="F78" s="12" t="s">
        <v>712</v>
      </c>
      <c r="H78" s="23" t="s">
        <v>571</v>
      </c>
      <c r="J78" s="19" t="s">
        <v>540</v>
      </c>
      <c r="K78" t="s">
        <v>604</v>
      </c>
      <c r="L78" t="s">
        <v>494</v>
      </c>
      <c r="N78" s="12">
        <f>VLOOKUP(J78,ItemData!$A$4:$B$378,2,FALSE)</f>
        <v>288</v>
      </c>
      <c r="O78" s="12">
        <f>VLOOKUP(K78,ItemData!$A$4:$B$378,2,FALSE)</f>
        <v>256</v>
      </c>
      <c r="P78" s="12">
        <f>VLOOKUP(L78,ItemData!$A$4:$B$378,2,FALSE)</f>
        <v>240</v>
      </c>
      <c r="R78" s="12" t="str">
        <f t="shared" si="1"/>
        <v>288,256,240</v>
      </c>
      <c r="S78" s="12"/>
    </row>
    <row r="79" spans="4:19" x14ac:dyDescent="0.15">
      <c r="D79" s="22" t="s">
        <v>564</v>
      </c>
      <c r="F79" s="12" t="s">
        <v>712</v>
      </c>
      <c r="H79" s="23" t="s">
        <v>568</v>
      </c>
      <c r="J79" t="s">
        <v>539</v>
      </c>
      <c r="K79" t="s">
        <v>638</v>
      </c>
      <c r="L79" t="s">
        <v>501</v>
      </c>
      <c r="N79" s="12">
        <f>VLOOKUP(J79,ItemData!$A$4:$B$378,2,FALSE)</f>
        <v>293</v>
      </c>
      <c r="O79" s="12">
        <f>VLOOKUP(K79,ItemData!$A$4:$B$378,2,FALSE)</f>
        <v>289</v>
      </c>
      <c r="P79" s="12">
        <f>VLOOKUP(L79,ItemData!$A$4:$B$378,2,FALSE)</f>
        <v>254</v>
      </c>
      <c r="R79" s="12" t="str">
        <f t="shared" si="1"/>
        <v>293,289,254</v>
      </c>
      <c r="S79" s="12"/>
    </row>
    <row r="80" spans="4:19" x14ac:dyDescent="0.15">
      <c r="H80" s="23" t="s">
        <v>721</v>
      </c>
      <c r="J80" s="12" t="s">
        <v>394</v>
      </c>
      <c r="K80" t="s">
        <v>538</v>
      </c>
      <c r="L80" t="s">
        <v>518</v>
      </c>
      <c r="N80" s="12">
        <f>VLOOKUP(J80,ItemData!$A$4:$B$378,2,FALSE)</f>
        <v>224</v>
      </c>
      <c r="O80" s="12">
        <f>VLOOKUP(K80,ItemData!$A$4:$B$378,2,FALSE)</f>
        <v>269</v>
      </c>
      <c r="P80" s="12">
        <f>VLOOKUP(L80,ItemData!$A$4:$B$378,2,FALSE)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526</v>
      </c>
      <c r="S81" s="12"/>
    </row>
    <row r="82" spans="4:19" x14ac:dyDescent="0.15">
      <c r="S82" s="12"/>
    </row>
    <row r="83" spans="4:19" x14ac:dyDescent="0.15">
      <c r="S83" s="12"/>
    </row>
    <row r="84" spans="4:19" x14ac:dyDescent="0.15">
      <c r="S84" s="12"/>
    </row>
    <row r="85" spans="4:19" x14ac:dyDescent="0.15">
      <c r="S85" s="12"/>
    </row>
    <row r="86" spans="4:19" x14ac:dyDescent="0.15">
      <c r="S86" s="12"/>
    </row>
    <row r="87" spans="4:19" x14ac:dyDescent="0.15">
      <c r="S87" s="12"/>
    </row>
    <row r="88" spans="4:19" x14ac:dyDescent="0.15">
      <c r="S88" s="12"/>
    </row>
    <row r="89" spans="4:19" x14ac:dyDescent="0.15">
      <c r="S89" s="12"/>
    </row>
    <row r="90" spans="4:19" x14ac:dyDescent="0.15">
      <c r="S90" s="12"/>
    </row>
    <row r="91" spans="4:19" x14ac:dyDescent="0.15">
      <c r="S91" s="12"/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628</v>
      </c>
      <c r="S96" s="12"/>
    </row>
    <row r="97" spans="7:19" x14ac:dyDescent="0.15">
      <c r="G97" s="12" t="s">
        <v>553</v>
      </c>
      <c r="S97" s="12"/>
    </row>
    <row r="98" spans="7:19" x14ac:dyDescent="0.15">
      <c r="G98" s="12" t="s">
        <v>553</v>
      </c>
    </row>
    <row r="99" spans="7:19" x14ac:dyDescent="0.15">
      <c r="G99" s="12" t="s">
        <v>553</v>
      </c>
    </row>
    <row r="100" spans="7:19" x14ac:dyDescent="0.15">
      <c r="G100" s="12" t="s">
        <v>553</v>
      </c>
    </row>
    <row r="101" spans="7:19" x14ac:dyDescent="0.15">
      <c r="G101" s="12" t="s">
        <v>553</v>
      </c>
    </row>
    <row r="102" spans="7:19" x14ac:dyDescent="0.15">
      <c r="G102" s="12" t="s">
        <v>553</v>
      </c>
    </row>
    <row r="103" spans="7:19" x14ac:dyDescent="0.15">
      <c r="G103" s="12" t="s">
        <v>553</v>
      </c>
    </row>
    <row r="104" spans="7:19" x14ac:dyDescent="0.15">
      <c r="G104" s="12" t="s">
        <v>553</v>
      </c>
    </row>
    <row r="105" spans="7:19" x14ac:dyDescent="0.15">
      <c r="G105" s="12" t="s">
        <v>553</v>
      </c>
    </row>
    <row r="106" spans="7:19" x14ac:dyDescent="0.15">
      <c r="G106" s="12" t="s">
        <v>553</v>
      </c>
    </row>
    <row r="107" spans="7:19" x14ac:dyDescent="0.15">
      <c r="G107" s="12" t="s">
        <v>553</v>
      </c>
    </row>
    <row r="108" spans="7:19" x14ac:dyDescent="0.15">
      <c r="G108" s="12" t="s">
        <v>553</v>
      </c>
    </row>
    <row r="109" spans="7:19" x14ac:dyDescent="0.15">
      <c r="G109" s="12" t="s">
        <v>553</v>
      </c>
    </row>
    <row r="110" spans="7:19" x14ac:dyDescent="0.15">
      <c r="G110" s="12" t="s">
        <v>553</v>
      </c>
    </row>
    <row r="111" spans="7:19" x14ac:dyDescent="0.15">
      <c r="G111" s="12" t="s">
        <v>553</v>
      </c>
    </row>
    <row r="112" spans="7:19" x14ac:dyDescent="0.15">
      <c r="G112" s="12" t="s">
        <v>553</v>
      </c>
    </row>
    <row r="113" spans="7:7" x14ac:dyDescent="0.15">
      <c r="G113" s="12" t="s">
        <v>553</v>
      </c>
    </row>
    <row r="114" spans="7:7" x14ac:dyDescent="0.15">
      <c r="G114" s="12" t="s">
        <v>553</v>
      </c>
    </row>
    <row r="115" spans="7:7" x14ac:dyDescent="0.15">
      <c r="G115" s="12" t="s">
        <v>553</v>
      </c>
    </row>
    <row r="116" spans="7:7" x14ac:dyDescent="0.15">
      <c r="G116" s="12" t="s">
        <v>553</v>
      </c>
    </row>
    <row r="117" spans="7:7" x14ac:dyDescent="0.15">
      <c r="G117" s="12" t="s">
        <v>553</v>
      </c>
    </row>
    <row r="118" spans="7:7" x14ac:dyDescent="0.15">
      <c r="G118" s="12" t="s">
        <v>553</v>
      </c>
    </row>
    <row r="119" spans="7:7" x14ac:dyDescent="0.15">
      <c r="G119" s="12" t="s">
        <v>553</v>
      </c>
    </row>
    <row r="120" spans="7:7" x14ac:dyDescent="0.15">
      <c r="G120" s="12" t="s">
        <v>553</v>
      </c>
    </row>
    <row r="121" spans="7:7" x14ac:dyDescent="0.15">
      <c r="G121" s="12" t="s">
        <v>553</v>
      </c>
    </row>
    <row r="122" spans="7:7" x14ac:dyDescent="0.15">
      <c r="G122" s="12" t="s">
        <v>553</v>
      </c>
    </row>
    <row r="123" spans="7:7" x14ac:dyDescent="0.15">
      <c r="G123" s="12" t="s">
        <v>553</v>
      </c>
    </row>
    <row r="124" spans="7:7" x14ac:dyDescent="0.15">
      <c r="G124" s="12" t="s">
        <v>553</v>
      </c>
    </row>
    <row r="125" spans="7:7" x14ac:dyDescent="0.15">
      <c r="G125" s="12" t="s">
        <v>459</v>
      </c>
    </row>
    <row r="126" spans="7:7" x14ac:dyDescent="0.15">
      <c r="G126" s="12" t="s">
        <v>459</v>
      </c>
    </row>
    <row r="127" spans="7:7" x14ac:dyDescent="0.15">
      <c r="G127" s="12" t="s">
        <v>459</v>
      </c>
    </row>
    <row r="128" spans="7:7" x14ac:dyDescent="0.15">
      <c r="G128" s="12" t="s">
        <v>459</v>
      </c>
    </row>
    <row r="129" spans="7:7" x14ac:dyDescent="0.15">
      <c r="G129" s="12" t="s">
        <v>459</v>
      </c>
    </row>
    <row r="130" spans="7:7" x14ac:dyDescent="0.15">
      <c r="G130" s="12" t="s">
        <v>459</v>
      </c>
    </row>
    <row r="131" spans="7:7" x14ac:dyDescent="0.15">
      <c r="G131" s="12" t="s">
        <v>459</v>
      </c>
    </row>
    <row r="132" spans="7:7" x14ac:dyDescent="0.15">
      <c r="G132" s="12" t="s">
        <v>459</v>
      </c>
    </row>
    <row r="133" spans="7:7" x14ac:dyDescent="0.15">
      <c r="G133" s="12" t="s">
        <v>459</v>
      </c>
    </row>
    <row r="134" spans="7:7" x14ac:dyDescent="0.15">
      <c r="G134" s="12" t="s">
        <v>459</v>
      </c>
    </row>
    <row r="135" spans="7:7" x14ac:dyDescent="0.15">
      <c r="G135" s="12" t="s">
        <v>459</v>
      </c>
    </row>
    <row r="136" spans="7:7" x14ac:dyDescent="0.15">
      <c r="G136" s="12" t="s">
        <v>459</v>
      </c>
    </row>
    <row r="137" spans="7:7" x14ac:dyDescent="0.15">
      <c r="G137" s="12" t="s">
        <v>459</v>
      </c>
    </row>
    <row r="138" spans="7:7" x14ac:dyDescent="0.15">
      <c r="G138" s="12" t="s">
        <v>459</v>
      </c>
    </row>
    <row r="139" spans="7:7" x14ac:dyDescent="0.15">
      <c r="G139" s="12" t="s">
        <v>459</v>
      </c>
    </row>
    <row r="140" spans="7:7" x14ac:dyDescent="0.15">
      <c r="G140" s="12" t="s">
        <v>459</v>
      </c>
    </row>
    <row r="141" spans="7:7" x14ac:dyDescent="0.15">
      <c r="G141" s="12" t="s">
        <v>459</v>
      </c>
    </row>
    <row r="142" spans="7:7" x14ac:dyDescent="0.15">
      <c r="G142" s="12" t="s">
        <v>459</v>
      </c>
    </row>
    <row r="143" spans="7:7" x14ac:dyDescent="0.15">
      <c r="G143" s="12" t="s">
        <v>459</v>
      </c>
    </row>
    <row r="144" spans="7:7" x14ac:dyDescent="0.15">
      <c r="G144" s="12" t="s">
        <v>459</v>
      </c>
    </row>
    <row r="145" spans="7:7" x14ac:dyDescent="0.15">
      <c r="G145" s="12" t="s">
        <v>459</v>
      </c>
    </row>
  </sheetData>
  <autoFilter ref="G96:G145">
    <sortState ref="G97:G145">
      <sortCondition ref="G97:G145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L80"/>
  <sheetViews>
    <sheetView topLeftCell="A4" workbookViewId="0">
      <selection activeCell="H21" sqref="H21"/>
    </sheetView>
  </sheetViews>
  <sheetFormatPr defaultRowHeight="13.5" x14ac:dyDescent="0.15"/>
  <sheetData>
    <row r="1" spans="7:12" s="12" customFormat="1" x14ac:dyDescent="0.15"/>
    <row r="2" spans="7:12" x14ac:dyDescent="0.15">
      <c r="G2" t="s">
        <v>550</v>
      </c>
      <c r="H2">
        <v>25</v>
      </c>
      <c r="I2">
        <v>1</v>
      </c>
      <c r="K2" s="12"/>
      <c r="L2" s="12"/>
    </row>
    <row r="3" spans="7:12" x14ac:dyDescent="0.15">
      <c r="G3" t="s">
        <v>381</v>
      </c>
      <c r="H3">
        <v>16</v>
      </c>
      <c r="I3">
        <v>1</v>
      </c>
      <c r="K3" s="12"/>
      <c r="L3" s="12"/>
    </row>
    <row r="4" spans="7:12" x14ac:dyDescent="0.15">
      <c r="G4" t="s">
        <v>554</v>
      </c>
      <c r="H4">
        <v>15</v>
      </c>
      <c r="I4">
        <v>1</v>
      </c>
      <c r="K4" s="12"/>
      <c r="L4" s="12"/>
    </row>
    <row r="5" spans="7:12" x14ac:dyDescent="0.15">
      <c r="G5" t="s">
        <v>694</v>
      </c>
      <c r="H5">
        <v>14</v>
      </c>
      <c r="I5">
        <v>1</v>
      </c>
      <c r="K5" s="12"/>
      <c r="L5" s="12"/>
    </row>
    <row r="6" spans="7:12" x14ac:dyDescent="0.15">
      <c r="G6" t="s">
        <v>580</v>
      </c>
      <c r="H6">
        <v>10</v>
      </c>
      <c r="I6">
        <v>1</v>
      </c>
      <c r="K6" s="12"/>
      <c r="L6" s="12"/>
    </row>
    <row r="7" spans="7:12" x14ac:dyDescent="0.15">
      <c r="G7" t="s">
        <v>484</v>
      </c>
      <c r="H7">
        <v>9</v>
      </c>
      <c r="I7">
        <v>1</v>
      </c>
      <c r="K7" s="12"/>
      <c r="L7" s="12"/>
    </row>
    <row r="8" spans="7:12" x14ac:dyDescent="0.15">
      <c r="G8" t="s">
        <v>693</v>
      </c>
      <c r="H8">
        <v>7</v>
      </c>
      <c r="I8">
        <v>1</v>
      </c>
      <c r="K8" s="12"/>
      <c r="L8" s="12"/>
    </row>
    <row r="9" spans="7:12" x14ac:dyDescent="0.15">
      <c r="G9" t="s">
        <v>384</v>
      </c>
      <c r="H9">
        <v>7</v>
      </c>
      <c r="I9">
        <v>1</v>
      </c>
      <c r="K9" s="12"/>
      <c r="L9" s="12"/>
    </row>
    <row r="10" spans="7:12" x14ac:dyDescent="0.15">
      <c r="G10" t="s">
        <v>610</v>
      </c>
      <c r="H10">
        <v>7</v>
      </c>
      <c r="I10">
        <v>1</v>
      </c>
      <c r="K10" s="12"/>
      <c r="L10" s="12"/>
    </row>
    <row r="11" spans="7:12" x14ac:dyDescent="0.15">
      <c r="G11" t="s">
        <v>695</v>
      </c>
      <c r="H11">
        <v>9</v>
      </c>
      <c r="I11">
        <v>1</v>
      </c>
      <c r="K11" s="12"/>
      <c r="L11" s="12"/>
    </row>
    <row r="12" spans="7:12" x14ac:dyDescent="0.15">
      <c r="G12" t="s">
        <v>696</v>
      </c>
      <c r="H12">
        <v>6</v>
      </c>
      <c r="I12">
        <v>1</v>
      </c>
      <c r="K12" s="12"/>
      <c r="L12" s="12"/>
    </row>
    <row r="13" spans="7:12" x14ac:dyDescent="0.15">
      <c r="G13" t="s">
        <v>372</v>
      </c>
      <c r="H13">
        <v>5</v>
      </c>
      <c r="I13">
        <v>1</v>
      </c>
      <c r="K13" s="12"/>
      <c r="L13" s="12"/>
    </row>
    <row r="14" spans="7:12" x14ac:dyDescent="0.15">
      <c r="G14" t="s">
        <v>472</v>
      </c>
      <c r="H14">
        <v>5</v>
      </c>
      <c r="I14">
        <v>1</v>
      </c>
      <c r="K14" s="12"/>
      <c r="L14" s="12"/>
    </row>
    <row r="15" spans="7:12" x14ac:dyDescent="0.15">
      <c r="G15" t="s">
        <v>388</v>
      </c>
      <c r="H15">
        <v>5</v>
      </c>
      <c r="I15">
        <v>1</v>
      </c>
      <c r="K15" s="12"/>
      <c r="L15" s="12"/>
    </row>
    <row r="16" spans="7:12" x14ac:dyDescent="0.15">
      <c r="G16" t="s">
        <v>697</v>
      </c>
      <c r="H16">
        <v>4</v>
      </c>
      <c r="I16">
        <v>1</v>
      </c>
      <c r="K16" s="12"/>
      <c r="L16" s="12"/>
    </row>
    <row r="17" spans="7:12" x14ac:dyDescent="0.15">
      <c r="G17" t="s">
        <v>698</v>
      </c>
      <c r="H17">
        <v>4</v>
      </c>
      <c r="I17">
        <v>1</v>
      </c>
      <c r="K17" s="12"/>
      <c r="L17" s="12"/>
    </row>
    <row r="18" spans="7:12" x14ac:dyDescent="0.15">
      <c r="G18" t="s">
        <v>699</v>
      </c>
      <c r="H18">
        <v>4</v>
      </c>
      <c r="I18">
        <v>1</v>
      </c>
      <c r="K18" s="12"/>
      <c r="L18" s="12"/>
    </row>
    <row r="19" spans="7:12" x14ac:dyDescent="0.15">
      <c r="G19" t="s">
        <v>700</v>
      </c>
      <c r="H19">
        <v>4</v>
      </c>
      <c r="I19">
        <v>1</v>
      </c>
      <c r="K19" s="12"/>
      <c r="L19" s="12"/>
    </row>
    <row r="20" spans="7:12" x14ac:dyDescent="0.15">
      <c r="G20" t="s">
        <v>383</v>
      </c>
      <c r="H20">
        <v>4</v>
      </c>
      <c r="I20">
        <v>1</v>
      </c>
      <c r="K20" s="12"/>
      <c r="L20" s="12"/>
    </row>
    <row r="21" spans="7:12" x14ac:dyDescent="0.15">
      <c r="G21" t="s">
        <v>701</v>
      </c>
      <c r="H21">
        <v>3</v>
      </c>
      <c r="I21">
        <v>1</v>
      </c>
      <c r="K21" s="12"/>
      <c r="L21" s="12"/>
    </row>
    <row r="22" spans="7:12" x14ac:dyDescent="0.15">
      <c r="G22" t="s">
        <v>702</v>
      </c>
      <c r="H22">
        <v>3</v>
      </c>
      <c r="I22">
        <v>1</v>
      </c>
      <c r="K22" s="12"/>
      <c r="L22" s="12"/>
    </row>
    <row r="23" spans="7:12" x14ac:dyDescent="0.15">
      <c r="G23" t="s">
        <v>703</v>
      </c>
      <c r="H23">
        <v>3</v>
      </c>
      <c r="I23">
        <v>1</v>
      </c>
      <c r="K23" s="12"/>
      <c r="L23" s="12"/>
    </row>
    <row r="24" spans="7:12" x14ac:dyDescent="0.15">
      <c r="G24" t="s">
        <v>471</v>
      </c>
      <c r="H24">
        <v>3</v>
      </c>
      <c r="I24">
        <v>1</v>
      </c>
      <c r="K24" s="12"/>
      <c r="L24" s="12"/>
    </row>
    <row r="25" spans="7:12" x14ac:dyDescent="0.15">
      <c r="G25" t="s">
        <v>511</v>
      </c>
      <c r="H25">
        <v>3</v>
      </c>
      <c r="I25">
        <v>1</v>
      </c>
      <c r="K25" s="12"/>
      <c r="L25" s="12"/>
    </row>
    <row r="26" spans="7:12" x14ac:dyDescent="0.15">
      <c r="G26" t="s">
        <v>704</v>
      </c>
      <c r="H26">
        <v>3</v>
      </c>
      <c r="I26">
        <v>1</v>
      </c>
      <c r="K26" s="12"/>
      <c r="L26" s="12"/>
    </row>
    <row r="27" spans="7:12" x14ac:dyDescent="0.15">
      <c r="G27" t="s">
        <v>705</v>
      </c>
      <c r="H27">
        <v>3</v>
      </c>
      <c r="I27">
        <v>1</v>
      </c>
      <c r="K27" s="12"/>
      <c r="L27" s="12"/>
    </row>
    <row r="28" spans="7:12" x14ac:dyDescent="0.15">
      <c r="G28" t="s">
        <v>706</v>
      </c>
      <c r="H28">
        <v>3</v>
      </c>
      <c r="I28">
        <v>1</v>
      </c>
      <c r="K28" s="12"/>
      <c r="L28" s="12"/>
    </row>
    <row r="29" spans="7:12" x14ac:dyDescent="0.15">
      <c r="G29" t="s">
        <v>707</v>
      </c>
      <c r="H29">
        <v>3</v>
      </c>
      <c r="I29">
        <v>1</v>
      </c>
      <c r="K29" s="12"/>
      <c r="L29" s="12"/>
    </row>
    <row r="30" spans="7:12" x14ac:dyDescent="0.15">
      <c r="G30" t="s">
        <v>708</v>
      </c>
      <c r="H30">
        <v>3</v>
      </c>
      <c r="I30">
        <v>1</v>
      </c>
      <c r="K30" s="12"/>
      <c r="L30" s="12"/>
    </row>
    <row r="31" spans="7:12" x14ac:dyDescent="0.15">
      <c r="G31" t="s">
        <v>494</v>
      </c>
      <c r="H31">
        <v>3</v>
      </c>
      <c r="I31">
        <v>1</v>
      </c>
      <c r="K31" s="12"/>
      <c r="L31" s="12"/>
    </row>
    <row r="32" spans="7:12" x14ac:dyDescent="0.15">
      <c r="G32" t="s">
        <v>709</v>
      </c>
      <c r="H32">
        <v>3</v>
      </c>
      <c r="I32">
        <v>1</v>
      </c>
      <c r="K32" s="12"/>
      <c r="L32" s="12"/>
    </row>
    <row r="33" spans="7:12" x14ac:dyDescent="0.15">
      <c r="G33" t="s">
        <v>396</v>
      </c>
      <c r="H33">
        <v>3</v>
      </c>
      <c r="I33">
        <v>1</v>
      </c>
      <c r="K33" s="12"/>
      <c r="L33" s="12"/>
    </row>
    <row r="34" spans="7:12" x14ac:dyDescent="0.15">
      <c r="G34" t="s">
        <v>710</v>
      </c>
      <c r="H34">
        <v>3</v>
      </c>
      <c r="I34">
        <v>1</v>
      </c>
      <c r="K34" s="12"/>
      <c r="L34" s="12"/>
    </row>
    <row r="35" spans="7:12" x14ac:dyDescent="0.15">
      <c r="G35" t="s">
        <v>534</v>
      </c>
      <c r="H35">
        <v>2</v>
      </c>
      <c r="I35">
        <v>1</v>
      </c>
      <c r="K35" s="12"/>
      <c r="L35" s="12"/>
    </row>
    <row r="36" spans="7:12" x14ac:dyDescent="0.15">
      <c r="G36" t="s">
        <v>507</v>
      </c>
      <c r="H36">
        <v>2</v>
      </c>
      <c r="I36">
        <v>1</v>
      </c>
      <c r="K36" s="12"/>
      <c r="L36" s="12"/>
    </row>
    <row r="37" spans="7:12" x14ac:dyDescent="0.15">
      <c r="G37" t="s">
        <v>506</v>
      </c>
      <c r="H37">
        <v>2</v>
      </c>
      <c r="I37">
        <v>1</v>
      </c>
      <c r="K37" s="12"/>
      <c r="L37" s="12"/>
    </row>
    <row r="38" spans="7:12" x14ac:dyDescent="0.15">
      <c r="G38" t="s">
        <v>485</v>
      </c>
      <c r="H38">
        <v>2</v>
      </c>
      <c r="I38">
        <v>1</v>
      </c>
      <c r="K38" s="12"/>
      <c r="L38" s="12"/>
    </row>
    <row r="39" spans="7:12" x14ac:dyDescent="0.15">
      <c r="G39" t="s">
        <v>501</v>
      </c>
      <c r="H39">
        <v>2</v>
      </c>
      <c r="I39">
        <v>1</v>
      </c>
      <c r="K39" s="12"/>
      <c r="L39" s="12"/>
    </row>
    <row r="40" spans="7:12" x14ac:dyDescent="0.15">
      <c r="G40" t="s">
        <v>392</v>
      </c>
      <c r="H40">
        <v>2</v>
      </c>
      <c r="I40">
        <v>1</v>
      </c>
      <c r="K40" s="12"/>
      <c r="L40" s="12"/>
    </row>
    <row r="41" spans="7:12" x14ac:dyDescent="0.15">
      <c r="G41" t="s">
        <v>529</v>
      </c>
      <c r="H41">
        <v>2</v>
      </c>
      <c r="I41">
        <v>1</v>
      </c>
      <c r="K41" s="12"/>
      <c r="L41" s="12"/>
    </row>
    <row r="42" spans="7:12" x14ac:dyDescent="0.15">
      <c r="G42" t="s">
        <v>487</v>
      </c>
      <c r="H42">
        <v>2</v>
      </c>
      <c r="I42">
        <v>1</v>
      </c>
      <c r="K42" s="12"/>
      <c r="L42" s="12"/>
    </row>
    <row r="43" spans="7:12" x14ac:dyDescent="0.15">
      <c r="G43" t="s">
        <v>477</v>
      </c>
      <c r="H43">
        <v>2</v>
      </c>
      <c r="I43">
        <v>1</v>
      </c>
      <c r="K43" s="12"/>
      <c r="L43" s="12"/>
    </row>
    <row r="44" spans="7:12" x14ac:dyDescent="0.15">
      <c r="G44" t="s">
        <v>397</v>
      </c>
      <c r="H44">
        <v>2</v>
      </c>
      <c r="I44">
        <v>1</v>
      </c>
      <c r="K44" s="12"/>
      <c r="L44" s="12"/>
    </row>
    <row r="45" spans="7:12" x14ac:dyDescent="0.15">
      <c r="G45" t="s">
        <v>373</v>
      </c>
      <c r="H45">
        <v>2</v>
      </c>
      <c r="I45">
        <v>1</v>
      </c>
      <c r="K45" s="12"/>
      <c r="L45" s="12"/>
    </row>
    <row r="46" spans="7:12" x14ac:dyDescent="0.15">
      <c r="G46" t="s">
        <v>394</v>
      </c>
      <c r="H46">
        <v>2</v>
      </c>
      <c r="I46">
        <v>1</v>
      </c>
      <c r="K46" s="12"/>
      <c r="L46" s="12"/>
    </row>
    <row r="47" spans="7:12" x14ac:dyDescent="0.15">
      <c r="G47" t="s">
        <v>527</v>
      </c>
      <c r="H47">
        <v>2</v>
      </c>
      <c r="I47">
        <v>1</v>
      </c>
      <c r="K47" s="12"/>
      <c r="L47" s="12"/>
    </row>
    <row r="48" spans="7:12" x14ac:dyDescent="0.15">
      <c r="G48" t="s">
        <v>505</v>
      </c>
      <c r="H48">
        <v>2</v>
      </c>
      <c r="I48">
        <v>1</v>
      </c>
      <c r="K48" s="12"/>
      <c r="L48" s="12"/>
    </row>
    <row r="49" spans="5:12" x14ac:dyDescent="0.15">
      <c r="G49" t="s">
        <v>387</v>
      </c>
      <c r="H49">
        <v>2</v>
      </c>
      <c r="I49">
        <v>1</v>
      </c>
      <c r="K49" s="12"/>
      <c r="L49" s="12"/>
    </row>
    <row r="50" spans="5:12" x14ac:dyDescent="0.15">
      <c r="G50" t="s">
        <v>393</v>
      </c>
      <c r="H50">
        <v>2</v>
      </c>
      <c r="I50">
        <v>1</v>
      </c>
      <c r="K50" s="12"/>
      <c r="L50" s="12"/>
    </row>
    <row r="51" spans="5:12" x14ac:dyDescent="0.15">
      <c r="G51" t="s">
        <v>481</v>
      </c>
      <c r="H51">
        <v>2</v>
      </c>
      <c r="I51">
        <v>1</v>
      </c>
      <c r="K51" s="12"/>
      <c r="L51" s="12"/>
    </row>
    <row r="52" spans="5:12" x14ac:dyDescent="0.15">
      <c r="G52" t="s">
        <v>533</v>
      </c>
      <c r="H52">
        <v>2</v>
      </c>
      <c r="I52">
        <v>1</v>
      </c>
      <c r="K52" s="12"/>
      <c r="L52" s="12"/>
    </row>
    <row r="53" spans="5:12" x14ac:dyDescent="0.15">
      <c r="G53" t="s">
        <v>389</v>
      </c>
      <c r="H53">
        <v>2</v>
      </c>
      <c r="I53">
        <v>1</v>
      </c>
      <c r="K53" s="12"/>
      <c r="L53" s="12"/>
    </row>
    <row r="54" spans="5:12" x14ac:dyDescent="0.15">
      <c r="G54" t="s">
        <v>500</v>
      </c>
      <c r="H54">
        <v>2</v>
      </c>
      <c r="I54">
        <v>1</v>
      </c>
      <c r="K54" s="12"/>
      <c r="L54" s="12"/>
    </row>
    <row r="55" spans="5:12" x14ac:dyDescent="0.15">
      <c r="G55" t="s">
        <v>499</v>
      </c>
      <c r="H55">
        <v>2</v>
      </c>
      <c r="I55">
        <v>1</v>
      </c>
      <c r="K55" s="12"/>
      <c r="L55" s="12"/>
    </row>
    <row r="56" spans="5:12" x14ac:dyDescent="0.15">
      <c r="G56" t="s">
        <v>493</v>
      </c>
      <c r="H56">
        <v>2</v>
      </c>
      <c r="I56">
        <v>1</v>
      </c>
      <c r="K56" s="12"/>
      <c r="L56" s="12"/>
    </row>
    <row r="57" spans="5:12" x14ac:dyDescent="0.15">
      <c r="E57" s="12"/>
      <c r="G57" t="s">
        <v>584</v>
      </c>
      <c r="H57">
        <v>2</v>
      </c>
      <c r="I57">
        <v>1</v>
      </c>
      <c r="K57" s="12"/>
      <c r="L57" s="12"/>
    </row>
    <row r="58" spans="5:12" x14ac:dyDescent="0.15">
      <c r="E58" s="12"/>
      <c r="G58" t="s">
        <v>496</v>
      </c>
      <c r="H58">
        <v>2</v>
      </c>
      <c r="I58">
        <v>1</v>
      </c>
      <c r="K58" s="12"/>
      <c r="L58" s="12"/>
    </row>
    <row r="59" spans="5:12" x14ac:dyDescent="0.15">
      <c r="E59" s="12"/>
      <c r="G59" t="s">
        <v>490</v>
      </c>
      <c r="H59">
        <v>2</v>
      </c>
      <c r="I59">
        <v>1</v>
      </c>
      <c r="K59" s="12"/>
      <c r="L59" s="12"/>
    </row>
    <row r="60" spans="5:12" x14ac:dyDescent="0.15">
      <c r="E60" s="12"/>
      <c r="G60" t="s">
        <v>503</v>
      </c>
      <c r="H60">
        <v>2</v>
      </c>
      <c r="I60">
        <v>1</v>
      </c>
      <c r="L60" s="12"/>
    </row>
    <row r="61" spans="5:12" x14ac:dyDescent="0.15">
      <c r="E61" s="12"/>
      <c r="G61" t="s">
        <v>504</v>
      </c>
      <c r="H61">
        <v>2</v>
      </c>
      <c r="I61">
        <v>1</v>
      </c>
      <c r="L61" s="12"/>
    </row>
    <row r="62" spans="5:12" x14ac:dyDescent="0.15">
      <c r="E62" s="12"/>
      <c r="G62" t="s">
        <v>586</v>
      </c>
      <c r="H62">
        <v>1</v>
      </c>
      <c r="I62">
        <v>1</v>
      </c>
      <c r="L62" s="12"/>
    </row>
    <row r="63" spans="5:12" x14ac:dyDescent="0.15">
      <c r="G63" t="s">
        <v>473</v>
      </c>
      <c r="H63">
        <v>1</v>
      </c>
      <c r="I63">
        <v>1</v>
      </c>
      <c r="L63" s="12"/>
    </row>
    <row r="64" spans="5:12" x14ac:dyDescent="0.15">
      <c r="G64" t="s">
        <v>536</v>
      </c>
      <c r="H64">
        <v>1</v>
      </c>
      <c r="I64">
        <v>1</v>
      </c>
      <c r="L64" s="12"/>
    </row>
    <row r="65" spans="7:12" x14ac:dyDescent="0.15">
      <c r="G65" t="s">
        <v>512</v>
      </c>
      <c r="H65">
        <v>1</v>
      </c>
      <c r="I65">
        <v>1</v>
      </c>
      <c r="L65" s="12"/>
    </row>
    <row r="66" spans="7:12" x14ac:dyDescent="0.15">
      <c r="G66" t="s">
        <v>538</v>
      </c>
      <c r="H66">
        <v>1</v>
      </c>
      <c r="I66">
        <v>1</v>
      </c>
      <c r="L66" s="12"/>
    </row>
    <row r="67" spans="7:12" x14ac:dyDescent="0.15">
      <c r="G67" t="s">
        <v>535</v>
      </c>
      <c r="H67">
        <v>1</v>
      </c>
      <c r="I67">
        <v>1</v>
      </c>
      <c r="L67" s="12"/>
    </row>
    <row r="68" spans="7:12" x14ac:dyDescent="0.15">
      <c r="G68" t="s">
        <v>540</v>
      </c>
      <c r="H68">
        <v>1</v>
      </c>
      <c r="I68">
        <v>1</v>
      </c>
      <c r="L68" s="12"/>
    </row>
    <row r="69" spans="7:12" x14ac:dyDescent="0.15">
      <c r="G69" t="s">
        <v>539</v>
      </c>
      <c r="H69">
        <v>1</v>
      </c>
      <c r="I69">
        <v>1</v>
      </c>
      <c r="L69" s="12"/>
    </row>
    <row r="70" spans="7:12" x14ac:dyDescent="0.15">
      <c r="G70" t="s">
        <v>581</v>
      </c>
      <c r="H70">
        <v>1</v>
      </c>
      <c r="I70">
        <v>1</v>
      </c>
      <c r="L70" s="12"/>
    </row>
    <row r="71" spans="7:12" x14ac:dyDescent="0.15">
      <c r="G71" t="s">
        <v>492</v>
      </c>
      <c r="H71">
        <v>1</v>
      </c>
      <c r="I71">
        <v>1</v>
      </c>
      <c r="L71" s="12"/>
    </row>
    <row r="72" spans="7:12" x14ac:dyDescent="0.15">
      <c r="G72" t="s">
        <v>390</v>
      </c>
      <c r="H72">
        <v>1</v>
      </c>
      <c r="I72">
        <v>1</v>
      </c>
      <c r="L72" s="12"/>
    </row>
    <row r="73" spans="7:12" x14ac:dyDescent="0.15">
      <c r="G73" t="s">
        <v>543</v>
      </c>
      <c r="H73">
        <v>1</v>
      </c>
      <c r="I73">
        <v>1</v>
      </c>
      <c r="L73" s="12"/>
    </row>
    <row r="74" spans="7:12" x14ac:dyDescent="0.15">
      <c r="G74" t="s">
        <v>516</v>
      </c>
      <c r="H74">
        <v>1</v>
      </c>
      <c r="I74">
        <v>1</v>
      </c>
      <c r="L74" s="12"/>
    </row>
    <row r="75" spans="7:12" x14ac:dyDescent="0.15">
      <c r="G75" t="s">
        <v>495</v>
      </c>
      <c r="H75">
        <v>1</v>
      </c>
      <c r="I75">
        <v>1</v>
      </c>
      <c r="L75" s="12"/>
    </row>
    <row r="76" spans="7:12" x14ac:dyDescent="0.15">
      <c r="G76" t="s">
        <v>509</v>
      </c>
      <c r="H76">
        <v>1</v>
      </c>
      <c r="I76">
        <v>1</v>
      </c>
      <c r="L76" s="12"/>
    </row>
    <row r="77" spans="7:12" x14ac:dyDescent="0.15">
      <c r="G77" t="s">
        <v>385</v>
      </c>
      <c r="H77">
        <v>1</v>
      </c>
      <c r="I77">
        <v>1</v>
      </c>
    </row>
    <row r="78" spans="7:12" x14ac:dyDescent="0.15">
      <c r="G78" t="s">
        <v>518</v>
      </c>
      <c r="H78">
        <v>1</v>
      </c>
      <c r="I78">
        <v>1</v>
      </c>
    </row>
    <row r="79" spans="7:12" x14ac:dyDescent="0.15">
      <c r="G79" t="s">
        <v>497</v>
      </c>
      <c r="H79">
        <v>1</v>
      </c>
      <c r="I79">
        <v>1</v>
      </c>
    </row>
    <row r="80" spans="7:12" x14ac:dyDescent="0.15">
      <c r="G80" t="s">
        <v>692</v>
      </c>
      <c r="H80">
        <v>1</v>
      </c>
      <c r="I80">
        <v>1</v>
      </c>
    </row>
  </sheetData>
  <autoFilter ref="G1:I1">
    <sortState ref="G2:I87">
      <sortCondition descending="1" ref="H1"/>
    </sortState>
  </autoFilter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409</v>
      </c>
      <c r="F5" s="14"/>
      <c r="G5" s="12" t="str">
        <f>$I5&amp;","&amp;$J5&amp;","&amp;$K5&amp;","&amp;$L5</f>
        <v>铁块,刀刃,,</v>
      </c>
      <c r="I5" s="12" t="s">
        <v>446</v>
      </c>
      <c r="J5" s="12" t="s">
        <v>515</v>
      </c>
      <c r="K5" s="12"/>
      <c r="L5" s="12"/>
      <c r="N5" t="s">
        <v>666</v>
      </c>
      <c r="O5" s="12"/>
      <c r="P5" s="12" t="s">
        <v>667</v>
      </c>
      <c r="Q5" s="12" t="s">
        <v>667</v>
      </c>
      <c r="T5" t="s">
        <v>666</v>
      </c>
      <c r="U5" s="12" t="s">
        <v>381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408</v>
      </c>
      <c r="F6" s="14"/>
      <c r="G6" s="12" t="str">
        <f t="shared" ref="G6:G69" si="0">$I6&amp;","&amp;$J6&amp;","&amp;$K6&amp;","&amp;$L6</f>
        <v>长剑,眼球,诅咒宝珠,</v>
      </c>
      <c r="I6" s="12" t="s">
        <v>355</v>
      </c>
      <c r="J6" s="12" t="s">
        <v>385</v>
      </c>
      <c r="K6" s="12" t="s">
        <v>504</v>
      </c>
      <c r="L6" s="12"/>
      <c r="N6" s="12" t="s">
        <v>668</v>
      </c>
      <c r="O6" s="12"/>
      <c r="P6" s="12"/>
      <c r="Q6" s="12" t="s">
        <v>667</v>
      </c>
      <c r="T6" s="12" t="s">
        <v>668</v>
      </c>
      <c r="U6" s="12" t="s">
        <v>385</v>
      </c>
      <c r="V6" s="12" t="s">
        <v>504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398</v>
      </c>
      <c r="F7" s="17"/>
      <c r="G7" s="12" t="str">
        <f t="shared" si="0"/>
        <v>长剑,火晶石,石英砂,白磷粉末</v>
      </c>
      <c r="I7" s="12" t="s">
        <v>409</v>
      </c>
      <c r="J7" s="7" t="s">
        <v>487</v>
      </c>
      <c r="K7" s="12" t="s">
        <v>472</v>
      </c>
      <c r="L7" s="12" t="s">
        <v>534</v>
      </c>
      <c r="N7" s="12" t="s">
        <v>668</v>
      </c>
      <c r="O7" s="12"/>
      <c r="P7" s="12"/>
      <c r="Q7" s="12"/>
      <c r="T7" s="12" t="s">
        <v>668</v>
      </c>
      <c r="U7" s="12" t="s">
        <v>487</v>
      </c>
      <c r="V7" s="12" t="s">
        <v>472</v>
      </c>
      <c r="W7" s="12" t="s">
        <v>534</v>
      </c>
      <c r="Z7" s="12" t="str">
        <f t="shared" si="1"/>
        <v>铁块,刀刃,,,火晶石,石英砂,白磷粉末</v>
      </c>
    </row>
    <row r="8" spans="5:26" x14ac:dyDescent="0.15">
      <c r="E8" s="14" t="s">
        <v>410</v>
      </c>
      <c r="F8" s="14"/>
      <c r="G8" s="12" t="str">
        <f t="shared" si="0"/>
        <v>长剑,土晶石,钢,粘土</v>
      </c>
      <c r="I8" s="12" t="s">
        <v>355</v>
      </c>
      <c r="J8" s="12" t="s">
        <v>481</v>
      </c>
      <c r="K8" s="12" t="s">
        <v>379</v>
      </c>
      <c r="L8" s="12" t="s">
        <v>476</v>
      </c>
      <c r="N8" s="12" t="s">
        <v>668</v>
      </c>
      <c r="O8" s="12"/>
      <c r="P8" s="12" t="s">
        <v>669</v>
      </c>
      <c r="Q8" s="12"/>
      <c r="T8" s="12" t="s">
        <v>668</v>
      </c>
      <c r="U8" s="12" t="s">
        <v>481</v>
      </c>
      <c r="V8" s="12" t="s">
        <v>669</v>
      </c>
      <c r="W8" s="12" t="s">
        <v>476</v>
      </c>
      <c r="Z8" s="12" t="str">
        <f t="shared" si="1"/>
        <v>铁块,刀刃,,,土晶石,铸造,铁块,焦炭,,粘土</v>
      </c>
    </row>
    <row r="9" spans="5:26" x14ac:dyDescent="0.15">
      <c r="E9" s="14" t="s">
        <v>407</v>
      </c>
      <c r="F9" s="14"/>
      <c r="G9" s="12" t="str">
        <f t="shared" si="0"/>
        <v>长剑,冰晶石,冰的结晶,雪球</v>
      </c>
      <c r="I9" s="12" t="s">
        <v>433</v>
      </c>
      <c r="J9" s="12" t="s">
        <v>506</v>
      </c>
      <c r="K9" s="12" t="s">
        <v>615</v>
      </c>
      <c r="L9" s="12" t="s">
        <v>434</v>
      </c>
      <c r="N9" s="12" t="s">
        <v>668</v>
      </c>
      <c r="O9" s="12"/>
      <c r="P9" s="12"/>
      <c r="Q9" s="12"/>
      <c r="T9" s="12" t="s">
        <v>668</v>
      </c>
      <c r="U9" s="12" t="s">
        <v>506</v>
      </c>
      <c r="V9" s="12" t="s">
        <v>507</v>
      </c>
      <c r="W9" s="12" t="s">
        <v>389</v>
      </c>
      <c r="Z9" s="12" t="str">
        <f t="shared" si="1"/>
        <v>铁块,刀刃,,,冰晶石,冰的结晶,雪球</v>
      </c>
    </row>
    <row r="10" spans="5:26" x14ac:dyDescent="0.15">
      <c r="E10" s="14" t="s">
        <v>414</v>
      </c>
      <c r="F10" s="14"/>
      <c r="G10" s="12" t="str">
        <f t="shared" si="0"/>
        <v>木棒,铁块,刀刃,</v>
      </c>
      <c r="I10" s="16" t="s">
        <v>372</v>
      </c>
      <c r="J10" s="16" t="s">
        <v>550</v>
      </c>
      <c r="K10" s="16" t="s">
        <v>381</v>
      </c>
      <c r="L10" s="12"/>
      <c r="N10" s="12"/>
      <c r="O10" s="12" t="s">
        <v>666</v>
      </c>
      <c r="P10" s="12"/>
      <c r="Q10" s="12" t="s">
        <v>667</v>
      </c>
      <c r="T10" s="12" t="s">
        <v>372</v>
      </c>
      <c r="U10" s="12" t="s">
        <v>666</v>
      </c>
      <c r="V10" s="12" t="s">
        <v>381</v>
      </c>
      <c r="W10" s="12"/>
      <c r="Z10" s="12" t="str">
        <f t="shared" si="1"/>
        <v>木棒,铸造,废铁,焦炭,,刀刃,</v>
      </c>
    </row>
    <row r="11" spans="5:26" x14ac:dyDescent="0.15">
      <c r="E11" s="14" t="s">
        <v>436</v>
      </c>
      <c r="F11" s="14"/>
      <c r="G11" s="12" t="str">
        <f t="shared" si="0"/>
        <v>铁枪,魔族之血,银块,蜂刺</v>
      </c>
      <c r="I11" s="1" t="s">
        <v>592</v>
      </c>
      <c r="J11" s="16" t="s">
        <v>391</v>
      </c>
      <c r="K11" s="16" t="s">
        <v>493</v>
      </c>
      <c r="L11" s="12" t="s">
        <v>392</v>
      </c>
      <c r="N11" s="12" t="s">
        <v>670</v>
      </c>
      <c r="O11" s="12"/>
      <c r="P11" s="12"/>
      <c r="Q11" s="12"/>
      <c r="T11" s="12" t="s">
        <v>670</v>
      </c>
      <c r="U11" s="12" t="s">
        <v>391</v>
      </c>
      <c r="V11" s="12" t="s">
        <v>493</v>
      </c>
      <c r="W11" s="12" t="s">
        <v>392</v>
      </c>
      <c r="Z11" s="12" t="str">
        <f t="shared" si="1"/>
        <v>木棒,铁块,刀刃,,魔族之血,银块,蜂刺</v>
      </c>
    </row>
    <row r="12" spans="5:26" x14ac:dyDescent="0.15">
      <c r="E12" s="14" t="s">
        <v>642</v>
      </c>
      <c r="F12" s="14"/>
      <c r="G12" s="12" t="str">
        <f t="shared" si="0"/>
        <v>铁枪,骑士之证,钢,</v>
      </c>
      <c r="I12" s="12" t="s">
        <v>358</v>
      </c>
      <c r="J12" s="12" t="s">
        <v>527</v>
      </c>
      <c r="K12" s="16" t="s">
        <v>602</v>
      </c>
      <c r="L12" s="12"/>
      <c r="N12" s="12" t="s">
        <v>670</v>
      </c>
      <c r="O12" s="12"/>
      <c r="P12" s="12" t="s">
        <v>669</v>
      </c>
      <c r="Q12" s="12" t="s">
        <v>667</v>
      </c>
      <c r="T12" s="12" t="s">
        <v>670</v>
      </c>
      <c r="U12" s="12" t="s">
        <v>527</v>
      </c>
      <c r="V12" s="12" t="s">
        <v>669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360</v>
      </c>
      <c r="F13" s="14"/>
      <c r="G13" s="12" t="str">
        <f t="shared" si="0"/>
        <v>铁枪,珊瑚,象牙,水晶石</v>
      </c>
      <c r="I13" s="12" t="s">
        <v>358</v>
      </c>
      <c r="J13" s="12" t="s">
        <v>387</v>
      </c>
      <c r="K13" s="12" t="s">
        <v>494</v>
      </c>
      <c r="L13" s="12" t="s">
        <v>489</v>
      </c>
      <c r="N13" s="12" t="s">
        <v>670</v>
      </c>
      <c r="O13" s="12"/>
      <c r="P13" s="12"/>
      <c r="Q13" s="12"/>
      <c r="T13" s="12" t="s">
        <v>670</v>
      </c>
      <c r="U13" s="12" t="s">
        <v>387</v>
      </c>
      <c r="V13" s="12" t="s">
        <v>494</v>
      </c>
      <c r="W13" s="12" t="s">
        <v>489</v>
      </c>
      <c r="Z13" s="12" t="str">
        <f t="shared" si="1"/>
        <v>木棒,铁块,刀刃,,珊瑚,象牙,水晶石</v>
      </c>
    </row>
    <row r="14" spans="5:26" x14ac:dyDescent="0.15">
      <c r="E14" s="9" t="s">
        <v>572</v>
      </c>
      <c r="F14" s="9"/>
      <c r="G14" s="12" t="str">
        <f t="shared" si="0"/>
        <v>银块,刀刃,咒术药水,暮光结晶</v>
      </c>
      <c r="I14" s="12" t="s">
        <v>493</v>
      </c>
      <c r="J14" s="12" t="s">
        <v>515</v>
      </c>
      <c r="K14" s="12" t="s">
        <v>503</v>
      </c>
      <c r="L14" s="12" t="s">
        <v>587</v>
      </c>
      <c r="N14" s="12"/>
      <c r="O14" s="12"/>
      <c r="P14" s="12"/>
      <c r="Q14" s="12"/>
      <c r="T14" s="12" t="s">
        <v>493</v>
      </c>
      <c r="U14" s="12" t="s">
        <v>381</v>
      </c>
      <c r="V14" s="12" t="s">
        <v>503</v>
      </c>
      <c r="W14" s="12" t="s">
        <v>587</v>
      </c>
      <c r="Z14" s="12" t="str">
        <f t="shared" si="1"/>
        <v>银块,刀刃,咒术药水,暮光结晶</v>
      </c>
    </row>
    <row r="15" spans="5:26" x14ac:dyDescent="0.15">
      <c r="E15" s="9" t="s">
        <v>573</v>
      </c>
      <c r="F15" s="9"/>
      <c r="G15" s="12" t="str">
        <f t="shared" si="0"/>
        <v>幻影水晶,铁枪,夜之幕,风晶石</v>
      </c>
      <c r="I15" s="12" t="s">
        <v>538</v>
      </c>
      <c r="J15" s="12" t="s">
        <v>358</v>
      </c>
      <c r="K15" s="12" t="s">
        <v>625</v>
      </c>
      <c r="L15" s="12" t="s">
        <v>474</v>
      </c>
      <c r="N15" s="12"/>
      <c r="O15" s="12" t="s">
        <v>670</v>
      </c>
      <c r="P15" s="12"/>
      <c r="Q15" s="12"/>
      <c r="T15" s="12" t="s">
        <v>538</v>
      </c>
      <c r="U15" s="12" t="s">
        <v>670</v>
      </c>
      <c r="V15" s="12" t="s">
        <v>508</v>
      </c>
      <c r="W15" s="12" t="s">
        <v>474</v>
      </c>
      <c r="Z15" s="12" t="str">
        <f t="shared" si="1"/>
        <v>幻影水晶,木棒,铁块,刀刃,,夜之幕,风晶石</v>
      </c>
    </row>
    <row r="16" spans="5:26" x14ac:dyDescent="0.15">
      <c r="E16" s="14" t="s">
        <v>546</v>
      </c>
      <c r="F16" s="14"/>
      <c r="G16" s="12" t="str">
        <f t="shared" si="0"/>
        <v>钢,刀刃,兽角,</v>
      </c>
      <c r="I16" s="12" t="s">
        <v>379</v>
      </c>
      <c r="J16" s="12" t="s">
        <v>381</v>
      </c>
      <c r="K16" s="12" t="s">
        <v>605</v>
      </c>
      <c r="L16" s="12"/>
      <c r="N16" s="12" t="s">
        <v>669</v>
      </c>
      <c r="O16" s="12"/>
      <c r="P16" s="12"/>
      <c r="Q16" s="12" t="s">
        <v>667</v>
      </c>
      <c r="T16" s="12" t="s">
        <v>669</v>
      </c>
      <c r="U16" s="12" t="s">
        <v>381</v>
      </c>
      <c r="V16" s="12" t="s">
        <v>388</v>
      </c>
      <c r="W16" s="12"/>
      <c r="Z16" s="12" t="str">
        <f t="shared" si="1"/>
        <v>铸造,铁块,焦炭,,刀刃,兽角,</v>
      </c>
    </row>
    <row r="17" spans="5:26" x14ac:dyDescent="0.15">
      <c r="E17" s="14" t="s">
        <v>413</v>
      </c>
      <c r="F17" s="14"/>
      <c r="G17" s="12" t="str">
        <f t="shared" si="0"/>
        <v>战斧,毒淤泥,狼牙,</v>
      </c>
      <c r="I17" s="12" t="s">
        <v>546</v>
      </c>
      <c r="J17" s="12" t="s">
        <v>593</v>
      </c>
      <c r="K17" s="12" t="s">
        <v>395</v>
      </c>
      <c r="L17" s="12"/>
      <c r="N17" s="12" t="s">
        <v>671</v>
      </c>
      <c r="O17" s="12"/>
      <c r="P17" s="12"/>
      <c r="Q17" s="12" t="s">
        <v>667</v>
      </c>
      <c r="T17" s="12" t="s">
        <v>671</v>
      </c>
      <c r="U17" s="12" t="s">
        <v>501</v>
      </c>
      <c r="V17" s="12" t="s">
        <v>395</v>
      </c>
      <c r="W17" s="12"/>
      <c r="Z17" s="12" t="str">
        <f t="shared" si="1"/>
        <v>钢,刀刃,兽角,,毒淤泥,狼牙,</v>
      </c>
    </row>
    <row r="18" spans="5:26" x14ac:dyDescent="0.15">
      <c r="E18" s="14" t="s">
        <v>412</v>
      </c>
      <c r="F18" s="14"/>
      <c r="G18" s="12" t="str">
        <f t="shared" si="0"/>
        <v>战斧,魔族之血,人狼之证,石化之眼</v>
      </c>
      <c r="I18" s="12" t="s">
        <v>361</v>
      </c>
      <c r="J18" s="12" t="s">
        <v>391</v>
      </c>
      <c r="K18" s="12" t="s">
        <v>505</v>
      </c>
      <c r="L18" s="12" t="s">
        <v>393</v>
      </c>
      <c r="N18" s="12" t="s">
        <v>671</v>
      </c>
      <c r="O18" s="12"/>
      <c r="P18" s="12"/>
      <c r="Q18" s="12"/>
      <c r="T18" s="12" t="s">
        <v>671</v>
      </c>
      <c r="U18" s="12" t="s">
        <v>391</v>
      </c>
      <c r="V18" s="12" t="s">
        <v>505</v>
      </c>
      <c r="W18" s="12" t="s">
        <v>393</v>
      </c>
      <c r="Z18" s="12" t="str">
        <f t="shared" si="1"/>
        <v>钢,刀刃,兽角,,魔族之血,人狼之证,石化之眼</v>
      </c>
    </row>
    <row r="19" spans="5:26" x14ac:dyDescent="0.15">
      <c r="E19" s="14" t="s">
        <v>411</v>
      </c>
      <c r="F19" s="14"/>
      <c r="G19" s="12" t="str">
        <f t="shared" si="0"/>
        <v>战斧,雪球,冰晶石,寒冰气息</v>
      </c>
      <c r="I19" s="12" t="s">
        <v>361</v>
      </c>
      <c r="J19" s="12" t="s">
        <v>389</v>
      </c>
      <c r="K19" s="12" t="s">
        <v>506</v>
      </c>
      <c r="L19" s="12" t="s">
        <v>511</v>
      </c>
      <c r="N19" s="12" t="s">
        <v>671</v>
      </c>
      <c r="O19" s="12"/>
      <c r="P19" s="12"/>
      <c r="Q19" s="12"/>
      <c r="T19" s="12" t="s">
        <v>671</v>
      </c>
      <c r="U19" s="12" t="s">
        <v>389</v>
      </c>
      <c r="V19" s="12" t="s">
        <v>506</v>
      </c>
      <c r="W19" s="12" t="s">
        <v>511</v>
      </c>
      <c r="Z19" s="12" t="str">
        <f t="shared" si="1"/>
        <v>钢,刀刃,兽角,,雪球,冰晶石,寒冰气息</v>
      </c>
    </row>
    <row r="20" spans="5:26" x14ac:dyDescent="0.15">
      <c r="E20" s="14" t="s">
        <v>608</v>
      </c>
      <c r="F20" s="14"/>
      <c r="G20" s="12" t="str">
        <f t="shared" si="0"/>
        <v>蛇皮,马尾,蛛丝,</v>
      </c>
      <c r="I20" s="12" t="s">
        <v>375</v>
      </c>
      <c r="J20" s="12" t="s">
        <v>599</v>
      </c>
      <c r="K20" s="12" t="s">
        <v>612</v>
      </c>
      <c r="L20" s="12"/>
      <c r="N20" s="12"/>
      <c r="O20" s="12"/>
      <c r="P20" s="12"/>
      <c r="Q20" s="12" t="s">
        <v>667</v>
      </c>
      <c r="T20" s="12" t="s">
        <v>375</v>
      </c>
      <c r="U20" s="12" t="s">
        <v>384</v>
      </c>
      <c r="V20" s="12" t="s">
        <v>382</v>
      </c>
      <c r="W20" s="12"/>
      <c r="Z20" s="12" t="str">
        <f t="shared" si="1"/>
        <v>蛇皮,马尾,蛛丝,</v>
      </c>
    </row>
    <row r="21" spans="5:26" x14ac:dyDescent="0.15">
      <c r="E21" s="14" t="s">
        <v>600</v>
      </c>
      <c r="F21" s="14"/>
      <c r="G21" s="12" t="str">
        <f t="shared" si="0"/>
        <v>植物的藤,马尾,蛛丝,</v>
      </c>
      <c r="I21" s="12" t="s">
        <v>483</v>
      </c>
      <c r="J21" s="12" t="s">
        <v>384</v>
      </c>
      <c r="K21" s="12" t="s">
        <v>612</v>
      </c>
      <c r="L21" s="12"/>
      <c r="N21" s="12"/>
      <c r="O21" s="12"/>
      <c r="P21" s="12"/>
      <c r="Q21" s="12" t="s">
        <v>667</v>
      </c>
      <c r="T21" s="12" t="s">
        <v>483</v>
      </c>
      <c r="U21" s="12" t="s">
        <v>384</v>
      </c>
      <c r="V21" s="12" t="s">
        <v>382</v>
      </c>
      <c r="W21" s="12"/>
      <c r="Z21" s="12" t="str">
        <f t="shared" si="1"/>
        <v>植物的藤,马尾,蛛丝,</v>
      </c>
    </row>
    <row r="22" spans="5:26" x14ac:dyDescent="0.15">
      <c r="E22" s="14" t="s">
        <v>627</v>
      </c>
      <c r="F22" s="14"/>
      <c r="G22" s="12" t="str">
        <f t="shared" si="0"/>
        <v>藤鞭,尖刺,幽魂,</v>
      </c>
      <c r="I22" s="12" t="s">
        <v>365</v>
      </c>
      <c r="J22" s="12" t="s">
        <v>589</v>
      </c>
      <c r="K22" s="12" t="s">
        <v>396</v>
      </c>
      <c r="L22" s="12"/>
      <c r="N22" s="12" t="s">
        <v>672</v>
      </c>
      <c r="O22" s="12"/>
      <c r="P22" s="12"/>
      <c r="Q22" s="12" t="s">
        <v>667</v>
      </c>
      <c r="T22" s="12" t="s">
        <v>672</v>
      </c>
      <c r="U22" s="12" t="s">
        <v>477</v>
      </c>
      <c r="V22" s="12" t="s">
        <v>396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626</v>
      </c>
      <c r="F23" s="14"/>
      <c r="G23" s="12" t="str">
        <f t="shared" si="0"/>
        <v>蛇皮鞭,狼牙,,</v>
      </c>
      <c r="I23" s="12" t="s">
        <v>364</v>
      </c>
      <c r="J23" s="12" t="s">
        <v>431</v>
      </c>
      <c r="K23" s="12"/>
      <c r="L23" s="12"/>
      <c r="N23" s="12" t="s">
        <v>673</v>
      </c>
      <c r="O23" s="12"/>
      <c r="P23" s="12" t="s">
        <v>673</v>
      </c>
      <c r="Q23" s="12" t="s">
        <v>667</v>
      </c>
      <c r="T23" s="12" t="s">
        <v>673</v>
      </c>
      <c r="U23" s="12" t="s">
        <v>395</v>
      </c>
      <c r="V23" s="12" t="s">
        <v>673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576</v>
      </c>
      <c r="F24" s="9"/>
      <c r="G24" s="12" t="str">
        <f t="shared" si="0"/>
        <v>雷鸣宝珠,电偶瓶,蜂刺,女王鞭</v>
      </c>
      <c r="I24" s="12" t="s">
        <v>535</v>
      </c>
      <c r="J24" s="12" t="s">
        <v>485</v>
      </c>
      <c r="K24" s="12" t="s">
        <v>598</v>
      </c>
      <c r="L24" s="12" t="s">
        <v>418</v>
      </c>
      <c r="N24" s="12"/>
      <c r="O24" s="12"/>
      <c r="P24" s="12"/>
      <c r="Q24" s="12" t="s">
        <v>685</v>
      </c>
      <c r="T24" s="12" t="s">
        <v>535</v>
      </c>
      <c r="U24" s="12" t="s">
        <v>485</v>
      </c>
      <c r="V24" s="12" t="s">
        <v>392</v>
      </c>
      <c r="W24" s="12" t="s">
        <v>684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575</v>
      </c>
      <c r="F25" s="9"/>
      <c r="G25" s="12" t="str">
        <f t="shared" si="0"/>
        <v>脏绷带,亡者之土,寒冰火种,蛇牙鞭</v>
      </c>
      <c r="I25" s="12" t="s">
        <v>496</v>
      </c>
      <c r="J25" s="12" t="s">
        <v>635</v>
      </c>
      <c r="K25" s="12" t="s">
        <v>512</v>
      </c>
      <c r="L25" s="12" t="s">
        <v>366</v>
      </c>
      <c r="N25" s="12"/>
      <c r="O25" s="12"/>
      <c r="P25" s="12"/>
      <c r="Q25" s="12" t="s">
        <v>687</v>
      </c>
      <c r="T25" s="12" t="s">
        <v>496</v>
      </c>
      <c r="U25" s="12" t="s">
        <v>502</v>
      </c>
      <c r="V25" s="12" t="s">
        <v>512</v>
      </c>
      <c r="W25" s="12" t="s">
        <v>686</v>
      </c>
      <c r="Z25" s="12" t="str">
        <f t="shared" si="1"/>
        <v>脏绷带,亡者之土,寒冰火种,蛇皮,马尾,蛛丝,,狼牙,</v>
      </c>
    </row>
    <row r="26" spans="5:26" x14ac:dyDescent="0.15">
      <c r="E26" s="17" t="s">
        <v>636</v>
      </c>
      <c r="F26" s="17"/>
      <c r="G26" s="12" t="str">
        <f t="shared" si="0"/>
        <v>布片,毛线,,</v>
      </c>
      <c r="I26" s="12" t="s">
        <v>430</v>
      </c>
      <c r="J26" s="12" t="s">
        <v>611</v>
      </c>
      <c r="K26" s="12"/>
      <c r="L26" s="12"/>
      <c r="N26" s="12" t="s">
        <v>674</v>
      </c>
      <c r="O26" s="12" t="s">
        <v>675</v>
      </c>
      <c r="P26" s="12" t="s">
        <v>667</v>
      </c>
      <c r="Q26" s="12" t="s">
        <v>667</v>
      </c>
      <c r="T26" s="12" t="s">
        <v>674</v>
      </c>
      <c r="U26" s="12" t="s">
        <v>675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629</v>
      </c>
      <c r="F27" s="17"/>
      <c r="G27" s="12" t="str">
        <f t="shared" si="0"/>
        <v>皮革,粘液,蛛丝,</v>
      </c>
      <c r="I27" s="12" t="s">
        <v>613</v>
      </c>
      <c r="J27" s="12" t="s">
        <v>603</v>
      </c>
      <c r="K27" s="12" t="s">
        <v>630</v>
      </c>
      <c r="L27" s="12"/>
      <c r="N27" s="12" t="s">
        <v>676</v>
      </c>
      <c r="O27" s="12"/>
      <c r="P27" s="12"/>
      <c r="Q27" s="12" t="s">
        <v>667</v>
      </c>
      <c r="T27" s="12" t="s">
        <v>676</v>
      </c>
      <c r="U27" s="12" t="s">
        <v>554</v>
      </c>
      <c r="V27" s="12" t="s">
        <v>382</v>
      </c>
      <c r="W27" s="12"/>
      <c r="Z27" s="12" t="str">
        <f t="shared" si="1"/>
        <v>鞣制,兽皮,,,粘液,蛛丝,</v>
      </c>
    </row>
    <row r="28" spans="5:26" x14ac:dyDescent="0.15">
      <c r="E28" s="17" t="s">
        <v>399</v>
      </c>
      <c r="F28" s="17"/>
      <c r="G28" s="12" t="str">
        <f t="shared" si="0"/>
        <v>皮铠,珊瑚,钢,</v>
      </c>
      <c r="I28" s="12" t="s">
        <v>374</v>
      </c>
      <c r="J28" s="12" t="s">
        <v>387</v>
      </c>
      <c r="K28" s="12" t="s">
        <v>379</v>
      </c>
      <c r="L28" s="12"/>
      <c r="N28" s="12" t="s">
        <v>677</v>
      </c>
      <c r="O28" s="12"/>
      <c r="P28" s="12" t="s">
        <v>669</v>
      </c>
      <c r="Q28" s="12" t="s">
        <v>667</v>
      </c>
      <c r="T28" s="12" t="s">
        <v>677</v>
      </c>
      <c r="U28" s="12" t="s">
        <v>387</v>
      </c>
      <c r="V28" s="12" t="s">
        <v>669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368</v>
      </c>
      <c r="F29" s="17"/>
      <c r="G29" s="12" t="str">
        <f t="shared" si="0"/>
        <v>皮铠,魔兽皮毛,羊毛,</v>
      </c>
      <c r="I29" s="12" t="s">
        <v>374</v>
      </c>
      <c r="J29" s="12" t="s">
        <v>373</v>
      </c>
      <c r="K29" s="12" t="s">
        <v>383</v>
      </c>
      <c r="L29" s="12"/>
      <c r="N29" s="12" t="s">
        <v>677</v>
      </c>
      <c r="O29" s="12"/>
      <c r="P29" s="12"/>
      <c r="Q29" s="12" t="s">
        <v>667</v>
      </c>
      <c r="T29" s="12" t="s">
        <v>677</v>
      </c>
      <c r="U29" s="12" t="s">
        <v>373</v>
      </c>
      <c r="V29" s="12" t="s">
        <v>383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632</v>
      </c>
      <c r="F30" s="17"/>
      <c r="G30" s="12" t="str">
        <f t="shared" si="0"/>
        <v>铁块,石英砂,,</v>
      </c>
      <c r="I30" s="12" t="s">
        <v>550</v>
      </c>
      <c r="J30" s="12" t="s">
        <v>472</v>
      </c>
      <c r="K30" s="12"/>
      <c r="L30" s="12"/>
      <c r="N30" s="12" t="s">
        <v>666</v>
      </c>
      <c r="O30" s="12"/>
      <c r="P30" s="12" t="s">
        <v>667</v>
      </c>
      <c r="Q30" s="12" t="s">
        <v>667</v>
      </c>
      <c r="T30" s="12" t="s">
        <v>666</v>
      </c>
      <c r="U30" s="12" t="s">
        <v>472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400</v>
      </c>
      <c r="F31" s="17"/>
      <c r="G31" s="12" t="str">
        <f t="shared" si="0"/>
        <v>铁铠甲,遗骨,火晶石,魔力之土</v>
      </c>
      <c r="I31" s="12" t="s">
        <v>378</v>
      </c>
      <c r="J31" s="12" t="s">
        <v>597</v>
      </c>
      <c r="K31" s="12" t="s">
        <v>487</v>
      </c>
      <c r="L31" s="12" t="s">
        <v>585</v>
      </c>
      <c r="N31" s="12" t="s">
        <v>678</v>
      </c>
      <c r="O31" s="12"/>
      <c r="P31" s="12"/>
      <c r="Q31" s="12"/>
      <c r="T31" s="12" t="s">
        <v>678</v>
      </c>
      <c r="U31" s="12" t="s">
        <v>499</v>
      </c>
      <c r="V31" s="12" t="s">
        <v>487</v>
      </c>
      <c r="W31" s="12" t="s">
        <v>585</v>
      </c>
      <c r="Z31" s="12" t="str">
        <f t="shared" si="1"/>
        <v>铁块,石英砂,,,遗骨,火晶石,魔力之土</v>
      </c>
    </row>
    <row r="32" spans="5:26" x14ac:dyDescent="0.15">
      <c r="E32" s="17" t="s">
        <v>588</v>
      </c>
      <c r="F32" s="17"/>
      <c r="G32" s="12" t="str">
        <f t="shared" si="0"/>
        <v>龟壳,铁铠甲,琥珀,</v>
      </c>
      <c r="I32" s="12" t="s">
        <v>471</v>
      </c>
      <c r="J32" s="12" t="s">
        <v>378</v>
      </c>
      <c r="K32" s="12" t="s">
        <v>475</v>
      </c>
      <c r="L32" s="12"/>
      <c r="N32" s="12"/>
      <c r="O32" s="12" t="s">
        <v>678</v>
      </c>
      <c r="P32" s="12"/>
      <c r="Q32" s="12" t="s">
        <v>667</v>
      </c>
      <c r="T32" s="12" t="s">
        <v>471</v>
      </c>
      <c r="U32" s="12" t="s">
        <v>678</v>
      </c>
      <c r="V32" s="12" t="s">
        <v>475</v>
      </c>
      <c r="W32" s="12"/>
      <c r="Z32" s="12" t="str">
        <f t="shared" si="1"/>
        <v>龟壳,铁块,石英砂,,,琥珀,</v>
      </c>
    </row>
    <row r="33" spans="5:26" x14ac:dyDescent="0.15">
      <c r="E33" s="17" t="s">
        <v>369</v>
      </c>
      <c r="F33" s="17"/>
      <c r="G33" s="12" t="str">
        <f t="shared" si="0"/>
        <v>彩色的布,彩色羽毛,毛线,</v>
      </c>
      <c r="I33" s="12" t="s">
        <v>591</v>
      </c>
      <c r="J33" s="12" t="s">
        <v>386</v>
      </c>
      <c r="K33" s="12" t="s">
        <v>611</v>
      </c>
      <c r="L33" s="12"/>
      <c r="N33" s="12"/>
      <c r="O33" s="12"/>
      <c r="P33" s="12" t="s">
        <v>675</v>
      </c>
      <c r="Q33" s="12" t="s">
        <v>667</v>
      </c>
      <c r="T33" s="12" t="s">
        <v>583</v>
      </c>
      <c r="U33" s="12" t="s">
        <v>386</v>
      </c>
      <c r="V33" s="12" t="s">
        <v>675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370</v>
      </c>
      <c r="F34" s="17"/>
      <c r="G34" s="12" t="str">
        <f t="shared" si="0"/>
        <v>鳞片,粘液,皮革,</v>
      </c>
      <c r="I34" s="12" t="s">
        <v>544</v>
      </c>
      <c r="J34" s="12" t="s">
        <v>603</v>
      </c>
      <c r="K34" s="12" t="s">
        <v>613</v>
      </c>
      <c r="L34" s="12"/>
      <c r="N34" s="12"/>
      <c r="O34" s="12"/>
      <c r="P34" s="12" t="s">
        <v>676</v>
      </c>
      <c r="Q34" s="12" t="s">
        <v>667</v>
      </c>
      <c r="T34" s="12" t="s">
        <v>544</v>
      </c>
      <c r="U34" s="12" t="s">
        <v>554</v>
      </c>
      <c r="V34" s="12" t="s">
        <v>676</v>
      </c>
      <c r="W34" s="12"/>
      <c r="Z34" s="12" t="str">
        <f t="shared" si="1"/>
        <v>鳞片,粘液,鞣制,兽皮,,,</v>
      </c>
    </row>
    <row r="35" spans="5:26" x14ac:dyDescent="0.15">
      <c r="E35" s="17" t="s">
        <v>405</v>
      </c>
      <c r="F35" s="17"/>
      <c r="G35" s="12" t="str">
        <f t="shared" si="0"/>
        <v>夜之幕,毛线,亡者之土,幽魂</v>
      </c>
      <c r="I35" s="12" t="s">
        <v>545</v>
      </c>
      <c r="J35" s="12" t="s">
        <v>611</v>
      </c>
      <c r="K35" s="12" t="s">
        <v>435</v>
      </c>
      <c r="L35" s="12" t="s">
        <v>396</v>
      </c>
      <c r="N35" s="12"/>
      <c r="O35" s="12" t="s">
        <v>675</v>
      </c>
      <c r="P35" s="12"/>
      <c r="Q35" s="12"/>
      <c r="T35" s="12" t="s">
        <v>508</v>
      </c>
      <c r="U35" s="12" t="s">
        <v>675</v>
      </c>
      <c r="V35" s="12" t="s">
        <v>502</v>
      </c>
      <c r="W35" s="12" t="s">
        <v>396</v>
      </c>
      <c r="Z35" s="12" t="str">
        <f t="shared" si="1"/>
        <v>夜之幕,纺线,羊毛,,,亡者之土,幽魂</v>
      </c>
    </row>
    <row r="36" spans="5:26" x14ac:dyDescent="0.15">
      <c r="E36" s="17" t="s">
        <v>406</v>
      </c>
      <c r="F36" s="17"/>
      <c r="G36" s="12" t="str">
        <f t="shared" si="0"/>
        <v>布衣,风晶石,奇美拉之翼,</v>
      </c>
      <c r="I36" s="12" t="s">
        <v>376</v>
      </c>
      <c r="J36" s="12" t="s">
        <v>474</v>
      </c>
      <c r="K36" s="12" t="s">
        <v>552</v>
      </c>
      <c r="L36" s="12"/>
      <c r="N36" s="12" t="s">
        <v>679</v>
      </c>
      <c r="O36" s="12"/>
      <c r="P36" s="12"/>
      <c r="Q36" s="12" t="s">
        <v>667</v>
      </c>
      <c r="T36" s="12" t="s">
        <v>679</v>
      </c>
      <c r="U36" s="12" t="s">
        <v>474</v>
      </c>
      <c r="V36" s="12" t="s">
        <v>394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402</v>
      </c>
      <c r="F37" s="17"/>
      <c r="G37" s="12" t="str">
        <f t="shared" si="0"/>
        <v>皮铠,水晶球,金块,兽角</v>
      </c>
      <c r="I37" s="12" t="s">
        <v>629</v>
      </c>
      <c r="J37" s="12" t="s">
        <v>390</v>
      </c>
      <c r="K37" s="12" t="s">
        <v>397</v>
      </c>
      <c r="L37" s="12" t="s">
        <v>388</v>
      </c>
      <c r="N37" s="12" t="s">
        <v>677</v>
      </c>
      <c r="O37" s="12"/>
      <c r="P37" s="12"/>
      <c r="Q37" s="12"/>
      <c r="T37" s="12" t="s">
        <v>677</v>
      </c>
      <c r="U37" s="12" t="s">
        <v>390</v>
      </c>
      <c r="V37" s="12" t="s">
        <v>397</v>
      </c>
      <c r="W37" s="12" t="s">
        <v>388</v>
      </c>
      <c r="Z37" s="12" t="str">
        <f t="shared" si="1"/>
        <v>皮革,粘液,蛛丝,,水晶球,金块,兽角</v>
      </c>
    </row>
    <row r="38" spans="5:26" x14ac:dyDescent="0.15">
      <c r="E38" s="17" t="s">
        <v>401</v>
      </c>
      <c r="F38" s="17"/>
      <c r="G38" s="12" t="str">
        <f t="shared" si="0"/>
        <v>铁铠甲,刀刃,钢,土晶石</v>
      </c>
      <c r="I38" s="12" t="s">
        <v>378</v>
      </c>
      <c r="J38" s="12" t="s">
        <v>381</v>
      </c>
      <c r="K38" s="12" t="s">
        <v>432</v>
      </c>
      <c r="L38" s="12" t="s">
        <v>481</v>
      </c>
      <c r="N38" s="12" t="s">
        <v>678</v>
      </c>
      <c r="O38" s="12"/>
      <c r="P38" s="12" t="s">
        <v>669</v>
      </c>
      <c r="Q38" s="12"/>
      <c r="T38" s="12" t="s">
        <v>678</v>
      </c>
      <c r="U38" s="12" t="s">
        <v>381</v>
      </c>
      <c r="V38" s="12" t="s">
        <v>669</v>
      </c>
      <c r="W38" s="12" t="s">
        <v>481</v>
      </c>
      <c r="Z38" s="12" t="str">
        <f t="shared" si="1"/>
        <v>铁块,石英砂,,,刀刃,铸造,铁块,焦炭,,土晶石</v>
      </c>
    </row>
    <row r="39" spans="5:26" x14ac:dyDescent="0.15">
      <c r="E39" s="17" t="s">
        <v>403</v>
      </c>
      <c r="F39" s="17"/>
      <c r="G39" s="12" t="str">
        <f t="shared" si="0"/>
        <v>布片,蛛丝,彩色羽毛,</v>
      </c>
      <c r="I39" s="12" t="s">
        <v>377</v>
      </c>
      <c r="J39" s="12" t="s">
        <v>382</v>
      </c>
      <c r="K39" s="12" t="s">
        <v>386</v>
      </c>
      <c r="L39" s="12"/>
      <c r="N39" s="12" t="s">
        <v>674</v>
      </c>
      <c r="O39" s="12"/>
      <c r="P39" s="12"/>
      <c r="Q39" s="12" t="s">
        <v>667</v>
      </c>
      <c r="T39" s="12" t="s">
        <v>674</v>
      </c>
      <c r="U39" s="12" t="s">
        <v>382</v>
      </c>
      <c r="V39" s="12" t="s">
        <v>386</v>
      </c>
      <c r="W39" s="12"/>
      <c r="Z39" s="12" t="str">
        <f t="shared" si="1"/>
        <v>纺织,毛线,,,蛛丝,彩色羽毛,</v>
      </c>
    </row>
    <row r="40" spans="5:26" x14ac:dyDescent="0.15">
      <c r="E40" s="17" t="s">
        <v>404</v>
      </c>
      <c r="F40" s="17"/>
      <c r="G40" s="12" t="str">
        <f t="shared" si="0"/>
        <v>布衣,水晶石,防水皮革,</v>
      </c>
      <c r="I40" s="12" t="s">
        <v>376</v>
      </c>
      <c r="J40" s="12" t="s">
        <v>555</v>
      </c>
      <c r="K40" s="7" t="s">
        <v>560</v>
      </c>
      <c r="L40" s="12"/>
      <c r="N40" s="12" t="s">
        <v>679</v>
      </c>
      <c r="O40" s="12"/>
      <c r="P40" s="12"/>
      <c r="Q40" s="12" t="s">
        <v>667</v>
      </c>
      <c r="T40" s="12" t="s">
        <v>679</v>
      </c>
      <c r="U40" s="12" t="s">
        <v>489</v>
      </c>
      <c r="V40" s="12" t="s">
        <v>582</v>
      </c>
      <c r="W40" s="12"/>
      <c r="Z40" s="12" t="str">
        <f t="shared" si="1"/>
        <v>布片,毛线,,,水晶石,防水皮革,</v>
      </c>
    </row>
    <row r="41" spans="5:26" x14ac:dyDescent="0.15">
      <c r="E41" s="17" t="s">
        <v>415</v>
      </c>
      <c r="F41" s="17"/>
      <c r="G41" s="12" t="str">
        <f t="shared" si="0"/>
        <v>华丽背心,贵族徽章,珍珠,金块</v>
      </c>
      <c r="I41" s="12" t="s">
        <v>380</v>
      </c>
      <c r="J41" s="12" t="s">
        <v>529</v>
      </c>
      <c r="K41" s="12" t="s">
        <v>490</v>
      </c>
      <c r="L41" s="12" t="s">
        <v>397</v>
      </c>
      <c r="N41" s="12" t="s">
        <v>680</v>
      </c>
      <c r="O41" s="12"/>
      <c r="P41" s="12"/>
      <c r="Q41" s="12"/>
      <c r="T41" s="12" t="s">
        <v>680</v>
      </c>
      <c r="U41" s="12" t="s">
        <v>529</v>
      </c>
      <c r="V41" s="12" t="s">
        <v>490</v>
      </c>
      <c r="W41" s="12" t="s">
        <v>397</v>
      </c>
      <c r="Z41" s="12" t="str">
        <f t="shared" si="1"/>
        <v>彩色的布,彩色羽毛,毛线,,贵族徽章,珍珠,金块</v>
      </c>
    </row>
    <row r="42" spans="5:26" x14ac:dyDescent="0.15">
      <c r="E42" s="18" t="s">
        <v>578</v>
      </c>
      <c r="F42" s="18"/>
      <c r="G42" s="12" t="str">
        <f t="shared" si="0"/>
        <v>远古的硬币,布衣,脏绷带,暮光结晶</v>
      </c>
      <c r="I42" s="12" t="s">
        <v>497</v>
      </c>
      <c r="J42" s="12" t="s">
        <v>376</v>
      </c>
      <c r="K42" s="12" t="s">
        <v>496</v>
      </c>
      <c r="L42" s="12" t="s">
        <v>587</v>
      </c>
      <c r="N42" s="12"/>
      <c r="O42" s="12" t="s">
        <v>679</v>
      </c>
      <c r="P42" s="12"/>
      <c r="Q42" s="12"/>
      <c r="T42" s="12" t="s">
        <v>497</v>
      </c>
      <c r="U42" s="12" t="s">
        <v>679</v>
      </c>
      <c r="V42" s="12" t="s">
        <v>496</v>
      </c>
      <c r="W42" s="12" t="s">
        <v>587</v>
      </c>
      <c r="Z42" s="12" t="str">
        <f t="shared" si="1"/>
        <v>远古的硬币,布片,毛线,,,脏绷带,暮光结晶</v>
      </c>
    </row>
    <row r="43" spans="5:26" x14ac:dyDescent="0.15">
      <c r="E43" s="18" t="s">
        <v>453</v>
      </c>
      <c r="F43" s="18"/>
      <c r="G43" s="12" t="str">
        <f>$I43&amp;","&amp;$J43&amp;","&amp;$K43&amp;","&amp;$L43</f>
        <v>布片,鹿角,粘液,</v>
      </c>
      <c r="I43" s="12" t="s">
        <v>461</v>
      </c>
      <c r="J43" s="12" t="s">
        <v>484</v>
      </c>
      <c r="K43" s="12" t="s">
        <v>554</v>
      </c>
      <c r="L43" s="12"/>
      <c r="N43" s="12" t="s">
        <v>674</v>
      </c>
      <c r="O43" s="12"/>
      <c r="P43" s="12"/>
      <c r="Q43" s="12" t="s">
        <v>667</v>
      </c>
      <c r="T43" s="12" t="s">
        <v>674</v>
      </c>
      <c r="U43" s="12" t="s">
        <v>484</v>
      </c>
      <c r="V43" s="12" t="s">
        <v>554</v>
      </c>
      <c r="W43" s="12"/>
      <c r="Z43" s="12" t="str">
        <f t="shared" si="1"/>
        <v>纺织,毛线,,,鹿角,粘液,</v>
      </c>
    </row>
    <row r="44" spans="5:26" x14ac:dyDescent="0.15">
      <c r="E44" s="18" t="s">
        <v>606</v>
      </c>
      <c r="F44" s="18"/>
      <c r="G44" s="12" t="str">
        <f t="shared" si="0"/>
        <v>皮革,鹿角,粘液,</v>
      </c>
      <c r="I44" s="12" t="s">
        <v>467</v>
      </c>
      <c r="J44" s="12" t="s">
        <v>484</v>
      </c>
      <c r="K44" s="12" t="s">
        <v>554</v>
      </c>
      <c r="L44" s="12"/>
      <c r="N44" s="12" t="s">
        <v>676</v>
      </c>
      <c r="O44" s="12"/>
      <c r="P44" s="12"/>
      <c r="Q44" s="12" t="s">
        <v>667</v>
      </c>
      <c r="T44" s="12" t="s">
        <v>676</v>
      </c>
      <c r="U44" s="12" t="s">
        <v>484</v>
      </c>
      <c r="V44" s="12" t="s">
        <v>554</v>
      </c>
      <c r="W44" s="12"/>
      <c r="Z44" s="12" t="str">
        <f t="shared" si="1"/>
        <v>鞣制,兽皮,,,鹿角,粘液,</v>
      </c>
    </row>
    <row r="45" spans="5:26" x14ac:dyDescent="0.15">
      <c r="E45" s="18" t="s">
        <v>462</v>
      </c>
      <c r="F45" s="18"/>
      <c r="G45" s="12" t="str">
        <f t="shared" si="0"/>
        <v>铁块,琥珀,龟壳,</v>
      </c>
      <c r="I45" s="12" t="s">
        <v>446</v>
      </c>
      <c r="J45" s="12" t="s">
        <v>595</v>
      </c>
      <c r="K45" s="12" t="s">
        <v>471</v>
      </c>
      <c r="L45" s="12"/>
      <c r="N45" s="12" t="s">
        <v>666</v>
      </c>
      <c r="O45" s="12"/>
      <c r="P45" s="12"/>
      <c r="Q45" s="12" t="s">
        <v>667</v>
      </c>
      <c r="T45" s="12" t="s">
        <v>666</v>
      </c>
      <c r="U45" s="12" t="s">
        <v>475</v>
      </c>
      <c r="V45" s="12" t="s">
        <v>471</v>
      </c>
      <c r="W45" s="12"/>
      <c r="Z45" s="12" t="str">
        <f t="shared" si="1"/>
        <v>铸造,废铁,焦炭,,琥珀,龟壳,</v>
      </c>
    </row>
    <row r="46" spans="5:26" x14ac:dyDescent="0.15">
      <c r="E46" s="18" t="s">
        <v>623</v>
      </c>
      <c r="F46" s="18"/>
      <c r="G46" s="12" t="str">
        <f t="shared" si="0"/>
        <v>皮鞋,鳞片,蛇皮,</v>
      </c>
      <c r="I46" s="12" t="s">
        <v>449</v>
      </c>
      <c r="J46" s="12" t="s">
        <v>544</v>
      </c>
      <c r="K46" s="12" t="s">
        <v>375</v>
      </c>
      <c r="L46" s="12"/>
      <c r="N46" s="12" t="s">
        <v>681</v>
      </c>
      <c r="O46" s="12"/>
      <c r="P46" s="12"/>
      <c r="Q46" s="12" t="s">
        <v>667</v>
      </c>
      <c r="T46" s="12" t="s">
        <v>681</v>
      </c>
      <c r="U46" s="12" t="s">
        <v>544</v>
      </c>
      <c r="V46" s="12" t="s">
        <v>375</v>
      </c>
      <c r="W46" s="12"/>
      <c r="Z46" s="12" t="str">
        <f t="shared" si="1"/>
        <v>皮革,鹿角,粘液,,鳞片,蛇皮,</v>
      </c>
    </row>
    <row r="47" spans="5:26" x14ac:dyDescent="0.15">
      <c r="E47" s="18" t="s">
        <v>620</v>
      </c>
      <c r="F47" s="18"/>
      <c r="G47" s="12" t="str">
        <f t="shared" si="0"/>
        <v>布鞋,风晶石,蛛丝,</v>
      </c>
      <c r="I47" s="12" t="s">
        <v>453</v>
      </c>
      <c r="J47" s="12" t="s">
        <v>474</v>
      </c>
      <c r="K47" s="12" t="s">
        <v>382</v>
      </c>
      <c r="L47" s="12"/>
      <c r="N47" s="12" t="s">
        <v>682</v>
      </c>
      <c r="O47" s="12"/>
      <c r="P47" s="12"/>
      <c r="Q47" s="12" t="s">
        <v>667</v>
      </c>
      <c r="T47" s="12" t="s">
        <v>682</v>
      </c>
      <c r="U47" s="12" t="s">
        <v>474</v>
      </c>
      <c r="V47" s="12" t="s">
        <v>382</v>
      </c>
      <c r="W47" s="12"/>
      <c r="Z47" s="12" t="str">
        <f t="shared" si="1"/>
        <v>布片,鹿角,粘液,,风晶石,蛛丝,</v>
      </c>
    </row>
    <row r="48" spans="5:26" x14ac:dyDescent="0.15">
      <c r="E48" s="18" t="s">
        <v>528</v>
      </c>
      <c r="F48" s="18"/>
      <c r="G48" s="12" t="str">
        <f t="shared" si="0"/>
        <v>皮鞋,珍珠,魔兽皮毛,贵族徽章</v>
      </c>
      <c r="I48" s="12" t="s">
        <v>449</v>
      </c>
      <c r="J48" s="12" t="s">
        <v>490</v>
      </c>
      <c r="K48" s="12" t="s">
        <v>373</v>
      </c>
      <c r="L48" s="12" t="s">
        <v>529</v>
      </c>
      <c r="N48" s="12" t="s">
        <v>681</v>
      </c>
      <c r="O48" s="12"/>
      <c r="P48" s="12"/>
      <c r="Q48" s="12"/>
      <c r="T48" s="12" t="s">
        <v>681</v>
      </c>
      <c r="U48" s="12" t="s">
        <v>490</v>
      </c>
      <c r="V48" s="12" t="s">
        <v>373</v>
      </c>
      <c r="W48" s="12" t="s">
        <v>529</v>
      </c>
      <c r="Z48" s="12" t="str">
        <f t="shared" si="1"/>
        <v>皮革,鹿角,粘液,,珍珠,魔兽皮毛,贵族徽章</v>
      </c>
    </row>
    <row r="49" spans="5:26" x14ac:dyDescent="0.15">
      <c r="E49" s="18" t="s">
        <v>463</v>
      </c>
      <c r="F49" s="18"/>
      <c r="G49" s="12" t="str">
        <f t="shared" si="0"/>
        <v>布鞋,武道精华,水晶石,彩色的布</v>
      </c>
      <c r="I49" s="12" t="s">
        <v>452</v>
      </c>
      <c r="J49" s="12" t="s">
        <v>516</v>
      </c>
      <c r="K49" s="12" t="s">
        <v>555</v>
      </c>
      <c r="L49" s="12" t="s">
        <v>591</v>
      </c>
      <c r="N49" s="12" t="s">
        <v>682</v>
      </c>
      <c r="O49" s="12"/>
      <c r="P49" s="12"/>
      <c r="Q49" s="12"/>
      <c r="T49" s="12" t="s">
        <v>682</v>
      </c>
      <c r="U49" s="12" t="s">
        <v>516</v>
      </c>
      <c r="V49" s="12" t="s">
        <v>489</v>
      </c>
      <c r="W49" s="12" t="s">
        <v>583</v>
      </c>
      <c r="Z49" s="12" t="str">
        <f t="shared" si="1"/>
        <v>布片,鹿角,粘液,,武道精华,水晶石,彩色的布</v>
      </c>
    </row>
    <row r="50" spans="5:26" x14ac:dyDescent="0.15">
      <c r="E50" s="18" t="s">
        <v>464</v>
      </c>
      <c r="F50" s="18"/>
      <c r="G50" s="12" t="str">
        <f t="shared" si="0"/>
        <v>士兵长靴,骑士之证,象牙,钢</v>
      </c>
      <c r="I50" s="18" t="s">
        <v>462</v>
      </c>
      <c r="J50" s="12" t="s">
        <v>527</v>
      </c>
      <c r="K50" s="12" t="s">
        <v>494</v>
      </c>
      <c r="L50" s="12" t="s">
        <v>602</v>
      </c>
      <c r="N50" s="12" t="s">
        <v>683</v>
      </c>
      <c r="O50" s="12"/>
      <c r="P50" s="12"/>
      <c r="Q50" s="12" t="s">
        <v>669</v>
      </c>
      <c r="T50" s="12" t="s">
        <v>683</v>
      </c>
      <c r="U50" s="12" t="s">
        <v>527</v>
      </c>
      <c r="V50" s="12" t="s">
        <v>494</v>
      </c>
      <c r="W50" s="12" t="s">
        <v>669</v>
      </c>
      <c r="Z50" s="12" t="str">
        <f t="shared" si="1"/>
        <v>铁块,琥珀,龟壳,,骑士之证,象牙,铸造,铁块,焦炭,</v>
      </c>
    </row>
    <row r="51" spans="5:26" x14ac:dyDescent="0.15">
      <c r="E51" s="18" t="s">
        <v>531</v>
      </c>
      <c r="F51" s="18"/>
      <c r="G51" s="12" t="str">
        <f t="shared" si="0"/>
        <v>布鞋,贤者晶石,妖精粉,防水皮革</v>
      </c>
      <c r="I51" s="12" t="s">
        <v>453</v>
      </c>
      <c r="J51" s="12" t="s">
        <v>618</v>
      </c>
      <c r="K51" s="12" t="s">
        <v>500</v>
      </c>
      <c r="L51" s="12" t="s">
        <v>582</v>
      </c>
      <c r="N51" s="12" t="s">
        <v>682</v>
      </c>
      <c r="O51" s="12"/>
      <c r="P51" s="12"/>
      <c r="Q51" s="12"/>
      <c r="T51" s="12" t="s">
        <v>682</v>
      </c>
      <c r="U51" s="12" t="s">
        <v>533</v>
      </c>
      <c r="V51" s="12" t="s">
        <v>500</v>
      </c>
      <c r="W51" s="12" t="s">
        <v>582</v>
      </c>
      <c r="Z51" s="12" t="str">
        <f t="shared" si="1"/>
        <v>布片,鹿角,粘液,,贤者晶石,妖精粉,防水皮革</v>
      </c>
    </row>
    <row r="52" spans="5:26" x14ac:dyDescent="0.15">
      <c r="E52" s="18" t="s">
        <v>532</v>
      </c>
      <c r="F52" s="18"/>
      <c r="G52" s="12" t="str">
        <f t="shared" si="0"/>
        <v>奇美拉之翼,运动鞋,夜之幕,人狼之证</v>
      </c>
      <c r="I52" s="12" t="s">
        <v>394</v>
      </c>
      <c r="J52" s="12" t="s">
        <v>454</v>
      </c>
      <c r="K52" s="12" t="s">
        <v>508</v>
      </c>
      <c r="L52" s="12" t="s">
        <v>505</v>
      </c>
      <c r="N52" s="12"/>
      <c r="O52" s="12" t="s">
        <v>689</v>
      </c>
      <c r="P52" s="12"/>
      <c r="Q52" s="12"/>
      <c r="S52" s="12"/>
      <c r="T52" s="12" t="s">
        <v>394</v>
      </c>
      <c r="U52" s="12" t="s">
        <v>688</v>
      </c>
      <c r="V52" s="12" t="s">
        <v>508</v>
      </c>
      <c r="W52" s="12" t="s">
        <v>505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579</v>
      </c>
      <c r="F53" s="18"/>
      <c r="G53" s="12" t="str">
        <f t="shared" si="0"/>
        <v>登山者之靴,防水皮革,水晶石,寒冰气息</v>
      </c>
      <c r="I53" s="12" t="s">
        <v>451</v>
      </c>
      <c r="J53" s="12" t="s">
        <v>582</v>
      </c>
      <c r="K53" s="12" t="s">
        <v>489</v>
      </c>
      <c r="L53" s="12" t="s">
        <v>511</v>
      </c>
      <c r="N53" s="12" t="s">
        <v>691</v>
      </c>
      <c r="O53" s="12"/>
      <c r="P53" s="12"/>
      <c r="Q53" s="12"/>
      <c r="S53" s="12"/>
      <c r="T53" s="12" t="s">
        <v>690</v>
      </c>
      <c r="U53" s="12" t="s">
        <v>582</v>
      </c>
      <c r="V53" s="12" t="s">
        <v>489</v>
      </c>
      <c r="W53" s="12" t="s">
        <v>511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441</v>
      </c>
      <c r="G56" s="12" t="str">
        <f t="shared" si="0"/>
        <v>纺线,羊毛,,</v>
      </c>
      <c r="I56" s="19" t="s">
        <v>442</v>
      </c>
      <c r="J56" s="12" t="s">
        <v>180</v>
      </c>
      <c r="K56" s="12"/>
      <c r="L56" s="12"/>
      <c r="P56" s="12"/>
    </row>
    <row r="57" spans="5:26" x14ac:dyDescent="0.15">
      <c r="E57" s="12" t="s">
        <v>438</v>
      </c>
      <c r="G57" s="12" t="str">
        <f t="shared" si="0"/>
        <v>纺织,毛线,,</v>
      </c>
      <c r="I57" s="19" t="s">
        <v>440</v>
      </c>
      <c r="J57" s="12" t="s">
        <v>439</v>
      </c>
      <c r="K57" s="12"/>
      <c r="L57" s="12"/>
      <c r="P57" s="12"/>
    </row>
    <row r="58" spans="5:26" x14ac:dyDescent="0.15">
      <c r="E58" s="12" t="s">
        <v>443</v>
      </c>
      <c r="G58" s="12" t="str">
        <f t="shared" si="0"/>
        <v>鞣制,兽皮,,</v>
      </c>
      <c r="I58" s="19" t="s">
        <v>444</v>
      </c>
      <c r="J58" s="12" t="s">
        <v>445</v>
      </c>
      <c r="K58" s="12"/>
      <c r="L58" s="12"/>
      <c r="P58" s="12"/>
    </row>
    <row r="59" spans="5:26" x14ac:dyDescent="0.15">
      <c r="E59" s="12" t="s">
        <v>466</v>
      </c>
      <c r="G59" s="12" t="str">
        <f t="shared" si="0"/>
        <v>铸造,废铁,焦炭,</v>
      </c>
      <c r="I59" s="19" t="s">
        <v>465</v>
      </c>
      <c r="J59" s="12" t="s">
        <v>447</v>
      </c>
      <c r="K59" s="12" t="s">
        <v>637</v>
      </c>
      <c r="L59" s="12"/>
      <c r="P59" s="12"/>
    </row>
    <row r="60" spans="5:26" x14ac:dyDescent="0.15">
      <c r="E60" s="12" t="s">
        <v>446</v>
      </c>
      <c r="G60" s="12" t="str">
        <f t="shared" si="0"/>
        <v>铸造,铁矿,焦炭,</v>
      </c>
      <c r="I60" s="19" t="s">
        <v>465</v>
      </c>
      <c r="J60" s="12" t="s">
        <v>549</v>
      </c>
      <c r="K60" s="12" t="s">
        <v>448</v>
      </c>
      <c r="L60" s="12"/>
      <c r="P60" s="12"/>
    </row>
    <row r="61" spans="5:26" x14ac:dyDescent="0.15">
      <c r="E61" s="12" t="s">
        <v>548</v>
      </c>
      <c r="G61" s="12" t="str">
        <f t="shared" si="0"/>
        <v>铸造,铁块,焦炭,</v>
      </c>
      <c r="I61" s="19" t="s">
        <v>459</v>
      </c>
      <c r="J61" s="12" t="s">
        <v>551</v>
      </c>
      <c r="K61" s="12" t="s">
        <v>448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522</v>
      </c>
      <c r="F63" s="23"/>
      <c r="G63" s="12" t="str">
        <f t="shared" si="0"/>
        <v>月之光华,暗夜之露,仙人掌,</v>
      </c>
      <c r="I63" s="19" t="s">
        <v>584</v>
      </c>
      <c r="J63" s="12" t="s">
        <v>558</v>
      </c>
      <c r="K63" s="12" t="s">
        <v>495</v>
      </c>
      <c r="L63" s="12"/>
      <c r="P63" s="12"/>
    </row>
    <row r="64" spans="5:26" x14ac:dyDescent="0.15">
      <c r="E64" s="23" t="s">
        <v>525</v>
      </c>
      <c r="F64" s="23"/>
      <c r="G64" s="12" t="str">
        <f t="shared" si="0"/>
        <v>图腾号角,星的眼泪,草药茶,</v>
      </c>
      <c r="I64" s="19" t="s">
        <v>543</v>
      </c>
      <c r="J64" s="12" t="s">
        <v>509</v>
      </c>
      <c r="K64" s="12" t="s">
        <v>473</v>
      </c>
      <c r="L64" s="12"/>
      <c r="P64" s="12"/>
    </row>
    <row r="65" spans="5:16" x14ac:dyDescent="0.15">
      <c r="E65" s="23" t="s">
        <v>567</v>
      </c>
      <c r="F65" s="23"/>
      <c r="G65" s="12" t="str">
        <f t="shared" si="0"/>
        <v>妖精粉,迷幻孢子,诅咒宝珠,</v>
      </c>
      <c r="I65" s="19" t="s">
        <v>617</v>
      </c>
      <c r="J65" s="12" t="s">
        <v>556</v>
      </c>
      <c r="K65" s="12" t="s">
        <v>504</v>
      </c>
      <c r="L65" s="12"/>
      <c r="P65" s="12"/>
    </row>
    <row r="66" spans="5:16" x14ac:dyDescent="0.15">
      <c r="E66" s="23" t="s">
        <v>565</v>
      </c>
      <c r="F66" s="23"/>
      <c r="G66" s="12" t="str">
        <f t="shared" si="0"/>
        <v>月之光华,电偶瓶,魔力之土,</v>
      </c>
      <c r="I66" s="12" t="s">
        <v>594</v>
      </c>
      <c r="J66" s="12" t="s">
        <v>559</v>
      </c>
      <c r="K66" s="19" t="s">
        <v>517</v>
      </c>
      <c r="L66" s="12"/>
      <c r="P66" s="12"/>
    </row>
    <row r="67" spans="5:16" x14ac:dyDescent="0.15">
      <c r="E67" s="23" t="s">
        <v>523</v>
      </c>
      <c r="F67" s="23"/>
      <c r="G67" s="12" t="str">
        <f t="shared" si="0"/>
        <v>寒冰气息,冰的结晶,魔力之土,</v>
      </c>
      <c r="I67" s="19" t="s">
        <v>511</v>
      </c>
      <c r="J67" s="12" t="s">
        <v>507</v>
      </c>
      <c r="K67" s="19" t="s">
        <v>517</v>
      </c>
      <c r="L67" s="12"/>
      <c r="P67" s="12"/>
    </row>
    <row r="68" spans="5:16" x14ac:dyDescent="0.15">
      <c r="E68" s="23" t="s">
        <v>524</v>
      </c>
      <c r="F68" s="23"/>
      <c r="G68" s="12" t="str">
        <f t="shared" si="0"/>
        <v>白磷粉末,萤火树汁,魔力之土,</v>
      </c>
      <c r="I68" s="19" t="s">
        <v>609</v>
      </c>
      <c r="J68" s="12" t="s">
        <v>518</v>
      </c>
      <c r="K68" s="19" t="s">
        <v>517</v>
      </c>
      <c r="L68" s="12"/>
      <c r="P68" s="12"/>
    </row>
    <row r="69" spans="5:16" x14ac:dyDescent="0.15">
      <c r="E69" s="23" t="s">
        <v>566</v>
      </c>
      <c r="F69" s="23"/>
      <c r="G69" s="12" t="str">
        <f t="shared" si="0"/>
        <v>石化之眼,亡者之土,琥珀,</v>
      </c>
      <c r="I69" s="19" t="s">
        <v>393</v>
      </c>
      <c r="J69" s="12" t="s">
        <v>631</v>
      </c>
      <c r="K69" s="12" t="s">
        <v>475</v>
      </c>
      <c r="L69" s="12"/>
      <c r="P69" s="12"/>
    </row>
    <row r="70" spans="5:16" x14ac:dyDescent="0.15">
      <c r="E70" s="23" t="s">
        <v>569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492</v>
      </c>
      <c r="J70" s="12" t="s">
        <v>391</v>
      </c>
      <c r="K70" s="12" t="s">
        <v>499</v>
      </c>
      <c r="L70" s="12"/>
      <c r="P70" s="12"/>
    </row>
    <row r="71" spans="5:16" x14ac:dyDescent="0.15">
      <c r="E71" s="23" t="s">
        <v>570</v>
      </c>
      <c r="F71" s="23"/>
      <c r="G71" s="12" t="str">
        <f t="shared" si="2"/>
        <v>暮光结晶,粘液,贤者晶石,</v>
      </c>
      <c r="I71" s="19" t="s">
        <v>557</v>
      </c>
      <c r="J71" s="12" t="s">
        <v>554</v>
      </c>
      <c r="K71" s="12" t="s">
        <v>533</v>
      </c>
      <c r="L71" s="12"/>
      <c r="P71" s="12"/>
    </row>
    <row r="72" spans="5:16" x14ac:dyDescent="0.15">
      <c r="E72" s="23" t="s">
        <v>571</v>
      </c>
      <c r="F72" s="23"/>
      <c r="G72" s="12" t="str">
        <f t="shared" si="2"/>
        <v>力量果实,咒术药水,象牙,</v>
      </c>
      <c r="I72" s="19" t="s">
        <v>540</v>
      </c>
      <c r="J72" s="12" t="s">
        <v>604</v>
      </c>
      <c r="K72" s="12" t="s">
        <v>494</v>
      </c>
      <c r="L72" s="12"/>
      <c r="P72" s="12"/>
    </row>
    <row r="73" spans="5:16" x14ac:dyDescent="0.15">
      <c r="E73" s="23" t="s">
        <v>568</v>
      </c>
      <c r="F73" s="23"/>
      <c r="G73" s="12" t="str">
        <f t="shared" si="2"/>
        <v>魅惑药水,恶魔花瓣,毒淤泥,</v>
      </c>
      <c r="I73" s="12" t="s">
        <v>539</v>
      </c>
      <c r="J73" s="12" t="s">
        <v>537</v>
      </c>
      <c r="K73" s="12" t="s">
        <v>501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2024-05-18T11:19:54Z</dcterms:modified>
</cp:coreProperties>
</file>