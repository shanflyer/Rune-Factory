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Game\Rune Factory\Datas\"/>
    </mc:Choice>
  </mc:AlternateContent>
  <bookViews>
    <workbookView xWindow="240" yWindow="135" windowWidth="9675" windowHeight="7380"/>
  </bookViews>
  <sheets>
    <sheet name="ItemData" sheetId="1" r:id="rId1"/>
    <sheet name="Sheet2" sheetId="3" r:id="rId2"/>
    <sheet name="Sheet3" sheetId="5" r:id="rId3"/>
    <sheet name="Sheet1" sheetId="6" r:id="rId4"/>
  </sheets>
  <definedNames>
    <definedName name="_xlnm._FilterDatabase" localSheetId="0" hidden="1">ItemData!$A$3:$AG$394</definedName>
    <definedName name="_xlnm._FilterDatabase" localSheetId="1" hidden="1">Sheet2!$B$5:$S$54</definedName>
  </definedNames>
  <calcPr calcId="162913"/>
</workbook>
</file>

<file path=xl/calcChain.xml><?xml version="1.0" encoding="utf-8"?>
<calcChain xmlns="http://schemas.openxmlformats.org/spreadsheetml/2006/main">
  <c r="AE306" i="1" l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05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C142" i="1" l="1"/>
  <c r="O88" i="3" l="1"/>
  <c r="P88" i="3"/>
  <c r="O89" i="3"/>
  <c r="P89" i="3"/>
  <c r="O90" i="3"/>
  <c r="P90" i="3"/>
  <c r="O91" i="3"/>
  <c r="P91" i="3"/>
  <c r="P87" i="3"/>
  <c r="P85" i="3"/>
  <c r="O84" i="3"/>
  <c r="O85" i="3"/>
  <c r="O86" i="3"/>
  <c r="O87" i="3"/>
  <c r="N84" i="3"/>
  <c r="S84" i="3" s="1"/>
  <c r="N85" i="3"/>
  <c r="N86" i="3"/>
  <c r="N87" i="3"/>
  <c r="S87" i="3" s="1"/>
  <c r="N88" i="3"/>
  <c r="N89" i="3"/>
  <c r="S89" i="3" s="1"/>
  <c r="N90" i="3"/>
  <c r="N91" i="3"/>
  <c r="S91" i="3" s="1"/>
  <c r="O83" i="3"/>
  <c r="N83" i="3"/>
  <c r="O44" i="3"/>
  <c r="P30" i="3"/>
  <c r="S83" i="3" l="1"/>
  <c r="S90" i="3"/>
  <c r="S88" i="3"/>
  <c r="S85" i="3"/>
  <c r="S86" i="3"/>
  <c r="N80" i="3"/>
  <c r="O80" i="3"/>
  <c r="P80" i="3"/>
  <c r="N7" i="3"/>
  <c r="O7" i="3"/>
  <c r="P7" i="3"/>
  <c r="N8" i="3"/>
  <c r="O8" i="3"/>
  <c r="P8" i="3"/>
  <c r="Q8" i="3"/>
  <c r="N9" i="3"/>
  <c r="O9" i="3"/>
  <c r="P9" i="3"/>
  <c r="Q9" i="3"/>
  <c r="N10" i="3"/>
  <c r="O10" i="3"/>
  <c r="P10" i="3"/>
  <c r="Q10" i="3"/>
  <c r="N11" i="3"/>
  <c r="O11" i="3"/>
  <c r="P11" i="3"/>
  <c r="N12" i="3"/>
  <c r="O12" i="3"/>
  <c r="P12" i="3"/>
  <c r="Q12" i="3"/>
  <c r="N13" i="3"/>
  <c r="O13" i="3"/>
  <c r="P13" i="3"/>
  <c r="N14" i="3"/>
  <c r="O14" i="3"/>
  <c r="P14" i="3"/>
  <c r="Q14" i="3"/>
  <c r="N15" i="3"/>
  <c r="O15" i="3"/>
  <c r="P15" i="3"/>
  <c r="Q15" i="3"/>
  <c r="N16" i="3"/>
  <c r="O16" i="3"/>
  <c r="P16" i="3"/>
  <c r="Q16" i="3"/>
  <c r="N17" i="3"/>
  <c r="O17" i="3"/>
  <c r="P17" i="3"/>
  <c r="N18" i="3"/>
  <c r="O18" i="3"/>
  <c r="P18" i="3"/>
  <c r="N19" i="3"/>
  <c r="O19" i="3"/>
  <c r="P19" i="3"/>
  <c r="Q19" i="3"/>
  <c r="N20" i="3"/>
  <c r="O20" i="3"/>
  <c r="P20" i="3"/>
  <c r="Q20" i="3"/>
  <c r="N21" i="3"/>
  <c r="O21" i="3"/>
  <c r="P21" i="3"/>
  <c r="N22" i="3"/>
  <c r="O22" i="3"/>
  <c r="P22" i="3"/>
  <c r="N23" i="3"/>
  <c r="O23" i="3"/>
  <c r="P23" i="3"/>
  <c r="N24" i="3"/>
  <c r="O24" i="3"/>
  <c r="P24" i="3"/>
  <c r="N25" i="3"/>
  <c r="O25" i="3"/>
  <c r="P25" i="3"/>
  <c r="Q25" i="3"/>
  <c r="N26" i="3"/>
  <c r="O26" i="3"/>
  <c r="P26" i="3"/>
  <c r="Q26" i="3"/>
  <c r="N27" i="3"/>
  <c r="O27" i="3"/>
  <c r="N28" i="3"/>
  <c r="O28" i="3"/>
  <c r="P28" i="3"/>
  <c r="N29" i="3"/>
  <c r="O29" i="3"/>
  <c r="P29" i="3"/>
  <c r="N30" i="3"/>
  <c r="O30" i="3"/>
  <c r="N31" i="3"/>
  <c r="O31" i="3"/>
  <c r="N32" i="3"/>
  <c r="O32" i="3"/>
  <c r="P32" i="3"/>
  <c r="Q32" i="3"/>
  <c r="N33" i="3"/>
  <c r="O33" i="3"/>
  <c r="P33" i="3"/>
  <c r="N34" i="3"/>
  <c r="O34" i="3"/>
  <c r="P34" i="3"/>
  <c r="N35" i="3"/>
  <c r="O35" i="3"/>
  <c r="P35" i="3"/>
  <c r="N36" i="3"/>
  <c r="O36" i="3"/>
  <c r="P36" i="3"/>
  <c r="Q36" i="3"/>
  <c r="N37" i="3"/>
  <c r="O37" i="3"/>
  <c r="P37" i="3"/>
  <c r="N38" i="3"/>
  <c r="O38" i="3"/>
  <c r="P38" i="3"/>
  <c r="Q38" i="3"/>
  <c r="N39" i="3"/>
  <c r="O39" i="3"/>
  <c r="P39" i="3"/>
  <c r="Q39" i="3"/>
  <c r="N40" i="3"/>
  <c r="O40" i="3"/>
  <c r="P40" i="3"/>
  <c r="N41" i="3"/>
  <c r="O41" i="3"/>
  <c r="P41" i="3"/>
  <c r="N42" i="3"/>
  <c r="O42" i="3"/>
  <c r="P42" i="3"/>
  <c r="Q42" i="3"/>
  <c r="N43" i="3"/>
  <c r="O43" i="3"/>
  <c r="P43" i="3"/>
  <c r="Q43" i="3"/>
  <c r="N44" i="3"/>
  <c r="P44" i="3"/>
  <c r="N45" i="3"/>
  <c r="O45" i="3"/>
  <c r="P45" i="3"/>
  <c r="N46" i="3"/>
  <c r="O46" i="3"/>
  <c r="P46" i="3"/>
  <c r="N47" i="3"/>
  <c r="O47" i="3"/>
  <c r="P47" i="3"/>
  <c r="N48" i="3"/>
  <c r="O48" i="3"/>
  <c r="P48" i="3"/>
  <c r="N49" i="3"/>
  <c r="O49" i="3"/>
  <c r="P49" i="3"/>
  <c r="Q49" i="3"/>
  <c r="N50" i="3"/>
  <c r="O50" i="3"/>
  <c r="P50" i="3"/>
  <c r="Q50" i="3"/>
  <c r="N51" i="3"/>
  <c r="O51" i="3"/>
  <c r="P51" i="3"/>
  <c r="Q51" i="3"/>
  <c r="N52" i="3"/>
  <c r="O52" i="3"/>
  <c r="P52" i="3"/>
  <c r="Q52" i="3"/>
  <c r="N53" i="3"/>
  <c r="O53" i="3"/>
  <c r="P53" i="3"/>
  <c r="Q53" i="3"/>
  <c r="N54" i="3"/>
  <c r="O54" i="3"/>
  <c r="P54" i="3"/>
  <c r="Q54" i="3"/>
  <c r="O6" i="3"/>
  <c r="N6" i="3"/>
  <c r="O69" i="3"/>
  <c r="P69" i="3"/>
  <c r="O70" i="3"/>
  <c r="P70" i="3"/>
  <c r="O71" i="3"/>
  <c r="P71" i="3"/>
  <c r="O72" i="3"/>
  <c r="P72" i="3"/>
  <c r="O73" i="3"/>
  <c r="P73" i="3"/>
  <c r="O74" i="3"/>
  <c r="P74" i="3"/>
  <c r="O75" i="3"/>
  <c r="P75" i="3"/>
  <c r="O76" i="3"/>
  <c r="P76" i="3"/>
  <c r="O77" i="3"/>
  <c r="P77" i="3"/>
  <c r="O78" i="3"/>
  <c r="P78" i="3"/>
  <c r="O79" i="3"/>
  <c r="P79" i="3"/>
  <c r="N70" i="3"/>
  <c r="N71" i="3"/>
  <c r="N72" i="3"/>
  <c r="N73" i="3"/>
  <c r="N74" i="3"/>
  <c r="N75" i="3"/>
  <c r="N76" i="3"/>
  <c r="N77" i="3"/>
  <c r="N78" i="3"/>
  <c r="N79" i="3"/>
  <c r="N69" i="3"/>
  <c r="R69" i="3" l="1"/>
  <c r="S31" i="3"/>
  <c r="S52" i="3"/>
  <c r="R75" i="3"/>
  <c r="R71" i="3"/>
  <c r="S28" i="3"/>
  <c r="S23" i="3"/>
  <c r="S14" i="3"/>
  <c r="R80" i="3"/>
  <c r="S13" i="3"/>
  <c r="S21" i="3"/>
  <c r="S8" i="3"/>
  <c r="S44" i="3"/>
  <c r="S35" i="3"/>
  <c r="R70" i="3"/>
  <c r="R72" i="3"/>
  <c r="S53" i="3"/>
  <c r="S49" i="3"/>
  <c r="S15" i="3"/>
  <c r="S22" i="3"/>
  <c r="S41" i="3"/>
  <c r="S12" i="3"/>
  <c r="R73" i="3"/>
  <c r="S39" i="3"/>
  <c r="S29" i="3"/>
  <c r="S24" i="3"/>
  <c r="S34" i="3"/>
  <c r="S19" i="3"/>
  <c r="S10" i="3"/>
  <c r="S48" i="3"/>
  <c r="S43" i="3"/>
  <c r="S38" i="3"/>
  <c r="S33" i="3"/>
  <c r="S18" i="3"/>
  <c r="R77" i="3"/>
  <c r="S47" i="3"/>
  <c r="S27" i="3"/>
  <c r="S9" i="3"/>
  <c r="S42" i="3"/>
  <c r="R78" i="3"/>
  <c r="S51" i="3"/>
  <c r="S37" i="3"/>
  <c r="S17" i="3"/>
  <c r="R79" i="3"/>
  <c r="S6" i="3"/>
  <c r="S46" i="3"/>
  <c r="S32" i="3"/>
  <c r="S26" i="3"/>
  <c r="S50" i="3"/>
  <c r="S45" i="3"/>
  <c r="S36" i="3"/>
  <c r="S16" i="3"/>
  <c r="R74" i="3"/>
  <c r="S54" i="3"/>
  <c r="S40" i="3"/>
  <c r="S7" i="3"/>
  <c r="S30" i="3"/>
  <c r="S25" i="3"/>
  <c r="S20" i="3"/>
  <c r="S11" i="3"/>
  <c r="R76" i="3"/>
  <c r="Z6" i="5" l="1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" i="5"/>
  <c r="G5" i="5"/>
  <c r="G43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B151" i="1" l="1"/>
  <c r="B152" i="1" l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C148" i="1"/>
  <c r="C149" i="1"/>
  <c r="C150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3" i="1"/>
  <c r="C144" i="1"/>
  <c r="C145" i="1"/>
  <c r="C146" i="1"/>
  <c r="C147" i="1"/>
  <c r="C123" i="1"/>
</calcChain>
</file>

<file path=xl/comments1.xml><?xml version="1.0" encoding="utf-8"?>
<comments xmlns="http://schemas.openxmlformats.org/spreadsheetml/2006/main">
  <authors>
    <author>flyer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 Default=-1, 种子 = 0, 武器 = 1, 防具 = 2,
 食材 = 3,食物 = 4, 收集物 = 5,  工具=6,
 家具 = 10, 动物=11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I3" authorId="0" shapeId="0">
      <text>
        <r>
          <rPr>
            <b/>
            <sz val="9"/>
            <color indexed="81"/>
            <rFont val="宋体"/>
            <family val="3"/>
            <charset val="134"/>
          </rPr>
          <t>无 = 0,水 = 1,火 = 2,冰 = 3,风 = 4,土 = 5</t>
        </r>
      </text>
    </comment>
    <comment ref="Q3" authorId="0" shapeId="0">
      <text>
        <r>
          <rPr>
            <b/>
            <sz val="9"/>
            <color indexed="81"/>
            <rFont val="宋体"/>
            <family val="3"/>
            <charset val="134"/>
          </rPr>
          <t>全部,战斗, 城镇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<sst xmlns="http://schemas.openxmlformats.org/spreadsheetml/2006/main" count="3153" uniqueCount="822">
  <si>
    <t>int</t>
    <phoneticPr fontId="1" type="noConversion"/>
  </si>
  <si>
    <t>string</t>
    <phoneticPr fontId="1" type="noConversion"/>
  </si>
  <si>
    <t>id</t>
    <phoneticPr fontId="1" type="noConversion"/>
  </si>
  <si>
    <t>int</t>
    <phoneticPr fontId="1" type="noConversion"/>
  </si>
  <si>
    <t>groupCount</t>
    <phoneticPr fontId="1" type="noConversion"/>
  </si>
  <si>
    <t>itemName</t>
    <phoneticPr fontId="1" type="noConversion"/>
  </si>
  <si>
    <t>info</t>
    <phoneticPr fontId="1" type="noConversion"/>
  </si>
  <si>
    <t>dropEventId</t>
  </si>
  <si>
    <t>checkEventId</t>
  </si>
  <si>
    <t>equipEventId</t>
  </si>
  <si>
    <t>useEventId</t>
    <phoneticPr fontId="1" type="noConversion"/>
  </si>
  <si>
    <t>List&lt;int&gt;</t>
    <phoneticPr fontId="1" type="noConversion"/>
  </si>
  <si>
    <t>int</t>
    <phoneticPr fontId="1" type="noConversion"/>
  </si>
  <si>
    <t>type</t>
    <phoneticPr fontId="1" type="noConversion"/>
  </si>
  <si>
    <t>typeValue</t>
    <phoneticPr fontId="1" type="noConversion"/>
  </si>
  <si>
    <t>bool</t>
    <phoneticPr fontId="1" type="noConversion"/>
  </si>
  <si>
    <t>isFresh</t>
    <phoneticPr fontId="1" type="noConversion"/>
  </si>
  <si>
    <t>equipLevel</t>
    <phoneticPr fontId="1" type="noConversion"/>
  </si>
  <si>
    <t>int</t>
    <phoneticPr fontId="1" type="noConversion"/>
  </si>
  <si>
    <t>shopMoneyType</t>
  </si>
  <si>
    <t>shopPrice</t>
  </si>
  <si>
    <t>sellPrice</t>
  </si>
  <si>
    <t>南瓜</t>
  </si>
  <si>
    <t>胡萝卜</t>
  </si>
  <si>
    <t>葡萄</t>
  </si>
  <si>
    <t>大蒜</t>
  </si>
  <si>
    <t>iconName</t>
    <phoneticPr fontId="1" type="noConversion"/>
  </si>
  <si>
    <t>锄头</t>
    <phoneticPr fontId="1" type="noConversion"/>
  </si>
  <si>
    <t>洒水壶</t>
    <phoneticPr fontId="1" type="noConversion"/>
  </si>
  <si>
    <t>镰刀</t>
    <phoneticPr fontId="1" type="noConversion"/>
  </si>
  <si>
    <t>平整田地使用的工具。</t>
    <phoneticPr fontId="1" type="noConversion"/>
  </si>
  <si>
    <t>浇灌农作物的工具。</t>
    <phoneticPr fontId="1" type="noConversion"/>
  </si>
  <si>
    <t>砍伐树木的工具。</t>
    <phoneticPr fontId="1" type="noConversion"/>
  </si>
  <si>
    <t>收割农作物种子的工具。</t>
    <phoneticPr fontId="1" type="noConversion"/>
  </si>
  <si>
    <t>Hoe</t>
    <phoneticPr fontId="1" type="noConversion"/>
  </si>
  <si>
    <t>Waterpot</t>
    <phoneticPr fontId="1" type="noConversion"/>
  </si>
  <si>
    <t>Sickle</t>
    <phoneticPr fontId="1" type="noConversion"/>
  </si>
  <si>
    <t>itemValue</t>
  </si>
  <si>
    <t>芜菁</t>
  </si>
  <si>
    <t>卷心菜</t>
  </si>
  <si>
    <t>萝卜</t>
  </si>
  <si>
    <t>紫甘蓝</t>
  </si>
  <si>
    <t>黄瓜</t>
  </si>
  <si>
    <t>西兰花</t>
  </si>
  <si>
    <t>番茄</t>
  </si>
  <si>
    <t>西瓜</t>
  </si>
  <si>
    <t>辣椒</t>
  </si>
  <si>
    <t>奇异果</t>
  </si>
  <si>
    <t>玉米</t>
  </si>
  <si>
    <t>土豆</t>
  </si>
  <si>
    <t>芦笋</t>
  </si>
  <si>
    <t>草莓</t>
  </si>
  <si>
    <t>蓝莓</t>
  </si>
  <si>
    <t>红薯</t>
  </si>
  <si>
    <t>甜菜</t>
  </si>
  <si>
    <t>啤酒花</t>
  </si>
  <si>
    <t>菠萝</t>
  </si>
  <si>
    <t>咖啡</t>
  </si>
  <si>
    <t>茄子</t>
  </si>
  <si>
    <t>豌豆</t>
  </si>
  <si>
    <t>芜菁种子</t>
  </si>
  <si>
    <t>卷心菜种子</t>
  </si>
  <si>
    <t>萝卜种子</t>
  </si>
  <si>
    <t>紫甘蓝种子</t>
  </si>
  <si>
    <t>黄瓜种子</t>
  </si>
  <si>
    <t>西兰花种子</t>
  </si>
  <si>
    <t>番茄种子</t>
  </si>
  <si>
    <t>胡萝卜种子</t>
  </si>
  <si>
    <t>西瓜种子</t>
  </si>
  <si>
    <t>辣椒种子</t>
  </si>
  <si>
    <t>奇异果种子</t>
  </si>
  <si>
    <t>茄子种子</t>
  </si>
  <si>
    <t>豌豆种子</t>
  </si>
  <si>
    <t>土豆种子</t>
  </si>
  <si>
    <t>大蒜种子</t>
  </si>
  <si>
    <t>芦笋种子</t>
  </si>
  <si>
    <t>南瓜种子</t>
  </si>
  <si>
    <t>玉米种子</t>
  </si>
  <si>
    <t>大麦种子</t>
  </si>
  <si>
    <t>啤酒花种子</t>
  </si>
  <si>
    <t>葡萄种子</t>
  </si>
  <si>
    <t>菠萝种子</t>
  </si>
  <si>
    <t>咖啡种子</t>
  </si>
  <si>
    <t>草莓种子</t>
  </si>
  <si>
    <t>蓝莓种子</t>
  </si>
  <si>
    <t>红薯种子</t>
  </si>
  <si>
    <t>甜菜种子</t>
  </si>
  <si>
    <t>锻造炉</t>
    <phoneticPr fontId="1" type="noConversion"/>
  </si>
  <si>
    <t>冷餐台</t>
    <phoneticPr fontId="1" type="noConversion"/>
  </si>
  <si>
    <t>酿造桶</t>
    <phoneticPr fontId="1" type="noConversion"/>
  </si>
  <si>
    <t>绘写台</t>
    <phoneticPr fontId="1" type="noConversion"/>
  </si>
  <si>
    <t>冰箱</t>
    <phoneticPr fontId="1" type="noConversion"/>
  </si>
  <si>
    <t>沙发</t>
    <phoneticPr fontId="1" type="noConversion"/>
  </si>
  <si>
    <t>双人床</t>
    <phoneticPr fontId="1" type="noConversion"/>
  </si>
  <si>
    <t>普通柜台</t>
    <phoneticPr fontId="1" type="noConversion"/>
  </si>
  <si>
    <t>储物箱(木)</t>
    <phoneticPr fontId="1" type="noConversion"/>
  </si>
  <si>
    <t>储物箱(银)</t>
    <phoneticPr fontId="1" type="noConversion"/>
  </si>
  <si>
    <t>储物箱(金)</t>
    <phoneticPr fontId="1" type="noConversion"/>
  </si>
  <si>
    <t>木箱</t>
    <phoneticPr fontId="1" type="noConversion"/>
  </si>
  <si>
    <t>银箱</t>
    <phoneticPr fontId="1" type="noConversion"/>
  </si>
  <si>
    <t>金箱</t>
    <phoneticPr fontId="1" type="noConversion"/>
  </si>
  <si>
    <t>柜台</t>
    <phoneticPr fontId="1" type="noConversion"/>
  </si>
  <si>
    <t>服饰架</t>
  </si>
  <si>
    <t>服饰架</t>
    <phoneticPr fontId="1" type="noConversion"/>
  </si>
  <si>
    <t>烤炉</t>
    <phoneticPr fontId="1" type="noConversion"/>
  </si>
  <si>
    <t>烘烤炉</t>
    <phoneticPr fontId="1" type="noConversion"/>
  </si>
  <si>
    <t>用来制作武器的设备</t>
    <phoneticPr fontId="1" type="noConversion"/>
  </si>
  <si>
    <t>用来烘烤食物的设备</t>
    <phoneticPr fontId="1" type="noConversion"/>
  </si>
  <si>
    <t>用来制作冷餐的设备</t>
    <phoneticPr fontId="1" type="noConversion"/>
  </si>
  <si>
    <t>用来酿造酒水饮料的设备</t>
    <phoneticPr fontId="1" type="noConversion"/>
  </si>
  <si>
    <t>用来绘写卷轴的设备</t>
    <phoneticPr fontId="1" type="noConversion"/>
  </si>
  <si>
    <t>用来保存新鲜物品的设备</t>
    <phoneticPr fontId="1" type="noConversion"/>
  </si>
  <si>
    <t>木质的储物箱</t>
    <phoneticPr fontId="1" type="noConversion"/>
  </si>
  <si>
    <t>银质的储物箱</t>
    <phoneticPr fontId="1" type="noConversion"/>
  </si>
  <si>
    <t>金质的储物箱</t>
    <phoneticPr fontId="1" type="noConversion"/>
  </si>
  <si>
    <t>通用的柜台，可放置一般商品</t>
    <phoneticPr fontId="1" type="noConversion"/>
  </si>
  <si>
    <t>放置服饰的架子</t>
    <phoneticPr fontId="1" type="noConversion"/>
  </si>
  <si>
    <t>柔软舒适的座位</t>
    <phoneticPr fontId="1" type="noConversion"/>
  </si>
  <si>
    <t>提供给夫妇两人休息的床</t>
    <phoneticPr fontId="1" type="noConversion"/>
  </si>
  <si>
    <t>未知的物品</t>
    <phoneticPr fontId="1" type="noConversion"/>
  </si>
  <si>
    <t>default</t>
    <phoneticPr fontId="1" type="noConversion"/>
  </si>
  <si>
    <t>????????</t>
    <phoneticPr fontId="1" type="noConversion"/>
  </si>
  <si>
    <t>看起来不像是能吃的样子</t>
    <phoneticPr fontId="1" type="noConversion"/>
  </si>
  <si>
    <t>牧草</t>
    <phoneticPr fontId="1" type="noConversion"/>
  </si>
  <si>
    <t>未成熟的植物制成的鲜嫩可口的饲料</t>
    <phoneticPr fontId="1" type="noConversion"/>
  </si>
  <si>
    <t>卷轴</t>
  </si>
  <si>
    <t>快速在城镇中移动</t>
    <phoneticPr fontId="1" type="noConversion"/>
  </si>
  <si>
    <t>鲫鱼</t>
  </si>
  <si>
    <t>鲤鱼</t>
  </si>
  <si>
    <t>小龙虾</t>
  </si>
  <si>
    <t>鲮鱼</t>
  </si>
  <si>
    <t>手套蟹.</t>
  </si>
  <si>
    <t>鲶鱼</t>
  </si>
  <si>
    <t>丁鱼</t>
  </si>
  <si>
    <t>锦鲤</t>
  </si>
  <si>
    <t>线鱼</t>
  </si>
  <si>
    <t>梭鲈</t>
  </si>
  <si>
    <t>兰寿金鱼</t>
  </si>
  <si>
    <t>樱桃鲑鱼</t>
  </si>
  <si>
    <t>虹鳟鱼</t>
  </si>
  <si>
    <t>鲷鱼</t>
  </si>
  <si>
    <t>金鳟鱼</t>
  </si>
  <si>
    <t>霓虹脂鲤</t>
  </si>
  <si>
    <t>桃花鱼</t>
    <phoneticPr fontId="5" type="noConversion"/>
  </si>
  <si>
    <t>鲑鱼</t>
  </si>
  <si>
    <t>孔雀鱼</t>
  </si>
  <si>
    <t>银龙鱼</t>
  </si>
  <si>
    <t>洞穴天使鱼</t>
  </si>
  <si>
    <t>沙丁鱼</t>
  </si>
  <si>
    <t>竹荚鱼</t>
  </si>
  <si>
    <t>海鳗</t>
  </si>
  <si>
    <t>鱿鱼</t>
    <phoneticPr fontId="5" type="noConversion"/>
  </si>
  <si>
    <t>比目鱼</t>
  </si>
  <si>
    <t>河豚鱼</t>
  </si>
  <si>
    <t>水母</t>
    <phoneticPr fontId="5" type="noConversion"/>
  </si>
  <si>
    <t>条石鲷</t>
  </si>
  <si>
    <t>红鲷鱼</t>
  </si>
  <si>
    <t>蓝蟹</t>
  </si>
  <si>
    <t>鲯鳅鱼</t>
  </si>
  <si>
    <t>龙虾</t>
  </si>
  <si>
    <t>金枪鱼</t>
  </si>
  <si>
    <t>斑马狮子鱼</t>
  </si>
  <si>
    <t>葱种子</t>
    <phoneticPr fontId="1" type="noConversion"/>
  </si>
  <si>
    <t>葱</t>
    <phoneticPr fontId="1" type="noConversion"/>
  </si>
  <si>
    <t>手套蟹</t>
    <phoneticPr fontId="1" type="noConversion"/>
  </si>
  <si>
    <t>手套蟹</t>
    <phoneticPr fontId="1" type="noConversion"/>
  </si>
  <si>
    <t>鱼竿</t>
    <phoneticPr fontId="1" type="noConversion"/>
  </si>
  <si>
    <t>鱼饵</t>
    <phoneticPr fontId="1" type="noConversion"/>
  </si>
  <si>
    <t>用来引诱鱼类的饵料</t>
    <phoneticPr fontId="1" type="noConversion"/>
  </si>
  <si>
    <t>垂钓工具</t>
    <phoneticPr fontId="1" type="noConversion"/>
  </si>
  <si>
    <t>鸡蛋</t>
  </si>
  <si>
    <t>羊毛</t>
    <phoneticPr fontId="1" type="noConversion"/>
  </si>
  <si>
    <t>猪肉</t>
  </si>
  <si>
    <t>牛奶</t>
  </si>
  <si>
    <t>蔬菜沙拉</t>
  </si>
  <si>
    <t>烤肉串</t>
  </si>
  <si>
    <t>腌黄瓜</t>
  </si>
  <si>
    <t>腌萝卜</t>
  </si>
  <si>
    <t>烤西兰花</t>
  </si>
  <si>
    <t>奇异果汁</t>
  </si>
  <si>
    <t>豌豆汤</t>
  </si>
  <si>
    <t>土豆泥</t>
  </si>
  <si>
    <t>烤肉饼</t>
  </si>
  <si>
    <t>烤玉米</t>
  </si>
  <si>
    <t>啤酒</t>
  </si>
  <si>
    <t>面粉</t>
  </si>
  <si>
    <t>葡萄汁</t>
  </si>
  <si>
    <t>葡萄酒</t>
  </si>
  <si>
    <t>菠萝汁</t>
  </si>
  <si>
    <t>咖啡粉</t>
  </si>
  <si>
    <t>草莓汁</t>
  </si>
  <si>
    <t>蓝莓汁</t>
  </si>
  <si>
    <t>甜菜汁</t>
  </si>
  <si>
    <t>拉面</t>
  </si>
  <si>
    <t>饺子</t>
  </si>
  <si>
    <t>三明治</t>
  </si>
  <si>
    <t>西瓜果汁</t>
  </si>
  <si>
    <t>伏特加</t>
  </si>
  <si>
    <t>米饭</t>
  </si>
  <si>
    <t>发酵粉</t>
  </si>
  <si>
    <t>盐</t>
  </si>
  <si>
    <t>水母</t>
    <phoneticPr fontId="5" type="noConversion"/>
  </si>
  <si>
    <t>鲫鱼</t>
    <phoneticPr fontId="1" type="noConversion"/>
  </si>
  <si>
    <t>章鱼</t>
  </si>
  <si>
    <t>蜂蜜</t>
  </si>
  <si>
    <t>蜂蜜蛋糕</t>
  </si>
  <si>
    <t>披萨</t>
  </si>
  <si>
    <t>水煮蛋</t>
  </si>
  <si>
    <t>饭团</t>
  </si>
  <si>
    <t>烤海苔</t>
  </si>
  <si>
    <t>汉堡</t>
  </si>
  <si>
    <t>辣蟹堡</t>
  </si>
  <si>
    <t>海鲜饭</t>
  </si>
  <si>
    <t>蔬菜汁</t>
  </si>
  <si>
    <t>玉米汁</t>
  </si>
  <si>
    <t>烤蜜薯</t>
  </si>
  <si>
    <t>黄油</t>
  </si>
  <si>
    <t>奶酪</t>
  </si>
  <si>
    <t>烤茄子</t>
  </si>
  <si>
    <t>炖菜</t>
  </si>
  <si>
    <t>烤芦笋</t>
  </si>
  <si>
    <t>红菜汤</t>
  </si>
  <si>
    <t>草莓牛奶</t>
  </si>
  <si>
    <t>莓莓果汁</t>
  </si>
  <si>
    <t>鲑鱼饭团</t>
  </si>
  <si>
    <t>拿铁</t>
  </si>
  <si>
    <t>黑咖啡</t>
  </si>
  <si>
    <t>朗姆</t>
  </si>
  <si>
    <t>野蜂拉格</t>
  </si>
  <si>
    <t>双莓白兰地</t>
  </si>
  <si>
    <t>绯红之吻</t>
  </si>
  <si>
    <t>盐烤鲮鱼</t>
  </si>
  <si>
    <t>盐烤丁鱼</t>
  </si>
  <si>
    <t>盐烤虹鳟鱼</t>
  </si>
  <si>
    <t>烤鲷鱼</t>
  </si>
  <si>
    <t>盐烤金鳟鱼</t>
  </si>
  <si>
    <t>盐烤鲑鱼</t>
  </si>
  <si>
    <t>烤沙丁鱼串</t>
  </si>
  <si>
    <t>烤竹荚鱼</t>
  </si>
  <si>
    <t>烤海鳗</t>
  </si>
  <si>
    <t>烤比目鱼</t>
  </si>
  <si>
    <t>烤河豚鱼</t>
  </si>
  <si>
    <t>烤条石鲷</t>
  </si>
  <si>
    <t>烤红鲷鱼</t>
  </si>
  <si>
    <t>烤蓝蟹</t>
  </si>
  <si>
    <t>烤龙虾</t>
  </si>
  <si>
    <t>烤金枪鱼</t>
  </si>
  <si>
    <t>煮蟹肉</t>
  </si>
  <si>
    <t>海鲜浓汤</t>
  </si>
  <si>
    <t>鳗鱼饭</t>
  </si>
  <si>
    <t>鲫鱼蔬菜汤</t>
  </si>
  <si>
    <t>鲮鱼丸</t>
  </si>
  <si>
    <t>鲑鱼刺身</t>
  </si>
  <si>
    <t>章鱼小丸子</t>
  </si>
  <si>
    <t>炖煮条石鲷</t>
  </si>
  <si>
    <t>红鲷刺身</t>
  </si>
  <si>
    <t>河豚刺身</t>
  </si>
  <si>
    <t>螃蟹煲</t>
  </si>
  <si>
    <t>金枪鱼刺身</t>
  </si>
  <si>
    <t>龙虾鱼子酱</t>
  </si>
  <si>
    <t>黄油</t>
    <phoneticPr fontId="1" type="noConversion"/>
  </si>
  <si>
    <t>面包</t>
    <phoneticPr fontId="1" type="noConversion"/>
  </si>
  <si>
    <t>海苔</t>
  </si>
  <si>
    <t>河豚</t>
    <phoneticPr fontId="1" type="noConversion"/>
  </si>
  <si>
    <t>用来搅拌食材的设备</t>
    <phoneticPr fontId="1" type="noConversion"/>
  </si>
  <si>
    <t>海苔</t>
    <phoneticPr fontId="1" type="noConversion"/>
  </si>
  <si>
    <t>腌芜菁</t>
    <phoneticPr fontId="1" type="noConversion"/>
  </si>
  <si>
    <t>蔬菜沙拉</t>
    <phoneticPr fontId="1" type="noConversion"/>
  </si>
  <si>
    <t>酸味香料</t>
    <phoneticPr fontId="1" type="noConversion"/>
  </si>
  <si>
    <t>辣蟹堡</t>
    <phoneticPr fontId="1" type="noConversion"/>
  </si>
  <si>
    <t>烤西兰花</t>
    <phoneticPr fontId="1" type="noConversion"/>
  </si>
  <si>
    <t>烤海苔</t>
    <phoneticPr fontId="1" type="noConversion"/>
  </si>
  <si>
    <t>烤肉饼</t>
    <phoneticPr fontId="1" type="noConversion"/>
  </si>
  <si>
    <t>土豆泥</t>
    <phoneticPr fontId="1" type="noConversion"/>
  </si>
  <si>
    <t>海鲜饭</t>
    <phoneticPr fontId="1" type="noConversion"/>
  </si>
  <si>
    <t>玉米汁</t>
    <phoneticPr fontId="1" type="noConversion"/>
  </si>
  <si>
    <t>烤玉米</t>
    <phoneticPr fontId="1" type="noConversion"/>
  </si>
  <si>
    <t>蔬菜汁</t>
    <phoneticPr fontId="1" type="noConversion"/>
  </si>
  <si>
    <t>西瓜汁</t>
    <phoneticPr fontId="1" type="noConversion"/>
  </si>
  <si>
    <t>烤蜜薯</t>
    <phoneticPr fontId="1" type="noConversion"/>
  </si>
  <si>
    <t>烤茄子</t>
    <phoneticPr fontId="1" type="noConversion"/>
  </si>
  <si>
    <t>饺子</t>
    <phoneticPr fontId="1" type="noConversion"/>
  </si>
  <si>
    <t>炖菜</t>
    <phoneticPr fontId="1" type="noConversion"/>
  </si>
  <si>
    <t>烤芦笋</t>
    <phoneticPr fontId="1" type="noConversion"/>
  </si>
  <si>
    <t>莓莓果汁</t>
    <phoneticPr fontId="1" type="noConversion"/>
  </si>
  <si>
    <t>红菜汤</t>
    <phoneticPr fontId="1" type="noConversion"/>
  </si>
  <si>
    <t>豌豆汤</t>
    <phoneticPr fontId="1" type="noConversion"/>
  </si>
  <si>
    <t>草莓牛奶</t>
    <phoneticPr fontId="1" type="noConversion"/>
  </si>
  <si>
    <t>鲑鱼饭团</t>
    <phoneticPr fontId="1" type="noConversion"/>
  </si>
  <si>
    <t>拿铁</t>
    <phoneticPr fontId="1" type="noConversion"/>
  </si>
  <si>
    <t>黑咖啡</t>
    <phoneticPr fontId="1" type="noConversion"/>
  </si>
  <si>
    <t>葡萄酒</t>
    <phoneticPr fontId="1" type="noConversion"/>
  </si>
  <si>
    <t>伏特加</t>
    <phoneticPr fontId="1" type="noConversion"/>
  </si>
  <si>
    <t>啤酒</t>
    <phoneticPr fontId="1" type="noConversion"/>
  </si>
  <si>
    <t>朗姆</t>
    <phoneticPr fontId="1" type="noConversion"/>
  </si>
  <si>
    <t>野蜂拉格</t>
    <phoneticPr fontId="1" type="noConversion"/>
  </si>
  <si>
    <t>绯红之吻</t>
    <phoneticPr fontId="1" type="noConversion"/>
  </si>
  <si>
    <t>双莓白兰地</t>
    <phoneticPr fontId="1" type="noConversion"/>
  </si>
  <si>
    <t>阳光男孩</t>
    <phoneticPr fontId="1" type="noConversion"/>
  </si>
  <si>
    <t>阳光男孩</t>
    <phoneticPr fontId="1" type="noConversion"/>
  </si>
  <si>
    <t>盐烤鲮鱼</t>
    <phoneticPr fontId="1" type="noConversion"/>
  </si>
  <si>
    <t>盐烤丁鱼</t>
    <phoneticPr fontId="1" type="noConversion"/>
  </si>
  <si>
    <t>盐烤虹鳟鱼</t>
    <phoneticPr fontId="1" type="noConversion"/>
  </si>
  <si>
    <t>烤鲷鱼</t>
    <phoneticPr fontId="1" type="noConversion"/>
  </si>
  <si>
    <t>盐烤金鳟鱼</t>
    <phoneticPr fontId="1" type="noConversion"/>
  </si>
  <si>
    <t>盐烤鲑鱼</t>
    <phoneticPr fontId="1" type="noConversion"/>
  </si>
  <si>
    <t>烤沙丁鱼串</t>
    <phoneticPr fontId="1" type="noConversion"/>
  </si>
  <si>
    <t>烤竹荚鱼</t>
    <phoneticPr fontId="1" type="noConversion"/>
  </si>
  <si>
    <t>烤海鳗</t>
    <phoneticPr fontId="1" type="noConversion"/>
  </si>
  <si>
    <t>烤比目鱼</t>
    <phoneticPr fontId="1" type="noConversion"/>
  </si>
  <si>
    <t>烤河豚鱼</t>
    <phoneticPr fontId="1" type="noConversion"/>
  </si>
  <si>
    <t>烤条石鲷</t>
    <phoneticPr fontId="1" type="noConversion"/>
  </si>
  <si>
    <t>烤红鲷鱼</t>
    <phoneticPr fontId="1" type="noConversion"/>
  </si>
  <si>
    <t>烤蓝蟹</t>
    <phoneticPr fontId="1" type="noConversion"/>
  </si>
  <si>
    <t>烤龙虾</t>
    <phoneticPr fontId="1" type="noConversion"/>
  </si>
  <si>
    <t>烤金枪鱼</t>
    <phoneticPr fontId="1" type="noConversion"/>
  </si>
  <si>
    <t>煮蟹肉</t>
    <phoneticPr fontId="1" type="noConversion"/>
  </si>
  <si>
    <t>海鲜浓汤</t>
    <phoneticPr fontId="1" type="noConversion"/>
  </si>
  <si>
    <t>鳗鱼饭</t>
    <phoneticPr fontId="1" type="noConversion"/>
  </si>
  <si>
    <t>鲮鱼丸</t>
    <phoneticPr fontId="1" type="noConversion"/>
  </si>
  <si>
    <t>章鱼小丸子</t>
    <phoneticPr fontId="1" type="noConversion"/>
  </si>
  <si>
    <t>鲑鱼刺身</t>
    <phoneticPr fontId="1" type="noConversion"/>
  </si>
  <si>
    <t>炖煮条石鲷</t>
    <phoneticPr fontId="1" type="noConversion"/>
  </si>
  <si>
    <t>红鲷刺身</t>
    <phoneticPr fontId="1" type="noConversion"/>
  </si>
  <si>
    <t>河豚刺身</t>
    <phoneticPr fontId="1" type="noConversion"/>
  </si>
  <si>
    <t>螃蟹煲</t>
    <phoneticPr fontId="1" type="noConversion"/>
  </si>
  <si>
    <t>金枪鱼刺身</t>
    <phoneticPr fontId="1" type="noConversion"/>
  </si>
  <si>
    <t>龙虾鱼子酱</t>
    <phoneticPr fontId="1" type="noConversion"/>
  </si>
  <si>
    <t>腌芜菁</t>
    <phoneticPr fontId="1" type="noConversion"/>
  </si>
  <si>
    <t>鲫鱼蔬菜汤</t>
    <phoneticPr fontId="1" type="noConversion"/>
  </si>
  <si>
    <t>失败的徒手</t>
    <phoneticPr fontId="1" type="noConversion"/>
  </si>
  <si>
    <t>失败的搅拌</t>
    <phoneticPr fontId="1" type="noConversion"/>
  </si>
  <si>
    <t>失败的烘烤</t>
    <phoneticPr fontId="1" type="noConversion"/>
  </si>
  <si>
    <t>失败的蒸煮</t>
    <phoneticPr fontId="1" type="noConversion"/>
  </si>
  <si>
    <t>失败的酿造</t>
    <phoneticPr fontId="1" type="noConversion"/>
  </si>
  <si>
    <t>木材</t>
    <phoneticPr fontId="1" type="noConversion"/>
  </si>
  <si>
    <t>原木</t>
    <phoneticPr fontId="1" type="noConversion"/>
  </si>
  <si>
    <t>木柴</t>
    <phoneticPr fontId="1" type="noConversion"/>
  </si>
  <si>
    <t>木棒</t>
    <phoneticPr fontId="1" type="noConversion"/>
  </si>
  <si>
    <t>斧头</t>
  </si>
  <si>
    <t>斧头</t>
    <phoneticPr fontId="1" type="noConversion"/>
  </si>
  <si>
    <t>干草</t>
  </si>
  <si>
    <t>干草</t>
    <phoneticPr fontId="1" type="noConversion"/>
  </si>
  <si>
    <t>长剑</t>
  </si>
  <si>
    <t>诅咒之剑</t>
  </si>
  <si>
    <t>大地之剑</t>
  </si>
  <si>
    <t>铁枪</t>
  </si>
  <si>
    <t>骑士长枪</t>
  </si>
  <si>
    <t>三叉戟</t>
  </si>
  <si>
    <t>战斧</t>
  </si>
  <si>
    <t>毒蜥之牙</t>
  </si>
  <si>
    <t>恶魔之斧</t>
  </si>
  <si>
    <t>蛇皮鞭</t>
  </si>
  <si>
    <t>藤鞭</t>
  </si>
  <si>
    <t>蛇牙鞭</t>
  </si>
  <si>
    <t>暴雪斧</t>
  </si>
  <si>
    <t>毛皮斗篷</t>
    <phoneticPr fontId="1" type="noConversion"/>
  </si>
  <si>
    <t>华丽背心</t>
    <phoneticPr fontId="1" type="noConversion"/>
  </si>
  <si>
    <t>鳞铠</t>
    <phoneticPr fontId="1" type="noConversion"/>
  </si>
  <si>
    <t>兽皮</t>
  </si>
  <si>
    <t>木棒</t>
  </si>
  <si>
    <t>魔兽皮毛</t>
  </si>
  <si>
    <t>皮铠</t>
  </si>
  <si>
    <t>蛇皮</t>
  </si>
  <si>
    <t>布衣</t>
  </si>
  <si>
    <t>布片</t>
  </si>
  <si>
    <t>铁铠甲</t>
  </si>
  <si>
    <t>钢</t>
  </si>
  <si>
    <t>华丽背心</t>
  </si>
  <si>
    <t>刀刃</t>
  </si>
  <si>
    <t>蛛丝</t>
  </si>
  <si>
    <t>羊毛</t>
  </si>
  <si>
    <t>马尾</t>
  </si>
  <si>
    <t>眼球</t>
  </si>
  <si>
    <t>彩色羽毛</t>
  </si>
  <si>
    <t>珊瑚</t>
  </si>
  <si>
    <t>兽角</t>
  </si>
  <si>
    <t>雪球</t>
  </si>
  <si>
    <t>水晶球</t>
  </si>
  <si>
    <t>魔族之血</t>
  </si>
  <si>
    <t>蜂刺</t>
  </si>
  <si>
    <t>石化之眼</t>
  </si>
  <si>
    <t>奇美拉之翼</t>
  </si>
  <si>
    <t>狼牙</t>
  </si>
  <si>
    <t>幽魂</t>
  </si>
  <si>
    <t>金块</t>
  </si>
  <si>
    <t>烈焰之刃</t>
    <phoneticPr fontId="1" type="noConversion"/>
  </si>
  <si>
    <t>锁子甲</t>
    <phoneticPr fontId="1" type="noConversion"/>
  </si>
  <si>
    <t>红莲之铠</t>
    <phoneticPr fontId="1" type="noConversion"/>
  </si>
  <si>
    <t>钢刃锁甲</t>
    <phoneticPr fontId="1" type="noConversion"/>
  </si>
  <si>
    <t>魔法铠甲</t>
    <phoneticPr fontId="1" type="noConversion"/>
  </si>
  <si>
    <t>丝织长袍</t>
    <phoneticPr fontId="1" type="noConversion"/>
  </si>
  <si>
    <t>水之羽衣</t>
    <phoneticPr fontId="1" type="noConversion"/>
  </si>
  <si>
    <t>暗之袍</t>
    <phoneticPr fontId="1" type="noConversion"/>
  </si>
  <si>
    <t>疾风背心</t>
    <phoneticPr fontId="1" type="noConversion"/>
  </si>
  <si>
    <t>冰之刃</t>
    <phoneticPr fontId="1" type="noConversion"/>
  </si>
  <si>
    <t>诅咒之剑</t>
    <phoneticPr fontId="1" type="noConversion"/>
  </si>
  <si>
    <t>长剑</t>
    <phoneticPr fontId="1" type="noConversion"/>
  </si>
  <si>
    <t>大地之剑</t>
    <phoneticPr fontId="1" type="noConversion"/>
  </si>
  <si>
    <t>暴雪斧</t>
    <phoneticPr fontId="1" type="noConversion"/>
  </si>
  <si>
    <t>恶魔之斧</t>
    <phoneticPr fontId="1" type="noConversion"/>
  </si>
  <si>
    <t>毒蜥之牙</t>
    <phoneticPr fontId="1" type="noConversion"/>
  </si>
  <si>
    <t>铁枪</t>
    <phoneticPr fontId="1" type="noConversion"/>
  </si>
  <si>
    <t>贵族长裙</t>
  </si>
  <si>
    <t>烈焰之刃</t>
  </si>
  <si>
    <t>冰之刃</t>
  </si>
  <si>
    <t>女王鞭</t>
  </si>
  <si>
    <t>锁子甲</t>
  </si>
  <si>
    <t>毛皮斗篷</t>
  </si>
  <si>
    <t>红莲之铠</t>
  </si>
  <si>
    <t>鳞铠</t>
  </si>
  <si>
    <t>暗之袍</t>
  </si>
  <si>
    <t>疾风背心</t>
  </si>
  <si>
    <t>魔法铠甲</t>
  </si>
  <si>
    <t>钢刃锁甲</t>
  </si>
  <si>
    <t>丝织长袍</t>
  </si>
  <si>
    <t>水之羽衣</t>
  </si>
  <si>
    <t>布片</t>
    <phoneticPr fontId="1" type="noConversion"/>
  </si>
  <si>
    <t>狼牙</t>
    <phoneticPr fontId="1" type="noConversion"/>
  </si>
  <si>
    <t>钢</t>
    <phoneticPr fontId="1" type="noConversion"/>
  </si>
  <si>
    <t>长剑</t>
    <phoneticPr fontId="1" type="noConversion"/>
  </si>
  <si>
    <t>雪球</t>
    <phoneticPr fontId="1" type="noConversion"/>
  </si>
  <si>
    <t>亡者之土</t>
    <phoneticPr fontId="1" type="noConversion"/>
  </si>
  <si>
    <t>血腥之枪</t>
  </si>
  <si>
    <t>布片</t>
    <phoneticPr fontId="1" type="noConversion"/>
  </si>
  <si>
    <t>毛线</t>
    <phoneticPr fontId="1" type="noConversion"/>
  </si>
  <si>
    <t>纺织</t>
    <phoneticPr fontId="1" type="noConversion"/>
  </si>
  <si>
    <t>毛线</t>
    <phoneticPr fontId="1" type="noConversion"/>
  </si>
  <si>
    <t>纺线</t>
    <phoneticPr fontId="1" type="noConversion"/>
  </si>
  <si>
    <t>皮革</t>
    <phoneticPr fontId="1" type="noConversion"/>
  </si>
  <si>
    <t>鞣制</t>
    <phoneticPr fontId="1" type="noConversion"/>
  </si>
  <si>
    <t>兽皮</t>
    <phoneticPr fontId="1" type="noConversion"/>
  </si>
  <si>
    <t>铁块</t>
    <phoneticPr fontId="1" type="noConversion"/>
  </si>
  <si>
    <t>废铁</t>
    <phoneticPr fontId="1" type="noConversion"/>
  </si>
  <si>
    <t>焦炭</t>
    <phoneticPr fontId="1" type="noConversion"/>
  </si>
  <si>
    <t>皮鞋</t>
  </si>
  <si>
    <t>士兵长靴</t>
  </si>
  <si>
    <t>登山者之靴</t>
  </si>
  <si>
    <t>布鞋</t>
  </si>
  <si>
    <t>布鞋</t>
    <phoneticPr fontId="1" type="noConversion"/>
  </si>
  <si>
    <t>运动鞋</t>
  </si>
  <si>
    <t>风神之履</t>
  </si>
  <si>
    <t>骑士护胫</t>
  </si>
  <si>
    <t>武道鞋</t>
  </si>
  <si>
    <t>贵族长靴</t>
  </si>
  <si>
    <t>铸造</t>
    <phoneticPr fontId="1" type="noConversion"/>
  </si>
  <si>
    <t>贤者之履</t>
  </si>
  <si>
    <t>布片</t>
    <phoneticPr fontId="1" type="noConversion"/>
  </si>
  <si>
    <t>士兵长靴</t>
    <phoneticPr fontId="1" type="noConversion"/>
  </si>
  <si>
    <t>武道鞋</t>
    <phoneticPr fontId="1" type="noConversion"/>
  </si>
  <si>
    <t>骑士护胫</t>
    <phoneticPr fontId="1" type="noConversion"/>
  </si>
  <si>
    <t>铸造</t>
    <phoneticPr fontId="1" type="noConversion"/>
  </si>
  <si>
    <t>铁块</t>
    <phoneticPr fontId="1" type="noConversion"/>
  </si>
  <si>
    <t>皮革</t>
  </si>
  <si>
    <t>酸味香料</t>
    <phoneticPr fontId="1" type="noConversion"/>
  </si>
  <si>
    <t>蜂蜜</t>
    <phoneticPr fontId="1" type="noConversion"/>
  </si>
  <si>
    <t>石块</t>
  </si>
  <si>
    <t>龟壳</t>
  </si>
  <si>
    <t>石英砂</t>
  </si>
  <si>
    <t>草药茶</t>
  </si>
  <si>
    <t>风晶石</t>
  </si>
  <si>
    <t>琥珀</t>
  </si>
  <si>
    <t>粘土</t>
  </si>
  <si>
    <t>尖刺</t>
  </si>
  <si>
    <t>铁矿</t>
  </si>
  <si>
    <t>盐矿</t>
  </si>
  <si>
    <t>肥皂</t>
  </si>
  <si>
    <t>土晶石</t>
  </si>
  <si>
    <t>迷幻菇</t>
  </si>
  <si>
    <t>植物的藤</t>
  </si>
  <si>
    <t>鹿角</t>
  </si>
  <si>
    <t>电偶瓶</t>
  </si>
  <si>
    <t>海胆</t>
  </si>
  <si>
    <t>火晶石</t>
  </si>
  <si>
    <t>玻璃瓶</t>
  </si>
  <si>
    <t>水晶石</t>
  </si>
  <si>
    <t>珍珠</t>
  </si>
  <si>
    <t>松果</t>
  </si>
  <si>
    <t>神奇泥浆</t>
  </si>
  <si>
    <t>银块</t>
  </si>
  <si>
    <t>象牙</t>
  </si>
  <si>
    <t>仙人掌</t>
  </si>
  <si>
    <t>脏绷带</t>
  </si>
  <si>
    <t>远古的硬币</t>
  </si>
  <si>
    <t>铁钉</t>
  </si>
  <si>
    <t>遗骨</t>
  </si>
  <si>
    <t>妖精粉</t>
  </si>
  <si>
    <t>毒淤泥</t>
  </si>
  <si>
    <t>亡者之土</t>
  </si>
  <si>
    <t>咒术药水</t>
  </si>
  <si>
    <t>诅咒宝珠</t>
  </si>
  <si>
    <t>人狼之证</t>
  </si>
  <si>
    <t>冰晶石</t>
  </si>
  <si>
    <t>冰的结晶</t>
  </si>
  <si>
    <t>夜之幕</t>
  </si>
  <si>
    <t>星的眼泪</t>
  </si>
  <si>
    <t>冰牛角</t>
  </si>
  <si>
    <t>寒冰气息</t>
  </si>
  <si>
    <t>寒冰火种</t>
  </si>
  <si>
    <t>蝎尾</t>
  </si>
  <si>
    <t>水晶球</t>
    <phoneticPr fontId="1" type="noConversion"/>
  </si>
  <si>
    <t>刀刃</t>
    <phoneticPr fontId="1" type="noConversion"/>
  </si>
  <si>
    <t>武道精华</t>
  </si>
  <si>
    <t>魔力之土</t>
    <phoneticPr fontId="1" type="noConversion"/>
  </si>
  <si>
    <t>萤火树汁</t>
  </si>
  <si>
    <t>布口袋</t>
    <phoneticPr fontId="1" type="noConversion"/>
  </si>
  <si>
    <t>行者背包</t>
    <phoneticPr fontId="1" type="noConversion"/>
  </si>
  <si>
    <t>皮革背囊</t>
    <phoneticPr fontId="1" type="noConversion"/>
  </si>
  <si>
    <t>回春卷轴</t>
    <phoneticPr fontId="1" type="noConversion"/>
  </si>
  <si>
    <t>冰氛卷轴</t>
    <phoneticPr fontId="1" type="noConversion"/>
  </si>
  <si>
    <t>火氛卷轴</t>
    <phoneticPr fontId="1" type="noConversion"/>
  </si>
  <si>
    <t>振奋卷轴</t>
    <phoneticPr fontId="1" type="noConversion"/>
  </si>
  <si>
    <t>空白卷轴</t>
    <phoneticPr fontId="1" type="noConversion"/>
  </si>
  <si>
    <t>骑士之证</t>
  </si>
  <si>
    <t>贵族长靴</t>
    <phoneticPr fontId="1" type="noConversion"/>
  </si>
  <si>
    <t>贵族徽章</t>
  </si>
  <si>
    <t>贵族徽章</t>
    <phoneticPr fontId="1" type="noConversion"/>
  </si>
  <si>
    <t>贤者之履</t>
    <phoneticPr fontId="1" type="noConversion"/>
  </si>
  <si>
    <t>风神之履</t>
    <phoneticPr fontId="1" type="noConversion"/>
  </si>
  <si>
    <t>贤者晶石</t>
  </si>
  <si>
    <t>白磷粉末</t>
  </si>
  <si>
    <t>雷鸣宝珠</t>
  </si>
  <si>
    <t>恶魔花瓣</t>
  </si>
  <si>
    <t>恶魔花瓣</t>
    <phoneticPr fontId="1" type="noConversion"/>
  </si>
  <si>
    <t>幻影水晶</t>
  </si>
  <si>
    <t>魅惑药水</t>
  </si>
  <si>
    <t>力量果实</t>
  </si>
  <si>
    <t>雷鸣宝珠</t>
    <phoneticPr fontId="1" type="noConversion"/>
  </si>
  <si>
    <t>图腾号角</t>
  </si>
  <si>
    <t>鳞片</t>
  </si>
  <si>
    <t>夜之幕</t>
    <phoneticPr fontId="1" type="noConversion"/>
  </si>
  <si>
    <t>战斧</t>
    <phoneticPr fontId="1" type="noConversion"/>
  </si>
  <si>
    <t>战斧</t>
    <phoneticPr fontId="1" type="noConversion"/>
  </si>
  <si>
    <t>钢</t>
    <phoneticPr fontId="1" type="noConversion"/>
  </si>
  <si>
    <t>铁矿</t>
    <phoneticPr fontId="1" type="noConversion"/>
  </si>
  <si>
    <t>铁块</t>
  </si>
  <si>
    <t>铁块</t>
    <phoneticPr fontId="1" type="noConversion"/>
  </si>
  <si>
    <t>奇美拉之翼</t>
    <phoneticPr fontId="1" type="noConversion"/>
  </si>
  <si>
    <t>缝纫</t>
  </si>
  <si>
    <t>粘液</t>
  </si>
  <si>
    <t>水晶石</t>
    <phoneticPr fontId="1" type="noConversion"/>
  </si>
  <si>
    <t>迷幻孢子</t>
    <phoneticPr fontId="1" type="noConversion"/>
  </si>
  <si>
    <t>暮光结晶</t>
    <phoneticPr fontId="1" type="noConversion"/>
  </si>
  <si>
    <t>暗夜之露</t>
    <phoneticPr fontId="1" type="noConversion"/>
  </si>
  <si>
    <t>电偶瓶</t>
    <phoneticPr fontId="1" type="noConversion"/>
  </si>
  <si>
    <t>防水皮革</t>
    <phoneticPr fontId="5" type="noConversion"/>
  </si>
  <si>
    <t>魅惑药水</t>
    <phoneticPr fontId="1" type="noConversion"/>
  </si>
  <si>
    <t>萤火树汁</t>
    <phoneticPr fontId="1" type="noConversion"/>
  </si>
  <si>
    <t>武道精华</t>
    <phoneticPr fontId="1" type="noConversion"/>
  </si>
  <si>
    <t>图腾号角</t>
    <phoneticPr fontId="1" type="noConversion"/>
  </si>
  <si>
    <t>感电卷轴</t>
    <phoneticPr fontId="1" type="noConversion"/>
  </si>
  <si>
    <t>沉默卷轴</t>
    <phoneticPr fontId="1" type="noConversion"/>
  </si>
  <si>
    <t>昏睡卷轴</t>
    <phoneticPr fontId="1" type="noConversion"/>
  </si>
  <si>
    <t>魅惑卷轴</t>
    <phoneticPr fontId="1" type="noConversion"/>
  </si>
  <si>
    <t>减速卷轴</t>
    <phoneticPr fontId="1" type="noConversion"/>
  </si>
  <si>
    <t>闪避卷轴</t>
    <phoneticPr fontId="1" type="noConversion"/>
  </si>
  <si>
    <t>力量卷轴</t>
    <phoneticPr fontId="1" type="noConversion"/>
  </si>
  <si>
    <t>秘银长剑</t>
    <phoneticPr fontId="1" type="noConversion"/>
  </si>
  <si>
    <t>幻影长枪</t>
    <phoneticPr fontId="1" type="noConversion"/>
  </si>
  <si>
    <t>白磷粉末</t>
    <phoneticPr fontId="1" type="noConversion"/>
  </si>
  <si>
    <t>死亡之鞭</t>
    <phoneticPr fontId="1" type="noConversion"/>
  </si>
  <si>
    <t>雷神之鞭</t>
    <phoneticPr fontId="1" type="noConversion"/>
  </si>
  <si>
    <t>骑士之证</t>
    <phoneticPr fontId="1" type="noConversion"/>
  </si>
  <si>
    <t>幸运之衣</t>
    <phoneticPr fontId="1" type="noConversion"/>
  </si>
  <si>
    <t>踏浪长靴</t>
    <phoneticPr fontId="1" type="noConversion"/>
  </si>
  <si>
    <t>焦炭</t>
  </si>
  <si>
    <t>迷幻孢子</t>
  </si>
  <si>
    <t>防水皮革</t>
  </si>
  <si>
    <t>彩色的布</t>
  </si>
  <si>
    <t>月之光华</t>
  </si>
  <si>
    <t>魔力之土</t>
  </si>
  <si>
    <t>暗夜之露</t>
  </si>
  <si>
    <t>暮光结晶</t>
  </si>
  <si>
    <t>铁龟铠</t>
    <phoneticPr fontId="1" type="noConversion"/>
  </si>
  <si>
    <t>尖刺</t>
    <phoneticPr fontId="1" type="noConversion"/>
  </si>
  <si>
    <t>彩色的布</t>
    <phoneticPr fontId="1" type="noConversion"/>
  </si>
  <si>
    <t>铁枪</t>
    <phoneticPr fontId="1" type="noConversion"/>
  </si>
  <si>
    <t>毒淤泥</t>
    <phoneticPr fontId="1" type="noConversion"/>
  </si>
  <si>
    <t>月之光华</t>
    <phoneticPr fontId="1" type="noConversion"/>
  </si>
  <si>
    <t>琥珀</t>
    <phoneticPr fontId="1" type="noConversion"/>
  </si>
  <si>
    <t>琥珀</t>
    <phoneticPr fontId="1" type="noConversion"/>
  </si>
  <si>
    <t>遗骨</t>
    <phoneticPr fontId="1" type="noConversion"/>
  </si>
  <si>
    <t>蜂刺</t>
    <phoneticPr fontId="1" type="noConversion"/>
  </si>
  <si>
    <t>马尾</t>
    <phoneticPr fontId="1" type="noConversion"/>
  </si>
  <si>
    <t>藤鞭</t>
    <phoneticPr fontId="1" type="noConversion"/>
  </si>
  <si>
    <t>暗夜之露</t>
    <phoneticPr fontId="1" type="noConversion"/>
  </si>
  <si>
    <t>钢</t>
    <phoneticPr fontId="1" type="noConversion"/>
  </si>
  <si>
    <t>粘液</t>
    <phoneticPr fontId="1" type="noConversion"/>
  </si>
  <si>
    <t>咒术药水</t>
    <phoneticPr fontId="1" type="noConversion"/>
  </si>
  <si>
    <t>兽角</t>
    <phoneticPr fontId="1" type="noConversion"/>
  </si>
  <si>
    <t>皮鞋</t>
    <phoneticPr fontId="1" type="noConversion"/>
  </si>
  <si>
    <t>粘液</t>
    <phoneticPr fontId="1" type="noConversion"/>
  </si>
  <si>
    <t>蛇皮鞭</t>
    <phoneticPr fontId="1" type="noConversion"/>
  </si>
  <si>
    <t>白磷粉末</t>
    <phoneticPr fontId="1" type="noConversion"/>
  </si>
  <si>
    <t>毛线</t>
  </si>
  <si>
    <t>毛线</t>
    <phoneticPr fontId="1" type="noConversion"/>
  </si>
  <si>
    <t>蛛丝</t>
    <phoneticPr fontId="1" type="noConversion"/>
  </si>
  <si>
    <t>皮革</t>
    <phoneticPr fontId="1" type="noConversion"/>
  </si>
  <si>
    <t>彩色的布</t>
    <phoneticPr fontId="1" type="noConversion"/>
  </si>
  <si>
    <t>冰的结晶</t>
    <phoneticPr fontId="1" type="noConversion"/>
  </si>
  <si>
    <t>遗骨</t>
    <phoneticPr fontId="1" type="noConversion"/>
  </si>
  <si>
    <t>妖精粉</t>
    <phoneticPr fontId="1" type="noConversion"/>
  </si>
  <si>
    <t>贤者晶石</t>
    <phoneticPr fontId="1" type="noConversion"/>
  </si>
  <si>
    <t>妖精粉</t>
    <phoneticPr fontId="1" type="noConversion"/>
  </si>
  <si>
    <t>运动鞋</t>
    <phoneticPr fontId="1" type="noConversion"/>
  </si>
  <si>
    <t>水晶石</t>
    <phoneticPr fontId="1" type="noConversion"/>
  </si>
  <si>
    <t>冰的结晶</t>
    <phoneticPr fontId="1" type="noConversion"/>
  </si>
  <si>
    <t>登山者之靴</t>
    <phoneticPr fontId="1" type="noConversion"/>
  </si>
  <si>
    <t>暮光结晶</t>
    <phoneticPr fontId="1" type="noConversion"/>
  </si>
  <si>
    <t>夜之幕</t>
    <phoneticPr fontId="1" type="noConversion"/>
  </si>
  <si>
    <t>蛇牙鞭</t>
    <phoneticPr fontId="1" type="noConversion"/>
  </si>
  <si>
    <t>女王鞭</t>
    <phoneticPr fontId="1" type="noConversion"/>
  </si>
  <si>
    <t>dd</t>
    <phoneticPr fontId="1" type="noConversion"/>
  </si>
  <si>
    <t>皮铠</t>
    <phoneticPr fontId="1" type="noConversion"/>
  </si>
  <si>
    <t>蛛丝</t>
    <phoneticPr fontId="1" type="noConversion"/>
  </si>
  <si>
    <t>亡者之土</t>
    <phoneticPr fontId="1" type="noConversion"/>
  </si>
  <si>
    <t>铁铠甲</t>
    <phoneticPr fontId="1" type="noConversion"/>
  </si>
  <si>
    <t>皮铠</t>
    <phoneticPr fontId="1" type="noConversion"/>
  </si>
  <si>
    <t>蜂刺</t>
    <phoneticPr fontId="1" type="noConversion"/>
  </si>
  <si>
    <t>亡者之土</t>
    <phoneticPr fontId="1" type="noConversion"/>
  </si>
  <si>
    <t>布衣</t>
    <phoneticPr fontId="1" type="noConversion"/>
  </si>
  <si>
    <t>焦炭</t>
    <phoneticPr fontId="1" type="noConversion"/>
  </si>
  <si>
    <t>恶魔花瓣</t>
    <phoneticPr fontId="1" type="noConversion"/>
  </si>
  <si>
    <t>月之光华</t>
    <phoneticPr fontId="1" type="noConversion"/>
  </si>
  <si>
    <t>骑士长枪</t>
    <phoneticPr fontId="1" type="noConversion"/>
  </si>
  <si>
    <t>失败的缝纫</t>
    <phoneticPr fontId="1" type="noConversion"/>
  </si>
  <si>
    <t>一团杂乱的物体</t>
    <phoneticPr fontId="1" type="noConversion"/>
  </si>
  <si>
    <t>失败的铸造</t>
    <phoneticPr fontId="1" type="noConversion"/>
  </si>
  <si>
    <t>失败的绘写</t>
    <phoneticPr fontId="1" type="noConversion"/>
  </si>
  <si>
    <t>秘银长剑</t>
  </si>
  <si>
    <t>幻影长枪</t>
  </si>
  <si>
    <t>雷神之鞭</t>
  </si>
  <si>
    <t>死亡之鞭</t>
  </si>
  <si>
    <t>幸运之衣</t>
  </si>
  <si>
    <t>踏浪长靴</t>
  </si>
  <si>
    <t>废铁</t>
  </si>
  <si>
    <t>回春卷轴</t>
  </si>
  <si>
    <t>振奋卷轴</t>
  </si>
  <si>
    <t>昏睡卷轴</t>
  </si>
  <si>
    <t>感电卷轴</t>
  </si>
  <si>
    <t>冰氛卷轴</t>
  </si>
  <si>
    <t>火氛卷轴</t>
  </si>
  <si>
    <t>沉默卷轴</t>
  </si>
  <si>
    <t>减速卷轴</t>
  </si>
  <si>
    <t>闪避卷轴</t>
  </si>
  <si>
    <t>力量卷轴</t>
  </si>
  <si>
    <t>魅惑卷轴</t>
  </si>
  <si>
    <t>空白卷轴</t>
  </si>
  <si>
    <t>铸造,废铁,焦炭,</t>
  </si>
  <si>
    <t/>
  </si>
  <si>
    <t>铁块,刀刃,,</t>
  </si>
  <si>
    <t>铸造,铁块,焦炭,</t>
  </si>
  <si>
    <t>木棒,铁块,刀刃,</t>
  </si>
  <si>
    <t>钢,刀刃,兽角,</t>
  </si>
  <si>
    <t>植物的藤,马尾,蛛丝,</t>
  </si>
  <si>
    <t>蛇皮,马尾,蛛丝,</t>
  </si>
  <si>
    <t>纺织,毛线,,</t>
  </si>
  <si>
    <t>纺线,羊毛,,</t>
  </si>
  <si>
    <t>鞣制,兽皮,,</t>
  </si>
  <si>
    <t>皮革,粘液,蛛丝,</t>
  </si>
  <si>
    <t>铁块,石英砂,,</t>
  </si>
  <si>
    <t>布片,毛线,,</t>
  </si>
  <si>
    <t>彩色的布,彩色羽毛,毛线,</t>
  </si>
  <si>
    <t>皮革,鹿角,粘液,</t>
  </si>
  <si>
    <t>布片,鹿角,粘液,</t>
  </si>
  <si>
    <t>铁块,琥珀,龟壳,</t>
  </si>
  <si>
    <t>植物的藤,马尾,蛛丝,尖刺,幽魂,</t>
  </si>
  <si>
    <t>植物的藤,马尾,蛛丝,尖刺,幽魂,</t>
    <phoneticPr fontId="1" type="noConversion"/>
  </si>
  <si>
    <t>蛇皮,马尾,蛛丝,,狼牙,</t>
  </si>
  <si>
    <t>蛇皮,马尾,蛛丝,,狼牙,</t>
    <phoneticPr fontId="1" type="noConversion"/>
  </si>
  <si>
    <t>布片,鹿角,粘液,,风晶石,蛛丝,</t>
  </si>
  <si>
    <t>布片,鹿角,粘液,,风晶石,蛛丝,</t>
    <phoneticPr fontId="1" type="noConversion"/>
  </si>
  <si>
    <t>皮革,鹿角,粘液,,鳞片,蛇皮,</t>
  </si>
  <si>
    <t>皮革,鹿角,粘液,,鳞片,蛇皮,</t>
    <phoneticPr fontId="1" type="noConversion"/>
  </si>
  <si>
    <t>幻影水晶</t>
    <phoneticPr fontId="1" type="noConversion"/>
  </si>
  <si>
    <t>绘写</t>
    <phoneticPr fontId="1" type="noConversion"/>
  </si>
  <si>
    <t>加工</t>
    <phoneticPr fontId="1" type="noConversion"/>
  </si>
  <si>
    <t>铁矿</t>
    <phoneticPr fontId="1" type="noConversion"/>
  </si>
  <si>
    <t>盐矿</t>
    <phoneticPr fontId="1" type="noConversion"/>
  </si>
  <si>
    <t>盐</t>
    <phoneticPr fontId="1" type="noConversion"/>
  </si>
  <si>
    <t>铁龟铠</t>
  </si>
  <si>
    <t>铁龟铠</t>
    <phoneticPr fontId="1" type="noConversion"/>
  </si>
  <si>
    <t>铁龟铠</t>
    <phoneticPr fontId="1" type="noConversion"/>
  </si>
  <si>
    <t>空白卷轴</t>
    <phoneticPr fontId="1" type="noConversion"/>
  </si>
  <si>
    <t>传送卷轴</t>
    <phoneticPr fontId="1" type="noConversion"/>
  </si>
  <si>
    <t>冰的结晶</t>
    <phoneticPr fontId="1" type="noConversion"/>
  </si>
  <si>
    <t>萤火树汁</t>
    <phoneticPr fontId="1" type="noConversion"/>
  </si>
  <si>
    <t>风晶石</t>
    <phoneticPr fontId="1" type="noConversion"/>
  </si>
  <si>
    <t>纯净水</t>
    <phoneticPr fontId="1" type="noConversion"/>
  </si>
  <si>
    <t>失败的铸造</t>
  </si>
  <si>
    <t>失败的绘写</t>
  </si>
  <si>
    <t>失败的缝纫</t>
  </si>
  <si>
    <t>缝纫机</t>
  </si>
  <si>
    <t>用来制作衣物的设备</t>
    <phoneticPr fontId="1" type="noConversion"/>
  </si>
  <si>
    <t>用来制作蒸煮食物的设备</t>
    <phoneticPr fontId="1" type="noConversion"/>
  </si>
  <si>
    <t>搅拌器</t>
  </si>
  <si>
    <t>HP</t>
  </si>
  <si>
    <t>MP</t>
  </si>
  <si>
    <t>Power</t>
  </si>
  <si>
    <t>MaxHP</t>
  </si>
  <si>
    <t>MaxMP</t>
  </si>
  <si>
    <t>MaxPower</t>
  </si>
  <si>
    <t>AT</t>
  </si>
  <si>
    <t>DF</t>
  </si>
  <si>
    <t>Lucky</t>
  </si>
  <si>
    <t>Speed</t>
  </si>
  <si>
    <t>Other</t>
  </si>
  <si>
    <t>int</t>
    <phoneticPr fontId="1" type="noConversion"/>
  </si>
  <si>
    <t>otherType</t>
    <phoneticPr fontId="1" type="noConversion"/>
  </si>
  <si>
    <t>烈焰斩</t>
    <phoneticPr fontId="1" type="noConversion"/>
  </si>
  <si>
    <t>寒冰斩</t>
    <phoneticPr fontId="1" type="noConversion"/>
  </si>
  <si>
    <t>奇迹斩</t>
    <phoneticPr fontId="1" type="noConversion"/>
  </si>
  <si>
    <t>骑士冲击</t>
    <phoneticPr fontId="1" type="noConversion"/>
  </si>
  <si>
    <t>龙卷风</t>
    <phoneticPr fontId="1" type="noConversion"/>
  </si>
  <si>
    <t>幻影突刺</t>
    <phoneticPr fontId="1" type="noConversion"/>
  </si>
  <si>
    <t>恶魔幻影</t>
    <phoneticPr fontId="1" type="noConversion"/>
  </si>
  <si>
    <t>女王之春</t>
    <phoneticPr fontId="1" type="noConversion"/>
  </si>
  <si>
    <t>刺颈鞭挞</t>
    <phoneticPr fontId="1" type="noConversion"/>
  </si>
  <si>
    <t>雷暴</t>
    <phoneticPr fontId="1" type="noConversion"/>
  </si>
  <si>
    <t>幽冥黑洞</t>
    <phoneticPr fontId="1" type="noConversion"/>
  </si>
  <si>
    <t>暴风雪</t>
    <phoneticPr fontId="1" type="noConversion"/>
  </si>
  <si>
    <t>剧毒风暴</t>
    <phoneticPr fontId="1" type="noConversion"/>
  </si>
  <si>
    <t>诅咒猎杀</t>
    <phoneticPr fontId="1" type="noConversion"/>
  </si>
  <si>
    <t>血腥囚笼</t>
    <phoneticPr fontId="1" type="noConversion"/>
  </si>
  <si>
    <t>地刺</t>
    <phoneticPr fontId="1" type="noConversion"/>
  </si>
  <si>
    <t>int</t>
    <phoneticPr fontId="1" type="noConversion"/>
  </si>
  <si>
    <t>attributeType</t>
  </si>
  <si>
    <t>猪粪</t>
  </si>
  <si>
    <t>鸭绒</t>
  </si>
  <si>
    <t>鸭绒</t>
    <phoneticPr fontId="1" type="noConversion"/>
  </si>
  <si>
    <t>鸭绒</t>
    <phoneticPr fontId="1" type="noConversion"/>
  </si>
  <si>
    <t>草帽</t>
  </si>
  <si>
    <t>干草</t>
    <phoneticPr fontId="1" type="noConversion"/>
  </si>
  <si>
    <t>布片</t>
    <phoneticPr fontId="1" type="noConversion"/>
  </si>
  <si>
    <t>草帽</t>
    <phoneticPr fontId="1" type="noConversion"/>
  </si>
  <si>
    <t>月之光华</t>
    <phoneticPr fontId="1" type="noConversion"/>
  </si>
  <si>
    <t>暮光结晶</t>
    <phoneticPr fontId="1" type="noConversion"/>
  </si>
  <si>
    <t>松果</t>
    <phoneticPr fontId="1" type="noConversion"/>
  </si>
  <si>
    <t>法师帽</t>
  </si>
  <si>
    <t>士兵头盔</t>
  </si>
  <si>
    <t>士兵头盔</t>
    <phoneticPr fontId="1" type="noConversion"/>
  </si>
  <si>
    <t>绅士礼帽</t>
  </si>
  <si>
    <t>幸运头巾</t>
  </si>
  <si>
    <t>战争头盔</t>
  </si>
  <si>
    <t>草帽</t>
    <phoneticPr fontId="1" type="noConversion"/>
  </si>
  <si>
    <t>法师帽</t>
    <phoneticPr fontId="1" type="noConversion"/>
  </si>
  <si>
    <t>尖角头盔</t>
  </si>
  <si>
    <t>战争头盔</t>
    <phoneticPr fontId="1" type="noConversion"/>
  </si>
  <si>
    <t>幸运头巾</t>
    <phoneticPr fontId="1" type="noConversion"/>
  </si>
  <si>
    <t>绅士礼帽</t>
    <phoneticPr fontId="1" type="noConversion"/>
  </si>
  <si>
    <t>贵族头巾</t>
  </si>
  <si>
    <t>贵族头巾</t>
    <phoneticPr fontId="1" type="noConversion"/>
  </si>
  <si>
    <t>暮光草帽</t>
    <phoneticPr fontId="1" type="noConversion"/>
  </si>
  <si>
    <t>彩色的布</t>
    <phoneticPr fontId="1" type="noConversion"/>
  </si>
  <si>
    <t>铁块</t>
    <phoneticPr fontId="1" type="noConversion"/>
  </si>
  <si>
    <t>皮革</t>
    <phoneticPr fontId="1" type="noConversion"/>
  </si>
  <si>
    <t>兽角</t>
    <phoneticPr fontId="1" type="noConversion"/>
  </si>
  <si>
    <t>兽角</t>
    <phoneticPr fontId="1" type="noConversion"/>
  </si>
  <si>
    <t>士兵头盔</t>
    <phoneticPr fontId="1" type="noConversion"/>
  </si>
  <si>
    <t>尖角头盔</t>
    <phoneticPr fontId="1" type="noConversion"/>
  </si>
  <si>
    <t>金块</t>
    <phoneticPr fontId="1" type="noConversion"/>
  </si>
  <si>
    <t>远古的硬币</t>
    <phoneticPr fontId="1" type="noConversion"/>
  </si>
  <si>
    <t>夜之幕</t>
    <phoneticPr fontId="1" type="noConversion"/>
  </si>
  <si>
    <t>彩色羽毛</t>
    <phoneticPr fontId="1" type="noConversion"/>
  </si>
  <si>
    <t>鸭绒</t>
    <phoneticPr fontId="1" type="noConversion"/>
  </si>
  <si>
    <t>幽魂</t>
    <phoneticPr fontId="1" type="noConversion"/>
  </si>
  <si>
    <t>诅咒宝珠</t>
    <phoneticPr fontId="1" type="noConversion"/>
  </si>
  <si>
    <t>防水皮革</t>
    <phoneticPr fontId="1" type="noConversion"/>
  </si>
  <si>
    <t>贤者晶石</t>
    <phoneticPr fontId="1" type="noConversion"/>
  </si>
  <si>
    <t>咒术药水</t>
    <phoneticPr fontId="1" type="noConversion"/>
  </si>
  <si>
    <t>力量果实</t>
    <phoneticPr fontId="1" type="noConversion"/>
  </si>
  <si>
    <t>奇美拉之翼</t>
    <phoneticPr fontId="1" type="noConversion"/>
  </si>
  <si>
    <t>珍珠</t>
    <phoneticPr fontId="1" type="noConversion"/>
  </si>
  <si>
    <t>妖精粉</t>
    <phoneticPr fontId="1" type="noConversion"/>
  </si>
  <si>
    <t>缝纫</t>
    <phoneticPr fontId="1" type="noConversion"/>
  </si>
  <si>
    <t>兔子脚</t>
    <phoneticPr fontId="1" type="noConversion"/>
  </si>
  <si>
    <t>大地之剑</t>
    <phoneticPr fontId="1" type="noConversion"/>
  </si>
  <si>
    <t>铸造配方</t>
  </si>
  <si>
    <t>缝纫配方</t>
  </si>
  <si>
    <t>书写配方</t>
  </si>
  <si>
    <t>书写配方</t>
    <phoneticPr fontId="1" type="noConversion"/>
  </si>
  <si>
    <t>酒水配方</t>
  </si>
  <si>
    <t>食物配方</t>
  </si>
  <si>
    <t>食物配方</t>
    <phoneticPr fontId="1" type="noConversion"/>
  </si>
  <si>
    <t>酒水配方</t>
    <phoneticPr fontId="1" type="noConversion"/>
  </si>
  <si>
    <t>铸造配方</t>
    <phoneticPr fontId="1" type="noConversion"/>
  </si>
  <si>
    <t>缝纫配方</t>
    <phoneticPr fontId="1" type="noConversion"/>
  </si>
  <si>
    <t>传送卷轴</t>
    <phoneticPr fontId="1" type="noConversion"/>
  </si>
  <si>
    <t>大麦</t>
    <phoneticPr fontId="1" type="noConversion"/>
  </si>
  <si>
    <t>荆棘鞭</t>
  </si>
  <si>
    <t>荆棘鞭</t>
    <phoneticPr fontId="1" type="noConversion"/>
  </si>
  <si>
    <t>女王之鞭</t>
    <phoneticPr fontId="1" type="noConversion"/>
  </si>
  <si>
    <t>血腥之矛</t>
    <phoneticPr fontId="1" type="noConversion"/>
  </si>
  <si>
    <t>血腥之矛</t>
    <phoneticPr fontId="1" type="noConversion"/>
  </si>
  <si>
    <t>阳光草帽</t>
  </si>
  <si>
    <t>阳光草帽</t>
    <phoneticPr fontId="1" type="noConversion"/>
  </si>
  <si>
    <t>炖煮锅</t>
    <phoneticPr fontId="1" type="noConversion"/>
  </si>
  <si>
    <t>炖煮锅</t>
    <phoneticPr fontId="1" type="noConversion"/>
  </si>
  <si>
    <t>int</t>
    <phoneticPr fontId="1" type="noConversion"/>
  </si>
  <si>
    <t>7000</t>
  </si>
  <si>
    <t>bool</t>
    <phoneticPr fontId="1" type="noConversion"/>
  </si>
  <si>
    <t>showProperty</t>
    <phoneticPr fontId="1" type="noConversion"/>
  </si>
  <si>
    <t>false</t>
    <phoneticPr fontId="1" type="noConversion"/>
  </si>
  <si>
    <t>true</t>
    <phoneticPr fontId="1" type="noConversion"/>
  </si>
  <si>
    <t>hp</t>
  </si>
  <si>
    <t>mp</t>
  </si>
  <si>
    <t>体力</t>
  </si>
  <si>
    <t>攻击buff</t>
  </si>
  <si>
    <t>防御buff</t>
  </si>
  <si>
    <t>速度buff</t>
  </si>
  <si>
    <t>幸运buff</t>
  </si>
  <si>
    <t>腌芜菁</t>
  </si>
  <si>
    <t>面包</t>
  </si>
  <si>
    <t>阳光男孩</t>
  </si>
  <si>
    <t>凉茶</t>
  </si>
  <si>
    <t>7001</t>
    <phoneticPr fontId="1" type="noConversion"/>
  </si>
  <si>
    <t>sceneType</t>
  </si>
  <si>
    <t>2</t>
    <phoneticPr fontId="1" type="noConversion"/>
  </si>
  <si>
    <t>0</t>
    <phoneticPr fontId="1" type="noConversion"/>
  </si>
  <si>
    <t>0</t>
    <phoneticPr fontId="1" type="noConversion"/>
  </si>
  <si>
    <t>0</t>
    <phoneticPr fontId="1" type="noConversion"/>
  </si>
  <si>
    <t>fightUseSkill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</si>
</sst>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color rgb="FF222222"/>
      <name val="Arial"/>
      <family val="2"/>
    </font>
    <font>
      <sz val="9"/>
      <name val="宋体"/>
      <family val="3"/>
      <charset val="134"/>
      <scheme val="minor"/>
    </font>
    <font>
      <sz val="12"/>
      <color rgb="FF22222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6" fillId="0" borderId="0" xfId="0" applyFont="1" applyAlignment="1">
      <alignment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4" borderId="0" xfId="0" applyFill="1" applyAlignment="1">
      <alignment vertical="center" wrapText="1"/>
    </xf>
    <xf numFmtId="0" fontId="0" fillId="4" borderId="1" xfId="0" applyFill="1" applyBorder="1">
      <alignment vertical="center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0" fillId="5" borderId="0" xfId="0" applyFill="1">
      <alignment vertical="center"/>
    </xf>
    <xf numFmtId="0" fontId="7" fillId="0" borderId="0" xfId="0" applyFont="1" applyFill="1">
      <alignment vertical="center"/>
    </xf>
    <xf numFmtId="0" fontId="8" fillId="6" borderId="0" xfId="0" applyFont="1" applyFill="1">
      <alignment vertical="center"/>
    </xf>
    <xf numFmtId="0" fontId="8" fillId="0" borderId="0" xfId="0" applyFont="1" applyFill="1">
      <alignment vertical="center"/>
    </xf>
    <xf numFmtId="0" fontId="0" fillId="6" borderId="0" xfId="0" applyFill="1">
      <alignment vertical="center"/>
    </xf>
    <xf numFmtId="0" fontId="0" fillId="2" borderId="0" xfId="0" applyFill="1" applyAlignment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10" borderId="0" xfId="0" applyFill="1">
      <alignment vertical="center"/>
    </xf>
    <xf numFmtId="0" fontId="0" fillId="9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NumberFormat="1" applyFill="1" applyAlignment="1">
      <alignment vertical="center" wrapText="1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AG394"/>
  <sheetViews>
    <sheetView tabSelected="1" zoomScaleNormal="100" workbookViewId="0">
      <pane xSplit="1" ySplit="3" topLeftCell="B292" activePane="bottomRight" state="frozen"/>
      <selection pane="topRight" activeCell="B1" sqref="B1"/>
      <selection pane="bottomLeft" activeCell="A4" sqref="A4"/>
      <selection pane="bottomRight" activeCell="G314" sqref="G314"/>
    </sheetView>
  </sheetViews>
  <sheetFormatPr defaultColWidth="7.75" defaultRowHeight="13.5" x14ac:dyDescent="0.15"/>
  <cols>
    <col min="1" max="1" width="11.125" style="1" customWidth="1"/>
    <col min="2" max="2" width="7.75" style="1" customWidth="1"/>
    <col min="3" max="3" width="11.75" style="1" customWidth="1"/>
    <col min="4" max="10" width="8.875" style="1" customWidth="1"/>
    <col min="11" max="14" width="11.875" style="1" customWidth="1"/>
    <col min="15" max="16" width="11" style="2" customWidth="1"/>
    <col min="17" max="19" width="11" style="37" customWidth="1"/>
    <col min="20" max="21" width="11" style="2" customWidth="1"/>
    <col min="22" max="22" width="8.375" style="1" customWidth="1"/>
    <col min="23" max="32" width="7.75" style="1"/>
    <col min="33" max="33" width="26.125" style="1" customWidth="1"/>
    <col min="34" max="16384" width="7.75" style="1"/>
  </cols>
  <sheetData>
    <row r="2" spans="1:33" x14ac:dyDescent="0.15">
      <c r="A2" s="1" t="s">
        <v>1</v>
      </c>
      <c r="B2" s="1" t="s">
        <v>0</v>
      </c>
      <c r="C2" s="1" t="s">
        <v>1</v>
      </c>
      <c r="D2" s="1" t="s">
        <v>12</v>
      </c>
      <c r="E2" s="1" t="s">
        <v>12</v>
      </c>
      <c r="F2" s="1" t="s">
        <v>0</v>
      </c>
      <c r="G2" s="1" t="s">
        <v>15</v>
      </c>
      <c r="H2" s="1" t="s">
        <v>15</v>
      </c>
      <c r="I2" s="1" t="s">
        <v>725</v>
      </c>
      <c r="J2" s="1" t="s">
        <v>18</v>
      </c>
      <c r="K2" s="1" t="s">
        <v>3</v>
      </c>
      <c r="L2" s="1" t="s">
        <v>0</v>
      </c>
      <c r="M2" s="1" t="s">
        <v>0</v>
      </c>
      <c r="N2" s="1" t="s">
        <v>0</v>
      </c>
      <c r="O2" s="2" t="s">
        <v>11</v>
      </c>
      <c r="P2" s="2" t="s">
        <v>11</v>
      </c>
      <c r="Q2" s="37" t="s">
        <v>798</v>
      </c>
      <c r="R2" s="37" t="s">
        <v>798</v>
      </c>
      <c r="S2" s="37" t="s">
        <v>0</v>
      </c>
      <c r="T2" s="2" t="s">
        <v>11</v>
      </c>
      <c r="U2" s="2" t="s">
        <v>800</v>
      </c>
      <c r="V2" s="1" t="s">
        <v>707</v>
      </c>
      <c r="W2" s="1" t="s">
        <v>707</v>
      </c>
      <c r="X2" s="1" t="s">
        <v>707</v>
      </c>
      <c r="Y2" s="1" t="s">
        <v>707</v>
      </c>
      <c r="Z2" s="1" t="s">
        <v>707</v>
      </c>
      <c r="AA2" s="1" t="s">
        <v>707</v>
      </c>
      <c r="AB2" s="1" t="s">
        <v>707</v>
      </c>
      <c r="AC2" s="1" t="s">
        <v>707</v>
      </c>
      <c r="AD2" s="1" t="s">
        <v>707</v>
      </c>
      <c r="AE2" s="1" t="s">
        <v>707</v>
      </c>
      <c r="AF2" s="1" t="s">
        <v>707</v>
      </c>
      <c r="AG2" s="1" t="s">
        <v>1</v>
      </c>
    </row>
    <row r="3" spans="1:33" ht="27" x14ac:dyDescent="0.15">
      <c r="A3" s="1" t="s">
        <v>5</v>
      </c>
      <c r="B3" s="1" t="s">
        <v>2</v>
      </c>
      <c r="C3" s="1" t="s">
        <v>26</v>
      </c>
      <c r="D3" s="1" t="s">
        <v>13</v>
      </c>
      <c r="E3" s="1" t="s">
        <v>14</v>
      </c>
      <c r="F3" s="1" t="s">
        <v>708</v>
      </c>
      <c r="G3" s="1" t="s">
        <v>16</v>
      </c>
      <c r="H3" s="1" t="s">
        <v>37</v>
      </c>
      <c r="I3" s="1" t="s">
        <v>726</v>
      </c>
      <c r="J3" s="1" t="s">
        <v>17</v>
      </c>
      <c r="K3" s="1" t="s">
        <v>4</v>
      </c>
      <c r="L3" s="1" t="s">
        <v>19</v>
      </c>
      <c r="M3" s="1" t="s">
        <v>20</v>
      </c>
      <c r="N3" s="1" t="s">
        <v>21</v>
      </c>
      <c r="O3" s="2" t="s">
        <v>7</v>
      </c>
      <c r="P3" s="2" t="s">
        <v>8</v>
      </c>
      <c r="Q3" s="37" t="s">
        <v>816</v>
      </c>
      <c r="R3" s="37" t="s">
        <v>10</v>
      </c>
      <c r="S3" s="37" t="s">
        <v>821</v>
      </c>
      <c r="T3" s="2" t="s">
        <v>9</v>
      </c>
      <c r="U3" s="2" t="s">
        <v>801</v>
      </c>
      <c r="V3" s="1" t="s">
        <v>696</v>
      </c>
      <c r="W3" s="1" t="s">
        <v>697</v>
      </c>
      <c r="X3" s="1" t="s">
        <v>698</v>
      </c>
      <c r="Y3" s="1" t="s">
        <v>699</v>
      </c>
      <c r="Z3" s="1" t="s">
        <v>700</v>
      </c>
      <c r="AA3" s="1" t="s">
        <v>701</v>
      </c>
      <c r="AB3" s="1" t="s">
        <v>702</v>
      </c>
      <c r="AC3" s="1" t="s">
        <v>703</v>
      </c>
      <c r="AD3" s="1" t="s">
        <v>704</v>
      </c>
      <c r="AE3" s="1" t="s">
        <v>705</v>
      </c>
      <c r="AF3" s="1" t="s">
        <v>706</v>
      </c>
      <c r="AG3" s="1" t="s">
        <v>6</v>
      </c>
    </row>
    <row r="4" spans="1:33" x14ac:dyDescent="0.15">
      <c r="A4" s="1" t="s">
        <v>119</v>
      </c>
      <c r="B4" s="1">
        <v>1</v>
      </c>
      <c r="C4" s="1" t="s">
        <v>120</v>
      </c>
      <c r="D4" s="1">
        <v>-1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3">
        <v>1</v>
      </c>
      <c r="M4" s="1">
        <v>0</v>
      </c>
      <c r="N4" s="1">
        <v>0</v>
      </c>
      <c r="Q4" s="37" t="s">
        <v>818</v>
      </c>
      <c r="R4" s="37" t="s">
        <v>819</v>
      </c>
      <c r="S4" s="37">
        <v>0</v>
      </c>
      <c r="U4" s="2" t="s">
        <v>802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 t="s">
        <v>121</v>
      </c>
    </row>
    <row r="5" spans="1:33" x14ac:dyDescent="0.15">
      <c r="A5" s="1" t="s">
        <v>330</v>
      </c>
      <c r="B5" s="1">
        <v>20</v>
      </c>
      <c r="C5" s="1" t="s">
        <v>330</v>
      </c>
      <c r="D5" s="1">
        <v>4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3">
        <v>1</v>
      </c>
      <c r="M5" s="1">
        <v>0</v>
      </c>
      <c r="N5" s="1">
        <v>0</v>
      </c>
      <c r="Q5" s="37" t="s">
        <v>818</v>
      </c>
      <c r="R5" s="37" t="s">
        <v>819</v>
      </c>
      <c r="S5" s="37">
        <v>0</v>
      </c>
      <c r="U5" s="2" t="s">
        <v>802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 t="s">
        <v>122</v>
      </c>
    </row>
    <row r="6" spans="1:33" x14ac:dyDescent="0.15">
      <c r="A6" s="1" t="s">
        <v>331</v>
      </c>
      <c r="B6" s="1">
        <v>21</v>
      </c>
      <c r="C6" s="1" t="s">
        <v>331</v>
      </c>
      <c r="D6" s="1">
        <v>4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3">
        <v>1</v>
      </c>
      <c r="M6" s="1">
        <v>0</v>
      </c>
      <c r="N6" s="1">
        <v>0</v>
      </c>
      <c r="Q6" s="37" t="s">
        <v>818</v>
      </c>
      <c r="R6" s="37" t="s">
        <v>819</v>
      </c>
      <c r="S6" s="37">
        <v>0</v>
      </c>
      <c r="U6" s="2" t="s">
        <v>802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 t="s">
        <v>122</v>
      </c>
    </row>
    <row r="7" spans="1:33" x14ac:dyDescent="0.15">
      <c r="A7" s="1" t="s">
        <v>332</v>
      </c>
      <c r="B7" s="1">
        <v>22</v>
      </c>
      <c r="C7" s="1" t="s">
        <v>332</v>
      </c>
      <c r="D7" s="1">
        <v>4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3">
        <v>1</v>
      </c>
      <c r="M7" s="1">
        <v>0</v>
      </c>
      <c r="N7" s="1">
        <v>0</v>
      </c>
      <c r="Q7" s="37" t="s">
        <v>818</v>
      </c>
      <c r="R7" s="37" t="s">
        <v>819</v>
      </c>
      <c r="S7" s="37">
        <v>0</v>
      </c>
      <c r="U7" s="2" t="s">
        <v>802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 t="s">
        <v>122</v>
      </c>
    </row>
    <row r="8" spans="1:33" x14ac:dyDescent="0.15">
      <c r="A8" s="1" t="s">
        <v>333</v>
      </c>
      <c r="B8" s="1">
        <v>23</v>
      </c>
      <c r="C8" s="1" t="s">
        <v>333</v>
      </c>
      <c r="D8" s="1">
        <v>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3">
        <v>1</v>
      </c>
      <c r="M8" s="1">
        <v>0</v>
      </c>
      <c r="N8" s="1">
        <v>0</v>
      </c>
      <c r="Q8" s="37" t="s">
        <v>818</v>
      </c>
      <c r="R8" s="37" t="s">
        <v>819</v>
      </c>
      <c r="S8" s="37">
        <v>0</v>
      </c>
      <c r="U8" s="2" t="s">
        <v>802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 t="s">
        <v>122</v>
      </c>
    </row>
    <row r="9" spans="1:33" x14ac:dyDescent="0.15">
      <c r="A9" s="1" t="s">
        <v>334</v>
      </c>
      <c r="B9" s="1">
        <v>24</v>
      </c>
      <c r="C9" s="1" t="s">
        <v>334</v>
      </c>
      <c r="D9" s="1">
        <v>4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3">
        <v>1</v>
      </c>
      <c r="M9" s="1">
        <v>0</v>
      </c>
      <c r="N9" s="1">
        <v>0</v>
      </c>
      <c r="Q9" s="37" t="s">
        <v>818</v>
      </c>
      <c r="R9" s="37" t="s">
        <v>819</v>
      </c>
      <c r="S9" s="37">
        <v>0</v>
      </c>
      <c r="U9" s="2" t="s">
        <v>802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 t="s">
        <v>122</v>
      </c>
    </row>
    <row r="10" spans="1:33" x14ac:dyDescent="0.15">
      <c r="A10" s="1" t="s">
        <v>627</v>
      </c>
      <c r="B10" s="1">
        <v>25</v>
      </c>
      <c r="C10" s="1" t="s">
        <v>689</v>
      </c>
      <c r="D10" s="1">
        <v>4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3">
        <v>1</v>
      </c>
      <c r="M10" s="1">
        <v>0</v>
      </c>
      <c r="N10" s="1">
        <v>0</v>
      </c>
      <c r="Q10" s="37" t="s">
        <v>818</v>
      </c>
      <c r="R10" s="37" t="s">
        <v>819</v>
      </c>
      <c r="S10" s="37">
        <v>0</v>
      </c>
      <c r="U10" s="2" t="s">
        <v>802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 t="s">
        <v>626</v>
      </c>
    </row>
    <row r="11" spans="1:33" x14ac:dyDescent="0.15">
      <c r="A11" s="1" t="s">
        <v>625</v>
      </c>
      <c r="B11" s="1">
        <v>26</v>
      </c>
      <c r="C11" s="1" t="s">
        <v>691</v>
      </c>
      <c r="D11" s="1">
        <v>4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3">
        <v>1</v>
      </c>
      <c r="M11" s="1">
        <v>0</v>
      </c>
      <c r="N11" s="1">
        <v>0</v>
      </c>
      <c r="Q11" s="37" t="s">
        <v>818</v>
      </c>
      <c r="R11" s="37" t="s">
        <v>819</v>
      </c>
      <c r="S11" s="37">
        <v>0</v>
      </c>
      <c r="U11" s="2" t="s">
        <v>802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 t="s">
        <v>626</v>
      </c>
    </row>
    <row r="12" spans="1:33" x14ac:dyDescent="0.15">
      <c r="A12" s="1" t="s">
        <v>628</v>
      </c>
      <c r="B12" s="1">
        <v>27</v>
      </c>
      <c r="C12" s="1" t="s">
        <v>690</v>
      </c>
      <c r="D12" s="1">
        <v>4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3">
        <v>1</v>
      </c>
      <c r="M12" s="1">
        <v>0</v>
      </c>
      <c r="N12" s="1">
        <v>0</v>
      </c>
      <c r="Q12" s="37" t="s">
        <v>818</v>
      </c>
      <c r="R12" s="37" t="s">
        <v>819</v>
      </c>
      <c r="S12" s="37">
        <v>0</v>
      </c>
      <c r="U12" s="2" t="s">
        <v>802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 t="s">
        <v>626</v>
      </c>
    </row>
    <row r="13" spans="1:33" x14ac:dyDescent="0.15">
      <c r="A13" s="1" t="s">
        <v>787</v>
      </c>
      <c r="B13" s="1">
        <v>11</v>
      </c>
      <c r="C13" s="1" t="s">
        <v>125</v>
      </c>
      <c r="D13" s="1">
        <v>5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9</v>
      </c>
      <c r="L13" s="3">
        <v>1</v>
      </c>
      <c r="M13" s="1">
        <v>0</v>
      </c>
      <c r="N13" s="1">
        <v>0</v>
      </c>
      <c r="Q13" s="37" t="s">
        <v>817</v>
      </c>
      <c r="R13" s="37" t="s">
        <v>799</v>
      </c>
      <c r="S13" s="37">
        <v>0</v>
      </c>
      <c r="U13" s="2" t="s">
        <v>802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 t="s">
        <v>126</v>
      </c>
    </row>
    <row r="14" spans="1:33" x14ac:dyDescent="0.15">
      <c r="A14" s="1" t="s">
        <v>167</v>
      </c>
      <c r="B14" s="1">
        <v>12</v>
      </c>
      <c r="C14" s="1" t="s">
        <v>167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19</v>
      </c>
      <c r="L14" s="3">
        <v>1</v>
      </c>
      <c r="M14" s="1">
        <v>0</v>
      </c>
      <c r="N14" s="1">
        <v>0</v>
      </c>
      <c r="Q14" s="37" t="s">
        <v>817</v>
      </c>
      <c r="R14" s="37" t="s">
        <v>819</v>
      </c>
      <c r="S14" s="37">
        <v>0</v>
      </c>
      <c r="U14" s="2" t="s">
        <v>802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 t="s">
        <v>168</v>
      </c>
    </row>
    <row r="15" spans="1:33" x14ac:dyDescent="0.15">
      <c r="A15" s="1" t="s">
        <v>783</v>
      </c>
      <c r="B15" s="1">
        <v>20</v>
      </c>
      <c r="C15" s="28" t="s">
        <v>782</v>
      </c>
      <c r="D15" s="1">
        <v>5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9</v>
      </c>
      <c r="L15" s="3">
        <v>1</v>
      </c>
      <c r="M15" s="1">
        <v>0</v>
      </c>
      <c r="N15" s="1">
        <v>0</v>
      </c>
      <c r="Q15" s="37" t="s">
        <v>817</v>
      </c>
      <c r="R15" s="37" t="s">
        <v>819</v>
      </c>
      <c r="S15" s="37">
        <v>0</v>
      </c>
      <c r="U15" s="2" t="s">
        <v>802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3" x14ac:dyDescent="0.15">
      <c r="A16" s="1" t="s">
        <v>784</v>
      </c>
      <c r="B16" s="1">
        <v>21</v>
      </c>
      <c r="C16" s="28" t="s">
        <v>781</v>
      </c>
      <c r="D16" s="1">
        <v>5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9</v>
      </c>
      <c r="L16" s="3">
        <v>1</v>
      </c>
      <c r="M16" s="1">
        <v>0</v>
      </c>
      <c r="N16" s="1">
        <v>0</v>
      </c>
      <c r="Q16" s="37" t="s">
        <v>817</v>
      </c>
      <c r="R16" s="37" t="s">
        <v>819</v>
      </c>
      <c r="S16" s="37">
        <v>0</v>
      </c>
      <c r="U16" s="2" t="s">
        <v>802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3" x14ac:dyDescent="0.15">
      <c r="A17" s="1" t="s">
        <v>785</v>
      </c>
      <c r="B17" s="1">
        <v>22</v>
      </c>
      <c r="C17" s="28" t="s">
        <v>777</v>
      </c>
      <c r="D17" s="1">
        <v>5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9</v>
      </c>
      <c r="L17" s="3">
        <v>1</v>
      </c>
      <c r="M17" s="1">
        <v>0</v>
      </c>
      <c r="N17" s="1">
        <v>0</v>
      </c>
      <c r="Q17" s="37" t="s">
        <v>817</v>
      </c>
      <c r="R17" s="37" t="s">
        <v>819</v>
      </c>
      <c r="S17" s="37">
        <v>0</v>
      </c>
      <c r="U17" s="2" t="s">
        <v>802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 spans="1:33" x14ac:dyDescent="0.15">
      <c r="A18" s="1" t="s">
        <v>786</v>
      </c>
      <c r="B18" s="1">
        <v>23</v>
      </c>
      <c r="C18" s="28" t="s">
        <v>778</v>
      </c>
      <c r="D18" s="1">
        <v>5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9</v>
      </c>
      <c r="L18" s="3">
        <v>1</v>
      </c>
      <c r="M18" s="1">
        <v>0</v>
      </c>
      <c r="N18" s="1">
        <v>0</v>
      </c>
      <c r="Q18" s="37" t="s">
        <v>817</v>
      </c>
      <c r="R18" s="37" t="s">
        <v>819</v>
      </c>
      <c r="S18" s="37">
        <v>0</v>
      </c>
      <c r="U18" s="2" t="s">
        <v>802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3" x14ac:dyDescent="0.15">
      <c r="A19" s="1" t="s">
        <v>780</v>
      </c>
      <c r="B19" s="1">
        <v>24</v>
      </c>
      <c r="C19" s="28" t="s">
        <v>779</v>
      </c>
      <c r="D19" s="1">
        <v>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9</v>
      </c>
      <c r="L19" s="3">
        <v>1</v>
      </c>
      <c r="M19" s="1">
        <v>0</v>
      </c>
      <c r="N19" s="1">
        <v>0</v>
      </c>
      <c r="Q19" s="37" t="s">
        <v>817</v>
      </c>
      <c r="R19" s="37" t="s">
        <v>819</v>
      </c>
      <c r="S19" s="37">
        <v>0</v>
      </c>
      <c r="U19" s="2" t="s">
        <v>802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3" ht="27" x14ac:dyDescent="0.15">
      <c r="A20" s="1" t="s">
        <v>123</v>
      </c>
      <c r="B20" s="1">
        <v>100</v>
      </c>
      <c r="C20" s="1" t="s">
        <v>123</v>
      </c>
      <c r="D20" s="1">
        <v>-1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29</v>
      </c>
      <c r="L20" s="3">
        <v>1</v>
      </c>
      <c r="M20" s="1">
        <v>0</v>
      </c>
      <c r="N20" s="1">
        <v>0</v>
      </c>
      <c r="Q20" s="37" t="s">
        <v>820</v>
      </c>
      <c r="R20" s="37" t="s">
        <v>819</v>
      </c>
      <c r="S20" s="37">
        <v>0</v>
      </c>
      <c r="U20" s="2" t="s">
        <v>802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 t="s">
        <v>124</v>
      </c>
    </row>
    <row r="21" spans="1:33" x14ac:dyDescent="0.15">
      <c r="A21" s="12" t="s">
        <v>335</v>
      </c>
      <c r="B21" s="1">
        <v>101</v>
      </c>
      <c r="C21" s="12" t="s">
        <v>335</v>
      </c>
      <c r="D21" s="1">
        <v>5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29</v>
      </c>
      <c r="L21" s="3">
        <v>1</v>
      </c>
      <c r="M21" s="1">
        <v>0</v>
      </c>
      <c r="N21" s="1">
        <v>0</v>
      </c>
      <c r="Q21" s="37" t="s">
        <v>820</v>
      </c>
      <c r="R21" s="37" t="s">
        <v>819</v>
      </c>
      <c r="S21" s="37">
        <v>0</v>
      </c>
      <c r="U21" s="2" t="s">
        <v>802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2" t="s">
        <v>335</v>
      </c>
    </row>
    <row r="22" spans="1:33" x14ac:dyDescent="0.15">
      <c r="A22" s="12" t="s">
        <v>336</v>
      </c>
      <c r="B22" s="1">
        <v>102</v>
      </c>
      <c r="C22" s="12" t="s">
        <v>336</v>
      </c>
      <c r="D22" s="1">
        <v>5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9</v>
      </c>
      <c r="L22" s="3">
        <v>1</v>
      </c>
      <c r="M22" s="1">
        <v>0</v>
      </c>
      <c r="N22" s="1">
        <v>0</v>
      </c>
      <c r="Q22" s="37" t="s">
        <v>820</v>
      </c>
      <c r="R22" s="37" t="s">
        <v>819</v>
      </c>
      <c r="S22" s="37">
        <v>0</v>
      </c>
      <c r="U22" s="2" t="s">
        <v>802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2" t="s">
        <v>336</v>
      </c>
    </row>
    <row r="23" spans="1:33" x14ac:dyDescent="0.15">
      <c r="A23" s="12" t="s">
        <v>337</v>
      </c>
      <c r="B23" s="1">
        <v>103</v>
      </c>
      <c r="C23" s="12" t="s">
        <v>337</v>
      </c>
      <c r="D23" s="1">
        <v>5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49</v>
      </c>
      <c r="L23" s="3">
        <v>1</v>
      </c>
      <c r="M23" s="1">
        <v>0</v>
      </c>
      <c r="N23" s="1">
        <v>0</v>
      </c>
      <c r="Q23" s="37" t="s">
        <v>820</v>
      </c>
      <c r="R23" s="37" t="s">
        <v>819</v>
      </c>
      <c r="S23" s="37">
        <v>0</v>
      </c>
      <c r="U23" s="2" t="s">
        <v>802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2" t="s">
        <v>337</v>
      </c>
    </row>
    <row r="24" spans="1:33" x14ac:dyDescent="0.15">
      <c r="A24" s="12" t="s">
        <v>338</v>
      </c>
      <c r="B24" s="1">
        <v>104</v>
      </c>
      <c r="C24" s="12" t="s">
        <v>338</v>
      </c>
      <c r="D24" s="1">
        <v>5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39</v>
      </c>
      <c r="L24" s="3">
        <v>1</v>
      </c>
      <c r="M24" s="1">
        <v>0</v>
      </c>
      <c r="N24" s="1">
        <v>0</v>
      </c>
      <c r="Q24" s="37" t="s">
        <v>820</v>
      </c>
      <c r="R24" s="37" t="s">
        <v>819</v>
      </c>
      <c r="S24" s="37">
        <v>0</v>
      </c>
      <c r="U24" s="2" t="s">
        <v>802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2" t="s">
        <v>338</v>
      </c>
    </row>
    <row r="25" spans="1:33" x14ac:dyDescent="0.15">
      <c r="A25" s="12" t="s">
        <v>342</v>
      </c>
      <c r="B25" s="1">
        <v>105</v>
      </c>
      <c r="C25" s="12" t="s">
        <v>342</v>
      </c>
      <c r="D25" s="1">
        <v>5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39</v>
      </c>
      <c r="L25" s="3">
        <v>1</v>
      </c>
      <c r="M25" s="1">
        <v>0</v>
      </c>
      <c r="N25" s="1">
        <v>0</v>
      </c>
      <c r="Q25" s="37" t="s">
        <v>820</v>
      </c>
      <c r="R25" s="37" t="s">
        <v>819</v>
      </c>
      <c r="S25" s="37">
        <v>0</v>
      </c>
      <c r="U25" s="2" t="s">
        <v>802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2" t="s">
        <v>341</v>
      </c>
    </row>
    <row r="26" spans="1:33" x14ac:dyDescent="0.15">
      <c r="A26" s="12" t="s">
        <v>688</v>
      </c>
      <c r="B26" s="1">
        <v>200</v>
      </c>
      <c r="C26" s="12" t="s">
        <v>688</v>
      </c>
      <c r="D26" s="1">
        <v>5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49</v>
      </c>
      <c r="L26" s="3">
        <v>1</v>
      </c>
      <c r="M26" s="1">
        <v>0</v>
      </c>
      <c r="N26" s="1">
        <v>0</v>
      </c>
      <c r="Q26" s="37" t="s">
        <v>820</v>
      </c>
      <c r="R26" s="37" t="s">
        <v>819</v>
      </c>
      <c r="S26" s="37">
        <v>0</v>
      </c>
      <c r="U26" s="2" t="s">
        <v>802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2"/>
    </row>
    <row r="27" spans="1:33" x14ac:dyDescent="0.15">
      <c r="A27" s="12" t="s">
        <v>456</v>
      </c>
      <c r="B27" s="1">
        <v>201</v>
      </c>
      <c r="C27" s="12" t="s">
        <v>456</v>
      </c>
      <c r="D27" s="1">
        <v>5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49</v>
      </c>
      <c r="L27" s="3">
        <v>1</v>
      </c>
      <c r="M27" s="1">
        <v>0</v>
      </c>
      <c r="N27" s="1">
        <v>0</v>
      </c>
      <c r="Q27" s="37" t="s">
        <v>820</v>
      </c>
      <c r="R27" s="37" t="s">
        <v>819</v>
      </c>
      <c r="S27" s="37">
        <v>0</v>
      </c>
      <c r="U27" s="2" t="s">
        <v>802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2"/>
    </row>
    <row r="28" spans="1:33" x14ac:dyDescent="0.15">
      <c r="A28" s="12" t="s">
        <v>457</v>
      </c>
      <c r="B28" s="1">
        <v>202</v>
      </c>
      <c r="C28" s="12" t="s">
        <v>457</v>
      </c>
      <c r="D28" s="1">
        <v>5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49</v>
      </c>
      <c r="L28" s="3">
        <v>1</v>
      </c>
      <c r="M28" s="1">
        <v>0</v>
      </c>
      <c r="N28" s="1">
        <v>0</v>
      </c>
      <c r="Q28" s="37" t="s">
        <v>820</v>
      </c>
      <c r="R28" s="37" t="s">
        <v>819</v>
      </c>
      <c r="S28" s="37">
        <v>0</v>
      </c>
      <c r="U28" s="2" t="s">
        <v>802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2"/>
    </row>
    <row r="29" spans="1:33" x14ac:dyDescent="0.15">
      <c r="A29" s="12" t="s">
        <v>359</v>
      </c>
      <c r="B29" s="1">
        <v>203</v>
      </c>
      <c r="C29" s="12" t="s">
        <v>359</v>
      </c>
      <c r="D29" s="1">
        <v>5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49</v>
      </c>
      <c r="L29" s="3">
        <v>1</v>
      </c>
      <c r="M29" s="1">
        <v>0</v>
      </c>
      <c r="N29" s="1">
        <v>0</v>
      </c>
      <c r="Q29" s="37" t="s">
        <v>820</v>
      </c>
      <c r="R29" s="37" t="s">
        <v>819</v>
      </c>
      <c r="S29" s="37">
        <v>0</v>
      </c>
      <c r="U29" s="2" t="s">
        <v>802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2"/>
    </row>
    <row r="30" spans="1:33" x14ac:dyDescent="0.15">
      <c r="A30" s="12" t="s">
        <v>365</v>
      </c>
      <c r="B30" s="1">
        <v>204</v>
      </c>
      <c r="C30" s="12" t="s">
        <v>365</v>
      </c>
      <c r="D30" s="1">
        <v>5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49</v>
      </c>
      <c r="L30" s="3">
        <v>1</v>
      </c>
      <c r="M30" s="1">
        <v>0</v>
      </c>
      <c r="N30" s="1">
        <v>0</v>
      </c>
      <c r="Q30" s="37" t="s">
        <v>820</v>
      </c>
      <c r="R30" s="37" t="s">
        <v>819</v>
      </c>
      <c r="S30" s="37">
        <v>0</v>
      </c>
      <c r="U30" s="2" t="s">
        <v>802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2"/>
    </row>
    <row r="31" spans="1:33" x14ac:dyDescent="0.15">
      <c r="A31" s="12" t="s">
        <v>458</v>
      </c>
      <c r="B31" s="1">
        <v>205</v>
      </c>
      <c r="C31" s="12" t="s">
        <v>458</v>
      </c>
      <c r="D31" s="1">
        <v>5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49</v>
      </c>
      <c r="L31" s="3">
        <v>1</v>
      </c>
      <c r="M31" s="1">
        <v>0</v>
      </c>
      <c r="N31" s="1">
        <v>0</v>
      </c>
      <c r="Q31" s="37" t="s">
        <v>820</v>
      </c>
      <c r="R31" s="37" t="s">
        <v>819</v>
      </c>
      <c r="S31" s="37">
        <v>0</v>
      </c>
      <c r="U31" s="2" t="s">
        <v>802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2"/>
    </row>
    <row r="32" spans="1:33" x14ac:dyDescent="0.15">
      <c r="A32" s="12" t="s">
        <v>459</v>
      </c>
      <c r="B32" s="1">
        <v>207</v>
      </c>
      <c r="C32" s="12" t="s">
        <v>459</v>
      </c>
      <c r="D32" s="1">
        <v>5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49</v>
      </c>
      <c r="L32" s="3">
        <v>1</v>
      </c>
      <c r="M32" s="1">
        <v>0</v>
      </c>
      <c r="N32" s="1">
        <v>0</v>
      </c>
      <c r="Q32" s="37" t="s">
        <v>820</v>
      </c>
      <c r="R32" s="37" t="s">
        <v>819</v>
      </c>
      <c r="S32" s="37">
        <v>0</v>
      </c>
      <c r="U32" s="2" t="s">
        <v>802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2"/>
    </row>
    <row r="33" spans="1:33" x14ac:dyDescent="0.15">
      <c r="A33" s="12" t="s">
        <v>460</v>
      </c>
      <c r="B33" s="1">
        <v>208</v>
      </c>
      <c r="C33" s="12" t="s">
        <v>460</v>
      </c>
      <c r="D33" s="1">
        <v>5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49</v>
      </c>
      <c r="L33" s="3">
        <v>1</v>
      </c>
      <c r="M33" s="1">
        <v>0</v>
      </c>
      <c r="N33" s="1">
        <v>0</v>
      </c>
      <c r="Q33" s="37" t="s">
        <v>820</v>
      </c>
      <c r="R33" s="37" t="s">
        <v>819</v>
      </c>
      <c r="S33" s="37">
        <v>0</v>
      </c>
      <c r="U33" s="2" t="s">
        <v>802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2"/>
    </row>
    <row r="34" spans="1:33" x14ac:dyDescent="0.15">
      <c r="A34" s="12" t="s">
        <v>461</v>
      </c>
      <c r="B34" s="1">
        <v>210</v>
      </c>
      <c r="C34" s="12" t="s">
        <v>461</v>
      </c>
      <c r="D34" s="1">
        <v>5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49</v>
      </c>
      <c r="L34" s="3">
        <v>1</v>
      </c>
      <c r="M34" s="1">
        <v>0</v>
      </c>
      <c r="N34" s="1">
        <v>0</v>
      </c>
      <c r="Q34" s="37" t="s">
        <v>820</v>
      </c>
      <c r="R34" s="37" t="s">
        <v>819</v>
      </c>
      <c r="S34" s="37">
        <v>0</v>
      </c>
      <c r="U34" s="2" t="s">
        <v>802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2"/>
    </row>
    <row r="35" spans="1:33" x14ac:dyDescent="0.15">
      <c r="A35" s="12" t="s">
        <v>383</v>
      </c>
      <c r="B35" s="1">
        <v>211</v>
      </c>
      <c r="C35" s="12" t="s">
        <v>383</v>
      </c>
      <c r="D35" s="1">
        <v>5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49</v>
      </c>
      <c r="L35" s="3">
        <v>1</v>
      </c>
      <c r="M35" s="1">
        <v>0</v>
      </c>
      <c r="N35" s="1">
        <v>0</v>
      </c>
      <c r="Q35" s="37" t="s">
        <v>820</v>
      </c>
      <c r="R35" s="37" t="s">
        <v>819</v>
      </c>
      <c r="S35" s="37">
        <v>0</v>
      </c>
      <c r="U35" s="2" t="s">
        <v>802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2"/>
    </row>
    <row r="36" spans="1:33" x14ac:dyDescent="0.15">
      <c r="A36" s="12" t="s">
        <v>462</v>
      </c>
      <c r="B36" s="1">
        <v>212</v>
      </c>
      <c r="C36" s="12" t="s">
        <v>462</v>
      </c>
      <c r="D36" s="1">
        <v>5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49</v>
      </c>
      <c r="L36" s="3">
        <v>1</v>
      </c>
      <c r="M36" s="1">
        <v>0</v>
      </c>
      <c r="N36" s="1">
        <v>0</v>
      </c>
      <c r="Q36" s="37" t="s">
        <v>820</v>
      </c>
      <c r="R36" s="37" t="s">
        <v>819</v>
      </c>
      <c r="S36" s="37">
        <v>0</v>
      </c>
      <c r="U36" s="2" t="s">
        <v>802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2"/>
    </row>
    <row r="37" spans="1:33" x14ac:dyDescent="0.15">
      <c r="A37" s="12" t="s">
        <v>463</v>
      </c>
      <c r="B37" s="1">
        <v>213</v>
      </c>
      <c r="C37" s="12" t="s">
        <v>463</v>
      </c>
      <c r="D37" s="1">
        <v>5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49</v>
      </c>
      <c r="L37" s="3">
        <v>1</v>
      </c>
      <c r="M37" s="1">
        <v>0</v>
      </c>
      <c r="N37" s="1">
        <v>0</v>
      </c>
      <c r="Q37" s="37" t="s">
        <v>820</v>
      </c>
      <c r="R37" s="37" t="s">
        <v>819</v>
      </c>
      <c r="S37" s="37">
        <v>0</v>
      </c>
      <c r="U37" s="2" t="s">
        <v>802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2"/>
    </row>
    <row r="38" spans="1:33" x14ac:dyDescent="0.15">
      <c r="A38" s="12" t="s">
        <v>370</v>
      </c>
      <c r="B38" s="1">
        <v>214</v>
      </c>
      <c r="C38" s="12" t="s">
        <v>370</v>
      </c>
      <c r="D38" s="1">
        <v>5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49</v>
      </c>
      <c r="L38" s="3">
        <v>1</v>
      </c>
      <c r="M38" s="1">
        <v>0</v>
      </c>
      <c r="N38" s="1">
        <v>0</v>
      </c>
      <c r="Q38" s="37" t="s">
        <v>820</v>
      </c>
      <c r="R38" s="37" t="s">
        <v>819</v>
      </c>
      <c r="S38" s="37">
        <v>0</v>
      </c>
      <c r="U38" s="2" t="s">
        <v>802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2"/>
    </row>
    <row r="39" spans="1:33" x14ac:dyDescent="0.15">
      <c r="A39" s="12" t="s">
        <v>677</v>
      </c>
      <c r="B39" s="1">
        <v>215</v>
      </c>
      <c r="C39" s="12" t="s">
        <v>464</v>
      </c>
      <c r="D39" s="1">
        <v>5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49</v>
      </c>
      <c r="L39" s="3">
        <v>1</v>
      </c>
      <c r="M39" s="1">
        <v>0</v>
      </c>
      <c r="N39" s="1">
        <v>0</v>
      </c>
      <c r="Q39" s="37" t="s">
        <v>820</v>
      </c>
      <c r="R39" s="37" t="s">
        <v>819</v>
      </c>
      <c r="S39" s="37">
        <v>0</v>
      </c>
      <c r="U39" s="2" t="s">
        <v>802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2"/>
    </row>
    <row r="40" spans="1:33" x14ac:dyDescent="0.15">
      <c r="A40" s="12" t="s">
        <v>678</v>
      </c>
      <c r="B40" s="1">
        <v>216</v>
      </c>
      <c r="C40" s="12" t="s">
        <v>465</v>
      </c>
      <c r="D40" s="1">
        <v>5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49</v>
      </c>
      <c r="L40" s="3">
        <v>1</v>
      </c>
      <c r="M40" s="1">
        <v>0</v>
      </c>
      <c r="N40" s="1">
        <v>0</v>
      </c>
      <c r="Q40" s="37" t="s">
        <v>820</v>
      </c>
      <c r="R40" s="37" t="s">
        <v>819</v>
      </c>
      <c r="S40" s="37">
        <v>0</v>
      </c>
      <c r="U40" s="2" t="s">
        <v>802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2"/>
    </row>
    <row r="41" spans="1:33" x14ac:dyDescent="0.15">
      <c r="A41" s="12" t="s">
        <v>466</v>
      </c>
      <c r="B41" s="1">
        <v>217</v>
      </c>
      <c r="C41" s="12" t="s">
        <v>466</v>
      </c>
      <c r="D41" s="1">
        <v>5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49</v>
      </c>
      <c r="L41" s="3">
        <v>1</v>
      </c>
      <c r="M41" s="1">
        <v>0</v>
      </c>
      <c r="N41" s="1">
        <v>0</v>
      </c>
      <c r="Q41" s="37" t="s">
        <v>820</v>
      </c>
      <c r="R41" s="37" t="s">
        <v>819</v>
      </c>
      <c r="S41" s="37">
        <v>0</v>
      </c>
      <c r="U41" s="2" t="s">
        <v>802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2"/>
    </row>
    <row r="42" spans="1:33" x14ac:dyDescent="0.15">
      <c r="A42" s="12" t="s">
        <v>467</v>
      </c>
      <c r="B42" s="1">
        <v>218</v>
      </c>
      <c r="C42" s="12" t="s">
        <v>467</v>
      </c>
      <c r="D42" s="1">
        <v>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49</v>
      </c>
      <c r="L42" s="3">
        <v>1</v>
      </c>
      <c r="M42" s="1">
        <v>0</v>
      </c>
      <c r="N42" s="1">
        <v>0</v>
      </c>
      <c r="Q42" s="37" t="s">
        <v>820</v>
      </c>
      <c r="R42" s="37" t="s">
        <v>819</v>
      </c>
      <c r="S42" s="37">
        <v>0</v>
      </c>
      <c r="U42" s="2" t="s">
        <v>802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2"/>
    </row>
    <row r="43" spans="1:33" x14ac:dyDescent="0.15">
      <c r="A43" s="12" t="s">
        <v>468</v>
      </c>
      <c r="B43" s="1">
        <v>219</v>
      </c>
      <c r="C43" s="12" t="s">
        <v>468</v>
      </c>
      <c r="D43" s="1">
        <v>5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49</v>
      </c>
      <c r="L43" s="3">
        <v>1</v>
      </c>
      <c r="M43" s="1">
        <v>0</v>
      </c>
      <c r="N43" s="1">
        <v>0</v>
      </c>
      <c r="Q43" s="37" t="s">
        <v>820</v>
      </c>
      <c r="R43" s="37" t="s">
        <v>819</v>
      </c>
      <c r="S43" s="37">
        <v>0</v>
      </c>
      <c r="U43" s="2" t="s">
        <v>802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2"/>
    </row>
    <row r="44" spans="1:33" x14ac:dyDescent="0.15">
      <c r="A44" s="12" t="s">
        <v>373</v>
      </c>
      <c r="B44" s="1">
        <v>220</v>
      </c>
      <c r="C44" s="12" t="s">
        <v>373</v>
      </c>
      <c r="D44" s="1">
        <v>5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49</v>
      </c>
      <c r="L44" s="3">
        <v>1</v>
      </c>
      <c r="M44" s="1">
        <v>0</v>
      </c>
      <c r="N44" s="1">
        <v>0</v>
      </c>
      <c r="Q44" s="37" t="s">
        <v>820</v>
      </c>
      <c r="R44" s="37" t="s">
        <v>819</v>
      </c>
      <c r="S44" s="37">
        <v>0</v>
      </c>
      <c r="U44" s="2" t="s">
        <v>802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2"/>
    </row>
    <row r="45" spans="1:33" x14ac:dyDescent="0.15">
      <c r="A45" s="12" t="s">
        <v>469</v>
      </c>
      <c r="B45" s="1">
        <v>221</v>
      </c>
      <c r="C45" s="12" t="s">
        <v>469</v>
      </c>
      <c r="D45" s="1">
        <v>5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49</v>
      </c>
      <c r="L45" s="3">
        <v>1</v>
      </c>
      <c r="M45" s="1">
        <v>0</v>
      </c>
      <c r="N45" s="1">
        <v>0</v>
      </c>
      <c r="Q45" s="37" t="s">
        <v>820</v>
      </c>
      <c r="R45" s="37" t="s">
        <v>819</v>
      </c>
      <c r="S45" s="37">
        <v>0</v>
      </c>
      <c r="U45" s="2" t="s">
        <v>802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2"/>
    </row>
    <row r="46" spans="1:33" x14ac:dyDescent="0.15">
      <c r="A46" s="12" t="s">
        <v>470</v>
      </c>
      <c r="B46" s="1">
        <v>222</v>
      </c>
      <c r="C46" s="12" t="s">
        <v>470</v>
      </c>
      <c r="D46" s="1">
        <v>5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49</v>
      </c>
      <c r="L46" s="3">
        <v>1</v>
      </c>
      <c r="M46" s="1">
        <v>0</v>
      </c>
      <c r="N46" s="1">
        <v>0</v>
      </c>
      <c r="Q46" s="37" t="s">
        <v>820</v>
      </c>
      <c r="R46" s="37" t="s">
        <v>819</v>
      </c>
      <c r="S46" s="37">
        <v>0</v>
      </c>
      <c r="U46" s="2" t="s">
        <v>802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2"/>
    </row>
    <row r="47" spans="1:33" x14ac:dyDescent="0.15">
      <c r="A47" s="12" t="s">
        <v>361</v>
      </c>
      <c r="B47" s="1">
        <v>223</v>
      </c>
      <c r="C47" s="12" t="s">
        <v>361</v>
      </c>
      <c r="D47" s="1">
        <v>5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49</v>
      </c>
      <c r="L47" s="3">
        <v>1</v>
      </c>
      <c r="M47" s="1">
        <v>0</v>
      </c>
      <c r="N47" s="1">
        <v>0</v>
      </c>
      <c r="Q47" s="37" t="s">
        <v>820</v>
      </c>
      <c r="R47" s="37" t="s">
        <v>819</v>
      </c>
      <c r="S47" s="37">
        <v>0</v>
      </c>
      <c r="U47" s="2" t="s">
        <v>802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2"/>
    </row>
    <row r="48" spans="1:33" x14ac:dyDescent="0.15">
      <c r="A48" s="12" t="s">
        <v>382</v>
      </c>
      <c r="B48" s="1">
        <v>224</v>
      </c>
      <c r="C48" s="12" t="s">
        <v>382</v>
      </c>
      <c r="D48" s="1">
        <v>5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49</v>
      </c>
      <c r="L48" s="3">
        <v>1</v>
      </c>
      <c r="M48" s="1">
        <v>0</v>
      </c>
      <c r="N48" s="1">
        <v>0</v>
      </c>
      <c r="Q48" s="37" t="s">
        <v>820</v>
      </c>
      <c r="R48" s="37" t="s">
        <v>819</v>
      </c>
      <c r="S48" s="37">
        <v>0</v>
      </c>
      <c r="U48" s="2" t="s">
        <v>802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2"/>
    </row>
    <row r="49" spans="1:33" x14ac:dyDescent="0.15">
      <c r="A49" s="12" t="s">
        <v>471</v>
      </c>
      <c r="B49" s="1">
        <v>225</v>
      </c>
      <c r="C49" s="12" t="s">
        <v>471</v>
      </c>
      <c r="D49" s="1">
        <v>5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49</v>
      </c>
      <c r="L49" s="3">
        <v>1</v>
      </c>
      <c r="M49" s="1">
        <v>0</v>
      </c>
      <c r="N49" s="1">
        <v>0</v>
      </c>
      <c r="Q49" s="37" t="s">
        <v>820</v>
      </c>
      <c r="R49" s="37" t="s">
        <v>819</v>
      </c>
      <c r="S49" s="37">
        <v>0</v>
      </c>
      <c r="U49" s="2" t="s">
        <v>802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2"/>
    </row>
    <row r="50" spans="1:33" x14ac:dyDescent="0.15">
      <c r="A50" s="12" t="s">
        <v>472</v>
      </c>
      <c r="B50" s="1">
        <v>226</v>
      </c>
      <c r="C50" s="12" t="s">
        <v>472</v>
      </c>
      <c r="D50" s="1">
        <v>5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49</v>
      </c>
      <c r="L50" s="3">
        <v>1</v>
      </c>
      <c r="M50" s="1">
        <v>0</v>
      </c>
      <c r="N50" s="1">
        <v>0</v>
      </c>
      <c r="Q50" s="37" t="s">
        <v>820</v>
      </c>
      <c r="R50" s="37" t="s">
        <v>819</v>
      </c>
      <c r="S50" s="37">
        <v>0</v>
      </c>
      <c r="U50" s="2" t="s">
        <v>802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2"/>
    </row>
    <row r="51" spans="1:33" x14ac:dyDescent="0.15">
      <c r="A51" s="12" t="s">
        <v>375</v>
      </c>
      <c r="B51" s="1">
        <v>227</v>
      </c>
      <c r="C51" s="12" t="s">
        <v>375</v>
      </c>
      <c r="D51" s="1">
        <v>5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49</v>
      </c>
      <c r="L51" s="3">
        <v>1</v>
      </c>
      <c r="M51" s="1">
        <v>0</v>
      </c>
      <c r="N51" s="1">
        <v>0</v>
      </c>
      <c r="Q51" s="37" t="s">
        <v>820</v>
      </c>
      <c r="R51" s="37" t="s">
        <v>819</v>
      </c>
      <c r="S51" s="37">
        <v>0</v>
      </c>
      <c r="U51" s="2" t="s">
        <v>802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2"/>
    </row>
    <row r="52" spans="1:33" x14ac:dyDescent="0.15">
      <c r="A52" s="12" t="s">
        <v>374</v>
      </c>
      <c r="B52" s="1">
        <v>228</v>
      </c>
      <c r="C52" s="12" t="s">
        <v>374</v>
      </c>
      <c r="D52" s="1">
        <v>5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49</v>
      </c>
      <c r="L52" s="3">
        <v>1</v>
      </c>
      <c r="M52" s="1">
        <v>0</v>
      </c>
      <c r="N52" s="1">
        <v>0</v>
      </c>
      <c r="Q52" s="37" t="s">
        <v>820</v>
      </c>
      <c r="R52" s="37" t="s">
        <v>819</v>
      </c>
      <c r="S52" s="37">
        <v>0</v>
      </c>
      <c r="U52" s="2" t="s">
        <v>802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2"/>
    </row>
    <row r="53" spans="1:33" x14ac:dyDescent="0.15">
      <c r="A53" s="12" t="s">
        <v>473</v>
      </c>
      <c r="B53" s="1">
        <v>229</v>
      </c>
      <c r="C53" s="12" t="s">
        <v>473</v>
      </c>
      <c r="D53" s="1">
        <v>5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49</v>
      </c>
      <c r="L53" s="3">
        <v>1</v>
      </c>
      <c r="M53" s="1">
        <v>0</v>
      </c>
      <c r="N53" s="1">
        <v>0</v>
      </c>
      <c r="Q53" s="37" t="s">
        <v>820</v>
      </c>
      <c r="R53" s="37" t="s">
        <v>819</v>
      </c>
      <c r="S53" s="37">
        <v>0</v>
      </c>
      <c r="U53" s="2" t="s">
        <v>802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2"/>
    </row>
    <row r="54" spans="1:33" x14ac:dyDescent="0.15">
      <c r="A54" s="12" t="s">
        <v>474</v>
      </c>
      <c r="B54" s="1">
        <v>230</v>
      </c>
      <c r="C54" s="12" t="s">
        <v>474</v>
      </c>
      <c r="D54" s="1">
        <v>5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49</v>
      </c>
      <c r="L54" s="3">
        <v>1</v>
      </c>
      <c r="M54" s="1">
        <v>0</v>
      </c>
      <c r="N54" s="1">
        <v>0</v>
      </c>
      <c r="Q54" s="37" t="s">
        <v>820</v>
      </c>
      <c r="R54" s="37" t="s">
        <v>819</v>
      </c>
      <c r="S54" s="37">
        <v>0</v>
      </c>
      <c r="U54" s="2" t="s">
        <v>802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2"/>
    </row>
    <row r="55" spans="1:33" x14ac:dyDescent="0.15">
      <c r="A55" s="12" t="s">
        <v>475</v>
      </c>
      <c r="B55" s="1">
        <v>232</v>
      </c>
      <c r="C55" s="12" t="s">
        <v>475</v>
      </c>
      <c r="D55" s="1">
        <v>5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49</v>
      </c>
      <c r="L55" s="3">
        <v>1</v>
      </c>
      <c r="M55" s="1">
        <v>0</v>
      </c>
      <c r="N55" s="1">
        <v>0</v>
      </c>
      <c r="Q55" s="37" t="s">
        <v>820</v>
      </c>
      <c r="R55" s="37" t="s">
        <v>819</v>
      </c>
      <c r="S55" s="37">
        <v>0</v>
      </c>
      <c r="U55" s="2" t="s">
        <v>802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2"/>
    </row>
    <row r="56" spans="1:33" x14ac:dyDescent="0.15">
      <c r="A56" s="12" t="s">
        <v>476</v>
      </c>
      <c r="B56" s="1">
        <v>234</v>
      </c>
      <c r="C56" s="12" t="s">
        <v>476</v>
      </c>
      <c r="D56" s="1">
        <v>5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49</v>
      </c>
      <c r="L56" s="3">
        <v>1</v>
      </c>
      <c r="M56" s="1">
        <v>0</v>
      </c>
      <c r="N56" s="1">
        <v>0</v>
      </c>
      <c r="Q56" s="37" t="s">
        <v>820</v>
      </c>
      <c r="R56" s="37" t="s">
        <v>819</v>
      </c>
      <c r="S56" s="37">
        <v>0</v>
      </c>
      <c r="U56" s="2" t="s">
        <v>802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2"/>
    </row>
    <row r="57" spans="1:33" x14ac:dyDescent="0.15">
      <c r="A57" s="12" t="s">
        <v>737</v>
      </c>
      <c r="B57" s="1">
        <v>235</v>
      </c>
      <c r="C57" s="12" t="s">
        <v>477</v>
      </c>
      <c r="D57" s="1">
        <v>5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49</v>
      </c>
      <c r="L57" s="3">
        <v>1</v>
      </c>
      <c r="M57" s="1">
        <v>0</v>
      </c>
      <c r="N57" s="1">
        <v>0</v>
      </c>
      <c r="Q57" s="37" t="s">
        <v>820</v>
      </c>
      <c r="R57" s="37" t="s">
        <v>819</v>
      </c>
      <c r="S57" s="37">
        <v>0</v>
      </c>
      <c r="U57" s="2" t="s">
        <v>802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2"/>
    </row>
    <row r="58" spans="1:33" x14ac:dyDescent="0.15">
      <c r="A58" s="12" t="s">
        <v>478</v>
      </c>
      <c r="B58" s="1">
        <v>236</v>
      </c>
      <c r="C58" s="12" t="s">
        <v>478</v>
      </c>
      <c r="D58" s="1">
        <v>5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49</v>
      </c>
      <c r="L58" s="3">
        <v>1</v>
      </c>
      <c r="M58" s="1">
        <v>0</v>
      </c>
      <c r="N58" s="1">
        <v>0</v>
      </c>
      <c r="Q58" s="37" t="s">
        <v>820</v>
      </c>
      <c r="R58" s="37" t="s">
        <v>819</v>
      </c>
      <c r="S58" s="37">
        <v>0</v>
      </c>
      <c r="U58" s="2" t="s">
        <v>802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2"/>
    </row>
    <row r="59" spans="1:33" x14ac:dyDescent="0.15">
      <c r="A59" s="12" t="s">
        <v>479</v>
      </c>
      <c r="B59" s="1">
        <v>237</v>
      </c>
      <c r="C59" s="12" t="s">
        <v>479</v>
      </c>
      <c r="D59" s="1">
        <v>5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49</v>
      </c>
      <c r="L59" s="3">
        <v>1</v>
      </c>
      <c r="M59" s="1">
        <v>0</v>
      </c>
      <c r="N59" s="1">
        <v>0</v>
      </c>
      <c r="Q59" s="37" t="s">
        <v>820</v>
      </c>
      <c r="R59" s="37" t="s">
        <v>819</v>
      </c>
      <c r="S59" s="37">
        <v>0</v>
      </c>
      <c r="U59" s="2" t="s">
        <v>802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2"/>
    </row>
    <row r="60" spans="1:33" x14ac:dyDescent="0.15">
      <c r="A60" s="12" t="s">
        <v>363</v>
      </c>
      <c r="B60" s="1">
        <v>238</v>
      </c>
      <c r="C60" s="12" t="s">
        <v>363</v>
      </c>
      <c r="D60" s="1">
        <v>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49</v>
      </c>
      <c r="L60" s="3">
        <v>1</v>
      </c>
      <c r="M60" s="1">
        <v>0</v>
      </c>
      <c r="N60" s="1">
        <v>0</v>
      </c>
      <c r="Q60" s="37" t="s">
        <v>820</v>
      </c>
      <c r="R60" s="37" t="s">
        <v>819</v>
      </c>
      <c r="S60" s="37">
        <v>0</v>
      </c>
      <c r="U60" s="2" t="s">
        <v>802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2"/>
    </row>
    <row r="61" spans="1:33" x14ac:dyDescent="0.15">
      <c r="A61" s="12" t="s">
        <v>380</v>
      </c>
      <c r="B61" s="1">
        <v>239</v>
      </c>
      <c r="C61" s="12" t="s">
        <v>380</v>
      </c>
      <c r="D61" s="1">
        <v>5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49</v>
      </c>
      <c r="L61" s="3">
        <v>1</v>
      </c>
      <c r="M61" s="1">
        <v>0</v>
      </c>
      <c r="N61" s="1">
        <v>0</v>
      </c>
      <c r="Q61" s="37" t="s">
        <v>820</v>
      </c>
      <c r="R61" s="37" t="s">
        <v>819</v>
      </c>
      <c r="S61" s="37">
        <v>0</v>
      </c>
      <c r="U61" s="2" t="s">
        <v>802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2"/>
    </row>
    <row r="62" spans="1:33" x14ac:dyDescent="0.15">
      <c r="A62" s="12" t="s">
        <v>480</v>
      </c>
      <c r="B62" s="1">
        <v>240</v>
      </c>
      <c r="C62" s="12" t="s">
        <v>480</v>
      </c>
      <c r="D62" s="1">
        <v>5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49</v>
      </c>
      <c r="L62" s="3">
        <v>1</v>
      </c>
      <c r="M62" s="1">
        <v>0</v>
      </c>
      <c r="N62" s="1">
        <v>0</v>
      </c>
      <c r="Q62" s="37" t="s">
        <v>820</v>
      </c>
      <c r="R62" s="37" t="s">
        <v>819</v>
      </c>
      <c r="S62" s="37">
        <v>0</v>
      </c>
      <c r="U62" s="2" t="s">
        <v>802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2"/>
    </row>
    <row r="63" spans="1:33" x14ac:dyDescent="0.15">
      <c r="A63" s="12" t="s">
        <v>376</v>
      </c>
      <c r="B63" s="1">
        <v>241</v>
      </c>
      <c r="C63" s="12" t="s">
        <v>376</v>
      </c>
      <c r="D63" s="1">
        <v>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49</v>
      </c>
      <c r="L63" s="3">
        <v>1</v>
      </c>
      <c r="M63" s="1">
        <v>0</v>
      </c>
      <c r="N63" s="1">
        <v>0</v>
      </c>
      <c r="Q63" s="37" t="s">
        <v>820</v>
      </c>
      <c r="R63" s="37" t="s">
        <v>819</v>
      </c>
      <c r="S63" s="37">
        <v>0</v>
      </c>
      <c r="U63" s="2" t="s">
        <v>802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2"/>
    </row>
    <row r="64" spans="1:33" x14ac:dyDescent="0.15">
      <c r="A64" s="12" t="s">
        <v>500</v>
      </c>
      <c r="B64" s="1">
        <v>242</v>
      </c>
      <c r="C64" s="12" t="s">
        <v>378</v>
      </c>
      <c r="D64" s="1">
        <v>5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49</v>
      </c>
      <c r="L64" s="3">
        <v>1</v>
      </c>
      <c r="M64" s="1">
        <v>0</v>
      </c>
      <c r="N64" s="1">
        <v>0</v>
      </c>
      <c r="Q64" s="37" t="s">
        <v>820</v>
      </c>
      <c r="R64" s="37" t="s">
        <v>819</v>
      </c>
      <c r="S64" s="37">
        <v>0</v>
      </c>
      <c r="U64" s="2" t="s">
        <v>802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2"/>
    </row>
    <row r="65" spans="1:33" x14ac:dyDescent="0.15">
      <c r="A65" s="12" t="s">
        <v>499</v>
      </c>
      <c r="B65" s="1">
        <v>243</v>
      </c>
      <c r="C65" s="12" t="s">
        <v>499</v>
      </c>
      <c r="D65" s="1">
        <v>5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49</v>
      </c>
      <c r="L65" s="3">
        <v>1</v>
      </c>
      <c r="M65" s="1">
        <v>0</v>
      </c>
      <c r="N65" s="1">
        <v>0</v>
      </c>
      <c r="Q65" s="37" t="s">
        <v>820</v>
      </c>
      <c r="R65" s="37" t="s">
        <v>819</v>
      </c>
      <c r="S65" s="37">
        <v>0</v>
      </c>
      <c r="U65" s="2" t="s">
        <v>802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2"/>
    </row>
    <row r="66" spans="1:33" x14ac:dyDescent="0.15">
      <c r="A66" s="12" t="s">
        <v>481</v>
      </c>
      <c r="B66" s="1">
        <v>244</v>
      </c>
      <c r="C66" s="12" t="s">
        <v>481</v>
      </c>
      <c r="D66" s="1">
        <v>5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49</v>
      </c>
      <c r="L66" s="3">
        <v>1</v>
      </c>
      <c r="M66" s="1">
        <v>0</v>
      </c>
      <c r="N66" s="1">
        <v>0</v>
      </c>
      <c r="Q66" s="37" t="s">
        <v>820</v>
      </c>
      <c r="R66" s="37" t="s">
        <v>819</v>
      </c>
      <c r="S66" s="37">
        <v>0</v>
      </c>
      <c r="U66" s="2" t="s">
        <v>802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2"/>
    </row>
    <row r="67" spans="1:33" x14ac:dyDescent="0.15">
      <c r="A67" s="12" t="s">
        <v>482</v>
      </c>
      <c r="B67" s="1">
        <v>245</v>
      </c>
      <c r="C67" s="12" t="s">
        <v>482</v>
      </c>
      <c r="D67" s="1">
        <v>5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49</v>
      </c>
      <c r="L67" s="3">
        <v>1</v>
      </c>
      <c r="M67" s="1">
        <v>0</v>
      </c>
      <c r="N67" s="1">
        <v>0</v>
      </c>
      <c r="Q67" s="37" t="s">
        <v>820</v>
      </c>
      <c r="R67" s="37" t="s">
        <v>819</v>
      </c>
      <c r="S67" s="37">
        <v>0</v>
      </c>
      <c r="U67" s="2" t="s">
        <v>802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2"/>
    </row>
    <row r="68" spans="1:33" ht="12.75" customHeight="1" x14ac:dyDescent="0.15">
      <c r="A68" s="12" t="s">
        <v>384</v>
      </c>
      <c r="B68" s="1">
        <v>246</v>
      </c>
      <c r="C68" s="12" t="s">
        <v>384</v>
      </c>
      <c r="D68" s="1">
        <v>5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49</v>
      </c>
      <c r="L68" s="3">
        <v>1</v>
      </c>
      <c r="M68" s="1">
        <v>0</v>
      </c>
      <c r="N68" s="1">
        <v>0</v>
      </c>
      <c r="Q68" s="37" t="s">
        <v>820</v>
      </c>
      <c r="R68" s="37" t="s">
        <v>819</v>
      </c>
      <c r="S68" s="37">
        <v>0</v>
      </c>
      <c r="U68" s="2" t="s">
        <v>802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2"/>
    </row>
    <row r="69" spans="1:33" x14ac:dyDescent="0.15">
      <c r="A69" s="12" t="s">
        <v>385</v>
      </c>
      <c r="B69" s="1">
        <v>247</v>
      </c>
      <c r="C69" s="12" t="s">
        <v>385</v>
      </c>
      <c r="D69" s="1">
        <v>5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49</v>
      </c>
      <c r="L69" s="3">
        <v>1</v>
      </c>
      <c r="M69" s="1">
        <v>0</v>
      </c>
      <c r="N69" s="1">
        <v>0</v>
      </c>
      <c r="Q69" s="37" t="s">
        <v>820</v>
      </c>
      <c r="R69" s="37" t="s">
        <v>819</v>
      </c>
      <c r="S69" s="37">
        <v>0</v>
      </c>
      <c r="U69" s="2" t="s">
        <v>802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2"/>
    </row>
    <row r="70" spans="1:33" x14ac:dyDescent="0.15">
      <c r="A70" s="12" t="s">
        <v>483</v>
      </c>
      <c r="B70" s="1">
        <v>248</v>
      </c>
      <c r="C70" s="12" t="s">
        <v>483</v>
      </c>
      <c r="D70" s="1">
        <v>5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49</v>
      </c>
      <c r="L70" s="3">
        <v>1</v>
      </c>
      <c r="M70" s="1">
        <v>0</v>
      </c>
      <c r="N70" s="1">
        <v>0</v>
      </c>
      <c r="Q70" s="37" t="s">
        <v>820</v>
      </c>
      <c r="R70" s="37" t="s">
        <v>819</v>
      </c>
      <c r="S70" s="37">
        <v>0</v>
      </c>
      <c r="U70" s="2" t="s">
        <v>802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2"/>
    </row>
    <row r="71" spans="1:33" x14ac:dyDescent="0.15">
      <c r="A71" s="12" t="s">
        <v>484</v>
      </c>
      <c r="B71" s="1">
        <v>249</v>
      </c>
      <c r="C71" s="12" t="s">
        <v>484</v>
      </c>
      <c r="D71" s="1">
        <v>5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49</v>
      </c>
      <c r="L71" s="3">
        <v>1</v>
      </c>
      <c r="M71" s="1">
        <v>0</v>
      </c>
      <c r="N71" s="1">
        <v>0</v>
      </c>
      <c r="Q71" s="37" t="s">
        <v>820</v>
      </c>
      <c r="R71" s="37" t="s">
        <v>819</v>
      </c>
      <c r="S71" s="37">
        <v>0</v>
      </c>
      <c r="U71" s="2" t="s">
        <v>802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2"/>
    </row>
    <row r="72" spans="1:33" x14ac:dyDescent="0.15">
      <c r="A72" s="12" t="s">
        <v>485</v>
      </c>
      <c r="B72" s="1">
        <v>250</v>
      </c>
      <c r="C72" s="12" t="s">
        <v>485</v>
      </c>
      <c r="D72" s="1">
        <v>5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49</v>
      </c>
      <c r="L72" s="3">
        <v>1</v>
      </c>
      <c r="M72" s="1">
        <v>0</v>
      </c>
      <c r="N72" s="1">
        <v>0</v>
      </c>
      <c r="Q72" s="37" t="s">
        <v>820</v>
      </c>
      <c r="R72" s="37" t="s">
        <v>819</v>
      </c>
      <c r="S72" s="37">
        <v>0</v>
      </c>
      <c r="U72" s="2" t="s">
        <v>802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2"/>
    </row>
    <row r="73" spans="1:33" x14ac:dyDescent="0.15">
      <c r="A73" s="12" t="s">
        <v>486</v>
      </c>
      <c r="B73" s="1">
        <v>251</v>
      </c>
      <c r="C73" s="12" t="s">
        <v>486</v>
      </c>
      <c r="D73" s="1">
        <v>5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49</v>
      </c>
      <c r="L73" s="3">
        <v>1</v>
      </c>
      <c r="M73" s="1">
        <v>0</v>
      </c>
      <c r="N73" s="1">
        <v>0</v>
      </c>
      <c r="Q73" s="37" t="s">
        <v>820</v>
      </c>
      <c r="R73" s="37" t="s">
        <v>819</v>
      </c>
      <c r="S73" s="37">
        <v>0</v>
      </c>
      <c r="U73" s="2" t="s">
        <v>802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2"/>
    </row>
    <row r="74" spans="1:33" x14ac:dyDescent="0.15">
      <c r="A74" s="12" t="s">
        <v>377</v>
      </c>
      <c r="B74" s="1">
        <v>253</v>
      </c>
      <c r="C74" s="12" t="s">
        <v>377</v>
      </c>
      <c r="D74" s="1">
        <v>5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49</v>
      </c>
      <c r="L74" s="3">
        <v>1</v>
      </c>
      <c r="M74" s="1">
        <v>0</v>
      </c>
      <c r="N74" s="1">
        <v>0</v>
      </c>
      <c r="Q74" s="37" t="s">
        <v>820</v>
      </c>
      <c r="R74" s="37" t="s">
        <v>819</v>
      </c>
      <c r="S74" s="37">
        <v>0</v>
      </c>
      <c r="U74" s="2" t="s">
        <v>802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2"/>
    </row>
    <row r="75" spans="1:33" x14ac:dyDescent="0.15">
      <c r="A75" s="12" t="s">
        <v>487</v>
      </c>
      <c r="B75" s="1">
        <v>254</v>
      </c>
      <c r="C75" s="12" t="s">
        <v>487</v>
      </c>
      <c r="D75" s="1">
        <v>5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49</v>
      </c>
      <c r="L75" s="3">
        <v>1</v>
      </c>
      <c r="M75" s="1">
        <v>0</v>
      </c>
      <c r="N75" s="1">
        <v>0</v>
      </c>
      <c r="Q75" s="37" t="s">
        <v>820</v>
      </c>
      <c r="R75" s="37" t="s">
        <v>819</v>
      </c>
      <c r="S75" s="37">
        <v>0</v>
      </c>
      <c r="U75" s="2" t="s">
        <v>802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2"/>
    </row>
    <row r="76" spans="1:33" x14ac:dyDescent="0.15">
      <c r="A76" s="12" t="s">
        <v>488</v>
      </c>
      <c r="B76" s="1">
        <v>255</v>
      </c>
      <c r="C76" s="12" t="s">
        <v>488</v>
      </c>
      <c r="D76" s="1">
        <v>5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49</v>
      </c>
      <c r="L76" s="3">
        <v>1</v>
      </c>
      <c r="M76" s="1">
        <v>0</v>
      </c>
      <c r="N76" s="1">
        <v>0</v>
      </c>
      <c r="Q76" s="37" t="s">
        <v>820</v>
      </c>
      <c r="R76" s="37" t="s">
        <v>819</v>
      </c>
      <c r="S76" s="37">
        <v>0</v>
      </c>
      <c r="U76" s="2" t="s">
        <v>802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2"/>
    </row>
    <row r="77" spans="1:33" x14ac:dyDescent="0.15">
      <c r="A77" s="12" t="s">
        <v>489</v>
      </c>
      <c r="B77" s="1">
        <v>256</v>
      </c>
      <c r="C77" s="12" t="s">
        <v>489</v>
      </c>
      <c r="D77" s="1">
        <v>5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49</v>
      </c>
      <c r="L77" s="3">
        <v>1</v>
      </c>
      <c r="M77" s="1">
        <v>0</v>
      </c>
      <c r="N77" s="1">
        <v>0</v>
      </c>
      <c r="Q77" s="37" t="s">
        <v>820</v>
      </c>
      <c r="R77" s="37" t="s">
        <v>819</v>
      </c>
      <c r="S77" s="37">
        <v>0</v>
      </c>
      <c r="U77" s="2" t="s">
        <v>802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2"/>
    </row>
    <row r="78" spans="1:33" x14ac:dyDescent="0.15">
      <c r="A78" s="12" t="s">
        <v>490</v>
      </c>
      <c r="B78" s="1">
        <v>257</v>
      </c>
      <c r="C78" s="12" t="s">
        <v>490</v>
      </c>
      <c r="D78" s="1">
        <v>5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49</v>
      </c>
      <c r="L78" s="3">
        <v>1</v>
      </c>
      <c r="M78" s="1">
        <v>0</v>
      </c>
      <c r="N78" s="1">
        <v>0</v>
      </c>
      <c r="Q78" s="37" t="s">
        <v>820</v>
      </c>
      <c r="R78" s="37" t="s">
        <v>819</v>
      </c>
      <c r="S78" s="37">
        <v>0</v>
      </c>
      <c r="U78" s="2" t="s">
        <v>802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2"/>
    </row>
    <row r="79" spans="1:33" x14ac:dyDescent="0.15">
      <c r="A79" s="12" t="s">
        <v>491</v>
      </c>
      <c r="B79" s="1">
        <v>258</v>
      </c>
      <c r="C79" s="12" t="s">
        <v>491</v>
      </c>
      <c r="D79" s="1">
        <v>5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49</v>
      </c>
      <c r="L79" s="3">
        <v>1</v>
      </c>
      <c r="M79" s="1">
        <v>0</v>
      </c>
      <c r="N79" s="1">
        <v>0</v>
      </c>
      <c r="Q79" s="37" t="s">
        <v>820</v>
      </c>
      <c r="R79" s="37" t="s">
        <v>819</v>
      </c>
      <c r="S79" s="37">
        <v>0</v>
      </c>
      <c r="U79" s="2" t="s">
        <v>802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2"/>
    </row>
    <row r="80" spans="1:33" x14ac:dyDescent="0.15">
      <c r="A80" s="12" t="s">
        <v>379</v>
      </c>
      <c r="B80" s="1">
        <v>259</v>
      </c>
      <c r="C80" s="12" t="s">
        <v>379</v>
      </c>
      <c r="D80" s="1">
        <v>5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49</v>
      </c>
      <c r="L80" s="3">
        <v>1</v>
      </c>
      <c r="M80" s="1">
        <v>0</v>
      </c>
      <c r="N80" s="1">
        <v>0</v>
      </c>
      <c r="Q80" s="37" t="s">
        <v>820</v>
      </c>
      <c r="R80" s="37" t="s">
        <v>819</v>
      </c>
      <c r="S80" s="37">
        <v>0</v>
      </c>
      <c r="U80" s="2" t="s">
        <v>802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2"/>
    </row>
    <row r="81" spans="1:33" x14ac:dyDescent="0.15">
      <c r="A81" s="12" t="s">
        <v>492</v>
      </c>
      <c r="B81" s="1">
        <v>260</v>
      </c>
      <c r="C81" s="12" t="s">
        <v>492</v>
      </c>
      <c r="D81" s="1">
        <v>5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49</v>
      </c>
      <c r="L81" s="3">
        <v>1</v>
      </c>
      <c r="M81" s="1">
        <v>0</v>
      </c>
      <c r="N81" s="1">
        <v>0</v>
      </c>
      <c r="Q81" s="37" t="s">
        <v>820</v>
      </c>
      <c r="R81" s="37" t="s">
        <v>819</v>
      </c>
      <c r="S81" s="37">
        <v>0</v>
      </c>
      <c r="U81" s="2" t="s">
        <v>802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2"/>
    </row>
    <row r="82" spans="1:33" x14ac:dyDescent="0.15">
      <c r="A82" s="12" t="s">
        <v>493</v>
      </c>
      <c r="B82" s="1">
        <v>261</v>
      </c>
      <c r="C82" s="12" t="s">
        <v>493</v>
      </c>
      <c r="D82" s="1">
        <v>5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49</v>
      </c>
      <c r="L82" s="3">
        <v>1</v>
      </c>
      <c r="M82" s="1">
        <v>0</v>
      </c>
      <c r="N82" s="1">
        <v>0</v>
      </c>
      <c r="Q82" s="37" t="s">
        <v>820</v>
      </c>
      <c r="R82" s="37" t="s">
        <v>819</v>
      </c>
      <c r="S82" s="37">
        <v>0</v>
      </c>
      <c r="U82" s="2" t="s">
        <v>802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2"/>
    </row>
    <row r="83" spans="1:33" x14ac:dyDescent="0.15">
      <c r="A83" s="12" t="s">
        <v>381</v>
      </c>
      <c r="B83" s="1">
        <v>263</v>
      </c>
      <c r="C83" s="12" t="s">
        <v>381</v>
      </c>
      <c r="D83" s="1">
        <v>5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49</v>
      </c>
      <c r="L83" s="3">
        <v>1</v>
      </c>
      <c r="M83" s="1">
        <v>0</v>
      </c>
      <c r="N83" s="1">
        <v>0</v>
      </c>
      <c r="Q83" s="37" t="s">
        <v>820</v>
      </c>
      <c r="R83" s="37" t="s">
        <v>819</v>
      </c>
      <c r="S83" s="37">
        <v>0</v>
      </c>
      <c r="U83" s="2" t="s">
        <v>802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2"/>
    </row>
    <row r="84" spans="1:33" x14ac:dyDescent="0.15">
      <c r="A84" s="12" t="s">
        <v>494</v>
      </c>
      <c r="B84" s="1">
        <v>264</v>
      </c>
      <c r="C84" s="12" t="s">
        <v>494</v>
      </c>
      <c r="D84" s="1">
        <v>5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49</v>
      </c>
      <c r="L84" s="3">
        <v>1</v>
      </c>
      <c r="M84" s="1">
        <v>0</v>
      </c>
      <c r="N84" s="1">
        <v>0</v>
      </c>
      <c r="Q84" s="37" t="s">
        <v>820</v>
      </c>
      <c r="R84" s="37" t="s">
        <v>819</v>
      </c>
      <c r="S84" s="37">
        <v>0</v>
      </c>
      <c r="U84" s="2" t="s">
        <v>802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2"/>
    </row>
    <row r="85" spans="1:33" x14ac:dyDescent="0.15">
      <c r="A85" s="12" t="s">
        <v>495</v>
      </c>
      <c r="B85" s="1">
        <v>265</v>
      </c>
      <c r="C85" s="12" t="s">
        <v>495</v>
      </c>
      <c r="D85" s="1">
        <v>5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49</v>
      </c>
      <c r="L85" s="3">
        <v>1</v>
      </c>
      <c r="M85" s="1">
        <v>0</v>
      </c>
      <c r="N85" s="1">
        <v>0</v>
      </c>
      <c r="Q85" s="37" t="s">
        <v>820</v>
      </c>
      <c r="R85" s="37" t="s">
        <v>819</v>
      </c>
      <c r="S85" s="37">
        <v>0</v>
      </c>
      <c r="U85" s="2" t="s">
        <v>802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2"/>
    </row>
    <row r="86" spans="1:33" x14ac:dyDescent="0.15">
      <c r="A86" s="12" t="s">
        <v>496</v>
      </c>
      <c r="B86" s="1">
        <v>266</v>
      </c>
      <c r="C86" s="12" t="s">
        <v>496</v>
      </c>
      <c r="D86" s="1">
        <v>5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49</v>
      </c>
      <c r="L86" s="3">
        <v>1</v>
      </c>
      <c r="M86" s="1">
        <v>0</v>
      </c>
      <c r="N86" s="1">
        <v>0</v>
      </c>
      <c r="Q86" s="37" t="s">
        <v>820</v>
      </c>
      <c r="R86" s="37" t="s">
        <v>819</v>
      </c>
      <c r="S86" s="37">
        <v>0</v>
      </c>
      <c r="U86" s="2" t="s">
        <v>802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2"/>
    </row>
    <row r="87" spans="1:33" x14ac:dyDescent="0.15">
      <c r="A87" s="12" t="s">
        <v>497</v>
      </c>
      <c r="B87" s="1">
        <v>267</v>
      </c>
      <c r="C87" s="12" t="s">
        <v>497</v>
      </c>
      <c r="D87" s="1">
        <v>5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49</v>
      </c>
      <c r="L87" s="3">
        <v>1</v>
      </c>
      <c r="M87" s="1">
        <v>0</v>
      </c>
      <c r="N87" s="1">
        <v>0</v>
      </c>
      <c r="Q87" s="37" t="s">
        <v>820</v>
      </c>
      <c r="R87" s="37" t="s">
        <v>819</v>
      </c>
      <c r="S87" s="37">
        <v>0</v>
      </c>
      <c r="U87" s="2" t="s">
        <v>802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2"/>
    </row>
    <row r="88" spans="1:33" x14ac:dyDescent="0.15">
      <c r="A88" s="12" t="s">
        <v>498</v>
      </c>
      <c r="B88" s="1">
        <v>268</v>
      </c>
      <c r="C88" s="12" t="s">
        <v>498</v>
      </c>
      <c r="D88" s="1">
        <v>5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49</v>
      </c>
      <c r="L88" s="3">
        <v>1</v>
      </c>
      <c r="M88" s="1">
        <v>0</v>
      </c>
      <c r="N88" s="1">
        <v>0</v>
      </c>
      <c r="Q88" s="37" t="s">
        <v>820</v>
      </c>
      <c r="R88" s="37" t="s">
        <v>819</v>
      </c>
      <c r="S88" s="37">
        <v>0</v>
      </c>
      <c r="U88" s="2" t="s">
        <v>802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2"/>
    </row>
    <row r="89" spans="1:33" x14ac:dyDescent="0.15">
      <c r="A89" s="12" t="s">
        <v>524</v>
      </c>
      <c r="B89" s="1">
        <v>269</v>
      </c>
      <c r="C89" s="12" t="s">
        <v>524</v>
      </c>
      <c r="D89" s="1">
        <v>5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49</v>
      </c>
      <c r="L89" s="3">
        <v>1</v>
      </c>
      <c r="M89" s="1">
        <v>0</v>
      </c>
      <c r="N89" s="1">
        <v>0</v>
      </c>
      <c r="Q89" s="37" t="s">
        <v>820</v>
      </c>
      <c r="R89" s="37" t="s">
        <v>819</v>
      </c>
      <c r="S89" s="37">
        <v>0</v>
      </c>
      <c r="U89" s="2" t="s">
        <v>802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2"/>
    </row>
    <row r="90" spans="1:33" x14ac:dyDescent="0.15">
      <c r="A90" s="12" t="s">
        <v>521</v>
      </c>
      <c r="B90" s="1">
        <v>270</v>
      </c>
      <c r="C90" s="12" t="s">
        <v>521</v>
      </c>
      <c r="D90" s="1">
        <v>5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49</v>
      </c>
      <c r="L90" s="3">
        <v>1</v>
      </c>
      <c r="M90" s="1">
        <v>0</v>
      </c>
      <c r="N90" s="1">
        <v>0</v>
      </c>
      <c r="Q90" s="37" t="s">
        <v>820</v>
      </c>
      <c r="R90" s="37" t="s">
        <v>819</v>
      </c>
      <c r="S90" s="37">
        <v>0</v>
      </c>
      <c r="U90" s="2" t="s">
        <v>802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2"/>
    </row>
    <row r="91" spans="1:33" x14ac:dyDescent="0.15">
      <c r="A91" s="12" t="s">
        <v>453</v>
      </c>
      <c r="B91" s="1">
        <v>271</v>
      </c>
      <c r="C91" s="12" t="s">
        <v>453</v>
      </c>
      <c r="D91" s="1">
        <v>5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49</v>
      </c>
      <c r="L91" s="3">
        <v>1</v>
      </c>
      <c r="M91" s="1">
        <v>0</v>
      </c>
      <c r="N91" s="1">
        <v>0</v>
      </c>
      <c r="Q91" s="37" t="s">
        <v>820</v>
      </c>
      <c r="R91" s="37" t="s">
        <v>819</v>
      </c>
      <c r="S91" s="37">
        <v>0</v>
      </c>
      <c r="U91" s="2" t="s">
        <v>802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2"/>
    </row>
    <row r="92" spans="1:33" x14ac:dyDescent="0.15">
      <c r="A92" s="12" t="s">
        <v>568</v>
      </c>
      <c r="B92" s="1">
        <v>272</v>
      </c>
      <c r="C92" s="12" t="s">
        <v>568</v>
      </c>
      <c r="D92" s="1">
        <v>5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49</v>
      </c>
      <c r="L92" s="3">
        <v>1</v>
      </c>
      <c r="M92" s="1">
        <v>0</v>
      </c>
      <c r="N92" s="1">
        <v>0</v>
      </c>
      <c r="Q92" s="37" t="s">
        <v>820</v>
      </c>
      <c r="R92" s="37" t="s">
        <v>819</v>
      </c>
      <c r="S92" s="37">
        <v>0</v>
      </c>
      <c r="U92" s="2" t="s">
        <v>802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2"/>
    </row>
    <row r="93" spans="1:33" x14ac:dyDescent="0.15">
      <c r="A93" s="12" t="s">
        <v>529</v>
      </c>
      <c r="B93" s="1">
        <v>273</v>
      </c>
      <c r="C93" s="12" t="s">
        <v>529</v>
      </c>
      <c r="D93" s="1">
        <v>5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49</v>
      </c>
      <c r="L93" s="3">
        <v>1</v>
      </c>
      <c r="M93" s="1">
        <v>0</v>
      </c>
      <c r="N93" s="1">
        <v>0</v>
      </c>
      <c r="Q93" s="37" t="s">
        <v>820</v>
      </c>
      <c r="R93" s="37" t="s">
        <v>819</v>
      </c>
      <c r="S93" s="37">
        <v>0</v>
      </c>
      <c r="U93" s="2" t="s">
        <v>802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2"/>
    </row>
    <row r="94" spans="1:33" x14ac:dyDescent="0.15">
      <c r="A94" s="12" t="s">
        <v>369</v>
      </c>
      <c r="B94" s="1">
        <v>274</v>
      </c>
      <c r="C94" s="12" t="s">
        <v>369</v>
      </c>
      <c r="D94" s="1">
        <v>5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49</v>
      </c>
      <c r="L94" s="3">
        <v>1</v>
      </c>
      <c r="M94" s="1">
        <v>0</v>
      </c>
      <c r="N94" s="1">
        <v>0</v>
      </c>
      <c r="Q94" s="37" t="s">
        <v>820</v>
      </c>
      <c r="R94" s="37" t="s">
        <v>819</v>
      </c>
      <c r="S94" s="37">
        <v>0</v>
      </c>
      <c r="U94" s="2" t="s">
        <v>802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2"/>
    </row>
    <row r="95" spans="1:33" x14ac:dyDescent="0.15">
      <c r="A95" s="12" t="s">
        <v>513</v>
      </c>
      <c r="B95" s="1">
        <v>275</v>
      </c>
      <c r="C95" s="12" t="s">
        <v>513</v>
      </c>
      <c r="D95" s="1">
        <v>5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49</v>
      </c>
      <c r="L95" s="3">
        <v>1</v>
      </c>
      <c r="M95" s="1">
        <v>0</v>
      </c>
      <c r="N95" s="1">
        <v>0</v>
      </c>
      <c r="Q95" s="37" t="s">
        <v>820</v>
      </c>
      <c r="R95" s="37" t="s">
        <v>819</v>
      </c>
      <c r="S95" s="37">
        <v>0</v>
      </c>
      <c r="U95" s="2" t="s">
        <v>802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2"/>
    </row>
    <row r="96" spans="1:33" x14ac:dyDescent="0.15">
      <c r="A96" s="12" t="s">
        <v>372</v>
      </c>
      <c r="B96" s="1">
        <v>276</v>
      </c>
      <c r="C96" s="12" t="s">
        <v>372</v>
      </c>
      <c r="D96" s="1">
        <v>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49</v>
      </c>
      <c r="L96" s="3">
        <v>1</v>
      </c>
      <c r="M96" s="1">
        <v>0</v>
      </c>
      <c r="N96" s="1">
        <v>0</v>
      </c>
      <c r="Q96" s="37" t="s">
        <v>820</v>
      </c>
      <c r="R96" s="37" t="s">
        <v>819</v>
      </c>
      <c r="S96" s="37">
        <v>0</v>
      </c>
      <c r="U96" s="2" t="s">
        <v>802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2"/>
    </row>
    <row r="97" spans="1:33" x14ac:dyDescent="0.15">
      <c r="A97" s="12" t="s">
        <v>594</v>
      </c>
      <c r="B97" s="1">
        <v>277</v>
      </c>
      <c r="C97" s="12" t="s">
        <v>594</v>
      </c>
      <c r="D97" s="1">
        <v>5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49</v>
      </c>
      <c r="L97" s="3">
        <v>1</v>
      </c>
      <c r="M97" s="1">
        <v>0</v>
      </c>
      <c r="N97" s="1">
        <v>0</v>
      </c>
      <c r="Q97" s="37" t="s">
        <v>820</v>
      </c>
      <c r="R97" s="37" t="s">
        <v>819</v>
      </c>
      <c r="S97" s="37">
        <v>0</v>
      </c>
      <c r="U97" s="2" t="s">
        <v>802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2"/>
    </row>
    <row r="98" spans="1:33" x14ac:dyDescent="0.15">
      <c r="A98" s="12" t="s">
        <v>539</v>
      </c>
      <c r="B98" s="1">
        <v>278</v>
      </c>
      <c r="C98" s="12" t="s">
        <v>539</v>
      </c>
      <c r="D98" s="1">
        <v>5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49</v>
      </c>
      <c r="L98" s="3">
        <v>1</v>
      </c>
      <c r="M98" s="1">
        <v>0</v>
      </c>
      <c r="N98" s="1">
        <v>0</v>
      </c>
      <c r="Q98" s="37" t="s">
        <v>820</v>
      </c>
      <c r="R98" s="37" t="s">
        <v>819</v>
      </c>
      <c r="S98" s="37">
        <v>0</v>
      </c>
      <c r="U98" s="2" t="s">
        <v>802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2"/>
    </row>
    <row r="99" spans="1:33" x14ac:dyDescent="0.15">
      <c r="A99" s="12" t="s">
        <v>515</v>
      </c>
      <c r="B99" s="1">
        <v>279</v>
      </c>
      <c r="C99" s="12" t="s">
        <v>515</v>
      </c>
      <c r="D99" s="1">
        <v>5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49</v>
      </c>
      <c r="L99" s="3">
        <v>1</v>
      </c>
      <c r="M99" s="1">
        <v>0</v>
      </c>
      <c r="N99" s="1">
        <v>0</v>
      </c>
      <c r="Q99" s="37" t="s">
        <v>820</v>
      </c>
      <c r="R99" s="37" t="s">
        <v>819</v>
      </c>
      <c r="S99" s="37">
        <v>0</v>
      </c>
      <c r="U99" s="2" t="s">
        <v>802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2"/>
    </row>
    <row r="100" spans="1:33" x14ac:dyDescent="0.15">
      <c r="A100" s="12" t="s">
        <v>502</v>
      </c>
      <c r="B100" s="1">
        <v>280</v>
      </c>
      <c r="C100" s="12" t="s">
        <v>502</v>
      </c>
      <c r="D100" s="1">
        <v>5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49</v>
      </c>
      <c r="L100" s="3">
        <v>1</v>
      </c>
      <c r="M100" s="1">
        <v>0</v>
      </c>
      <c r="N100" s="1">
        <v>0</v>
      </c>
      <c r="Q100" s="37" t="s">
        <v>820</v>
      </c>
      <c r="R100" s="37" t="s">
        <v>819</v>
      </c>
      <c r="S100" s="37">
        <v>0</v>
      </c>
      <c r="U100" s="2" t="s">
        <v>802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2"/>
    </row>
    <row r="101" spans="1:33" x14ac:dyDescent="0.15">
      <c r="A101" s="12" t="s">
        <v>519</v>
      </c>
      <c r="B101" s="1">
        <v>281</v>
      </c>
      <c r="C101" s="12" t="s">
        <v>519</v>
      </c>
      <c r="D101" s="1">
        <v>5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49</v>
      </c>
      <c r="L101" s="3">
        <v>1</v>
      </c>
      <c r="M101" s="1">
        <v>0</v>
      </c>
      <c r="N101" s="1">
        <v>0</v>
      </c>
      <c r="Q101" s="37" t="s">
        <v>820</v>
      </c>
      <c r="R101" s="37" t="s">
        <v>819</v>
      </c>
      <c r="S101" s="37">
        <v>0</v>
      </c>
      <c r="U101" s="2" t="s">
        <v>802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2"/>
    </row>
    <row r="102" spans="1:33" x14ac:dyDescent="0.15">
      <c r="A102" s="12" t="s">
        <v>567</v>
      </c>
      <c r="B102" s="1">
        <v>282</v>
      </c>
      <c r="C102" s="12" t="s">
        <v>567</v>
      </c>
      <c r="D102" s="1">
        <v>5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49</v>
      </c>
      <c r="L102" s="3">
        <v>1</v>
      </c>
      <c r="M102" s="1">
        <v>0</v>
      </c>
      <c r="N102" s="1">
        <v>0</v>
      </c>
      <c r="Q102" s="37" t="s">
        <v>820</v>
      </c>
      <c r="R102" s="37" t="s">
        <v>819</v>
      </c>
      <c r="S102" s="37">
        <v>0</v>
      </c>
      <c r="U102" s="2" t="s">
        <v>802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2"/>
    </row>
    <row r="103" spans="1:33" x14ac:dyDescent="0.15">
      <c r="A103" s="12" t="s">
        <v>371</v>
      </c>
      <c r="B103" s="1">
        <v>283</v>
      </c>
      <c r="C103" s="12" t="s">
        <v>371</v>
      </c>
      <c r="D103" s="1">
        <v>5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49</v>
      </c>
      <c r="L103" s="3">
        <v>1</v>
      </c>
      <c r="M103" s="1">
        <v>0</v>
      </c>
      <c r="N103" s="1">
        <v>0</v>
      </c>
      <c r="Q103" s="37" t="s">
        <v>820</v>
      </c>
      <c r="R103" s="37" t="s">
        <v>819</v>
      </c>
      <c r="S103" s="37">
        <v>0</v>
      </c>
      <c r="U103" s="2" t="s">
        <v>802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2"/>
    </row>
    <row r="104" spans="1:33" x14ac:dyDescent="0.15">
      <c r="A104" s="12" t="s">
        <v>520</v>
      </c>
      <c r="B104" s="1">
        <v>284</v>
      </c>
      <c r="C104" s="12" t="s">
        <v>520</v>
      </c>
      <c r="D104" s="1">
        <v>5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49</v>
      </c>
      <c r="L104" s="3">
        <v>1</v>
      </c>
      <c r="M104" s="1">
        <v>0</v>
      </c>
      <c r="N104" s="1">
        <v>0</v>
      </c>
      <c r="Q104" s="37" t="s">
        <v>820</v>
      </c>
      <c r="R104" s="37" t="s">
        <v>819</v>
      </c>
      <c r="S104" s="37">
        <v>0</v>
      </c>
      <c r="U104" s="2" t="s">
        <v>802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2"/>
    </row>
    <row r="105" spans="1:33" x14ac:dyDescent="0.15">
      <c r="A105" s="12" t="s">
        <v>572</v>
      </c>
      <c r="B105" s="1">
        <v>285</v>
      </c>
      <c r="C105" s="12" t="s">
        <v>572</v>
      </c>
      <c r="D105" s="1">
        <v>5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49</v>
      </c>
      <c r="L105" s="3">
        <v>1</v>
      </c>
      <c r="M105" s="1">
        <v>0</v>
      </c>
      <c r="N105" s="1">
        <v>0</v>
      </c>
      <c r="Q105" s="37" t="s">
        <v>820</v>
      </c>
      <c r="R105" s="37" t="s">
        <v>819</v>
      </c>
      <c r="S105" s="37">
        <v>0</v>
      </c>
      <c r="U105" s="2" t="s">
        <v>802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2"/>
    </row>
    <row r="106" spans="1:33" x14ac:dyDescent="0.15">
      <c r="A106" s="12" t="s">
        <v>570</v>
      </c>
      <c r="B106" s="1">
        <v>286</v>
      </c>
      <c r="C106" s="12" t="s">
        <v>570</v>
      </c>
      <c r="D106" s="1">
        <v>5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49</v>
      </c>
      <c r="L106" s="3">
        <v>1</v>
      </c>
      <c r="M106" s="1">
        <v>0</v>
      </c>
      <c r="N106" s="1">
        <v>0</v>
      </c>
      <c r="Q106" s="37" t="s">
        <v>820</v>
      </c>
      <c r="R106" s="37" t="s">
        <v>819</v>
      </c>
      <c r="S106" s="37">
        <v>0</v>
      </c>
      <c r="U106" s="2" t="s">
        <v>802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2"/>
    </row>
    <row r="107" spans="1:33" x14ac:dyDescent="0.15">
      <c r="A107" s="12" t="s">
        <v>566</v>
      </c>
      <c r="B107" s="1">
        <v>287</v>
      </c>
      <c r="C107" s="12" t="s">
        <v>566</v>
      </c>
      <c r="D107" s="1">
        <v>5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49</v>
      </c>
      <c r="L107" s="3">
        <v>1</v>
      </c>
      <c r="M107" s="1">
        <v>0</v>
      </c>
      <c r="N107" s="1">
        <v>0</v>
      </c>
      <c r="Q107" s="37" t="s">
        <v>820</v>
      </c>
      <c r="R107" s="37" t="s">
        <v>819</v>
      </c>
      <c r="S107" s="37">
        <v>0</v>
      </c>
      <c r="U107" s="2" t="s">
        <v>802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2"/>
    </row>
    <row r="108" spans="1:33" x14ac:dyDescent="0.15">
      <c r="A108" s="12" t="s">
        <v>526</v>
      </c>
      <c r="B108" s="1">
        <v>288</v>
      </c>
      <c r="C108" s="12" t="s">
        <v>526</v>
      </c>
      <c r="D108" s="1">
        <v>5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49</v>
      </c>
      <c r="L108" s="3">
        <v>1</v>
      </c>
      <c r="M108" s="1">
        <v>0</v>
      </c>
      <c r="N108" s="1">
        <v>0</v>
      </c>
      <c r="Q108" s="37" t="s">
        <v>820</v>
      </c>
      <c r="R108" s="37" t="s">
        <v>819</v>
      </c>
      <c r="S108" s="37">
        <v>0</v>
      </c>
      <c r="U108" s="2" t="s">
        <v>802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2"/>
    </row>
    <row r="109" spans="1:33" x14ac:dyDescent="0.15">
      <c r="A109" s="12" t="s">
        <v>522</v>
      </c>
      <c r="B109" s="1">
        <v>289</v>
      </c>
      <c r="C109" s="12" t="s">
        <v>522</v>
      </c>
      <c r="D109" s="1">
        <v>5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49</v>
      </c>
      <c r="L109" s="3">
        <v>1</v>
      </c>
      <c r="M109" s="1">
        <v>0</v>
      </c>
      <c r="N109" s="1">
        <v>0</v>
      </c>
      <c r="Q109" s="37" t="s">
        <v>820</v>
      </c>
      <c r="R109" s="37" t="s">
        <v>819</v>
      </c>
      <c r="S109" s="37">
        <v>0</v>
      </c>
      <c r="U109" s="2" t="s">
        <v>802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2"/>
    </row>
    <row r="110" spans="1:33" x14ac:dyDescent="0.15">
      <c r="A110" s="12" t="s">
        <v>569</v>
      </c>
      <c r="B110" s="1">
        <v>290</v>
      </c>
      <c r="C110" s="12" t="s">
        <v>569</v>
      </c>
      <c r="D110" s="1">
        <v>5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49</v>
      </c>
      <c r="L110" s="3">
        <v>1</v>
      </c>
      <c r="M110" s="1">
        <v>0</v>
      </c>
      <c r="N110" s="1">
        <v>0</v>
      </c>
      <c r="Q110" s="37" t="s">
        <v>820</v>
      </c>
      <c r="R110" s="37" t="s">
        <v>819</v>
      </c>
      <c r="S110" s="37">
        <v>0</v>
      </c>
      <c r="U110" s="2" t="s">
        <v>802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2"/>
    </row>
    <row r="111" spans="1:33" x14ac:dyDescent="0.15">
      <c r="A111" s="12" t="s">
        <v>504</v>
      </c>
      <c r="B111" s="1">
        <v>291</v>
      </c>
      <c r="C111" s="12" t="s">
        <v>504</v>
      </c>
      <c r="D111" s="1">
        <v>5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49</v>
      </c>
      <c r="L111" s="3">
        <v>1</v>
      </c>
      <c r="M111" s="1">
        <v>0</v>
      </c>
      <c r="N111" s="1">
        <v>0</v>
      </c>
      <c r="Q111" s="37" t="s">
        <v>820</v>
      </c>
      <c r="R111" s="37" t="s">
        <v>819</v>
      </c>
      <c r="S111" s="37">
        <v>0</v>
      </c>
      <c r="U111" s="2" t="s">
        <v>802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2"/>
    </row>
    <row r="112" spans="1:33" x14ac:dyDescent="0.15">
      <c r="A112" s="12" t="s">
        <v>571</v>
      </c>
      <c r="B112" s="1">
        <v>292</v>
      </c>
      <c r="C112" s="12" t="s">
        <v>571</v>
      </c>
      <c r="D112" s="1">
        <v>5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49</v>
      </c>
      <c r="L112" s="3">
        <v>1</v>
      </c>
      <c r="M112" s="1">
        <v>0</v>
      </c>
      <c r="N112" s="1">
        <v>0</v>
      </c>
      <c r="Q112" s="37" t="s">
        <v>820</v>
      </c>
      <c r="R112" s="37" t="s">
        <v>819</v>
      </c>
      <c r="S112" s="37">
        <v>0</v>
      </c>
      <c r="U112" s="2" t="s">
        <v>802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2"/>
    </row>
    <row r="113" spans="1:33" x14ac:dyDescent="0.15">
      <c r="A113" s="12" t="s">
        <v>525</v>
      </c>
      <c r="B113" s="1">
        <v>293</v>
      </c>
      <c r="C113" s="12" t="s">
        <v>525</v>
      </c>
      <c r="D113" s="1">
        <v>5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49</v>
      </c>
      <c r="L113" s="3">
        <v>1</v>
      </c>
      <c r="M113" s="1">
        <v>0</v>
      </c>
      <c r="N113" s="1">
        <v>0</v>
      </c>
      <c r="Q113" s="37" t="s">
        <v>820</v>
      </c>
      <c r="R113" s="37" t="s">
        <v>819</v>
      </c>
      <c r="S113" s="37">
        <v>0</v>
      </c>
      <c r="U113" s="2" t="s">
        <v>802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2"/>
    </row>
    <row r="114" spans="1:33" x14ac:dyDescent="0.15">
      <c r="A114" s="12" t="s">
        <v>528</v>
      </c>
      <c r="B114" s="1">
        <v>294</v>
      </c>
      <c r="C114" s="12" t="s">
        <v>528</v>
      </c>
      <c r="D114" s="1">
        <v>5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49</v>
      </c>
      <c r="L114" s="3">
        <v>1</v>
      </c>
      <c r="M114" s="1">
        <v>0</v>
      </c>
      <c r="N114" s="1">
        <v>0</v>
      </c>
      <c r="Q114" s="37" t="s">
        <v>820</v>
      </c>
      <c r="R114" s="37" t="s">
        <v>819</v>
      </c>
      <c r="S114" s="37">
        <v>0</v>
      </c>
      <c r="U114" s="2" t="s">
        <v>802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2"/>
    </row>
    <row r="115" spans="1:33" x14ac:dyDescent="0.15">
      <c r="A115" s="12" t="s">
        <v>683</v>
      </c>
      <c r="B115" s="1">
        <v>295</v>
      </c>
      <c r="C115" s="12" t="s">
        <v>647</v>
      </c>
      <c r="D115" s="1">
        <v>5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49</v>
      </c>
      <c r="L115" s="3">
        <v>1</v>
      </c>
      <c r="M115" s="1">
        <v>0</v>
      </c>
      <c r="N115" s="1">
        <v>0</v>
      </c>
      <c r="Q115" s="37" t="s">
        <v>820</v>
      </c>
      <c r="R115" s="37" t="s">
        <v>819</v>
      </c>
      <c r="S115" s="37">
        <v>0</v>
      </c>
      <c r="U115" s="2" t="s">
        <v>802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2"/>
    </row>
    <row r="116" spans="1:33" x14ac:dyDescent="0.15">
      <c r="A116" s="12" t="s">
        <v>635</v>
      </c>
      <c r="B116" s="1">
        <v>296</v>
      </c>
      <c r="C116" s="12" t="s">
        <v>635</v>
      </c>
      <c r="D116" s="1">
        <v>5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49</v>
      </c>
      <c r="L116" s="3">
        <v>1</v>
      </c>
      <c r="M116" s="1">
        <v>0</v>
      </c>
      <c r="N116" s="1">
        <v>0</v>
      </c>
      <c r="Q116" s="37" t="s">
        <v>820</v>
      </c>
      <c r="R116" s="37" t="s">
        <v>819</v>
      </c>
      <c r="S116" s="37">
        <v>0</v>
      </c>
      <c r="U116" s="2" t="s">
        <v>802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2"/>
    </row>
    <row r="117" spans="1:33" x14ac:dyDescent="0.15">
      <c r="A117" s="12" t="s">
        <v>565</v>
      </c>
      <c r="B117" s="1">
        <v>297</v>
      </c>
      <c r="C117" s="12" t="s">
        <v>565</v>
      </c>
      <c r="D117" s="1">
        <v>5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49</v>
      </c>
      <c r="L117" s="3">
        <v>1</v>
      </c>
      <c r="M117" s="1">
        <v>0</v>
      </c>
      <c r="N117" s="1">
        <v>0</v>
      </c>
      <c r="Q117" s="37" t="s">
        <v>820</v>
      </c>
      <c r="R117" s="37" t="s">
        <v>819</v>
      </c>
      <c r="S117" s="37">
        <v>0</v>
      </c>
      <c r="U117" s="2" t="s">
        <v>802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2"/>
    </row>
    <row r="118" spans="1:33" x14ac:dyDescent="0.15">
      <c r="A118" s="16" t="s">
        <v>535</v>
      </c>
      <c r="B118" s="1">
        <v>298</v>
      </c>
      <c r="C118" s="16" t="s">
        <v>535</v>
      </c>
      <c r="D118" s="1">
        <v>5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49</v>
      </c>
      <c r="L118" s="3">
        <v>1</v>
      </c>
      <c r="M118" s="1">
        <v>0</v>
      </c>
      <c r="N118" s="1">
        <v>0</v>
      </c>
      <c r="Q118" s="37" t="s">
        <v>820</v>
      </c>
      <c r="R118" s="37" t="s">
        <v>819</v>
      </c>
      <c r="S118" s="37">
        <v>0</v>
      </c>
      <c r="U118" s="2" t="s">
        <v>802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2"/>
    </row>
    <row r="119" spans="1:33" x14ac:dyDescent="0.15">
      <c r="A119" s="16" t="s">
        <v>367</v>
      </c>
      <c r="B119" s="1">
        <v>299</v>
      </c>
      <c r="C119" s="16" t="s">
        <v>367</v>
      </c>
      <c r="D119" s="1">
        <v>5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49</v>
      </c>
      <c r="L119" s="3">
        <v>1</v>
      </c>
      <c r="M119" s="1">
        <v>0</v>
      </c>
      <c r="N119" s="1">
        <v>0</v>
      </c>
      <c r="Q119" s="37" t="s">
        <v>820</v>
      </c>
      <c r="R119" s="37" t="s">
        <v>819</v>
      </c>
      <c r="S119" s="37">
        <v>0</v>
      </c>
      <c r="U119" s="2" t="s">
        <v>802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2"/>
    </row>
    <row r="120" spans="1:33" x14ac:dyDescent="0.15">
      <c r="A120" s="16" t="s">
        <v>727</v>
      </c>
      <c r="B120" s="1">
        <v>300</v>
      </c>
      <c r="C120" s="16" t="s">
        <v>727</v>
      </c>
      <c r="D120" s="1">
        <v>5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49</v>
      </c>
      <c r="L120" s="3">
        <v>1</v>
      </c>
      <c r="M120" s="1">
        <v>0</v>
      </c>
      <c r="N120" s="1">
        <v>0</v>
      </c>
      <c r="Q120" s="37" t="s">
        <v>820</v>
      </c>
      <c r="R120" s="37" t="s">
        <v>819</v>
      </c>
      <c r="S120" s="37">
        <v>0</v>
      </c>
      <c r="U120" s="2" t="s">
        <v>802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2"/>
    </row>
    <row r="121" spans="1:33" x14ac:dyDescent="0.15">
      <c r="A121" s="16" t="s">
        <v>729</v>
      </c>
      <c r="B121" s="1">
        <v>301</v>
      </c>
      <c r="C121" s="16" t="s">
        <v>728</v>
      </c>
      <c r="D121" s="1">
        <v>5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49</v>
      </c>
      <c r="L121" s="3">
        <v>1</v>
      </c>
      <c r="M121" s="1">
        <v>0</v>
      </c>
      <c r="N121" s="1">
        <v>0</v>
      </c>
      <c r="Q121" s="37" t="s">
        <v>820</v>
      </c>
      <c r="R121" s="37" t="s">
        <v>819</v>
      </c>
      <c r="S121" s="37">
        <v>0</v>
      </c>
      <c r="U121" s="2" t="s">
        <v>802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2"/>
    </row>
    <row r="122" spans="1:33" x14ac:dyDescent="0.15">
      <c r="A122" s="16" t="s">
        <v>775</v>
      </c>
      <c r="B122" s="1">
        <v>302</v>
      </c>
      <c r="C122" s="16" t="s">
        <v>775</v>
      </c>
      <c r="D122" s="1">
        <v>5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49</v>
      </c>
      <c r="L122" s="3">
        <v>1</v>
      </c>
      <c r="M122" s="1">
        <v>0</v>
      </c>
      <c r="N122" s="1">
        <v>0</v>
      </c>
      <c r="Q122" s="37" t="s">
        <v>820</v>
      </c>
      <c r="R122" s="37" t="s">
        <v>819</v>
      </c>
      <c r="S122" s="37">
        <v>0</v>
      </c>
      <c r="U122" s="2" t="s">
        <v>802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2"/>
    </row>
    <row r="123" spans="1:33" s="3" customFormat="1" x14ac:dyDescent="0.15">
      <c r="A123" s="1" t="s">
        <v>38</v>
      </c>
      <c r="B123" s="3">
        <v>1001</v>
      </c>
      <c r="C123" s="3" t="str">
        <f>A123&amp;"_01"</f>
        <v>芜菁_01</v>
      </c>
      <c r="D123" s="1">
        <v>5</v>
      </c>
      <c r="E123" s="1">
        <v>1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3">
        <v>29</v>
      </c>
      <c r="L123" s="3">
        <v>1</v>
      </c>
      <c r="M123" s="1">
        <v>100</v>
      </c>
      <c r="N123" s="1">
        <v>100</v>
      </c>
      <c r="O123" s="4"/>
      <c r="P123" s="4"/>
      <c r="Q123" s="37" t="s">
        <v>820</v>
      </c>
      <c r="R123" s="37" t="s">
        <v>819</v>
      </c>
      <c r="S123" s="37">
        <v>0</v>
      </c>
      <c r="T123" s="4"/>
      <c r="U123" s="2" t="s">
        <v>802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5"/>
    </row>
    <row r="124" spans="1:33" s="3" customFormat="1" x14ac:dyDescent="0.15">
      <c r="A124" s="5" t="s">
        <v>39</v>
      </c>
      <c r="B124" s="3">
        <v>1002</v>
      </c>
      <c r="C124" s="3" t="str">
        <f t="shared" ref="C124:C150" si="0">A124&amp;"_01"</f>
        <v>卷心菜_01</v>
      </c>
      <c r="D124" s="1">
        <v>5</v>
      </c>
      <c r="E124" s="1">
        <v>1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3">
        <v>29</v>
      </c>
      <c r="L124" s="3">
        <v>1</v>
      </c>
      <c r="M124" s="1">
        <v>100</v>
      </c>
      <c r="N124" s="1">
        <v>100</v>
      </c>
      <c r="O124" s="4"/>
      <c r="P124" s="4"/>
      <c r="Q124" s="37" t="s">
        <v>820</v>
      </c>
      <c r="R124" s="37" t="s">
        <v>819</v>
      </c>
      <c r="S124" s="37">
        <v>0</v>
      </c>
      <c r="T124" s="4"/>
      <c r="U124" s="2" t="s">
        <v>802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5"/>
    </row>
    <row r="125" spans="1:33" x14ac:dyDescent="0.15">
      <c r="A125" s="5" t="s">
        <v>163</v>
      </c>
      <c r="B125" s="3">
        <v>1003</v>
      </c>
      <c r="C125" s="3" t="str">
        <f t="shared" si="0"/>
        <v>葱_01</v>
      </c>
      <c r="D125" s="1">
        <v>5</v>
      </c>
      <c r="E125" s="1">
        <v>1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3">
        <v>29</v>
      </c>
      <c r="L125" s="3">
        <v>1</v>
      </c>
      <c r="M125" s="1">
        <v>100</v>
      </c>
      <c r="N125" s="1">
        <v>100</v>
      </c>
      <c r="Q125" s="37" t="s">
        <v>820</v>
      </c>
      <c r="R125" s="37" t="s">
        <v>819</v>
      </c>
      <c r="S125" s="37">
        <v>0</v>
      </c>
      <c r="U125" s="2" t="s">
        <v>802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5"/>
    </row>
    <row r="126" spans="1:33" x14ac:dyDescent="0.15">
      <c r="A126" s="5" t="s">
        <v>40</v>
      </c>
      <c r="B126" s="3">
        <v>1004</v>
      </c>
      <c r="C126" s="3" t="str">
        <f t="shared" si="0"/>
        <v>萝卜_01</v>
      </c>
      <c r="D126" s="1">
        <v>5</v>
      </c>
      <c r="E126" s="1">
        <v>1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3">
        <v>29</v>
      </c>
      <c r="L126" s="3">
        <v>1</v>
      </c>
      <c r="M126" s="1">
        <v>100</v>
      </c>
      <c r="N126" s="1">
        <v>100</v>
      </c>
      <c r="Q126" s="37" t="s">
        <v>820</v>
      </c>
      <c r="R126" s="37" t="s">
        <v>819</v>
      </c>
      <c r="S126" s="37">
        <v>0</v>
      </c>
      <c r="U126" s="2" t="s">
        <v>802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5"/>
    </row>
    <row r="127" spans="1:33" x14ac:dyDescent="0.15">
      <c r="A127" s="5" t="s">
        <v>41</v>
      </c>
      <c r="B127" s="3">
        <v>1005</v>
      </c>
      <c r="C127" s="3" t="str">
        <f t="shared" si="0"/>
        <v>紫甘蓝_01</v>
      </c>
      <c r="D127" s="1">
        <v>5</v>
      </c>
      <c r="E127" s="1">
        <v>1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3">
        <v>29</v>
      </c>
      <c r="L127" s="3">
        <v>1</v>
      </c>
      <c r="M127" s="1">
        <v>100</v>
      </c>
      <c r="N127" s="1">
        <v>100</v>
      </c>
      <c r="Q127" s="37" t="s">
        <v>820</v>
      </c>
      <c r="R127" s="37" t="s">
        <v>819</v>
      </c>
      <c r="S127" s="37">
        <v>0</v>
      </c>
      <c r="U127" s="2" t="s">
        <v>802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5"/>
    </row>
    <row r="128" spans="1:33" x14ac:dyDescent="0.15">
      <c r="A128" s="5" t="s">
        <v>42</v>
      </c>
      <c r="B128" s="3">
        <v>1006</v>
      </c>
      <c r="C128" s="3" t="str">
        <f t="shared" si="0"/>
        <v>黄瓜_01</v>
      </c>
      <c r="D128" s="1">
        <v>5</v>
      </c>
      <c r="E128" s="1">
        <v>1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3">
        <v>29</v>
      </c>
      <c r="L128" s="1">
        <v>1</v>
      </c>
      <c r="M128" s="1">
        <v>100</v>
      </c>
      <c r="N128" s="1">
        <v>100</v>
      </c>
      <c r="Q128" s="37" t="s">
        <v>820</v>
      </c>
      <c r="R128" s="37" t="s">
        <v>819</v>
      </c>
      <c r="S128" s="37">
        <v>0</v>
      </c>
      <c r="U128" s="2" t="s">
        <v>802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5"/>
    </row>
    <row r="129" spans="1:33" x14ac:dyDescent="0.15">
      <c r="A129" s="5" t="s">
        <v>43</v>
      </c>
      <c r="B129" s="3">
        <v>1007</v>
      </c>
      <c r="C129" s="3" t="str">
        <f t="shared" si="0"/>
        <v>西兰花_01</v>
      </c>
      <c r="D129" s="1">
        <v>5</v>
      </c>
      <c r="E129" s="1">
        <v>1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3">
        <v>29</v>
      </c>
      <c r="L129" s="1">
        <v>1</v>
      </c>
      <c r="M129" s="1">
        <v>100</v>
      </c>
      <c r="N129" s="1">
        <v>100</v>
      </c>
      <c r="Q129" s="37" t="s">
        <v>820</v>
      </c>
      <c r="R129" s="37" t="s">
        <v>819</v>
      </c>
      <c r="S129" s="37">
        <v>0</v>
      </c>
      <c r="U129" s="2" t="s">
        <v>802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5"/>
    </row>
    <row r="130" spans="1:33" x14ac:dyDescent="0.15">
      <c r="A130" s="5" t="s">
        <v>44</v>
      </c>
      <c r="B130" s="3">
        <v>1008</v>
      </c>
      <c r="C130" s="3" t="str">
        <f t="shared" si="0"/>
        <v>番茄_01</v>
      </c>
      <c r="D130" s="1">
        <v>5</v>
      </c>
      <c r="E130" s="1">
        <v>1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3">
        <v>29</v>
      </c>
      <c r="L130" s="1">
        <v>1</v>
      </c>
      <c r="M130" s="1">
        <v>100</v>
      </c>
      <c r="N130" s="1">
        <v>100</v>
      </c>
      <c r="Q130" s="37" t="s">
        <v>820</v>
      </c>
      <c r="R130" s="37" t="s">
        <v>819</v>
      </c>
      <c r="S130" s="37">
        <v>0</v>
      </c>
      <c r="U130" s="2" t="s">
        <v>802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5"/>
    </row>
    <row r="131" spans="1:33" x14ac:dyDescent="0.15">
      <c r="A131" s="5" t="s">
        <v>23</v>
      </c>
      <c r="B131" s="3">
        <v>1009</v>
      </c>
      <c r="C131" s="3" t="str">
        <f t="shared" si="0"/>
        <v>胡萝卜_01</v>
      </c>
      <c r="D131" s="1">
        <v>5</v>
      </c>
      <c r="E131" s="1">
        <v>1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3">
        <v>29</v>
      </c>
      <c r="L131" s="1">
        <v>1</v>
      </c>
      <c r="M131" s="1">
        <v>100</v>
      </c>
      <c r="N131" s="1">
        <v>100</v>
      </c>
      <c r="Q131" s="37" t="s">
        <v>820</v>
      </c>
      <c r="R131" s="37" t="s">
        <v>819</v>
      </c>
      <c r="S131" s="37">
        <v>0</v>
      </c>
      <c r="U131" s="2" t="s">
        <v>802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5"/>
    </row>
    <row r="132" spans="1:33" x14ac:dyDescent="0.15">
      <c r="A132" s="5" t="s">
        <v>45</v>
      </c>
      <c r="B132" s="3">
        <v>1010</v>
      </c>
      <c r="C132" s="3" t="str">
        <f t="shared" si="0"/>
        <v>西瓜_01</v>
      </c>
      <c r="D132" s="1">
        <v>5</v>
      </c>
      <c r="E132" s="1">
        <v>1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3">
        <v>29</v>
      </c>
      <c r="L132" s="1">
        <v>1</v>
      </c>
      <c r="M132" s="1">
        <v>100</v>
      </c>
      <c r="N132" s="1">
        <v>100</v>
      </c>
      <c r="Q132" s="37" t="s">
        <v>820</v>
      </c>
      <c r="R132" s="37" t="s">
        <v>819</v>
      </c>
      <c r="S132" s="37">
        <v>0</v>
      </c>
      <c r="U132" s="2" t="s">
        <v>802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5"/>
    </row>
    <row r="133" spans="1:33" x14ac:dyDescent="0.15">
      <c r="A133" s="5" t="s">
        <v>46</v>
      </c>
      <c r="B133" s="3">
        <v>1011</v>
      </c>
      <c r="C133" s="3" t="str">
        <f t="shared" si="0"/>
        <v>辣椒_01</v>
      </c>
      <c r="D133" s="1">
        <v>5</v>
      </c>
      <c r="E133" s="1">
        <v>1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3">
        <v>29</v>
      </c>
      <c r="L133" s="1">
        <v>1</v>
      </c>
      <c r="M133" s="1">
        <v>100</v>
      </c>
      <c r="N133" s="1">
        <v>100</v>
      </c>
      <c r="Q133" s="37" t="s">
        <v>820</v>
      </c>
      <c r="R133" s="37" t="s">
        <v>819</v>
      </c>
      <c r="S133" s="37">
        <v>0</v>
      </c>
      <c r="U133" s="2" t="s">
        <v>802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5"/>
    </row>
    <row r="134" spans="1:33" x14ac:dyDescent="0.15">
      <c r="A134" s="5" t="s">
        <v>47</v>
      </c>
      <c r="B134" s="3">
        <v>1012</v>
      </c>
      <c r="C134" s="3" t="str">
        <f t="shared" si="0"/>
        <v>奇异果_01</v>
      </c>
      <c r="D134" s="1">
        <v>5</v>
      </c>
      <c r="E134" s="1">
        <v>1</v>
      </c>
      <c r="F134" s="1">
        <v>0</v>
      </c>
      <c r="G134" s="1">
        <v>1</v>
      </c>
      <c r="H134" s="1">
        <v>0</v>
      </c>
      <c r="I134" s="1">
        <v>0</v>
      </c>
      <c r="J134" s="1">
        <v>0</v>
      </c>
      <c r="K134" s="3">
        <v>29</v>
      </c>
      <c r="L134" s="1">
        <v>1</v>
      </c>
      <c r="M134" s="1">
        <v>100</v>
      </c>
      <c r="N134" s="1">
        <v>100</v>
      </c>
      <c r="Q134" s="37" t="s">
        <v>820</v>
      </c>
      <c r="R134" s="37" t="s">
        <v>819</v>
      </c>
      <c r="S134" s="37">
        <v>0</v>
      </c>
      <c r="U134" s="2" t="s">
        <v>802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5"/>
    </row>
    <row r="135" spans="1:33" x14ac:dyDescent="0.15">
      <c r="A135" s="5" t="s">
        <v>58</v>
      </c>
      <c r="B135" s="3">
        <v>1013</v>
      </c>
      <c r="C135" s="3" t="str">
        <f t="shared" si="0"/>
        <v>茄子_01</v>
      </c>
      <c r="D135" s="1">
        <v>5</v>
      </c>
      <c r="E135" s="1">
        <v>1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3">
        <v>29</v>
      </c>
      <c r="L135" s="1">
        <v>1</v>
      </c>
      <c r="M135" s="1">
        <v>100</v>
      </c>
      <c r="N135" s="1">
        <v>100</v>
      </c>
      <c r="Q135" s="37" t="s">
        <v>820</v>
      </c>
      <c r="R135" s="37" t="s">
        <v>819</v>
      </c>
      <c r="S135" s="37">
        <v>0</v>
      </c>
      <c r="U135" s="2" t="s">
        <v>802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5"/>
    </row>
    <row r="136" spans="1:33" x14ac:dyDescent="0.15">
      <c r="A136" s="5" t="s">
        <v>59</v>
      </c>
      <c r="B136" s="3">
        <v>1014</v>
      </c>
      <c r="C136" s="3" t="str">
        <f t="shared" si="0"/>
        <v>豌豆_01</v>
      </c>
      <c r="D136" s="1">
        <v>5</v>
      </c>
      <c r="E136" s="1">
        <v>1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3">
        <v>29</v>
      </c>
      <c r="L136" s="1">
        <v>1</v>
      </c>
      <c r="M136" s="1">
        <v>100</v>
      </c>
      <c r="N136" s="1">
        <v>100</v>
      </c>
      <c r="Q136" s="37" t="s">
        <v>820</v>
      </c>
      <c r="R136" s="37" t="s">
        <v>819</v>
      </c>
      <c r="S136" s="37">
        <v>0</v>
      </c>
      <c r="U136" s="2" t="s">
        <v>802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5"/>
    </row>
    <row r="137" spans="1:33" x14ac:dyDescent="0.15">
      <c r="A137" s="5" t="s">
        <v>49</v>
      </c>
      <c r="B137" s="3">
        <v>1015</v>
      </c>
      <c r="C137" s="3" t="str">
        <f t="shared" si="0"/>
        <v>土豆_01</v>
      </c>
      <c r="D137" s="1">
        <v>5</v>
      </c>
      <c r="E137" s="1">
        <v>1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3">
        <v>29</v>
      </c>
      <c r="L137" s="1">
        <v>1</v>
      </c>
      <c r="M137" s="1">
        <v>100</v>
      </c>
      <c r="N137" s="1">
        <v>100</v>
      </c>
      <c r="Q137" s="37" t="s">
        <v>820</v>
      </c>
      <c r="R137" s="37" t="s">
        <v>819</v>
      </c>
      <c r="S137" s="37">
        <v>0</v>
      </c>
      <c r="U137" s="2" t="s">
        <v>802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5"/>
    </row>
    <row r="138" spans="1:33" x14ac:dyDescent="0.15">
      <c r="A138" s="5" t="s">
        <v>25</v>
      </c>
      <c r="B138" s="3">
        <v>1016</v>
      </c>
      <c r="C138" s="3" t="str">
        <f t="shared" si="0"/>
        <v>大蒜_01</v>
      </c>
      <c r="D138" s="1">
        <v>5</v>
      </c>
      <c r="E138" s="1">
        <v>1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3">
        <v>29</v>
      </c>
      <c r="L138" s="1">
        <v>1</v>
      </c>
      <c r="M138" s="1">
        <v>100</v>
      </c>
      <c r="N138" s="1">
        <v>100</v>
      </c>
      <c r="Q138" s="37" t="s">
        <v>820</v>
      </c>
      <c r="R138" s="37" t="s">
        <v>819</v>
      </c>
      <c r="S138" s="37">
        <v>0</v>
      </c>
      <c r="U138" s="2" t="s">
        <v>802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5"/>
    </row>
    <row r="139" spans="1:33" x14ac:dyDescent="0.15">
      <c r="A139" s="5" t="s">
        <v>50</v>
      </c>
      <c r="B139" s="3">
        <v>1017</v>
      </c>
      <c r="C139" s="3" t="str">
        <f t="shared" si="0"/>
        <v>芦笋_01</v>
      </c>
      <c r="D139" s="1">
        <v>5</v>
      </c>
      <c r="E139" s="1">
        <v>1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3">
        <v>29</v>
      </c>
      <c r="L139" s="1">
        <v>1</v>
      </c>
      <c r="M139" s="1">
        <v>100</v>
      </c>
      <c r="N139" s="1">
        <v>100</v>
      </c>
      <c r="Q139" s="37" t="s">
        <v>820</v>
      </c>
      <c r="R139" s="37" t="s">
        <v>819</v>
      </c>
      <c r="S139" s="37">
        <v>0</v>
      </c>
      <c r="U139" s="2" t="s">
        <v>802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5"/>
    </row>
    <row r="140" spans="1:33" x14ac:dyDescent="0.15">
      <c r="A140" s="5" t="s">
        <v>22</v>
      </c>
      <c r="B140" s="3">
        <v>1018</v>
      </c>
      <c r="C140" s="3" t="str">
        <f t="shared" si="0"/>
        <v>南瓜_01</v>
      </c>
      <c r="D140" s="1">
        <v>5</v>
      </c>
      <c r="E140" s="1">
        <v>1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3">
        <v>29</v>
      </c>
      <c r="L140" s="1">
        <v>1</v>
      </c>
      <c r="M140" s="1">
        <v>100</v>
      </c>
      <c r="N140" s="1">
        <v>100</v>
      </c>
      <c r="Q140" s="37" t="s">
        <v>820</v>
      </c>
      <c r="R140" s="37" t="s">
        <v>819</v>
      </c>
      <c r="S140" s="37">
        <v>0</v>
      </c>
      <c r="U140" s="2" t="s">
        <v>802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 spans="1:33" x14ac:dyDescent="0.15">
      <c r="A141" s="5" t="s">
        <v>48</v>
      </c>
      <c r="B141" s="3">
        <v>1019</v>
      </c>
      <c r="C141" s="3" t="str">
        <f t="shared" si="0"/>
        <v>玉米_01</v>
      </c>
      <c r="D141" s="1">
        <v>5</v>
      </c>
      <c r="E141" s="1">
        <v>1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3">
        <v>29</v>
      </c>
      <c r="L141" s="1">
        <v>1</v>
      </c>
      <c r="M141" s="1">
        <v>100</v>
      </c>
      <c r="N141" s="1">
        <v>100</v>
      </c>
      <c r="Q141" s="37" t="s">
        <v>820</v>
      </c>
      <c r="R141" s="37" t="s">
        <v>819</v>
      </c>
      <c r="S141" s="37">
        <v>0</v>
      </c>
      <c r="U141" s="2" t="s">
        <v>802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 spans="1:33" x14ac:dyDescent="0.15">
      <c r="A142" s="5" t="s">
        <v>788</v>
      </c>
      <c r="B142" s="3">
        <v>1020</v>
      </c>
      <c r="C142" s="3" t="str">
        <f>A142&amp;"_01"</f>
        <v>大麦_01</v>
      </c>
      <c r="D142" s="1">
        <v>5</v>
      </c>
      <c r="E142" s="1">
        <v>1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3">
        <v>29</v>
      </c>
      <c r="L142" s="1">
        <v>1</v>
      </c>
      <c r="M142" s="1">
        <v>100</v>
      </c>
      <c r="N142" s="1">
        <v>100</v>
      </c>
      <c r="Q142" s="37" t="s">
        <v>820</v>
      </c>
      <c r="R142" s="37" t="s">
        <v>819</v>
      </c>
      <c r="S142" s="37">
        <v>0</v>
      </c>
      <c r="U142" s="2" t="s">
        <v>802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 spans="1:33" x14ac:dyDescent="0.15">
      <c r="A143" s="5" t="s">
        <v>55</v>
      </c>
      <c r="B143" s="3">
        <v>1021</v>
      </c>
      <c r="C143" s="3" t="str">
        <f t="shared" si="0"/>
        <v>啤酒花_01</v>
      </c>
      <c r="D143" s="1">
        <v>5</v>
      </c>
      <c r="E143" s="1">
        <v>1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3">
        <v>29</v>
      </c>
      <c r="L143" s="1">
        <v>1</v>
      </c>
      <c r="M143" s="1">
        <v>100</v>
      </c>
      <c r="N143" s="1">
        <v>100</v>
      </c>
      <c r="Q143" s="37" t="s">
        <v>820</v>
      </c>
      <c r="R143" s="37" t="s">
        <v>819</v>
      </c>
      <c r="S143" s="37">
        <v>0</v>
      </c>
      <c r="U143" s="2" t="s">
        <v>802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</row>
    <row r="144" spans="1:33" x14ac:dyDescent="0.15">
      <c r="A144" s="5" t="s">
        <v>24</v>
      </c>
      <c r="B144" s="3">
        <v>1022</v>
      </c>
      <c r="C144" s="3" t="str">
        <f t="shared" si="0"/>
        <v>葡萄_01</v>
      </c>
      <c r="D144" s="1">
        <v>5</v>
      </c>
      <c r="E144" s="1">
        <v>1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3">
        <v>29</v>
      </c>
      <c r="L144" s="1">
        <v>1</v>
      </c>
      <c r="M144" s="1">
        <v>100</v>
      </c>
      <c r="N144" s="1">
        <v>100</v>
      </c>
      <c r="Q144" s="37" t="s">
        <v>820</v>
      </c>
      <c r="R144" s="37" t="s">
        <v>819</v>
      </c>
      <c r="S144" s="37">
        <v>0</v>
      </c>
      <c r="U144" s="2" t="s">
        <v>802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 spans="1:32" x14ac:dyDescent="0.15">
      <c r="A145" s="5" t="s">
        <v>56</v>
      </c>
      <c r="B145" s="3">
        <v>1023</v>
      </c>
      <c r="C145" s="3" t="str">
        <f t="shared" si="0"/>
        <v>菠萝_01</v>
      </c>
      <c r="D145" s="1">
        <v>5</v>
      </c>
      <c r="E145" s="1">
        <v>1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3">
        <v>29</v>
      </c>
      <c r="L145" s="1">
        <v>1</v>
      </c>
      <c r="M145" s="1">
        <v>100</v>
      </c>
      <c r="N145" s="1">
        <v>100</v>
      </c>
      <c r="Q145" s="37" t="s">
        <v>820</v>
      </c>
      <c r="R145" s="37" t="s">
        <v>819</v>
      </c>
      <c r="S145" s="37">
        <v>0</v>
      </c>
      <c r="U145" s="2" t="s">
        <v>802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 spans="1:32" x14ac:dyDescent="0.15">
      <c r="A146" s="5" t="s">
        <v>57</v>
      </c>
      <c r="B146" s="3">
        <v>1024</v>
      </c>
      <c r="C146" s="3" t="str">
        <f t="shared" si="0"/>
        <v>咖啡_01</v>
      </c>
      <c r="D146" s="1">
        <v>5</v>
      </c>
      <c r="E146" s="1">
        <v>1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3">
        <v>29</v>
      </c>
      <c r="L146" s="1">
        <v>1</v>
      </c>
      <c r="M146" s="1">
        <v>100</v>
      </c>
      <c r="N146" s="1">
        <v>100</v>
      </c>
      <c r="Q146" s="37" t="s">
        <v>820</v>
      </c>
      <c r="R146" s="37" t="s">
        <v>819</v>
      </c>
      <c r="S146" s="37">
        <v>0</v>
      </c>
      <c r="U146" s="2" t="s">
        <v>802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 spans="1:32" x14ac:dyDescent="0.15">
      <c r="A147" s="5" t="s">
        <v>51</v>
      </c>
      <c r="B147" s="3">
        <v>1025</v>
      </c>
      <c r="C147" s="3" t="str">
        <f t="shared" si="0"/>
        <v>草莓_01</v>
      </c>
      <c r="D147" s="1">
        <v>5</v>
      </c>
      <c r="E147" s="1">
        <v>1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3">
        <v>29</v>
      </c>
      <c r="L147" s="1">
        <v>1</v>
      </c>
      <c r="M147" s="1">
        <v>100</v>
      </c>
      <c r="N147" s="1">
        <v>100</v>
      </c>
      <c r="Q147" s="37" t="s">
        <v>820</v>
      </c>
      <c r="R147" s="37" t="s">
        <v>819</v>
      </c>
      <c r="S147" s="37">
        <v>0</v>
      </c>
      <c r="U147" s="2" t="s">
        <v>802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 spans="1:32" x14ac:dyDescent="0.15">
      <c r="A148" s="5" t="s">
        <v>52</v>
      </c>
      <c r="B148" s="3">
        <v>1026</v>
      </c>
      <c r="C148" s="3" t="str">
        <f t="shared" si="0"/>
        <v>蓝莓_01</v>
      </c>
      <c r="D148" s="1">
        <v>5</v>
      </c>
      <c r="E148" s="1">
        <v>1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3">
        <v>29</v>
      </c>
      <c r="L148" s="1">
        <v>1</v>
      </c>
      <c r="M148" s="1">
        <v>100</v>
      </c>
      <c r="N148" s="1">
        <v>100</v>
      </c>
      <c r="Q148" s="37" t="s">
        <v>820</v>
      </c>
      <c r="R148" s="37" t="s">
        <v>819</v>
      </c>
      <c r="S148" s="37">
        <v>0</v>
      </c>
      <c r="U148" s="2" t="s">
        <v>802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</row>
    <row r="149" spans="1:32" x14ac:dyDescent="0.15">
      <c r="A149" s="5" t="s">
        <v>53</v>
      </c>
      <c r="B149" s="3">
        <v>1027</v>
      </c>
      <c r="C149" s="3" t="str">
        <f t="shared" si="0"/>
        <v>红薯_01</v>
      </c>
      <c r="D149" s="1">
        <v>5</v>
      </c>
      <c r="E149" s="1">
        <v>1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3">
        <v>29</v>
      </c>
      <c r="L149" s="1">
        <v>1</v>
      </c>
      <c r="M149" s="1">
        <v>100</v>
      </c>
      <c r="N149" s="1">
        <v>100</v>
      </c>
      <c r="Q149" s="37" t="s">
        <v>820</v>
      </c>
      <c r="R149" s="37" t="s">
        <v>819</v>
      </c>
      <c r="S149" s="37">
        <v>0</v>
      </c>
      <c r="U149" s="2" t="s">
        <v>802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</row>
    <row r="150" spans="1:32" x14ac:dyDescent="0.15">
      <c r="A150" s="5" t="s">
        <v>54</v>
      </c>
      <c r="B150" s="3">
        <v>1028</v>
      </c>
      <c r="C150" s="3" t="str">
        <f t="shared" si="0"/>
        <v>甜菜_01</v>
      </c>
      <c r="D150" s="1">
        <v>5</v>
      </c>
      <c r="E150" s="1">
        <v>1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3">
        <v>29</v>
      </c>
      <c r="L150" s="1">
        <v>1</v>
      </c>
      <c r="M150" s="1">
        <v>100</v>
      </c>
      <c r="N150" s="1">
        <v>100</v>
      </c>
      <c r="Q150" s="37" t="s">
        <v>820</v>
      </c>
      <c r="R150" s="37" t="s">
        <v>819</v>
      </c>
      <c r="S150" s="37">
        <v>0</v>
      </c>
      <c r="U150" s="2" t="s">
        <v>802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</row>
    <row r="151" spans="1:32" x14ac:dyDescent="0.15">
      <c r="A151" s="5" t="s">
        <v>60</v>
      </c>
      <c r="B151" s="3">
        <f>B123+100</f>
        <v>1101</v>
      </c>
      <c r="C151" s="3" t="s">
        <v>60</v>
      </c>
      <c r="D151" s="1">
        <v>0</v>
      </c>
      <c r="E151" s="1">
        <v>8001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3">
        <v>29</v>
      </c>
      <c r="L151" s="1">
        <v>1</v>
      </c>
      <c r="M151" s="1">
        <v>100</v>
      </c>
      <c r="N151" s="1">
        <v>100</v>
      </c>
      <c r="Q151" s="37" t="s">
        <v>820</v>
      </c>
      <c r="R151" s="37" t="s">
        <v>819</v>
      </c>
      <c r="S151" s="37">
        <v>0</v>
      </c>
      <c r="U151" s="2" t="s">
        <v>802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</row>
    <row r="152" spans="1:32" x14ac:dyDescent="0.15">
      <c r="A152" s="9" t="s">
        <v>61</v>
      </c>
      <c r="B152" s="3">
        <f t="shared" ref="B152:B178" si="1">B124+100</f>
        <v>1102</v>
      </c>
      <c r="C152" s="3" t="s">
        <v>61</v>
      </c>
      <c r="D152" s="1">
        <v>0</v>
      </c>
      <c r="E152" s="1">
        <v>8002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3">
        <v>29</v>
      </c>
      <c r="L152" s="1">
        <v>1</v>
      </c>
      <c r="M152" s="1">
        <v>100</v>
      </c>
      <c r="N152" s="1">
        <v>100</v>
      </c>
      <c r="Q152" s="37" t="s">
        <v>820</v>
      </c>
      <c r="R152" s="37" t="s">
        <v>819</v>
      </c>
      <c r="S152" s="37">
        <v>0</v>
      </c>
      <c r="U152" s="2" t="s">
        <v>802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 spans="1:32" x14ac:dyDescent="0.15">
      <c r="A153" s="5" t="s">
        <v>162</v>
      </c>
      <c r="B153" s="3">
        <f t="shared" si="1"/>
        <v>1103</v>
      </c>
      <c r="C153" s="3" t="s">
        <v>162</v>
      </c>
      <c r="D153" s="1">
        <v>0</v>
      </c>
      <c r="E153" s="1">
        <v>8003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3">
        <v>29</v>
      </c>
      <c r="L153" s="1">
        <v>1</v>
      </c>
      <c r="M153" s="1">
        <v>100</v>
      </c>
      <c r="N153" s="1">
        <v>100</v>
      </c>
      <c r="Q153" s="37" t="s">
        <v>820</v>
      </c>
      <c r="R153" s="37" t="s">
        <v>819</v>
      </c>
      <c r="S153" s="37">
        <v>0</v>
      </c>
      <c r="U153" s="2" t="s">
        <v>802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</row>
    <row r="154" spans="1:32" x14ac:dyDescent="0.15">
      <c r="A154" s="9" t="s">
        <v>62</v>
      </c>
      <c r="B154" s="3">
        <f t="shared" si="1"/>
        <v>1104</v>
      </c>
      <c r="C154" s="3" t="s">
        <v>62</v>
      </c>
      <c r="D154" s="1">
        <v>0</v>
      </c>
      <c r="E154" s="1">
        <v>8004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3">
        <v>29</v>
      </c>
      <c r="L154" s="1">
        <v>1</v>
      </c>
      <c r="M154" s="1">
        <v>100</v>
      </c>
      <c r="N154" s="1">
        <v>100</v>
      </c>
      <c r="Q154" s="37" t="s">
        <v>820</v>
      </c>
      <c r="R154" s="37" t="s">
        <v>819</v>
      </c>
      <c r="S154" s="37">
        <v>0</v>
      </c>
      <c r="U154" s="2" t="s">
        <v>802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</row>
    <row r="155" spans="1:32" x14ac:dyDescent="0.15">
      <c r="A155" s="5" t="s">
        <v>63</v>
      </c>
      <c r="B155" s="3">
        <f t="shared" si="1"/>
        <v>1105</v>
      </c>
      <c r="C155" s="3" t="s">
        <v>63</v>
      </c>
      <c r="D155" s="1">
        <v>0</v>
      </c>
      <c r="E155" s="1">
        <v>8005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3">
        <v>29</v>
      </c>
      <c r="L155" s="1">
        <v>1</v>
      </c>
      <c r="M155" s="1">
        <v>100</v>
      </c>
      <c r="N155" s="1">
        <v>100</v>
      </c>
      <c r="Q155" s="37" t="s">
        <v>820</v>
      </c>
      <c r="R155" s="37" t="s">
        <v>819</v>
      </c>
      <c r="S155" s="37">
        <v>0</v>
      </c>
      <c r="U155" s="2" t="s">
        <v>802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</row>
    <row r="156" spans="1:32" x14ac:dyDescent="0.15">
      <c r="A156" s="9" t="s">
        <v>64</v>
      </c>
      <c r="B156" s="3">
        <f t="shared" si="1"/>
        <v>1106</v>
      </c>
      <c r="C156" s="3" t="s">
        <v>64</v>
      </c>
      <c r="D156" s="1">
        <v>0</v>
      </c>
      <c r="E156" s="1">
        <v>8006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3">
        <v>29</v>
      </c>
      <c r="L156" s="1">
        <v>1</v>
      </c>
      <c r="M156" s="1">
        <v>100</v>
      </c>
      <c r="N156" s="1">
        <v>100</v>
      </c>
      <c r="Q156" s="37" t="s">
        <v>820</v>
      </c>
      <c r="R156" s="37" t="s">
        <v>819</v>
      </c>
      <c r="S156" s="37">
        <v>0</v>
      </c>
      <c r="U156" s="2" t="s">
        <v>802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</row>
    <row r="157" spans="1:32" x14ac:dyDescent="0.15">
      <c r="A157" s="9" t="s">
        <v>65</v>
      </c>
      <c r="B157" s="3">
        <f t="shared" si="1"/>
        <v>1107</v>
      </c>
      <c r="C157" s="3" t="s">
        <v>65</v>
      </c>
      <c r="D157" s="1">
        <v>0</v>
      </c>
      <c r="E157" s="1">
        <v>8007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3">
        <v>29</v>
      </c>
      <c r="L157" s="1">
        <v>1</v>
      </c>
      <c r="M157" s="1">
        <v>100</v>
      </c>
      <c r="N157" s="1">
        <v>100</v>
      </c>
      <c r="Q157" s="37" t="s">
        <v>820</v>
      </c>
      <c r="R157" s="37" t="s">
        <v>819</v>
      </c>
      <c r="S157" s="37">
        <v>0</v>
      </c>
      <c r="U157" s="2" t="s">
        <v>802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</row>
    <row r="158" spans="1:32" x14ac:dyDescent="0.15">
      <c r="A158" s="9" t="s">
        <v>66</v>
      </c>
      <c r="B158" s="3">
        <f t="shared" si="1"/>
        <v>1108</v>
      </c>
      <c r="C158" s="3" t="s">
        <v>66</v>
      </c>
      <c r="D158" s="1">
        <v>0</v>
      </c>
      <c r="E158" s="1">
        <v>8008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3">
        <v>29</v>
      </c>
      <c r="L158" s="1">
        <v>1</v>
      </c>
      <c r="M158" s="1">
        <v>100</v>
      </c>
      <c r="N158" s="1">
        <v>100</v>
      </c>
      <c r="Q158" s="37" t="s">
        <v>820</v>
      </c>
      <c r="R158" s="37" t="s">
        <v>819</v>
      </c>
      <c r="S158" s="37">
        <v>0</v>
      </c>
      <c r="U158" s="2" t="s">
        <v>802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</row>
    <row r="159" spans="1:32" x14ac:dyDescent="0.15">
      <c r="A159" s="9" t="s">
        <v>67</v>
      </c>
      <c r="B159" s="3">
        <f t="shared" si="1"/>
        <v>1109</v>
      </c>
      <c r="C159" s="3" t="s">
        <v>67</v>
      </c>
      <c r="D159" s="1">
        <v>0</v>
      </c>
      <c r="E159" s="1">
        <v>8009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3">
        <v>29</v>
      </c>
      <c r="L159" s="1">
        <v>1</v>
      </c>
      <c r="M159" s="1">
        <v>100</v>
      </c>
      <c r="N159" s="1">
        <v>100</v>
      </c>
      <c r="Q159" s="37" t="s">
        <v>820</v>
      </c>
      <c r="R159" s="37" t="s">
        <v>819</v>
      </c>
      <c r="S159" s="37">
        <v>0</v>
      </c>
      <c r="U159" s="2" t="s">
        <v>802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</row>
    <row r="160" spans="1:32" x14ac:dyDescent="0.15">
      <c r="A160" s="9" t="s">
        <v>68</v>
      </c>
      <c r="B160" s="3">
        <f t="shared" si="1"/>
        <v>1110</v>
      </c>
      <c r="C160" s="3" t="s">
        <v>68</v>
      </c>
      <c r="D160" s="1">
        <v>0</v>
      </c>
      <c r="E160" s="1">
        <v>8010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3">
        <v>29</v>
      </c>
      <c r="L160" s="1">
        <v>1</v>
      </c>
      <c r="M160" s="1">
        <v>100</v>
      </c>
      <c r="N160" s="1">
        <v>100</v>
      </c>
      <c r="Q160" s="37" t="s">
        <v>820</v>
      </c>
      <c r="R160" s="37" t="s">
        <v>819</v>
      </c>
      <c r="S160" s="37">
        <v>0</v>
      </c>
      <c r="U160" s="2" t="s">
        <v>802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</row>
    <row r="161" spans="1:32" x14ac:dyDescent="0.15">
      <c r="A161" s="9" t="s">
        <v>69</v>
      </c>
      <c r="B161" s="3">
        <f t="shared" si="1"/>
        <v>1111</v>
      </c>
      <c r="C161" s="3" t="s">
        <v>69</v>
      </c>
      <c r="D161" s="1">
        <v>0</v>
      </c>
      <c r="E161" s="1">
        <v>8011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3">
        <v>29</v>
      </c>
      <c r="L161" s="1">
        <v>1</v>
      </c>
      <c r="M161" s="1">
        <v>100</v>
      </c>
      <c r="N161" s="1">
        <v>100</v>
      </c>
      <c r="Q161" s="37" t="s">
        <v>820</v>
      </c>
      <c r="R161" s="37" t="s">
        <v>819</v>
      </c>
      <c r="S161" s="37">
        <v>0</v>
      </c>
      <c r="U161" s="2" t="s">
        <v>802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</row>
    <row r="162" spans="1:32" x14ac:dyDescent="0.15">
      <c r="A162" s="5" t="s">
        <v>70</v>
      </c>
      <c r="B162" s="3">
        <f t="shared" si="1"/>
        <v>1112</v>
      </c>
      <c r="C162" s="3" t="s">
        <v>70</v>
      </c>
      <c r="D162" s="1">
        <v>0</v>
      </c>
      <c r="E162" s="1">
        <v>8012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3">
        <v>29</v>
      </c>
      <c r="L162" s="1">
        <v>1</v>
      </c>
      <c r="M162" s="1">
        <v>100</v>
      </c>
      <c r="N162" s="1">
        <v>100</v>
      </c>
      <c r="Q162" s="37" t="s">
        <v>820</v>
      </c>
      <c r="R162" s="37" t="s">
        <v>819</v>
      </c>
      <c r="S162" s="37">
        <v>0</v>
      </c>
      <c r="U162" s="2" t="s">
        <v>802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</row>
    <row r="163" spans="1:32" x14ac:dyDescent="0.15">
      <c r="A163" s="9" t="s">
        <v>71</v>
      </c>
      <c r="B163" s="3">
        <f t="shared" si="1"/>
        <v>1113</v>
      </c>
      <c r="C163" s="3" t="s">
        <v>71</v>
      </c>
      <c r="D163" s="1">
        <v>0</v>
      </c>
      <c r="E163" s="1">
        <v>8013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3">
        <v>29</v>
      </c>
      <c r="L163" s="1">
        <v>1</v>
      </c>
      <c r="M163" s="1">
        <v>100</v>
      </c>
      <c r="N163" s="1">
        <v>100</v>
      </c>
      <c r="Q163" s="37" t="s">
        <v>820</v>
      </c>
      <c r="R163" s="37" t="s">
        <v>819</v>
      </c>
      <c r="S163" s="37">
        <v>0</v>
      </c>
      <c r="U163" s="2" t="s">
        <v>802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</row>
    <row r="164" spans="1:32" x14ac:dyDescent="0.15">
      <c r="A164" s="5" t="s">
        <v>72</v>
      </c>
      <c r="B164" s="3">
        <f t="shared" si="1"/>
        <v>1114</v>
      </c>
      <c r="C164" s="3" t="s">
        <v>72</v>
      </c>
      <c r="D164" s="1">
        <v>0</v>
      </c>
      <c r="E164" s="1">
        <v>8014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3">
        <v>29</v>
      </c>
      <c r="L164" s="1">
        <v>1</v>
      </c>
      <c r="M164" s="1">
        <v>100</v>
      </c>
      <c r="N164" s="1">
        <v>100</v>
      </c>
      <c r="Q164" s="37" t="s">
        <v>820</v>
      </c>
      <c r="R164" s="37" t="s">
        <v>819</v>
      </c>
      <c r="S164" s="37">
        <v>0</v>
      </c>
      <c r="U164" s="2" t="s">
        <v>802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</row>
    <row r="165" spans="1:32" x14ac:dyDescent="0.15">
      <c r="A165" s="9" t="s">
        <v>73</v>
      </c>
      <c r="B165" s="3">
        <f t="shared" si="1"/>
        <v>1115</v>
      </c>
      <c r="C165" s="3" t="s">
        <v>73</v>
      </c>
      <c r="D165" s="1">
        <v>0</v>
      </c>
      <c r="E165" s="1">
        <v>8015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3">
        <v>29</v>
      </c>
      <c r="L165" s="1">
        <v>1</v>
      </c>
      <c r="M165" s="1">
        <v>100</v>
      </c>
      <c r="N165" s="1">
        <v>100</v>
      </c>
      <c r="Q165" s="37" t="s">
        <v>820</v>
      </c>
      <c r="R165" s="37" t="s">
        <v>819</v>
      </c>
      <c r="S165" s="37">
        <v>0</v>
      </c>
      <c r="U165" s="2" t="s">
        <v>802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</row>
    <row r="166" spans="1:32" x14ac:dyDescent="0.15">
      <c r="A166" s="9" t="s">
        <v>74</v>
      </c>
      <c r="B166" s="3">
        <f t="shared" si="1"/>
        <v>1116</v>
      </c>
      <c r="C166" s="3" t="s">
        <v>74</v>
      </c>
      <c r="D166" s="1">
        <v>0</v>
      </c>
      <c r="E166" s="1">
        <v>8016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3">
        <v>29</v>
      </c>
      <c r="L166" s="1">
        <v>1</v>
      </c>
      <c r="M166" s="1">
        <v>100</v>
      </c>
      <c r="N166" s="1">
        <v>100</v>
      </c>
      <c r="Q166" s="37" t="s">
        <v>820</v>
      </c>
      <c r="R166" s="37" t="s">
        <v>819</v>
      </c>
      <c r="S166" s="37">
        <v>0</v>
      </c>
      <c r="U166" s="2" t="s">
        <v>802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</row>
    <row r="167" spans="1:32" x14ac:dyDescent="0.15">
      <c r="A167" s="5" t="s">
        <v>75</v>
      </c>
      <c r="B167" s="3">
        <f t="shared" si="1"/>
        <v>1117</v>
      </c>
      <c r="C167" s="3" t="s">
        <v>75</v>
      </c>
      <c r="D167" s="1">
        <v>0</v>
      </c>
      <c r="E167" s="1">
        <v>8017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3">
        <v>29</v>
      </c>
      <c r="L167" s="1">
        <v>1</v>
      </c>
      <c r="M167" s="1">
        <v>100</v>
      </c>
      <c r="N167" s="1">
        <v>100</v>
      </c>
      <c r="Q167" s="37" t="s">
        <v>820</v>
      </c>
      <c r="R167" s="37" t="s">
        <v>819</v>
      </c>
      <c r="S167" s="37">
        <v>0</v>
      </c>
      <c r="U167" s="2" t="s">
        <v>802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</row>
    <row r="168" spans="1:32" x14ac:dyDescent="0.15">
      <c r="A168" s="9" t="s">
        <v>76</v>
      </c>
      <c r="B168" s="3">
        <f t="shared" si="1"/>
        <v>1118</v>
      </c>
      <c r="C168" s="3" t="s">
        <v>76</v>
      </c>
      <c r="D168" s="1">
        <v>0</v>
      </c>
      <c r="E168" s="1">
        <v>8018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3">
        <v>29</v>
      </c>
      <c r="L168" s="1">
        <v>1</v>
      </c>
      <c r="M168" s="1">
        <v>100</v>
      </c>
      <c r="N168" s="1">
        <v>100</v>
      </c>
      <c r="Q168" s="37" t="s">
        <v>820</v>
      </c>
      <c r="R168" s="37" t="s">
        <v>819</v>
      </c>
      <c r="S168" s="37">
        <v>0</v>
      </c>
      <c r="U168" s="2" t="s">
        <v>802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</row>
    <row r="169" spans="1:32" x14ac:dyDescent="0.15">
      <c r="A169" s="9" t="s">
        <v>77</v>
      </c>
      <c r="B169" s="3">
        <f t="shared" si="1"/>
        <v>1119</v>
      </c>
      <c r="C169" s="3" t="s">
        <v>77</v>
      </c>
      <c r="D169" s="1">
        <v>0</v>
      </c>
      <c r="E169" s="1">
        <v>8019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3">
        <v>29</v>
      </c>
      <c r="L169" s="1">
        <v>1</v>
      </c>
      <c r="M169" s="1">
        <v>100</v>
      </c>
      <c r="N169" s="1">
        <v>100</v>
      </c>
      <c r="Q169" s="37" t="s">
        <v>820</v>
      </c>
      <c r="R169" s="37" t="s">
        <v>819</v>
      </c>
      <c r="S169" s="37">
        <v>0</v>
      </c>
      <c r="U169" s="2" t="s">
        <v>802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</row>
    <row r="170" spans="1:32" x14ac:dyDescent="0.15">
      <c r="A170" s="9" t="s">
        <v>78</v>
      </c>
      <c r="B170" s="3">
        <f t="shared" si="1"/>
        <v>1120</v>
      </c>
      <c r="C170" s="3" t="s">
        <v>78</v>
      </c>
      <c r="D170" s="1">
        <v>0</v>
      </c>
      <c r="E170" s="1">
        <v>8020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3">
        <v>29</v>
      </c>
      <c r="L170" s="1">
        <v>1</v>
      </c>
      <c r="M170" s="1">
        <v>100</v>
      </c>
      <c r="N170" s="1">
        <v>100</v>
      </c>
      <c r="Q170" s="37" t="s">
        <v>820</v>
      </c>
      <c r="R170" s="37" t="s">
        <v>819</v>
      </c>
      <c r="S170" s="37">
        <v>0</v>
      </c>
      <c r="U170" s="2" t="s">
        <v>802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</row>
    <row r="171" spans="1:32" x14ac:dyDescent="0.15">
      <c r="A171" s="5" t="s">
        <v>79</v>
      </c>
      <c r="B171" s="3">
        <f t="shared" si="1"/>
        <v>1121</v>
      </c>
      <c r="C171" s="3" t="s">
        <v>79</v>
      </c>
      <c r="D171" s="1">
        <v>0</v>
      </c>
      <c r="E171" s="1">
        <v>8021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3">
        <v>29</v>
      </c>
      <c r="L171" s="1">
        <v>1</v>
      </c>
      <c r="M171" s="1">
        <v>100</v>
      </c>
      <c r="N171" s="1">
        <v>100</v>
      </c>
      <c r="Q171" s="37" t="s">
        <v>820</v>
      </c>
      <c r="R171" s="37" t="s">
        <v>819</v>
      </c>
      <c r="S171" s="37">
        <v>0</v>
      </c>
      <c r="U171" s="2" t="s">
        <v>802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</row>
    <row r="172" spans="1:32" x14ac:dyDescent="0.15">
      <c r="A172" s="9" t="s">
        <v>80</v>
      </c>
      <c r="B172" s="3">
        <f t="shared" si="1"/>
        <v>1122</v>
      </c>
      <c r="C172" s="3" t="s">
        <v>80</v>
      </c>
      <c r="D172" s="1">
        <v>0</v>
      </c>
      <c r="E172" s="1">
        <v>8022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3">
        <v>29</v>
      </c>
      <c r="L172" s="1">
        <v>1</v>
      </c>
      <c r="M172" s="1">
        <v>100</v>
      </c>
      <c r="N172" s="1">
        <v>100</v>
      </c>
      <c r="Q172" s="37" t="s">
        <v>820</v>
      </c>
      <c r="R172" s="37" t="s">
        <v>819</v>
      </c>
      <c r="S172" s="37">
        <v>0</v>
      </c>
      <c r="U172" s="2" t="s">
        <v>802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</row>
    <row r="173" spans="1:32" x14ac:dyDescent="0.15">
      <c r="A173" s="5" t="s">
        <v>81</v>
      </c>
      <c r="B173" s="3">
        <f t="shared" si="1"/>
        <v>1123</v>
      </c>
      <c r="C173" s="3" t="s">
        <v>81</v>
      </c>
      <c r="D173" s="1">
        <v>0</v>
      </c>
      <c r="E173" s="1">
        <v>8023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3">
        <v>29</v>
      </c>
      <c r="L173" s="1">
        <v>1</v>
      </c>
      <c r="M173" s="1">
        <v>100</v>
      </c>
      <c r="N173" s="1">
        <v>100</v>
      </c>
      <c r="Q173" s="37" t="s">
        <v>820</v>
      </c>
      <c r="R173" s="37" t="s">
        <v>819</v>
      </c>
      <c r="S173" s="37">
        <v>0</v>
      </c>
      <c r="U173" s="2" t="s">
        <v>802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</row>
    <row r="174" spans="1:32" x14ac:dyDescent="0.15">
      <c r="A174" s="5" t="s">
        <v>82</v>
      </c>
      <c r="B174" s="3">
        <f t="shared" si="1"/>
        <v>1124</v>
      </c>
      <c r="C174" s="3" t="s">
        <v>82</v>
      </c>
      <c r="D174" s="1">
        <v>0</v>
      </c>
      <c r="E174" s="1">
        <v>8024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3">
        <v>29</v>
      </c>
      <c r="L174" s="1">
        <v>1</v>
      </c>
      <c r="M174" s="1">
        <v>100</v>
      </c>
      <c r="N174" s="1">
        <v>100</v>
      </c>
      <c r="Q174" s="37" t="s">
        <v>820</v>
      </c>
      <c r="R174" s="37" t="s">
        <v>819</v>
      </c>
      <c r="S174" s="37">
        <v>0</v>
      </c>
      <c r="U174" s="2" t="s">
        <v>802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</row>
    <row r="175" spans="1:32" x14ac:dyDescent="0.15">
      <c r="A175" s="9" t="s">
        <v>83</v>
      </c>
      <c r="B175" s="3">
        <f t="shared" si="1"/>
        <v>1125</v>
      </c>
      <c r="C175" s="3" t="s">
        <v>83</v>
      </c>
      <c r="D175" s="1">
        <v>0</v>
      </c>
      <c r="E175" s="1">
        <v>8025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3">
        <v>29</v>
      </c>
      <c r="L175" s="1">
        <v>1</v>
      </c>
      <c r="M175" s="1">
        <v>100</v>
      </c>
      <c r="N175" s="1">
        <v>100</v>
      </c>
      <c r="Q175" s="37" t="s">
        <v>820</v>
      </c>
      <c r="R175" s="37" t="s">
        <v>819</v>
      </c>
      <c r="S175" s="37">
        <v>0</v>
      </c>
      <c r="U175" s="2" t="s">
        <v>802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</row>
    <row r="176" spans="1:32" x14ac:dyDescent="0.15">
      <c r="A176" s="9" t="s">
        <v>84</v>
      </c>
      <c r="B176" s="3">
        <f t="shared" si="1"/>
        <v>1126</v>
      </c>
      <c r="C176" s="3" t="s">
        <v>84</v>
      </c>
      <c r="D176" s="1">
        <v>0</v>
      </c>
      <c r="E176" s="1">
        <v>8026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3">
        <v>29</v>
      </c>
      <c r="L176" s="1">
        <v>1</v>
      </c>
      <c r="M176" s="1">
        <v>100</v>
      </c>
      <c r="N176" s="1">
        <v>100</v>
      </c>
      <c r="Q176" s="37" t="s">
        <v>820</v>
      </c>
      <c r="R176" s="37" t="s">
        <v>819</v>
      </c>
      <c r="S176" s="37">
        <v>0</v>
      </c>
      <c r="U176" s="2" t="s">
        <v>802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</row>
    <row r="177" spans="1:32" x14ac:dyDescent="0.15">
      <c r="A177" s="9" t="s">
        <v>85</v>
      </c>
      <c r="B177" s="3">
        <f t="shared" si="1"/>
        <v>1127</v>
      </c>
      <c r="C177" s="3" t="s">
        <v>85</v>
      </c>
      <c r="D177" s="1">
        <v>0</v>
      </c>
      <c r="E177" s="1">
        <v>8027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3">
        <v>29</v>
      </c>
      <c r="L177" s="1">
        <v>1</v>
      </c>
      <c r="M177" s="1">
        <v>100</v>
      </c>
      <c r="N177" s="1">
        <v>100</v>
      </c>
      <c r="Q177" s="37" t="s">
        <v>820</v>
      </c>
      <c r="R177" s="37" t="s">
        <v>819</v>
      </c>
      <c r="S177" s="37">
        <v>0</v>
      </c>
      <c r="U177" s="2" t="s">
        <v>802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</row>
    <row r="178" spans="1:32" x14ac:dyDescent="0.15">
      <c r="A178" s="9" t="s">
        <v>86</v>
      </c>
      <c r="B178" s="3">
        <f t="shared" si="1"/>
        <v>1128</v>
      </c>
      <c r="C178" s="3" t="s">
        <v>86</v>
      </c>
      <c r="D178" s="1">
        <v>0</v>
      </c>
      <c r="E178" s="1">
        <v>8028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3">
        <v>29</v>
      </c>
      <c r="L178" s="1">
        <v>1</v>
      </c>
      <c r="M178" s="1">
        <v>100</v>
      </c>
      <c r="N178" s="1">
        <v>100</v>
      </c>
      <c r="Q178" s="37" t="s">
        <v>820</v>
      </c>
      <c r="R178" s="37" t="s">
        <v>819</v>
      </c>
      <c r="S178" s="37">
        <v>0</v>
      </c>
      <c r="U178" s="2" t="s">
        <v>802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</row>
    <row r="179" spans="1:32" x14ac:dyDescent="0.15">
      <c r="A179" s="1" t="s">
        <v>343</v>
      </c>
      <c r="B179" s="3">
        <v>1600</v>
      </c>
      <c r="C179" s="29" t="s">
        <v>343</v>
      </c>
      <c r="D179" s="1">
        <v>1</v>
      </c>
      <c r="E179" s="1">
        <v>0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  <c r="K179" s="3">
        <v>1</v>
      </c>
      <c r="L179" s="1">
        <v>1</v>
      </c>
      <c r="M179" s="1">
        <v>100</v>
      </c>
      <c r="N179" s="1">
        <v>100</v>
      </c>
      <c r="Q179" s="37" t="s">
        <v>820</v>
      </c>
      <c r="R179" s="37" t="s">
        <v>819</v>
      </c>
      <c r="S179" s="37">
        <v>0</v>
      </c>
      <c r="U179" s="2" t="s">
        <v>803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</row>
    <row r="180" spans="1:32" x14ac:dyDescent="0.15">
      <c r="A180" s="1" t="s">
        <v>344</v>
      </c>
      <c r="B180" s="3">
        <v>1601</v>
      </c>
      <c r="C180" s="1" t="s">
        <v>344</v>
      </c>
      <c r="D180" s="1">
        <v>1</v>
      </c>
      <c r="E180" s="1">
        <v>1009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3">
        <v>1</v>
      </c>
      <c r="L180" s="1">
        <v>1</v>
      </c>
      <c r="M180" s="1">
        <v>100</v>
      </c>
      <c r="N180" s="1">
        <v>100</v>
      </c>
      <c r="Q180" s="37" t="s">
        <v>820</v>
      </c>
      <c r="R180" s="37" t="s">
        <v>819</v>
      </c>
      <c r="S180" s="37">
        <v>0</v>
      </c>
      <c r="U180" s="2" t="s">
        <v>803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32</v>
      </c>
      <c r="AC180" s="1">
        <v>0</v>
      </c>
      <c r="AD180" s="1">
        <v>-10</v>
      </c>
      <c r="AE180" s="1">
        <v>0</v>
      </c>
      <c r="AF180" s="1">
        <v>0</v>
      </c>
    </row>
    <row r="181" spans="1:32" x14ac:dyDescent="0.15">
      <c r="A181" s="1" t="s">
        <v>404</v>
      </c>
      <c r="B181" s="3">
        <v>1602</v>
      </c>
      <c r="C181" s="31" t="s">
        <v>404</v>
      </c>
      <c r="D181" s="1">
        <v>1</v>
      </c>
      <c r="E181" s="1">
        <v>1191</v>
      </c>
      <c r="F181" s="1">
        <v>1</v>
      </c>
      <c r="G181" s="1">
        <v>0</v>
      </c>
      <c r="H181" s="1">
        <v>0</v>
      </c>
      <c r="I181" s="1">
        <v>2</v>
      </c>
      <c r="J181" s="1">
        <v>0</v>
      </c>
      <c r="K181" s="3">
        <v>1</v>
      </c>
      <c r="L181" s="1">
        <v>1</v>
      </c>
      <c r="M181" s="1">
        <v>100</v>
      </c>
      <c r="N181" s="1">
        <v>100</v>
      </c>
      <c r="Q181" s="37" t="s">
        <v>820</v>
      </c>
      <c r="R181" s="37" t="s">
        <v>819</v>
      </c>
      <c r="S181" s="37">
        <v>0</v>
      </c>
      <c r="U181" s="2" t="s">
        <v>803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70</v>
      </c>
      <c r="AC181" s="1">
        <v>0</v>
      </c>
      <c r="AD181" s="1">
        <v>0</v>
      </c>
      <c r="AE181" s="1">
        <v>0</v>
      </c>
      <c r="AF181" s="1">
        <v>0</v>
      </c>
    </row>
    <row r="182" spans="1:32" x14ac:dyDescent="0.15">
      <c r="A182" s="1" t="s">
        <v>345</v>
      </c>
      <c r="B182" s="3">
        <v>1603</v>
      </c>
      <c r="C182" s="32" t="s">
        <v>345</v>
      </c>
      <c r="D182" s="1">
        <v>1</v>
      </c>
      <c r="E182" s="1">
        <v>1282</v>
      </c>
      <c r="F182" s="1">
        <v>1</v>
      </c>
      <c r="G182" s="1">
        <v>0</v>
      </c>
      <c r="H182" s="1">
        <v>0</v>
      </c>
      <c r="I182" s="1">
        <v>5</v>
      </c>
      <c r="J182" s="1">
        <v>0</v>
      </c>
      <c r="K182" s="3">
        <v>1</v>
      </c>
      <c r="L182" s="1">
        <v>1</v>
      </c>
      <c r="M182" s="1">
        <v>100</v>
      </c>
      <c r="N182" s="1">
        <v>100</v>
      </c>
      <c r="Q182" s="37" t="s">
        <v>820</v>
      </c>
      <c r="R182" s="37" t="s">
        <v>819</v>
      </c>
      <c r="S182" s="37">
        <v>0</v>
      </c>
      <c r="U182" s="2" t="s">
        <v>803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53</v>
      </c>
      <c r="AC182" s="1">
        <v>10</v>
      </c>
      <c r="AD182" s="1">
        <v>0</v>
      </c>
      <c r="AE182" s="1">
        <v>0</v>
      </c>
      <c r="AF182" s="1">
        <v>0</v>
      </c>
    </row>
    <row r="183" spans="1:32" x14ac:dyDescent="0.15">
      <c r="A183" s="1" t="s">
        <v>405</v>
      </c>
      <c r="B183" s="3">
        <v>1604</v>
      </c>
      <c r="C183" s="30" t="s">
        <v>405</v>
      </c>
      <c r="D183" s="1">
        <v>1</v>
      </c>
      <c r="E183" s="1">
        <v>1100</v>
      </c>
      <c r="F183" s="1">
        <v>1</v>
      </c>
      <c r="G183" s="1">
        <v>0</v>
      </c>
      <c r="H183" s="1">
        <v>0</v>
      </c>
      <c r="I183" s="1">
        <v>3</v>
      </c>
      <c r="J183" s="1">
        <v>0</v>
      </c>
      <c r="K183" s="3">
        <v>1</v>
      </c>
      <c r="L183" s="1">
        <v>1</v>
      </c>
      <c r="M183" s="1">
        <v>100</v>
      </c>
      <c r="N183" s="1">
        <v>100</v>
      </c>
      <c r="Q183" s="37" t="s">
        <v>820</v>
      </c>
      <c r="R183" s="37" t="s">
        <v>819</v>
      </c>
      <c r="S183" s="37">
        <v>0</v>
      </c>
      <c r="U183" s="2" t="s">
        <v>803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73</v>
      </c>
      <c r="AC183" s="1">
        <v>0</v>
      </c>
      <c r="AD183" s="1">
        <v>0</v>
      </c>
      <c r="AE183" s="1">
        <v>-5</v>
      </c>
      <c r="AF183" s="1">
        <v>0</v>
      </c>
    </row>
    <row r="184" spans="1:32" x14ac:dyDescent="0.15">
      <c r="A184" s="1" t="s">
        <v>346</v>
      </c>
      <c r="B184" s="3">
        <v>1605</v>
      </c>
      <c r="C184" s="1" t="s">
        <v>346</v>
      </c>
      <c r="D184" s="1">
        <v>1</v>
      </c>
      <c r="E184" s="1">
        <v>0</v>
      </c>
      <c r="F184" s="1">
        <v>2</v>
      </c>
      <c r="G184" s="1">
        <v>0</v>
      </c>
      <c r="H184" s="1">
        <v>0</v>
      </c>
      <c r="I184" s="1">
        <v>0</v>
      </c>
      <c r="J184" s="1">
        <v>0</v>
      </c>
      <c r="K184" s="3">
        <v>1</v>
      </c>
      <c r="L184" s="1">
        <v>1</v>
      </c>
      <c r="M184" s="1">
        <v>100</v>
      </c>
      <c r="N184" s="1">
        <v>100</v>
      </c>
      <c r="Q184" s="37" t="s">
        <v>820</v>
      </c>
      <c r="R184" s="37" t="s">
        <v>819</v>
      </c>
      <c r="S184" s="37">
        <v>0</v>
      </c>
      <c r="U184" s="2" t="s">
        <v>803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12</v>
      </c>
      <c r="AC184" s="1">
        <v>0</v>
      </c>
      <c r="AD184" s="1">
        <v>0</v>
      </c>
      <c r="AE184" s="1">
        <v>-5</v>
      </c>
      <c r="AF184" s="1">
        <v>0</v>
      </c>
    </row>
    <row r="185" spans="1:32" x14ac:dyDescent="0.15">
      <c r="A185" s="1" t="s">
        <v>347</v>
      </c>
      <c r="B185" s="3">
        <v>1606</v>
      </c>
      <c r="C185" s="1" t="s">
        <v>347</v>
      </c>
      <c r="D185" s="1">
        <v>1</v>
      </c>
      <c r="E185" s="1">
        <v>1555</v>
      </c>
      <c r="F185" s="1">
        <v>2</v>
      </c>
      <c r="G185" s="1">
        <v>0</v>
      </c>
      <c r="H185" s="1">
        <v>0</v>
      </c>
      <c r="I185" s="1">
        <v>0</v>
      </c>
      <c r="J185" s="1">
        <v>0</v>
      </c>
      <c r="K185" s="3">
        <v>1</v>
      </c>
      <c r="L185" s="1">
        <v>1</v>
      </c>
      <c r="M185" s="1">
        <v>100</v>
      </c>
      <c r="N185" s="1">
        <v>100</v>
      </c>
      <c r="Q185" s="37" t="s">
        <v>820</v>
      </c>
      <c r="R185" s="37" t="s">
        <v>819</v>
      </c>
      <c r="S185" s="37">
        <v>0</v>
      </c>
      <c r="U185" s="2" t="s">
        <v>803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34</v>
      </c>
      <c r="AC185" s="1">
        <v>5</v>
      </c>
      <c r="AD185" s="1">
        <v>0</v>
      </c>
      <c r="AE185" s="1">
        <v>-5</v>
      </c>
      <c r="AF185" s="1">
        <v>0</v>
      </c>
    </row>
    <row r="186" spans="1:32" x14ac:dyDescent="0.15">
      <c r="A186" s="1" t="s">
        <v>792</v>
      </c>
      <c r="B186" s="3">
        <v>1607</v>
      </c>
      <c r="C186" s="32" t="s">
        <v>793</v>
      </c>
      <c r="D186" s="1">
        <v>1</v>
      </c>
      <c r="E186" s="1">
        <v>1464</v>
      </c>
      <c r="F186" s="1">
        <v>2</v>
      </c>
      <c r="G186" s="1">
        <v>0</v>
      </c>
      <c r="H186" s="1">
        <v>0</v>
      </c>
      <c r="I186" s="1">
        <v>5</v>
      </c>
      <c r="J186" s="1">
        <v>0</v>
      </c>
      <c r="K186" s="3">
        <v>1</v>
      </c>
      <c r="L186" s="1">
        <v>1</v>
      </c>
      <c r="M186" s="1">
        <v>100</v>
      </c>
      <c r="N186" s="1">
        <v>100</v>
      </c>
      <c r="Q186" s="37" t="s">
        <v>820</v>
      </c>
      <c r="R186" s="37" t="s">
        <v>819</v>
      </c>
      <c r="S186" s="37">
        <v>0</v>
      </c>
      <c r="U186" s="2" t="s">
        <v>803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46</v>
      </c>
      <c r="AC186" s="1">
        <v>0</v>
      </c>
      <c r="AD186" s="1">
        <v>-5</v>
      </c>
      <c r="AE186" s="1">
        <v>-5</v>
      </c>
      <c r="AF186" s="1">
        <v>0</v>
      </c>
    </row>
    <row r="187" spans="1:32" x14ac:dyDescent="0.15">
      <c r="A187" s="1" t="s">
        <v>348</v>
      </c>
      <c r="B187" s="3">
        <v>1608</v>
      </c>
      <c r="C187" s="33" t="s">
        <v>348</v>
      </c>
      <c r="D187" s="1">
        <v>1</v>
      </c>
      <c r="E187" s="1">
        <v>1646</v>
      </c>
      <c r="F187" s="1">
        <v>2</v>
      </c>
      <c r="G187" s="1">
        <v>0</v>
      </c>
      <c r="H187" s="1">
        <v>0</v>
      </c>
      <c r="I187" s="1">
        <v>1</v>
      </c>
      <c r="J187" s="1">
        <v>0</v>
      </c>
      <c r="K187" s="3">
        <v>1</v>
      </c>
      <c r="L187" s="1">
        <v>1</v>
      </c>
      <c r="M187" s="1">
        <v>100</v>
      </c>
      <c r="N187" s="1">
        <v>100</v>
      </c>
      <c r="Q187" s="37" t="s">
        <v>820</v>
      </c>
      <c r="R187" s="37" t="s">
        <v>819</v>
      </c>
      <c r="S187" s="37">
        <v>0</v>
      </c>
      <c r="U187" s="2" t="s">
        <v>803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60</v>
      </c>
      <c r="AC187" s="1">
        <v>0</v>
      </c>
      <c r="AD187" s="1">
        <v>0</v>
      </c>
      <c r="AE187" s="1">
        <v>-5</v>
      </c>
      <c r="AF187" s="1">
        <v>0</v>
      </c>
    </row>
    <row r="188" spans="1:32" x14ac:dyDescent="0.15">
      <c r="A188" s="1" t="s">
        <v>349</v>
      </c>
      <c r="B188" s="3">
        <v>1609</v>
      </c>
      <c r="C188" s="1" t="s">
        <v>349</v>
      </c>
      <c r="D188" s="1">
        <v>1</v>
      </c>
      <c r="E188" s="1">
        <v>0</v>
      </c>
      <c r="F188" s="1">
        <v>3</v>
      </c>
      <c r="G188" s="1">
        <v>0</v>
      </c>
      <c r="H188" s="1">
        <v>0</v>
      </c>
      <c r="I188" s="1">
        <v>0</v>
      </c>
      <c r="J188" s="1">
        <v>0</v>
      </c>
      <c r="K188" s="3">
        <v>1</v>
      </c>
      <c r="L188" s="1">
        <v>1</v>
      </c>
      <c r="M188" s="1">
        <v>100</v>
      </c>
      <c r="N188" s="1">
        <v>100</v>
      </c>
      <c r="Q188" s="37" t="s">
        <v>820</v>
      </c>
      <c r="R188" s="37" t="s">
        <v>819</v>
      </c>
      <c r="S188" s="37">
        <v>0</v>
      </c>
      <c r="U188" s="2" t="s">
        <v>803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25</v>
      </c>
      <c r="AC188" s="1">
        <v>0</v>
      </c>
      <c r="AD188" s="1">
        <v>0</v>
      </c>
      <c r="AE188" s="1">
        <v>-10</v>
      </c>
      <c r="AF188" s="1">
        <v>0</v>
      </c>
    </row>
    <row r="189" spans="1:32" x14ac:dyDescent="0.15">
      <c r="A189" s="1" t="s">
        <v>350</v>
      </c>
      <c r="B189" s="3">
        <v>1610</v>
      </c>
      <c r="C189" s="33" t="s">
        <v>350</v>
      </c>
      <c r="D189" s="1">
        <v>1</v>
      </c>
      <c r="E189" s="1">
        <v>1919</v>
      </c>
      <c r="F189" s="1">
        <v>3</v>
      </c>
      <c r="G189" s="1">
        <v>0</v>
      </c>
      <c r="H189" s="1">
        <v>0</v>
      </c>
      <c r="I189" s="1">
        <v>1</v>
      </c>
      <c r="J189" s="1">
        <v>0</v>
      </c>
      <c r="K189" s="3">
        <v>1</v>
      </c>
      <c r="L189" s="1">
        <v>1</v>
      </c>
      <c r="M189" s="1">
        <v>100</v>
      </c>
      <c r="N189" s="1">
        <v>100</v>
      </c>
      <c r="Q189" s="37" t="s">
        <v>820</v>
      </c>
      <c r="R189" s="37" t="s">
        <v>819</v>
      </c>
      <c r="S189" s="37">
        <v>0</v>
      </c>
      <c r="U189" s="2" t="s">
        <v>803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38</v>
      </c>
      <c r="AC189" s="1">
        <v>0</v>
      </c>
      <c r="AD189" s="1">
        <v>0</v>
      </c>
      <c r="AE189" s="1">
        <v>-10</v>
      </c>
      <c r="AF189" s="1">
        <v>0</v>
      </c>
    </row>
    <row r="190" spans="1:32" x14ac:dyDescent="0.15">
      <c r="A190" s="1" t="s">
        <v>351</v>
      </c>
      <c r="B190" s="3">
        <v>1611</v>
      </c>
      <c r="C190" s="32" t="s">
        <v>351</v>
      </c>
      <c r="D190" s="1">
        <v>1</v>
      </c>
      <c r="E190" s="1">
        <v>2010</v>
      </c>
      <c r="F190" s="1">
        <v>3</v>
      </c>
      <c r="G190" s="1">
        <v>0</v>
      </c>
      <c r="H190" s="1">
        <v>0</v>
      </c>
      <c r="I190" s="1">
        <v>5</v>
      </c>
      <c r="J190" s="1">
        <v>0</v>
      </c>
      <c r="K190" s="3">
        <v>1</v>
      </c>
      <c r="L190" s="1">
        <v>1</v>
      </c>
      <c r="M190" s="1">
        <v>100</v>
      </c>
      <c r="N190" s="1">
        <v>100</v>
      </c>
      <c r="Q190" s="37" t="s">
        <v>820</v>
      </c>
      <c r="R190" s="37" t="s">
        <v>819</v>
      </c>
      <c r="S190" s="37">
        <v>0</v>
      </c>
      <c r="U190" s="2" t="s">
        <v>803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64</v>
      </c>
      <c r="AC190" s="1">
        <v>0</v>
      </c>
      <c r="AD190" s="1">
        <v>0</v>
      </c>
      <c r="AE190" s="1">
        <v>-10</v>
      </c>
      <c r="AF190" s="1">
        <v>0</v>
      </c>
    </row>
    <row r="191" spans="1:32" x14ac:dyDescent="0.15">
      <c r="A191" s="1" t="s">
        <v>352</v>
      </c>
      <c r="B191" s="3">
        <v>1612</v>
      </c>
      <c r="C191" s="1" t="s">
        <v>352</v>
      </c>
      <c r="D191" s="1">
        <v>1</v>
      </c>
      <c r="E191" s="1">
        <v>0</v>
      </c>
      <c r="F191" s="1">
        <v>6</v>
      </c>
      <c r="G191" s="1">
        <v>0</v>
      </c>
      <c r="H191" s="1">
        <v>0</v>
      </c>
      <c r="I191" s="1">
        <v>0</v>
      </c>
      <c r="J191" s="1">
        <v>0</v>
      </c>
      <c r="K191" s="3">
        <v>1</v>
      </c>
      <c r="L191" s="1">
        <v>1</v>
      </c>
      <c r="M191" s="1">
        <v>100</v>
      </c>
      <c r="N191" s="1">
        <v>100</v>
      </c>
      <c r="Q191" s="37" t="s">
        <v>820</v>
      </c>
      <c r="R191" s="37" t="s">
        <v>819</v>
      </c>
      <c r="S191" s="37">
        <v>0</v>
      </c>
      <c r="U191" s="2" t="s">
        <v>803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20</v>
      </c>
      <c r="AC191" s="1">
        <v>0</v>
      </c>
      <c r="AD191" s="1">
        <v>0</v>
      </c>
      <c r="AE191" s="1">
        <v>10</v>
      </c>
      <c r="AF191" s="1">
        <v>0</v>
      </c>
    </row>
    <row r="192" spans="1:32" x14ac:dyDescent="0.15">
      <c r="A192" s="1" t="s">
        <v>790</v>
      </c>
      <c r="B192" s="3">
        <v>1613</v>
      </c>
      <c r="C192" s="1" t="s">
        <v>789</v>
      </c>
      <c r="D192" s="1">
        <v>1</v>
      </c>
      <c r="E192" s="1">
        <v>0</v>
      </c>
      <c r="F192" s="1">
        <v>6</v>
      </c>
      <c r="G192" s="1">
        <v>0</v>
      </c>
      <c r="H192" s="1">
        <v>0</v>
      </c>
      <c r="I192" s="1">
        <v>0</v>
      </c>
      <c r="J192" s="1">
        <v>0</v>
      </c>
      <c r="K192" s="3">
        <v>1</v>
      </c>
      <c r="L192" s="1">
        <v>1</v>
      </c>
      <c r="M192" s="1">
        <v>100</v>
      </c>
      <c r="N192" s="1">
        <v>100</v>
      </c>
      <c r="Q192" s="37" t="s">
        <v>820</v>
      </c>
      <c r="R192" s="37" t="s">
        <v>819</v>
      </c>
      <c r="S192" s="37">
        <v>0</v>
      </c>
      <c r="U192" s="2" t="s">
        <v>803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16</v>
      </c>
      <c r="AC192" s="1">
        <v>0</v>
      </c>
      <c r="AD192" s="1">
        <v>0</v>
      </c>
      <c r="AE192" s="1">
        <v>10</v>
      </c>
      <c r="AF192" s="1">
        <v>0</v>
      </c>
    </row>
    <row r="193" spans="1:32" x14ac:dyDescent="0.15">
      <c r="A193" s="1" t="s">
        <v>791</v>
      </c>
      <c r="B193" s="3">
        <v>1614</v>
      </c>
      <c r="C193" s="1" t="s">
        <v>791</v>
      </c>
      <c r="D193" s="1">
        <v>1</v>
      </c>
      <c r="E193" s="1">
        <v>2192</v>
      </c>
      <c r="F193" s="1">
        <v>6</v>
      </c>
      <c r="G193" s="1">
        <v>0</v>
      </c>
      <c r="H193" s="1">
        <v>0</v>
      </c>
      <c r="I193" s="1">
        <v>4</v>
      </c>
      <c r="J193" s="1">
        <v>0</v>
      </c>
      <c r="K193" s="3">
        <v>1</v>
      </c>
      <c r="L193" s="1">
        <v>1</v>
      </c>
      <c r="M193" s="1">
        <v>100</v>
      </c>
      <c r="N193" s="1">
        <v>100</v>
      </c>
      <c r="Q193" s="37" t="s">
        <v>820</v>
      </c>
      <c r="R193" s="37" t="s">
        <v>819</v>
      </c>
      <c r="S193" s="37">
        <v>0</v>
      </c>
      <c r="U193" s="2" t="s">
        <v>803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64</v>
      </c>
      <c r="AC193" s="1">
        <v>0</v>
      </c>
      <c r="AD193" s="1">
        <v>0</v>
      </c>
      <c r="AE193" s="1">
        <v>10</v>
      </c>
      <c r="AF193" s="1">
        <v>0</v>
      </c>
    </row>
    <row r="194" spans="1:32" x14ac:dyDescent="0.15">
      <c r="A194" s="1" t="s">
        <v>354</v>
      </c>
      <c r="B194" s="3">
        <v>1615</v>
      </c>
      <c r="C194" s="31" t="s">
        <v>354</v>
      </c>
      <c r="D194" s="1">
        <v>1</v>
      </c>
      <c r="E194" s="1">
        <v>2283</v>
      </c>
      <c r="F194" s="1">
        <v>6</v>
      </c>
      <c r="G194" s="1">
        <v>0</v>
      </c>
      <c r="H194" s="1">
        <v>0</v>
      </c>
      <c r="I194" s="1">
        <v>2</v>
      </c>
      <c r="J194" s="1">
        <v>0</v>
      </c>
      <c r="K194" s="3">
        <v>1</v>
      </c>
      <c r="L194" s="1">
        <v>1</v>
      </c>
      <c r="M194" s="1">
        <v>100</v>
      </c>
      <c r="N194" s="1">
        <v>100</v>
      </c>
      <c r="Q194" s="37" t="s">
        <v>820</v>
      </c>
      <c r="R194" s="37" t="s">
        <v>819</v>
      </c>
      <c r="S194" s="37">
        <v>0</v>
      </c>
      <c r="U194" s="2" t="s">
        <v>803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56</v>
      </c>
      <c r="AC194" s="1">
        <v>0</v>
      </c>
      <c r="AD194" s="1">
        <v>0</v>
      </c>
      <c r="AE194" s="1">
        <v>10</v>
      </c>
      <c r="AF194" s="1">
        <v>0</v>
      </c>
    </row>
    <row r="195" spans="1:32" x14ac:dyDescent="0.15">
      <c r="A195" s="1" t="s">
        <v>355</v>
      </c>
      <c r="B195" s="3">
        <v>1616</v>
      </c>
      <c r="C195" s="30" t="s">
        <v>355</v>
      </c>
      <c r="D195" s="1">
        <v>1</v>
      </c>
      <c r="E195" s="1">
        <v>2101</v>
      </c>
      <c r="F195" s="1">
        <v>3</v>
      </c>
      <c r="G195" s="1">
        <v>0</v>
      </c>
      <c r="H195" s="1">
        <v>0</v>
      </c>
      <c r="I195" s="1">
        <v>3</v>
      </c>
      <c r="J195" s="1">
        <v>0</v>
      </c>
      <c r="K195" s="3">
        <v>1</v>
      </c>
      <c r="L195" s="1">
        <v>1</v>
      </c>
      <c r="M195" s="1">
        <v>100</v>
      </c>
      <c r="N195" s="1">
        <v>100</v>
      </c>
      <c r="Q195" s="37" t="s">
        <v>820</v>
      </c>
      <c r="R195" s="37" t="s">
        <v>819</v>
      </c>
      <c r="S195" s="37">
        <v>0</v>
      </c>
      <c r="U195" s="2" t="s">
        <v>803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100</v>
      </c>
      <c r="AC195" s="1">
        <v>0</v>
      </c>
      <c r="AD195" s="1">
        <v>0</v>
      </c>
      <c r="AE195" s="1">
        <v>-10</v>
      </c>
      <c r="AF195" s="1">
        <v>0</v>
      </c>
    </row>
    <row r="196" spans="1:32" x14ac:dyDescent="0.15">
      <c r="A196" s="1" t="s">
        <v>629</v>
      </c>
      <c r="B196" s="3">
        <v>1617</v>
      </c>
      <c r="C196" s="1" t="s">
        <v>629</v>
      </c>
      <c r="D196" s="1">
        <v>1</v>
      </c>
      <c r="E196" s="1">
        <v>1373</v>
      </c>
      <c r="F196" s="1">
        <v>1</v>
      </c>
      <c r="G196" s="1">
        <v>0</v>
      </c>
      <c r="H196" s="1">
        <v>0</v>
      </c>
      <c r="I196" s="1">
        <v>0</v>
      </c>
      <c r="J196" s="1">
        <v>0</v>
      </c>
      <c r="K196" s="3">
        <v>1</v>
      </c>
      <c r="L196" s="1">
        <v>1</v>
      </c>
      <c r="M196" s="1">
        <v>100</v>
      </c>
      <c r="N196" s="1">
        <v>100</v>
      </c>
      <c r="Q196" s="37" t="s">
        <v>820</v>
      </c>
      <c r="R196" s="37" t="s">
        <v>819</v>
      </c>
      <c r="S196" s="37">
        <v>0</v>
      </c>
      <c r="U196" s="2" t="s">
        <v>803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78</v>
      </c>
      <c r="AC196" s="1">
        <v>0</v>
      </c>
      <c r="AD196" s="1">
        <v>10</v>
      </c>
      <c r="AE196" s="1">
        <v>0</v>
      </c>
      <c r="AF196" s="1">
        <v>0</v>
      </c>
    </row>
    <row r="197" spans="1:32" x14ac:dyDescent="0.15">
      <c r="A197" s="1" t="s">
        <v>630</v>
      </c>
      <c r="B197" s="3">
        <v>1618</v>
      </c>
      <c r="C197" s="14" t="s">
        <v>630</v>
      </c>
      <c r="D197" s="1">
        <v>1</v>
      </c>
      <c r="E197" s="1">
        <v>1828</v>
      </c>
      <c r="F197" s="1">
        <v>2</v>
      </c>
      <c r="G197" s="1">
        <v>0</v>
      </c>
      <c r="H197" s="1">
        <v>0</v>
      </c>
      <c r="I197" s="1">
        <v>4</v>
      </c>
      <c r="J197" s="1">
        <v>0</v>
      </c>
      <c r="K197" s="3">
        <v>1</v>
      </c>
      <c r="L197" s="1">
        <v>1</v>
      </c>
      <c r="M197" s="1">
        <v>100</v>
      </c>
      <c r="N197" s="1">
        <v>100</v>
      </c>
      <c r="Q197" s="37" t="s">
        <v>820</v>
      </c>
      <c r="R197" s="37" t="s">
        <v>819</v>
      </c>
      <c r="S197" s="37">
        <v>0</v>
      </c>
      <c r="U197" s="2" t="s">
        <v>803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95</v>
      </c>
      <c r="AC197" s="1">
        <v>0</v>
      </c>
      <c r="AD197" s="1">
        <v>0</v>
      </c>
      <c r="AE197" s="1">
        <v>-5</v>
      </c>
      <c r="AF197" s="1">
        <v>0</v>
      </c>
    </row>
    <row r="198" spans="1:32" x14ac:dyDescent="0.15">
      <c r="A198" s="1" t="s">
        <v>631</v>
      </c>
      <c r="B198" s="3">
        <v>1619</v>
      </c>
      <c r="C198" s="14" t="s">
        <v>631</v>
      </c>
      <c r="D198" s="1">
        <v>1</v>
      </c>
      <c r="E198" s="1">
        <v>2374</v>
      </c>
      <c r="F198" s="1">
        <v>6</v>
      </c>
      <c r="G198" s="1">
        <v>0</v>
      </c>
      <c r="H198" s="1">
        <v>0</v>
      </c>
      <c r="I198" s="1">
        <v>4</v>
      </c>
      <c r="J198" s="1">
        <v>0</v>
      </c>
      <c r="K198" s="3">
        <v>1</v>
      </c>
      <c r="L198" s="1">
        <v>1</v>
      </c>
      <c r="M198" s="1">
        <v>100</v>
      </c>
      <c r="N198" s="1">
        <v>100</v>
      </c>
      <c r="Q198" s="37" t="s">
        <v>820</v>
      </c>
      <c r="R198" s="37" t="s">
        <v>819</v>
      </c>
      <c r="S198" s="37">
        <v>0</v>
      </c>
      <c r="U198" s="2" t="s">
        <v>803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84</v>
      </c>
      <c r="AC198" s="1">
        <v>0</v>
      </c>
      <c r="AD198" s="1">
        <v>0</v>
      </c>
      <c r="AE198" s="1">
        <v>10</v>
      </c>
      <c r="AF198" s="1">
        <v>0</v>
      </c>
    </row>
    <row r="199" spans="1:32" x14ac:dyDescent="0.15">
      <c r="A199" s="1" t="s">
        <v>632</v>
      </c>
      <c r="B199" s="3">
        <v>1620</v>
      </c>
      <c r="C199" s="30" t="s">
        <v>632</v>
      </c>
      <c r="D199" s="1">
        <v>1</v>
      </c>
      <c r="E199" s="1">
        <v>2465</v>
      </c>
      <c r="F199" s="1">
        <v>6</v>
      </c>
      <c r="G199" s="1">
        <v>0</v>
      </c>
      <c r="H199" s="1">
        <v>0</v>
      </c>
      <c r="I199" s="1">
        <v>3</v>
      </c>
      <c r="J199" s="1">
        <v>0</v>
      </c>
      <c r="K199" s="3">
        <v>1</v>
      </c>
      <c r="L199" s="1">
        <v>1</v>
      </c>
      <c r="M199" s="1">
        <v>100</v>
      </c>
      <c r="N199" s="1">
        <v>100</v>
      </c>
      <c r="Q199" s="37" t="s">
        <v>820</v>
      </c>
      <c r="R199" s="37" t="s">
        <v>819</v>
      </c>
      <c r="S199" s="37">
        <v>0</v>
      </c>
      <c r="U199" s="2" t="s">
        <v>803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90</v>
      </c>
      <c r="AC199" s="1">
        <v>0</v>
      </c>
      <c r="AD199" s="1">
        <v>0</v>
      </c>
      <c r="AE199" s="1">
        <v>10</v>
      </c>
      <c r="AF199" s="1">
        <v>0</v>
      </c>
    </row>
    <row r="200" spans="1:32" x14ac:dyDescent="0.15">
      <c r="A200" s="1" t="s">
        <v>364</v>
      </c>
      <c r="B200" s="3">
        <v>1650</v>
      </c>
      <c r="C200" s="1" t="s">
        <v>364</v>
      </c>
      <c r="D200" s="1">
        <v>2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3">
        <v>1</v>
      </c>
      <c r="L200" s="1">
        <v>1</v>
      </c>
      <c r="M200" s="1">
        <v>100</v>
      </c>
      <c r="N200" s="1">
        <v>100</v>
      </c>
      <c r="Q200" s="37" t="s">
        <v>820</v>
      </c>
      <c r="R200" s="37" t="s">
        <v>819</v>
      </c>
      <c r="S200" s="37">
        <v>0</v>
      </c>
      <c r="U200" s="2" t="s">
        <v>803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5</v>
      </c>
      <c r="AD200" s="1">
        <v>0</v>
      </c>
      <c r="AE200" s="1">
        <v>0</v>
      </c>
      <c r="AF200" s="1">
        <v>0</v>
      </c>
    </row>
    <row r="201" spans="1:32" x14ac:dyDescent="0.15">
      <c r="A201" s="1" t="s">
        <v>362</v>
      </c>
      <c r="B201" s="3">
        <v>1651</v>
      </c>
      <c r="C201" s="1" t="s">
        <v>362</v>
      </c>
      <c r="D201" s="1">
        <v>2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3">
        <v>1</v>
      </c>
      <c r="L201" s="1">
        <v>1</v>
      </c>
      <c r="M201" s="1">
        <v>100</v>
      </c>
      <c r="N201" s="1">
        <v>100</v>
      </c>
      <c r="Q201" s="37" t="s">
        <v>820</v>
      </c>
      <c r="R201" s="37" t="s">
        <v>819</v>
      </c>
      <c r="S201" s="37">
        <v>0</v>
      </c>
      <c r="U201" s="2" t="s">
        <v>803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10</v>
      </c>
      <c r="AD201" s="1">
        <v>0</v>
      </c>
      <c r="AE201" s="1">
        <v>0</v>
      </c>
      <c r="AF201" s="1">
        <v>0</v>
      </c>
    </row>
    <row r="202" spans="1:32" x14ac:dyDescent="0.15">
      <c r="A202" s="1" t="s">
        <v>407</v>
      </c>
      <c r="B202" s="3">
        <v>1652</v>
      </c>
      <c r="C202" s="1" t="s">
        <v>407</v>
      </c>
      <c r="D202" s="1">
        <v>2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3">
        <v>1</v>
      </c>
      <c r="L202" s="1">
        <v>1</v>
      </c>
      <c r="M202" s="1">
        <v>100</v>
      </c>
      <c r="N202" s="1">
        <v>100</v>
      </c>
      <c r="Q202" s="37" t="s">
        <v>820</v>
      </c>
      <c r="R202" s="37" t="s">
        <v>819</v>
      </c>
      <c r="S202" s="37">
        <v>0</v>
      </c>
      <c r="U202" s="2" t="s">
        <v>803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20</v>
      </c>
      <c r="AD202" s="1">
        <v>0</v>
      </c>
      <c r="AE202" s="1">
        <v>-5</v>
      </c>
      <c r="AF202" s="1">
        <v>0</v>
      </c>
    </row>
    <row r="203" spans="1:32" x14ac:dyDescent="0.15">
      <c r="A203" s="1" t="s">
        <v>408</v>
      </c>
      <c r="B203" s="3">
        <v>1653</v>
      </c>
      <c r="C203" s="1" t="s">
        <v>408</v>
      </c>
      <c r="D203" s="1">
        <v>2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3">
        <v>1</v>
      </c>
      <c r="L203" s="1">
        <v>1</v>
      </c>
      <c r="M203" s="1">
        <v>100</v>
      </c>
      <c r="N203" s="1">
        <v>100</v>
      </c>
      <c r="Q203" s="37" t="s">
        <v>820</v>
      </c>
      <c r="R203" s="37" t="s">
        <v>819</v>
      </c>
      <c r="S203" s="37">
        <v>0</v>
      </c>
      <c r="U203" s="2" t="s">
        <v>803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30</v>
      </c>
      <c r="AD203" s="1">
        <v>0</v>
      </c>
      <c r="AE203" s="1">
        <v>0</v>
      </c>
      <c r="AF203" s="1">
        <v>0</v>
      </c>
    </row>
    <row r="204" spans="1:32" x14ac:dyDescent="0.15">
      <c r="A204" s="1" t="s">
        <v>366</v>
      </c>
      <c r="B204" s="3">
        <v>1654</v>
      </c>
      <c r="C204" s="1" t="s">
        <v>366</v>
      </c>
      <c r="D204" s="1">
        <v>2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3">
        <v>1</v>
      </c>
      <c r="L204" s="1">
        <v>1</v>
      </c>
      <c r="M204" s="1">
        <v>100</v>
      </c>
      <c r="N204" s="1">
        <v>100</v>
      </c>
      <c r="Q204" s="37" t="s">
        <v>820</v>
      </c>
      <c r="R204" s="37" t="s">
        <v>819</v>
      </c>
      <c r="S204" s="37">
        <v>0</v>
      </c>
      <c r="U204" s="2" t="s">
        <v>803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40</v>
      </c>
      <c r="AD204" s="1">
        <v>0</v>
      </c>
      <c r="AE204" s="1">
        <v>-10</v>
      </c>
      <c r="AF204" s="1">
        <v>0</v>
      </c>
    </row>
    <row r="205" spans="1:32" x14ac:dyDescent="0.15">
      <c r="A205" s="1" t="s">
        <v>409</v>
      </c>
      <c r="B205" s="3">
        <v>1655</v>
      </c>
      <c r="C205" s="1" t="s">
        <v>409</v>
      </c>
      <c r="D205" s="1">
        <v>2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3">
        <v>1</v>
      </c>
      <c r="L205" s="1">
        <v>1</v>
      </c>
      <c r="M205" s="1">
        <v>100</v>
      </c>
      <c r="N205" s="1">
        <v>100</v>
      </c>
      <c r="Q205" s="37" t="s">
        <v>820</v>
      </c>
      <c r="R205" s="37" t="s">
        <v>819</v>
      </c>
      <c r="S205" s="37">
        <v>0</v>
      </c>
      <c r="U205" s="2" t="s">
        <v>803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10</v>
      </c>
      <c r="AC205" s="1">
        <v>40</v>
      </c>
      <c r="AD205" s="1">
        <v>0</v>
      </c>
      <c r="AE205" s="1">
        <v>-10</v>
      </c>
      <c r="AF205" s="1">
        <v>0</v>
      </c>
    </row>
    <row r="206" spans="1:32" x14ac:dyDescent="0.15">
      <c r="A206" s="1" t="s">
        <v>680</v>
      </c>
      <c r="B206" s="3">
        <v>1656</v>
      </c>
      <c r="C206" s="1" t="s">
        <v>682</v>
      </c>
      <c r="D206" s="1">
        <v>2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3">
        <v>1</v>
      </c>
      <c r="L206" s="1">
        <v>1</v>
      </c>
      <c r="M206" s="1">
        <v>100</v>
      </c>
      <c r="N206" s="1">
        <v>100</v>
      </c>
      <c r="Q206" s="37" t="s">
        <v>820</v>
      </c>
      <c r="R206" s="37" t="s">
        <v>819</v>
      </c>
      <c r="S206" s="37">
        <v>0</v>
      </c>
      <c r="U206" s="2" t="s">
        <v>803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50</v>
      </c>
      <c r="AD206" s="1">
        <v>0</v>
      </c>
      <c r="AE206" s="1">
        <v>-20</v>
      </c>
      <c r="AF206" s="1">
        <v>0</v>
      </c>
    </row>
    <row r="207" spans="1:32" x14ac:dyDescent="0.15">
      <c r="A207" s="1" t="s">
        <v>368</v>
      </c>
      <c r="B207" s="3">
        <v>1657</v>
      </c>
      <c r="C207" s="1" t="s">
        <v>368</v>
      </c>
      <c r="D207" s="1">
        <v>2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3">
        <v>1</v>
      </c>
      <c r="L207" s="1">
        <v>1</v>
      </c>
      <c r="M207" s="1">
        <v>100</v>
      </c>
      <c r="N207" s="1">
        <v>100</v>
      </c>
      <c r="Q207" s="37" t="s">
        <v>820</v>
      </c>
      <c r="R207" s="37" t="s">
        <v>819</v>
      </c>
      <c r="S207" s="37">
        <v>0</v>
      </c>
      <c r="U207" s="2" t="s">
        <v>803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30</v>
      </c>
      <c r="AD207" s="1">
        <v>20</v>
      </c>
      <c r="AE207" s="1">
        <v>10</v>
      </c>
      <c r="AF207" s="1">
        <v>0</v>
      </c>
    </row>
    <row r="208" spans="1:32" x14ac:dyDescent="0.15">
      <c r="A208" s="1" t="s">
        <v>410</v>
      </c>
      <c r="B208" s="3">
        <v>1658</v>
      </c>
      <c r="C208" s="1" t="s">
        <v>410</v>
      </c>
      <c r="D208" s="1">
        <v>2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3">
        <v>1</v>
      </c>
      <c r="L208" s="1">
        <v>1</v>
      </c>
      <c r="M208" s="1">
        <v>100</v>
      </c>
      <c r="N208" s="1">
        <v>100</v>
      </c>
      <c r="Q208" s="37" t="s">
        <v>820</v>
      </c>
      <c r="R208" s="37" t="s">
        <v>819</v>
      </c>
      <c r="S208" s="37">
        <v>0</v>
      </c>
      <c r="U208" s="2" t="s">
        <v>803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50</v>
      </c>
      <c r="AD208" s="1">
        <v>0</v>
      </c>
      <c r="AE208" s="1">
        <v>-10</v>
      </c>
      <c r="AF208" s="1">
        <v>0</v>
      </c>
    </row>
    <row r="209" spans="1:32" x14ac:dyDescent="0.15">
      <c r="A209" s="1" t="s">
        <v>411</v>
      </c>
      <c r="B209" s="3">
        <v>1659</v>
      </c>
      <c r="C209" s="1" t="s">
        <v>411</v>
      </c>
      <c r="D209" s="1">
        <v>2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3">
        <v>1</v>
      </c>
      <c r="L209" s="1">
        <v>1</v>
      </c>
      <c r="M209" s="1">
        <v>100</v>
      </c>
      <c r="N209" s="1">
        <v>100</v>
      </c>
      <c r="Q209" s="37" t="s">
        <v>820</v>
      </c>
      <c r="R209" s="37" t="s">
        <v>819</v>
      </c>
      <c r="S209" s="37">
        <v>0</v>
      </c>
      <c r="U209" s="2" t="s">
        <v>803</v>
      </c>
      <c r="V209" s="1">
        <v>0</v>
      </c>
      <c r="W209" s="1">
        <v>0</v>
      </c>
      <c r="X209" s="1">
        <v>0</v>
      </c>
      <c r="Y209" s="1">
        <v>0</v>
      </c>
      <c r="Z209" s="1">
        <v>20</v>
      </c>
      <c r="AA209" s="1">
        <v>0</v>
      </c>
      <c r="AB209" s="1">
        <v>0</v>
      </c>
      <c r="AC209" s="1">
        <v>40</v>
      </c>
      <c r="AD209" s="1">
        <v>-20</v>
      </c>
      <c r="AE209" s="1">
        <v>10</v>
      </c>
      <c r="AF209" s="1">
        <v>0</v>
      </c>
    </row>
    <row r="210" spans="1:32" x14ac:dyDescent="0.15">
      <c r="A210" s="1" t="s">
        <v>412</v>
      </c>
      <c r="B210" s="3">
        <v>1660</v>
      </c>
      <c r="C210" s="1" t="s">
        <v>412</v>
      </c>
      <c r="D210" s="1">
        <v>2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3">
        <v>1</v>
      </c>
      <c r="L210" s="1">
        <v>1</v>
      </c>
      <c r="M210" s="1">
        <v>100</v>
      </c>
      <c r="N210" s="1">
        <v>100</v>
      </c>
      <c r="Q210" s="37" t="s">
        <v>820</v>
      </c>
      <c r="R210" s="37" t="s">
        <v>819</v>
      </c>
      <c r="S210" s="37">
        <v>0</v>
      </c>
      <c r="U210" s="2" t="s">
        <v>803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40</v>
      </c>
      <c r="AD210" s="1">
        <v>10</v>
      </c>
      <c r="AE210" s="1">
        <v>20</v>
      </c>
      <c r="AF210" s="1">
        <v>0</v>
      </c>
    </row>
    <row r="211" spans="1:32" x14ac:dyDescent="0.15">
      <c r="A211" s="1" t="s">
        <v>413</v>
      </c>
      <c r="B211" s="3">
        <v>1661</v>
      </c>
      <c r="C211" s="1" t="s">
        <v>413</v>
      </c>
      <c r="D211" s="1">
        <v>2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3">
        <v>1</v>
      </c>
      <c r="L211" s="1">
        <v>1</v>
      </c>
      <c r="M211" s="1">
        <v>100</v>
      </c>
      <c r="N211" s="1">
        <v>100</v>
      </c>
      <c r="Q211" s="37" t="s">
        <v>820</v>
      </c>
      <c r="R211" s="37" t="s">
        <v>819</v>
      </c>
      <c r="S211" s="37">
        <v>0</v>
      </c>
      <c r="U211" s="2" t="s">
        <v>803</v>
      </c>
      <c r="V211" s="1">
        <v>0</v>
      </c>
      <c r="W211" s="1">
        <v>0</v>
      </c>
      <c r="X211" s="1">
        <v>0</v>
      </c>
      <c r="Y211" s="1">
        <v>0</v>
      </c>
      <c r="Z211" s="1">
        <v>40</v>
      </c>
      <c r="AA211" s="1">
        <v>0</v>
      </c>
      <c r="AB211" s="1">
        <v>0</v>
      </c>
      <c r="AC211" s="1">
        <v>60</v>
      </c>
      <c r="AD211" s="1">
        <v>-10</v>
      </c>
      <c r="AE211" s="1">
        <v>-20</v>
      </c>
      <c r="AF211" s="1">
        <v>0</v>
      </c>
    </row>
    <row r="212" spans="1:32" x14ac:dyDescent="0.15">
      <c r="A212" s="1" t="s">
        <v>414</v>
      </c>
      <c r="B212" s="3">
        <v>1662</v>
      </c>
      <c r="C212" s="1" t="s">
        <v>414</v>
      </c>
      <c r="D212" s="1">
        <v>2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3">
        <v>1</v>
      </c>
      <c r="L212" s="1">
        <v>1</v>
      </c>
      <c r="M212" s="1">
        <v>100</v>
      </c>
      <c r="N212" s="1">
        <v>100</v>
      </c>
      <c r="Q212" s="37" t="s">
        <v>820</v>
      </c>
      <c r="R212" s="37" t="s">
        <v>819</v>
      </c>
      <c r="S212" s="37">
        <v>0</v>
      </c>
      <c r="U212" s="2" t="s">
        <v>803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20</v>
      </c>
      <c r="AC212" s="1">
        <v>60</v>
      </c>
      <c r="AD212" s="1">
        <v>0</v>
      </c>
      <c r="AE212" s="1">
        <v>-20</v>
      </c>
      <c r="AF212" s="1">
        <v>0</v>
      </c>
    </row>
    <row r="213" spans="1:32" x14ac:dyDescent="0.15">
      <c r="A213" s="1" t="s">
        <v>415</v>
      </c>
      <c r="B213" s="3">
        <v>1663</v>
      </c>
      <c r="C213" s="1" t="s">
        <v>415</v>
      </c>
      <c r="D213" s="1">
        <v>2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3">
        <v>1</v>
      </c>
      <c r="L213" s="1">
        <v>1</v>
      </c>
      <c r="M213" s="1">
        <v>100</v>
      </c>
      <c r="N213" s="1">
        <v>100</v>
      </c>
      <c r="Q213" s="37" t="s">
        <v>820</v>
      </c>
      <c r="R213" s="37" t="s">
        <v>819</v>
      </c>
      <c r="S213" s="37">
        <v>0</v>
      </c>
      <c r="U213" s="2" t="s">
        <v>803</v>
      </c>
      <c r="V213" s="1">
        <v>0</v>
      </c>
      <c r="W213" s="1">
        <v>0</v>
      </c>
      <c r="X213" s="1">
        <v>0</v>
      </c>
      <c r="Y213" s="1">
        <v>0</v>
      </c>
      <c r="Z213" s="1">
        <v>20</v>
      </c>
      <c r="AA213" s="1">
        <v>0</v>
      </c>
      <c r="AB213" s="1">
        <v>0</v>
      </c>
      <c r="AC213" s="1">
        <v>40</v>
      </c>
      <c r="AD213" s="1">
        <v>10</v>
      </c>
      <c r="AE213" s="1">
        <v>10</v>
      </c>
      <c r="AF213" s="1">
        <v>0</v>
      </c>
    </row>
    <row r="214" spans="1:32" x14ac:dyDescent="0.15">
      <c r="A214" s="1" t="s">
        <v>416</v>
      </c>
      <c r="B214" s="3">
        <v>1664</v>
      </c>
      <c r="C214" s="1" t="s">
        <v>416</v>
      </c>
      <c r="D214" s="1">
        <v>2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3">
        <v>1</v>
      </c>
      <c r="L214" s="1">
        <v>1</v>
      </c>
      <c r="M214" s="1">
        <v>100</v>
      </c>
      <c r="N214" s="1">
        <v>100</v>
      </c>
      <c r="Q214" s="37" t="s">
        <v>820</v>
      </c>
      <c r="R214" s="37" t="s">
        <v>819</v>
      </c>
      <c r="S214" s="37">
        <v>0</v>
      </c>
      <c r="U214" s="2" t="s">
        <v>803</v>
      </c>
      <c r="V214" s="1">
        <v>0</v>
      </c>
      <c r="W214" s="1">
        <v>0</v>
      </c>
      <c r="X214" s="1">
        <v>0</v>
      </c>
      <c r="Y214" s="1">
        <v>0</v>
      </c>
      <c r="Z214" s="1">
        <v>30</v>
      </c>
      <c r="AA214" s="1">
        <v>0</v>
      </c>
      <c r="AB214" s="1">
        <v>0</v>
      </c>
      <c r="AC214" s="1">
        <v>40</v>
      </c>
      <c r="AD214" s="1">
        <v>0</v>
      </c>
      <c r="AE214" s="1">
        <v>10</v>
      </c>
      <c r="AF214" s="1">
        <v>0</v>
      </c>
    </row>
    <row r="215" spans="1:32" x14ac:dyDescent="0.15">
      <c r="A215" s="1" t="s">
        <v>403</v>
      </c>
      <c r="B215" s="3">
        <v>1665</v>
      </c>
      <c r="C215" s="1" t="s">
        <v>403</v>
      </c>
      <c r="D215" s="1">
        <v>2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3">
        <v>1</v>
      </c>
      <c r="L215" s="1">
        <v>1</v>
      </c>
      <c r="M215" s="1">
        <v>100</v>
      </c>
      <c r="N215" s="1">
        <v>100</v>
      </c>
      <c r="Q215" s="37" t="s">
        <v>820</v>
      </c>
      <c r="R215" s="37" t="s">
        <v>819</v>
      </c>
      <c r="S215" s="37">
        <v>0</v>
      </c>
      <c r="U215" s="2" t="s">
        <v>803</v>
      </c>
      <c r="V215" s="1">
        <v>0</v>
      </c>
      <c r="W215" s="1">
        <v>0</v>
      </c>
      <c r="X215" s="1">
        <v>0</v>
      </c>
      <c r="Y215" s="1">
        <v>0</v>
      </c>
      <c r="Z215" s="1">
        <v>20</v>
      </c>
      <c r="AA215" s="1">
        <v>0</v>
      </c>
      <c r="AB215" s="1">
        <v>0</v>
      </c>
      <c r="AC215" s="1">
        <v>40</v>
      </c>
      <c r="AD215" s="1">
        <v>10</v>
      </c>
      <c r="AE215" s="1">
        <v>0</v>
      </c>
      <c r="AF215" s="1">
        <v>0</v>
      </c>
    </row>
    <row r="216" spans="1:32" x14ac:dyDescent="0.15">
      <c r="A216" s="1" t="s">
        <v>633</v>
      </c>
      <c r="B216" s="3">
        <v>1666</v>
      </c>
      <c r="C216" s="1" t="s">
        <v>633</v>
      </c>
      <c r="D216" s="1">
        <v>2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3">
        <v>1</v>
      </c>
      <c r="L216" s="1">
        <v>1</v>
      </c>
      <c r="M216" s="1">
        <v>100</v>
      </c>
      <c r="N216" s="1">
        <v>100</v>
      </c>
      <c r="Q216" s="37" t="s">
        <v>820</v>
      </c>
      <c r="R216" s="37" t="s">
        <v>819</v>
      </c>
      <c r="S216" s="37">
        <v>0</v>
      </c>
      <c r="U216" s="2" t="s">
        <v>803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40</v>
      </c>
      <c r="AD216" s="1">
        <v>30</v>
      </c>
      <c r="AE216" s="1">
        <v>0</v>
      </c>
      <c r="AF216" s="1">
        <v>0</v>
      </c>
    </row>
    <row r="217" spans="1:32" s="9" customFormat="1" x14ac:dyDescent="0.15">
      <c r="A217" s="9" t="s">
        <v>438</v>
      </c>
      <c r="B217" s="24">
        <v>1700</v>
      </c>
      <c r="C217" s="9" t="s">
        <v>438</v>
      </c>
      <c r="D217" s="9">
        <v>7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24">
        <v>1</v>
      </c>
      <c r="L217" s="9">
        <v>1</v>
      </c>
      <c r="M217" s="9">
        <v>100</v>
      </c>
      <c r="N217" s="9">
        <v>100</v>
      </c>
      <c r="O217" s="34"/>
      <c r="P217" s="34"/>
      <c r="Q217" s="37" t="s">
        <v>820</v>
      </c>
      <c r="R217" s="37" t="s">
        <v>819</v>
      </c>
      <c r="S217" s="37">
        <v>0</v>
      </c>
      <c r="T217" s="34"/>
      <c r="U217" s="2" t="s">
        <v>803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20</v>
      </c>
      <c r="AF217" s="9">
        <v>0</v>
      </c>
    </row>
    <row r="218" spans="1:32" s="9" customFormat="1" x14ac:dyDescent="0.15">
      <c r="A218" s="9" t="s">
        <v>435</v>
      </c>
      <c r="B218" s="24">
        <v>1701</v>
      </c>
      <c r="C218" s="9" t="s">
        <v>435</v>
      </c>
      <c r="D218" s="9">
        <v>7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24">
        <v>1</v>
      </c>
      <c r="L218" s="9">
        <v>1</v>
      </c>
      <c r="M218" s="9">
        <v>100</v>
      </c>
      <c r="N218" s="9">
        <v>100</v>
      </c>
      <c r="O218" s="34"/>
      <c r="P218" s="34"/>
      <c r="Q218" s="37" t="s">
        <v>820</v>
      </c>
      <c r="R218" s="37" t="s">
        <v>819</v>
      </c>
      <c r="S218" s="37">
        <v>0</v>
      </c>
      <c r="T218" s="34"/>
      <c r="U218" s="2" t="s">
        <v>803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10</v>
      </c>
      <c r="AD218" s="9">
        <v>0</v>
      </c>
      <c r="AE218" s="9">
        <v>10</v>
      </c>
      <c r="AF218" s="9">
        <v>0</v>
      </c>
    </row>
    <row r="219" spans="1:32" s="9" customFormat="1" x14ac:dyDescent="0.15">
      <c r="A219" s="9" t="s">
        <v>436</v>
      </c>
      <c r="B219" s="24">
        <v>1702</v>
      </c>
      <c r="C219" s="9" t="s">
        <v>436</v>
      </c>
      <c r="D219" s="9">
        <v>7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24">
        <v>1</v>
      </c>
      <c r="L219" s="9">
        <v>1</v>
      </c>
      <c r="M219" s="9">
        <v>100</v>
      </c>
      <c r="N219" s="9">
        <v>100</v>
      </c>
      <c r="O219" s="34"/>
      <c r="P219" s="34"/>
      <c r="Q219" s="37" t="s">
        <v>820</v>
      </c>
      <c r="R219" s="37" t="s">
        <v>819</v>
      </c>
      <c r="S219" s="37">
        <v>0</v>
      </c>
      <c r="T219" s="34"/>
      <c r="U219" s="2" t="s">
        <v>803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15</v>
      </c>
      <c r="AD219" s="9">
        <v>0</v>
      </c>
      <c r="AE219" s="9">
        <v>20</v>
      </c>
      <c r="AF219" s="9">
        <v>0</v>
      </c>
    </row>
    <row r="220" spans="1:32" s="9" customFormat="1" x14ac:dyDescent="0.15">
      <c r="A220" s="9" t="s">
        <v>437</v>
      </c>
      <c r="B220" s="24">
        <v>1703</v>
      </c>
      <c r="C220" s="9" t="s">
        <v>437</v>
      </c>
      <c r="D220" s="9">
        <v>7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24">
        <v>1</v>
      </c>
      <c r="L220" s="9">
        <v>1</v>
      </c>
      <c r="M220" s="9">
        <v>100</v>
      </c>
      <c r="N220" s="9">
        <v>100</v>
      </c>
      <c r="O220" s="34"/>
      <c r="P220" s="34"/>
      <c r="Q220" s="37" t="s">
        <v>820</v>
      </c>
      <c r="R220" s="37" t="s">
        <v>819</v>
      </c>
      <c r="S220" s="37">
        <v>0</v>
      </c>
      <c r="T220" s="34"/>
      <c r="U220" s="2" t="s">
        <v>803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5</v>
      </c>
      <c r="AD220" s="9">
        <v>0</v>
      </c>
      <c r="AE220" s="9">
        <v>30</v>
      </c>
      <c r="AF220" s="9">
        <v>0</v>
      </c>
    </row>
    <row r="221" spans="1:32" s="9" customFormat="1" x14ac:dyDescent="0.15">
      <c r="A221" s="9" t="s">
        <v>440</v>
      </c>
      <c r="B221" s="24">
        <v>1704</v>
      </c>
      <c r="C221" s="9" t="s">
        <v>440</v>
      </c>
      <c r="D221" s="9">
        <v>7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24">
        <v>1</v>
      </c>
      <c r="L221" s="9">
        <v>1</v>
      </c>
      <c r="M221" s="9">
        <v>100</v>
      </c>
      <c r="N221" s="9">
        <v>100</v>
      </c>
      <c r="O221" s="34"/>
      <c r="P221" s="34"/>
      <c r="Q221" s="37" t="s">
        <v>820</v>
      </c>
      <c r="R221" s="37" t="s">
        <v>819</v>
      </c>
      <c r="S221" s="37">
        <v>0</v>
      </c>
      <c r="T221" s="34"/>
      <c r="U221" s="2" t="s">
        <v>803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10</v>
      </c>
      <c r="AD221" s="9">
        <v>0</v>
      </c>
      <c r="AE221" s="9">
        <v>50</v>
      </c>
      <c r="AF221" s="9">
        <v>0</v>
      </c>
    </row>
    <row r="222" spans="1:32" s="9" customFormat="1" x14ac:dyDescent="0.15">
      <c r="A222" s="9" t="s">
        <v>444</v>
      </c>
      <c r="B222" s="24">
        <v>1705</v>
      </c>
      <c r="C222" s="9" t="s">
        <v>444</v>
      </c>
      <c r="D222" s="9">
        <v>7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24">
        <v>1</v>
      </c>
      <c r="L222" s="9">
        <v>1</v>
      </c>
      <c r="M222" s="9">
        <v>100</v>
      </c>
      <c r="N222" s="9">
        <v>100</v>
      </c>
      <c r="O222" s="34"/>
      <c r="P222" s="34"/>
      <c r="Q222" s="37" t="s">
        <v>820</v>
      </c>
      <c r="R222" s="37" t="s">
        <v>819</v>
      </c>
      <c r="S222" s="37">
        <v>0</v>
      </c>
      <c r="T222" s="34"/>
      <c r="U222" s="2" t="s">
        <v>803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20</v>
      </c>
      <c r="AD222" s="9">
        <v>10</v>
      </c>
      <c r="AE222" s="9">
        <v>30</v>
      </c>
      <c r="AF222" s="9">
        <v>0</v>
      </c>
    </row>
    <row r="223" spans="1:32" s="9" customFormat="1" x14ac:dyDescent="0.15">
      <c r="A223" s="9" t="s">
        <v>443</v>
      </c>
      <c r="B223" s="24">
        <v>1706</v>
      </c>
      <c r="C223" s="9" t="s">
        <v>443</v>
      </c>
      <c r="D223" s="9">
        <v>7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24">
        <v>1</v>
      </c>
      <c r="L223" s="9">
        <v>1</v>
      </c>
      <c r="M223" s="9">
        <v>100</v>
      </c>
      <c r="N223" s="9">
        <v>100</v>
      </c>
      <c r="O223" s="34"/>
      <c r="P223" s="34"/>
      <c r="Q223" s="37" t="s">
        <v>820</v>
      </c>
      <c r="R223" s="37" t="s">
        <v>819</v>
      </c>
      <c r="S223" s="37">
        <v>0</v>
      </c>
      <c r="T223" s="34"/>
      <c r="U223" s="2" t="s">
        <v>803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10</v>
      </c>
      <c r="AC223" s="9">
        <v>0</v>
      </c>
      <c r="AD223" s="9">
        <v>0</v>
      </c>
      <c r="AE223" s="9">
        <v>100</v>
      </c>
      <c r="AF223" s="9">
        <v>0</v>
      </c>
    </row>
    <row r="224" spans="1:32" s="9" customFormat="1" x14ac:dyDescent="0.15">
      <c r="A224" s="9" t="s">
        <v>442</v>
      </c>
      <c r="B224" s="24">
        <v>1707</v>
      </c>
      <c r="C224" s="9" t="s">
        <v>442</v>
      </c>
      <c r="D224" s="9">
        <v>7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24">
        <v>1</v>
      </c>
      <c r="L224" s="9">
        <v>1</v>
      </c>
      <c r="M224" s="9">
        <v>100</v>
      </c>
      <c r="N224" s="9">
        <v>100</v>
      </c>
      <c r="O224" s="34"/>
      <c r="P224" s="34"/>
      <c r="Q224" s="37" t="s">
        <v>820</v>
      </c>
      <c r="R224" s="37" t="s">
        <v>819</v>
      </c>
      <c r="S224" s="37">
        <v>0</v>
      </c>
      <c r="T224" s="34"/>
      <c r="U224" s="2" t="s">
        <v>803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30</v>
      </c>
      <c r="AD224" s="9">
        <v>0</v>
      </c>
      <c r="AE224" s="9">
        <v>80</v>
      </c>
      <c r="AF224" s="9">
        <v>0</v>
      </c>
    </row>
    <row r="225" spans="1:33" s="9" customFormat="1" x14ac:dyDescent="0.15">
      <c r="A225" s="9" t="s">
        <v>446</v>
      </c>
      <c r="B225" s="24">
        <v>1708</v>
      </c>
      <c r="C225" s="9" t="s">
        <v>446</v>
      </c>
      <c r="D225" s="9">
        <v>7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24">
        <v>1</v>
      </c>
      <c r="L225" s="9">
        <v>1</v>
      </c>
      <c r="M225" s="9">
        <v>100</v>
      </c>
      <c r="N225" s="9">
        <v>100</v>
      </c>
      <c r="O225" s="34"/>
      <c r="P225" s="34"/>
      <c r="Q225" s="37" t="s">
        <v>820</v>
      </c>
      <c r="R225" s="37" t="s">
        <v>819</v>
      </c>
      <c r="S225" s="37">
        <v>0</v>
      </c>
      <c r="T225" s="34"/>
      <c r="U225" s="2" t="s">
        <v>803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20</v>
      </c>
      <c r="AE225" s="9">
        <v>150</v>
      </c>
      <c r="AF225" s="9">
        <v>0</v>
      </c>
    </row>
    <row r="226" spans="1:33" s="9" customFormat="1" x14ac:dyDescent="0.15">
      <c r="A226" s="9" t="s">
        <v>441</v>
      </c>
      <c r="B226" s="24">
        <v>1709</v>
      </c>
      <c r="C226" s="9" t="s">
        <v>441</v>
      </c>
      <c r="D226" s="9">
        <v>7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24">
        <v>1</v>
      </c>
      <c r="L226" s="9">
        <v>1</v>
      </c>
      <c r="M226" s="9">
        <v>100</v>
      </c>
      <c r="N226" s="9">
        <v>100</v>
      </c>
      <c r="O226" s="34"/>
      <c r="P226" s="34"/>
      <c r="Q226" s="37" t="s">
        <v>820</v>
      </c>
      <c r="R226" s="37" t="s">
        <v>819</v>
      </c>
      <c r="S226" s="37">
        <v>0</v>
      </c>
      <c r="T226" s="34"/>
      <c r="U226" s="2" t="s">
        <v>803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200</v>
      </c>
      <c r="AF226" s="9">
        <v>0</v>
      </c>
    </row>
    <row r="227" spans="1:33" s="9" customFormat="1" x14ac:dyDescent="0.15">
      <c r="A227" s="9" t="s">
        <v>634</v>
      </c>
      <c r="B227" s="24">
        <v>1710</v>
      </c>
      <c r="C227" s="9" t="s">
        <v>634</v>
      </c>
      <c r="D227" s="9">
        <v>7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24">
        <v>1</v>
      </c>
      <c r="L227" s="9">
        <v>1</v>
      </c>
      <c r="M227" s="9">
        <v>100</v>
      </c>
      <c r="N227" s="9">
        <v>100</v>
      </c>
      <c r="O227" s="34"/>
      <c r="P227" s="34"/>
      <c r="Q227" s="37" t="s">
        <v>820</v>
      </c>
      <c r="R227" s="37" t="s">
        <v>819</v>
      </c>
      <c r="S227" s="37">
        <v>0</v>
      </c>
      <c r="T227" s="34"/>
      <c r="U227" s="2" t="s">
        <v>803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20</v>
      </c>
      <c r="AD227" s="9">
        <v>0</v>
      </c>
      <c r="AE227" s="9">
        <v>150</v>
      </c>
      <c r="AF227" s="9">
        <v>0</v>
      </c>
    </row>
    <row r="228" spans="1:33" x14ac:dyDescent="0.15">
      <c r="A228" s="1" t="s">
        <v>731</v>
      </c>
      <c r="B228" s="3">
        <v>1800</v>
      </c>
      <c r="C228" s="1" t="s">
        <v>731</v>
      </c>
      <c r="D228" s="1">
        <v>8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3">
        <v>1</v>
      </c>
      <c r="L228" s="1">
        <v>1</v>
      </c>
      <c r="M228" s="1">
        <v>100</v>
      </c>
      <c r="N228" s="1">
        <v>100</v>
      </c>
      <c r="Q228" s="37" t="s">
        <v>820</v>
      </c>
      <c r="R228" s="37" t="s">
        <v>819</v>
      </c>
      <c r="S228" s="37">
        <v>0</v>
      </c>
      <c r="U228" s="2" t="s">
        <v>803</v>
      </c>
      <c r="V228" s="1">
        <v>0</v>
      </c>
      <c r="W228" s="1">
        <v>0</v>
      </c>
      <c r="X228" s="1">
        <v>0</v>
      </c>
      <c r="Y228" s="1">
        <v>0</v>
      </c>
      <c r="Z228" s="1">
        <v>20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</row>
    <row r="229" spans="1:33" x14ac:dyDescent="0.15">
      <c r="A229" s="1" t="s">
        <v>795</v>
      </c>
      <c r="B229" s="3">
        <v>1801</v>
      </c>
      <c r="C229" s="1" t="s">
        <v>794</v>
      </c>
      <c r="D229" s="1">
        <v>8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3">
        <v>1</v>
      </c>
      <c r="L229" s="1">
        <v>1</v>
      </c>
      <c r="M229" s="1">
        <v>100</v>
      </c>
      <c r="N229" s="1">
        <v>100</v>
      </c>
      <c r="Q229" s="37" t="s">
        <v>820</v>
      </c>
      <c r="R229" s="37" t="s">
        <v>819</v>
      </c>
      <c r="S229" s="37">
        <v>0</v>
      </c>
      <c r="U229" s="2" t="s">
        <v>803</v>
      </c>
      <c r="V229" s="1">
        <v>0</v>
      </c>
      <c r="W229" s="1">
        <v>0</v>
      </c>
      <c r="X229" s="1">
        <v>0</v>
      </c>
      <c r="Y229" s="1">
        <v>0</v>
      </c>
      <c r="Z229" s="1">
        <v>20</v>
      </c>
      <c r="AA229" s="1">
        <v>20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</row>
    <row r="230" spans="1:33" x14ac:dyDescent="0.15">
      <c r="A230" s="1" t="s">
        <v>738</v>
      </c>
      <c r="B230" s="3">
        <v>1802</v>
      </c>
      <c r="C230" s="1" t="s">
        <v>738</v>
      </c>
      <c r="D230" s="1">
        <v>8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3">
        <v>1</v>
      </c>
      <c r="L230" s="1">
        <v>1</v>
      </c>
      <c r="M230" s="1">
        <v>100</v>
      </c>
      <c r="N230" s="1">
        <v>100</v>
      </c>
      <c r="Q230" s="37" t="s">
        <v>820</v>
      </c>
      <c r="R230" s="37" t="s">
        <v>819</v>
      </c>
      <c r="S230" s="37">
        <v>0</v>
      </c>
      <c r="U230" s="2" t="s">
        <v>803</v>
      </c>
      <c r="V230" s="1">
        <v>0</v>
      </c>
      <c r="W230" s="1">
        <v>0</v>
      </c>
      <c r="X230" s="1">
        <v>0</v>
      </c>
      <c r="Y230" s="1">
        <v>0</v>
      </c>
      <c r="Z230" s="1">
        <v>40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</row>
    <row r="231" spans="1:33" x14ac:dyDescent="0.15">
      <c r="A231" s="1" t="s">
        <v>739</v>
      </c>
      <c r="B231" s="3">
        <v>1803</v>
      </c>
      <c r="C231" s="1" t="s">
        <v>739</v>
      </c>
      <c r="D231" s="1">
        <v>8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3">
        <v>1</v>
      </c>
      <c r="L231" s="1">
        <v>1</v>
      </c>
      <c r="M231" s="1">
        <v>100</v>
      </c>
      <c r="N231" s="1">
        <v>100</v>
      </c>
      <c r="Q231" s="37" t="s">
        <v>820</v>
      </c>
      <c r="R231" s="37" t="s">
        <v>819</v>
      </c>
      <c r="S231" s="37">
        <v>0</v>
      </c>
      <c r="U231" s="2" t="s">
        <v>803</v>
      </c>
      <c r="V231" s="1">
        <v>0</v>
      </c>
      <c r="W231" s="1">
        <v>0</v>
      </c>
      <c r="X231" s="1">
        <v>0</v>
      </c>
      <c r="Y231" s="1">
        <v>0</v>
      </c>
      <c r="Z231" s="1">
        <v>30</v>
      </c>
      <c r="AA231" s="1">
        <v>0</v>
      </c>
      <c r="AB231" s="1">
        <v>5</v>
      </c>
      <c r="AC231" s="1">
        <v>5</v>
      </c>
      <c r="AD231" s="1">
        <v>0</v>
      </c>
      <c r="AE231" s="1">
        <v>0</v>
      </c>
      <c r="AF231" s="1">
        <v>0</v>
      </c>
    </row>
    <row r="232" spans="1:33" x14ac:dyDescent="0.15">
      <c r="A232" s="1" t="s">
        <v>746</v>
      </c>
      <c r="B232" s="3">
        <v>1804</v>
      </c>
      <c r="C232" s="1" t="s">
        <v>746</v>
      </c>
      <c r="D232" s="1">
        <v>8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3">
        <v>1</v>
      </c>
      <c r="L232" s="1">
        <v>1</v>
      </c>
      <c r="M232" s="1">
        <v>100</v>
      </c>
      <c r="N232" s="1">
        <v>100</v>
      </c>
      <c r="Q232" s="37" t="s">
        <v>820</v>
      </c>
      <c r="R232" s="37" t="s">
        <v>819</v>
      </c>
      <c r="S232" s="37">
        <v>0</v>
      </c>
      <c r="U232" s="2" t="s">
        <v>803</v>
      </c>
      <c r="V232" s="1">
        <v>0</v>
      </c>
      <c r="W232" s="1">
        <v>0</v>
      </c>
      <c r="X232" s="1">
        <v>0</v>
      </c>
      <c r="Y232" s="1">
        <v>0</v>
      </c>
      <c r="Z232" s="1">
        <v>50</v>
      </c>
      <c r="AA232" s="1">
        <v>0</v>
      </c>
      <c r="AB232" s="1">
        <v>10</v>
      </c>
      <c r="AC232" s="1">
        <v>0</v>
      </c>
      <c r="AD232" s="1">
        <v>0</v>
      </c>
      <c r="AE232" s="1">
        <v>0</v>
      </c>
      <c r="AF232" s="1">
        <v>0</v>
      </c>
    </row>
    <row r="233" spans="1:33" x14ac:dyDescent="0.15">
      <c r="A233" s="1" t="s">
        <v>742</v>
      </c>
      <c r="B233" s="3">
        <v>1805</v>
      </c>
      <c r="C233" s="1" t="s">
        <v>742</v>
      </c>
      <c r="D233" s="1">
        <v>8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3">
        <v>1</v>
      </c>
      <c r="L233" s="1">
        <v>1</v>
      </c>
      <c r="M233" s="1">
        <v>100</v>
      </c>
      <c r="N233" s="1">
        <v>100</v>
      </c>
      <c r="Q233" s="37" t="s">
        <v>820</v>
      </c>
      <c r="R233" s="37" t="s">
        <v>819</v>
      </c>
      <c r="S233" s="37">
        <v>0</v>
      </c>
      <c r="U233" s="2" t="s">
        <v>803</v>
      </c>
      <c r="V233" s="1">
        <v>0</v>
      </c>
      <c r="W233" s="1">
        <v>0</v>
      </c>
      <c r="X233" s="1">
        <v>0</v>
      </c>
      <c r="Y233" s="1">
        <v>0</v>
      </c>
      <c r="Z233" s="1">
        <v>40</v>
      </c>
      <c r="AA233" s="1">
        <v>0</v>
      </c>
      <c r="AB233" s="1">
        <v>0</v>
      </c>
      <c r="AC233" s="1">
        <v>0</v>
      </c>
      <c r="AD233" s="1">
        <v>20</v>
      </c>
      <c r="AE233" s="1">
        <v>0</v>
      </c>
      <c r="AF233" s="1">
        <v>0</v>
      </c>
    </row>
    <row r="234" spans="1:33" x14ac:dyDescent="0.15">
      <c r="A234" s="1" t="s">
        <v>741</v>
      </c>
      <c r="B234" s="3">
        <v>1806</v>
      </c>
      <c r="C234" s="1" t="s">
        <v>741</v>
      </c>
      <c r="D234" s="1">
        <v>8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3">
        <v>1</v>
      </c>
      <c r="L234" s="1">
        <v>1</v>
      </c>
      <c r="M234" s="1">
        <v>100</v>
      </c>
      <c r="N234" s="1">
        <v>100</v>
      </c>
      <c r="Q234" s="37" t="s">
        <v>820</v>
      </c>
      <c r="R234" s="37" t="s">
        <v>819</v>
      </c>
      <c r="S234" s="37">
        <v>0</v>
      </c>
      <c r="U234" s="2" t="s">
        <v>803</v>
      </c>
      <c r="V234" s="1">
        <v>0</v>
      </c>
      <c r="W234" s="1">
        <v>0</v>
      </c>
      <c r="X234" s="1">
        <v>0</v>
      </c>
      <c r="Y234" s="1">
        <v>0</v>
      </c>
      <c r="Z234" s="1">
        <v>60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</row>
    <row r="235" spans="1:33" x14ac:dyDescent="0.15">
      <c r="A235" s="1" t="s">
        <v>750</v>
      </c>
      <c r="B235" s="3">
        <v>1807</v>
      </c>
      <c r="C235" s="1" t="s">
        <v>750</v>
      </c>
      <c r="D235" s="1">
        <v>8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3">
        <v>1</v>
      </c>
      <c r="L235" s="1">
        <v>1</v>
      </c>
      <c r="M235" s="1">
        <v>100</v>
      </c>
      <c r="N235" s="1">
        <v>100</v>
      </c>
      <c r="Q235" s="37" t="s">
        <v>820</v>
      </c>
      <c r="R235" s="37" t="s">
        <v>819</v>
      </c>
      <c r="S235" s="37">
        <v>0</v>
      </c>
      <c r="U235" s="2" t="s">
        <v>803</v>
      </c>
      <c r="V235" s="1">
        <v>0</v>
      </c>
      <c r="W235" s="1">
        <v>0</v>
      </c>
      <c r="X235" s="1">
        <v>0</v>
      </c>
      <c r="Y235" s="1">
        <v>0</v>
      </c>
      <c r="Z235" s="1">
        <v>80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</row>
    <row r="236" spans="1:33" x14ac:dyDescent="0.15">
      <c r="A236" s="1" t="s">
        <v>743</v>
      </c>
      <c r="B236" s="3">
        <v>1808</v>
      </c>
      <c r="C236" s="1" t="s">
        <v>743</v>
      </c>
      <c r="D236" s="1">
        <v>8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3">
        <v>1</v>
      </c>
      <c r="L236" s="1">
        <v>1</v>
      </c>
      <c r="M236" s="1">
        <v>100</v>
      </c>
      <c r="N236" s="1">
        <v>100</v>
      </c>
      <c r="Q236" s="37" t="s">
        <v>820</v>
      </c>
      <c r="R236" s="37" t="s">
        <v>819</v>
      </c>
      <c r="S236" s="37">
        <v>0</v>
      </c>
      <c r="U236" s="2" t="s">
        <v>803</v>
      </c>
      <c r="V236" s="1">
        <v>0</v>
      </c>
      <c r="W236" s="1">
        <v>0</v>
      </c>
      <c r="X236" s="1">
        <v>0</v>
      </c>
      <c r="Y236" s="1">
        <v>0</v>
      </c>
      <c r="Z236" s="1">
        <v>50</v>
      </c>
      <c r="AA236" s="1">
        <v>0</v>
      </c>
      <c r="AB236" s="1">
        <v>20</v>
      </c>
      <c r="AC236" s="1">
        <v>10</v>
      </c>
      <c r="AD236" s="1">
        <v>0</v>
      </c>
      <c r="AE236" s="1">
        <v>0</v>
      </c>
      <c r="AF236" s="1">
        <v>0</v>
      </c>
    </row>
    <row r="237" spans="1:33" x14ac:dyDescent="0.15">
      <c r="A237" s="1" t="s">
        <v>27</v>
      </c>
      <c r="B237" s="1">
        <v>2000</v>
      </c>
      <c r="C237" s="1" t="s">
        <v>34</v>
      </c>
      <c r="D237" s="1">
        <v>6</v>
      </c>
      <c r="E237" s="1">
        <v>1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1</v>
      </c>
      <c r="M237" s="1">
        <v>100</v>
      </c>
      <c r="N237" s="1">
        <v>100</v>
      </c>
      <c r="Q237" s="37" t="s">
        <v>820</v>
      </c>
      <c r="R237" s="37" t="s">
        <v>819</v>
      </c>
      <c r="S237" s="37">
        <v>0</v>
      </c>
      <c r="U237" s="2" t="s">
        <v>802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 t="s">
        <v>30</v>
      </c>
    </row>
    <row r="238" spans="1:33" x14ac:dyDescent="0.15">
      <c r="A238" s="1" t="s">
        <v>28</v>
      </c>
      <c r="B238" s="1">
        <v>2001</v>
      </c>
      <c r="C238" s="1" t="s">
        <v>35</v>
      </c>
      <c r="D238" s="1">
        <v>6</v>
      </c>
      <c r="E238" s="1">
        <v>1</v>
      </c>
      <c r="F238" s="1">
        <v>0</v>
      </c>
      <c r="G238" s="1">
        <v>0</v>
      </c>
      <c r="H238" s="1">
        <v>1</v>
      </c>
      <c r="I238" s="1">
        <v>0</v>
      </c>
      <c r="J238" s="1">
        <v>0</v>
      </c>
      <c r="K238" s="1">
        <v>1</v>
      </c>
      <c r="L238" s="1">
        <v>1</v>
      </c>
      <c r="M238" s="1">
        <v>100</v>
      </c>
      <c r="N238" s="1">
        <v>100</v>
      </c>
      <c r="Q238" s="37" t="s">
        <v>820</v>
      </c>
      <c r="R238" s="37" t="s">
        <v>819</v>
      </c>
      <c r="S238" s="37">
        <v>0</v>
      </c>
      <c r="U238" s="2" t="s">
        <v>802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 t="s">
        <v>31</v>
      </c>
    </row>
    <row r="239" spans="1:33" x14ac:dyDescent="0.15">
      <c r="A239" s="1" t="s">
        <v>340</v>
      </c>
      <c r="B239" s="1">
        <v>2002</v>
      </c>
      <c r="C239" s="1" t="s">
        <v>339</v>
      </c>
      <c r="D239" s="1">
        <v>6</v>
      </c>
      <c r="E239" s="1">
        <v>1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1</v>
      </c>
      <c r="L239" s="1">
        <v>1</v>
      </c>
      <c r="M239" s="1">
        <v>100</v>
      </c>
      <c r="N239" s="1">
        <v>100</v>
      </c>
      <c r="Q239" s="37" t="s">
        <v>820</v>
      </c>
      <c r="R239" s="37" t="s">
        <v>819</v>
      </c>
      <c r="S239" s="37">
        <v>0</v>
      </c>
      <c r="U239" s="2" t="s">
        <v>802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 t="s">
        <v>32</v>
      </c>
    </row>
    <row r="240" spans="1:33" x14ac:dyDescent="0.15">
      <c r="A240" s="1" t="s">
        <v>29</v>
      </c>
      <c r="B240" s="1">
        <v>2003</v>
      </c>
      <c r="C240" s="1" t="s">
        <v>36</v>
      </c>
      <c r="D240" s="1">
        <v>6</v>
      </c>
      <c r="E240" s="1">
        <v>1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1</v>
      </c>
      <c r="L240" s="1">
        <v>1</v>
      </c>
      <c r="M240" s="1">
        <v>100</v>
      </c>
      <c r="N240" s="1">
        <v>100</v>
      </c>
      <c r="Q240" s="37" t="s">
        <v>820</v>
      </c>
      <c r="R240" s="37" t="s">
        <v>819</v>
      </c>
      <c r="S240" s="37">
        <v>0</v>
      </c>
      <c r="U240" s="2" t="s">
        <v>802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 t="s">
        <v>33</v>
      </c>
    </row>
    <row r="241" spans="1:33" x14ac:dyDescent="0.15">
      <c r="A241" s="1" t="s">
        <v>166</v>
      </c>
      <c r="B241" s="1">
        <v>2004</v>
      </c>
      <c r="C241" s="1" t="s">
        <v>166</v>
      </c>
      <c r="D241" s="1">
        <v>6</v>
      </c>
      <c r="E241" s="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1</v>
      </c>
      <c r="M241" s="1">
        <v>100</v>
      </c>
      <c r="N241" s="1">
        <v>100</v>
      </c>
      <c r="Q241" s="37" t="s">
        <v>820</v>
      </c>
      <c r="R241" s="37" t="s">
        <v>819</v>
      </c>
      <c r="S241" s="37">
        <v>0</v>
      </c>
      <c r="U241" s="2" t="s">
        <v>802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 t="s">
        <v>169</v>
      </c>
    </row>
    <row r="242" spans="1:33" x14ac:dyDescent="0.15">
      <c r="A242" s="1" t="s">
        <v>692</v>
      </c>
      <c r="B242" s="1">
        <v>2100</v>
      </c>
      <c r="C242" s="1" t="s">
        <v>692</v>
      </c>
      <c r="D242" s="1">
        <v>10</v>
      </c>
      <c r="E242" s="1">
        <v>2100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1</v>
      </c>
      <c r="L242" s="1">
        <v>1</v>
      </c>
      <c r="M242" s="9">
        <v>2000</v>
      </c>
      <c r="N242" s="1">
        <v>100</v>
      </c>
      <c r="Q242" s="37" t="s">
        <v>820</v>
      </c>
      <c r="R242" s="37" t="s">
        <v>819</v>
      </c>
      <c r="S242" s="37">
        <v>0</v>
      </c>
      <c r="U242" s="2" t="s">
        <v>802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 t="s">
        <v>693</v>
      </c>
    </row>
    <row r="243" spans="1:33" x14ac:dyDescent="0.15">
      <c r="A243" s="1" t="s">
        <v>87</v>
      </c>
      <c r="B243" s="1">
        <v>2101</v>
      </c>
      <c r="C243" s="1" t="s">
        <v>87</v>
      </c>
      <c r="D243" s="1">
        <v>10</v>
      </c>
      <c r="E243" s="1">
        <v>2101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1</v>
      </c>
      <c r="M243" s="1">
        <v>2000</v>
      </c>
      <c r="N243" s="1">
        <v>100</v>
      </c>
      <c r="Q243" s="37" t="s">
        <v>820</v>
      </c>
      <c r="R243" s="37" t="s">
        <v>819</v>
      </c>
      <c r="S243" s="37">
        <v>0</v>
      </c>
      <c r="U243" s="2" t="s">
        <v>802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 t="s">
        <v>106</v>
      </c>
    </row>
    <row r="244" spans="1:33" x14ac:dyDescent="0.15">
      <c r="A244" s="1" t="s">
        <v>105</v>
      </c>
      <c r="B244" s="1">
        <v>2102</v>
      </c>
      <c r="C244" s="1" t="s">
        <v>104</v>
      </c>
      <c r="D244" s="1">
        <v>10</v>
      </c>
      <c r="E244" s="1">
        <v>2102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1</v>
      </c>
      <c r="L244" s="1">
        <v>1</v>
      </c>
      <c r="M244" s="1">
        <v>1000</v>
      </c>
      <c r="N244" s="1">
        <v>100</v>
      </c>
      <c r="Q244" s="37" t="s">
        <v>820</v>
      </c>
      <c r="R244" s="37" t="s">
        <v>819</v>
      </c>
      <c r="S244" s="37">
        <v>0</v>
      </c>
      <c r="U244" s="2" t="s">
        <v>802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 t="s">
        <v>107</v>
      </c>
    </row>
    <row r="245" spans="1:33" x14ac:dyDescent="0.15">
      <c r="A245" s="1" t="s">
        <v>796</v>
      </c>
      <c r="B245" s="1">
        <v>2103</v>
      </c>
      <c r="C245" s="1" t="s">
        <v>797</v>
      </c>
      <c r="D245" s="1">
        <v>10</v>
      </c>
      <c r="E245" s="1">
        <v>2103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  <c r="L245" s="1">
        <v>1</v>
      </c>
      <c r="M245" s="1">
        <v>1000</v>
      </c>
      <c r="N245" s="1">
        <v>100</v>
      </c>
      <c r="Q245" s="37" t="s">
        <v>820</v>
      </c>
      <c r="R245" s="37" t="s">
        <v>819</v>
      </c>
      <c r="S245" s="37">
        <v>0</v>
      </c>
      <c r="U245" s="2" t="s">
        <v>802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 t="s">
        <v>694</v>
      </c>
    </row>
    <row r="246" spans="1:33" x14ac:dyDescent="0.15">
      <c r="A246" s="1" t="s">
        <v>88</v>
      </c>
      <c r="B246" s="1">
        <v>2104</v>
      </c>
      <c r="C246" s="1" t="s">
        <v>88</v>
      </c>
      <c r="D246" s="1">
        <v>10</v>
      </c>
      <c r="E246" s="1">
        <v>2104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  <c r="L246" s="1">
        <v>1</v>
      </c>
      <c r="M246" s="1">
        <v>500</v>
      </c>
      <c r="N246" s="1">
        <v>100</v>
      </c>
      <c r="Q246" s="37" t="s">
        <v>820</v>
      </c>
      <c r="R246" s="37" t="s">
        <v>819</v>
      </c>
      <c r="S246" s="37">
        <v>0</v>
      </c>
      <c r="U246" s="2" t="s">
        <v>802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 t="s">
        <v>108</v>
      </c>
    </row>
    <row r="247" spans="1:33" x14ac:dyDescent="0.15">
      <c r="A247" s="1" t="s">
        <v>89</v>
      </c>
      <c r="B247" s="1">
        <v>2105</v>
      </c>
      <c r="C247" s="1" t="s">
        <v>89</v>
      </c>
      <c r="D247" s="1">
        <v>10</v>
      </c>
      <c r="E247" s="1">
        <v>2105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1</v>
      </c>
      <c r="L247" s="1">
        <v>1</v>
      </c>
      <c r="M247" s="1">
        <v>2000</v>
      </c>
      <c r="N247" s="1">
        <v>100</v>
      </c>
      <c r="Q247" s="37" t="s">
        <v>820</v>
      </c>
      <c r="R247" s="37" t="s">
        <v>819</v>
      </c>
      <c r="S247" s="37">
        <v>0</v>
      </c>
      <c r="U247" s="2" t="s">
        <v>802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 t="s">
        <v>109</v>
      </c>
    </row>
    <row r="248" spans="1:33" x14ac:dyDescent="0.15">
      <c r="A248" s="1" t="s">
        <v>90</v>
      </c>
      <c r="B248" s="1">
        <v>2106</v>
      </c>
      <c r="C248" s="1" t="s">
        <v>90</v>
      </c>
      <c r="D248" s="1">
        <v>10</v>
      </c>
      <c r="E248" s="1">
        <v>2106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1</v>
      </c>
      <c r="L248" s="1">
        <v>1</v>
      </c>
      <c r="M248" s="1">
        <v>2000</v>
      </c>
      <c r="N248" s="1">
        <v>100</v>
      </c>
      <c r="Q248" s="37" t="s">
        <v>820</v>
      </c>
      <c r="R248" s="37" t="s">
        <v>819</v>
      </c>
      <c r="S248" s="37">
        <v>0</v>
      </c>
      <c r="U248" s="2" t="s">
        <v>802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 t="s">
        <v>110</v>
      </c>
    </row>
    <row r="249" spans="1:33" x14ac:dyDescent="0.15">
      <c r="A249" s="1" t="s">
        <v>91</v>
      </c>
      <c r="B249" s="1">
        <v>2107</v>
      </c>
      <c r="C249" s="1" t="s">
        <v>91</v>
      </c>
      <c r="D249" s="1">
        <v>10</v>
      </c>
      <c r="E249" s="1">
        <v>2107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1</v>
      </c>
      <c r="L249" s="1">
        <v>1</v>
      </c>
      <c r="M249" s="1">
        <v>1500</v>
      </c>
      <c r="N249" s="1">
        <v>100</v>
      </c>
      <c r="Q249" s="37" t="s">
        <v>820</v>
      </c>
      <c r="R249" s="37" t="s">
        <v>819</v>
      </c>
      <c r="S249" s="37">
        <v>0</v>
      </c>
      <c r="U249" s="2" t="s">
        <v>802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 t="s">
        <v>111</v>
      </c>
    </row>
    <row r="250" spans="1:33" x14ac:dyDescent="0.15">
      <c r="A250" s="1" t="s">
        <v>95</v>
      </c>
      <c r="B250" s="1">
        <v>2108</v>
      </c>
      <c r="C250" s="1" t="s">
        <v>98</v>
      </c>
      <c r="D250" s="1">
        <v>10</v>
      </c>
      <c r="E250" s="1">
        <v>2108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1</v>
      </c>
      <c r="L250" s="1">
        <v>1</v>
      </c>
      <c r="M250" s="1">
        <v>1000</v>
      </c>
      <c r="N250" s="1">
        <v>100</v>
      </c>
      <c r="Q250" s="37" t="s">
        <v>820</v>
      </c>
      <c r="R250" s="37" t="s">
        <v>819</v>
      </c>
      <c r="S250" s="37">
        <v>0</v>
      </c>
      <c r="U250" s="2" t="s">
        <v>802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 t="s">
        <v>112</v>
      </c>
    </row>
    <row r="251" spans="1:33" x14ac:dyDescent="0.15">
      <c r="A251" s="1" t="s">
        <v>96</v>
      </c>
      <c r="B251" s="1">
        <v>2109</v>
      </c>
      <c r="C251" s="1" t="s">
        <v>99</v>
      </c>
      <c r="D251" s="1">
        <v>10</v>
      </c>
      <c r="E251" s="1">
        <v>2109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1</v>
      </c>
      <c r="M251" s="1">
        <v>5000</v>
      </c>
      <c r="N251" s="1">
        <v>100</v>
      </c>
      <c r="Q251" s="37" t="s">
        <v>820</v>
      </c>
      <c r="R251" s="37" t="s">
        <v>819</v>
      </c>
      <c r="S251" s="37">
        <v>0</v>
      </c>
      <c r="U251" s="2" t="s">
        <v>802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 t="s">
        <v>113</v>
      </c>
    </row>
    <row r="252" spans="1:33" x14ac:dyDescent="0.15">
      <c r="A252" s="1" t="s">
        <v>97</v>
      </c>
      <c r="B252" s="1">
        <v>2110</v>
      </c>
      <c r="C252" s="1" t="s">
        <v>100</v>
      </c>
      <c r="D252" s="1">
        <v>10</v>
      </c>
      <c r="E252" s="1">
        <v>2110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  <c r="L252" s="1">
        <v>1</v>
      </c>
      <c r="M252" s="1">
        <v>10000</v>
      </c>
      <c r="N252" s="1">
        <v>100</v>
      </c>
      <c r="Q252" s="37" t="s">
        <v>820</v>
      </c>
      <c r="R252" s="37" t="s">
        <v>819</v>
      </c>
      <c r="S252" s="37">
        <v>0</v>
      </c>
      <c r="U252" s="2" t="s">
        <v>802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 t="s">
        <v>114</v>
      </c>
    </row>
    <row r="253" spans="1:33" x14ac:dyDescent="0.15">
      <c r="A253" s="1" t="s">
        <v>94</v>
      </c>
      <c r="B253" s="1">
        <v>2111</v>
      </c>
      <c r="C253" s="1" t="s">
        <v>101</v>
      </c>
      <c r="D253" s="1">
        <v>10</v>
      </c>
      <c r="E253" s="1">
        <v>2111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1</v>
      </c>
      <c r="L253" s="1">
        <v>1</v>
      </c>
      <c r="M253" s="1">
        <v>500</v>
      </c>
      <c r="N253" s="1">
        <v>100</v>
      </c>
      <c r="Q253" s="37" t="s">
        <v>820</v>
      </c>
      <c r="R253" s="37" t="s">
        <v>819</v>
      </c>
      <c r="S253" s="37">
        <v>0</v>
      </c>
      <c r="U253" s="2" t="s">
        <v>802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 t="s">
        <v>115</v>
      </c>
    </row>
    <row r="254" spans="1:33" x14ac:dyDescent="0.15">
      <c r="A254" s="1" t="s">
        <v>102</v>
      </c>
      <c r="B254" s="1">
        <v>2113</v>
      </c>
      <c r="C254" s="1" t="s">
        <v>103</v>
      </c>
      <c r="D254" s="1">
        <v>10</v>
      </c>
      <c r="E254" s="1">
        <v>2113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1</v>
      </c>
      <c r="L254" s="1">
        <v>1</v>
      </c>
      <c r="M254" s="1">
        <v>500</v>
      </c>
      <c r="N254" s="1">
        <v>100</v>
      </c>
      <c r="Q254" s="37" t="s">
        <v>820</v>
      </c>
      <c r="R254" s="37" t="s">
        <v>819</v>
      </c>
      <c r="S254" s="37">
        <v>0</v>
      </c>
      <c r="U254" s="2" t="s">
        <v>802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 t="s">
        <v>116</v>
      </c>
    </row>
    <row r="255" spans="1:33" ht="12.75" customHeight="1" x14ac:dyDescent="0.15">
      <c r="A255" s="1" t="s">
        <v>92</v>
      </c>
      <c r="B255" s="1">
        <v>2200</v>
      </c>
      <c r="C255" s="1" t="s">
        <v>92</v>
      </c>
      <c r="D255" s="1">
        <v>10</v>
      </c>
      <c r="E255" s="1">
        <v>2200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1</v>
      </c>
      <c r="L255" s="1">
        <v>1</v>
      </c>
      <c r="M255" s="1">
        <v>1000</v>
      </c>
      <c r="N255" s="1">
        <v>100</v>
      </c>
      <c r="Q255" s="37" t="s">
        <v>820</v>
      </c>
      <c r="R255" s="37" t="s">
        <v>819</v>
      </c>
      <c r="S255" s="37">
        <v>0</v>
      </c>
      <c r="U255" s="2" t="s">
        <v>802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 t="s">
        <v>117</v>
      </c>
    </row>
    <row r="256" spans="1:33" x14ac:dyDescent="0.15">
      <c r="A256" s="1" t="s">
        <v>695</v>
      </c>
      <c r="B256" s="1">
        <v>2114</v>
      </c>
      <c r="C256" s="1" t="s">
        <v>695</v>
      </c>
      <c r="D256" s="1">
        <v>10</v>
      </c>
      <c r="E256" s="1">
        <v>2114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1</v>
      </c>
      <c r="L256" s="1">
        <v>1</v>
      </c>
      <c r="M256" s="1">
        <v>1000</v>
      </c>
      <c r="N256" s="1">
        <v>100</v>
      </c>
      <c r="Q256" s="37" t="s">
        <v>820</v>
      </c>
      <c r="R256" s="37" t="s">
        <v>819</v>
      </c>
      <c r="S256" s="37">
        <v>0</v>
      </c>
      <c r="U256" s="2" t="s">
        <v>802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 t="s">
        <v>264</v>
      </c>
    </row>
    <row r="257" spans="1:33" x14ac:dyDescent="0.15">
      <c r="A257" s="1" t="s">
        <v>93</v>
      </c>
      <c r="B257" s="1">
        <v>2201</v>
      </c>
      <c r="C257" s="1" t="s">
        <v>93</v>
      </c>
      <c r="D257" s="1">
        <v>10</v>
      </c>
      <c r="E257" s="1">
        <v>2201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1</v>
      </c>
      <c r="L257" s="1">
        <v>1</v>
      </c>
      <c r="M257" s="1">
        <v>1000</v>
      </c>
      <c r="N257" s="1">
        <v>100</v>
      </c>
      <c r="Q257" s="37" t="s">
        <v>820</v>
      </c>
      <c r="R257" s="37" t="s">
        <v>819</v>
      </c>
      <c r="S257" s="37">
        <v>0</v>
      </c>
      <c r="U257" s="2" t="s">
        <v>802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 t="s">
        <v>118</v>
      </c>
    </row>
    <row r="258" spans="1:33" ht="15" x14ac:dyDescent="0.2">
      <c r="A258" s="10" t="s">
        <v>202</v>
      </c>
      <c r="B258" s="1">
        <v>4000</v>
      </c>
      <c r="C258" s="6" t="s">
        <v>127</v>
      </c>
      <c r="D258" s="1">
        <v>3</v>
      </c>
      <c r="E258" s="7">
        <v>1000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9</v>
      </c>
      <c r="L258" s="1">
        <v>1</v>
      </c>
      <c r="M258" s="1">
        <v>100</v>
      </c>
      <c r="N258" s="1">
        <v>100</v>
      </c>
      <c r="Q258" s="37" t="s">
        <v>820</v>
      </c>
      <c r="R258" s="37" t="s">
        <v>819</v>
      </c>
      <c r="S258" s="37">
        <v>0</v>
      </c>
      <c r="U258" s="2" t="s">
        <v>802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6" t="s">
        <v>127</v>
      </c>
    </row>
    <row r="259" spans="1:33" x14ac:dyDescent="0.15">
      <c r="A259" s="7" t="s">
        <v>129</v>
      </c>
      <c r="B259" s="1">
        <v>4003</v>
      </c>
      <c r="C259" s="7" t="s">
        <v>129</v>
      </c>
      <c r="D259" s="1">
        <v>3</v>
      </c>
      <c r="E259" s="7">
        <v>1003</v>
      </c>
      <c r="F259" s="1">
        <v>0</v>
      </c>
      <c r="G259" s="1">
        <v>1</v>
      </c>
      <c r="H259" s="1">
        <v>0</v>
      </c>
      <c r="I259" s="1">
        <v>0</v>
      </c>
      <c r="J259" s="1">
        <v>0</v>
      </c>
      <c r="K259" s="1">
        <v>9</v>
      </c>
      <c r="L259" s="1">
        <v>1</v>
      </c>
      <c r="M259" s="1">
        <v>100</v>
      </c>
      <c r="N259" s="1">
        <v>100</v>
      </c>
      <c r="Q259" s="37" t="s">
        <v>820</v>
      </c>
      <c r="R259" s="37" t="s">
        <v>819</v>
      </c>
      <c r="S259" s="37">
        <v>0</v>
      </c>
      <c r="U259" s="2" t="s">
        <v>802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7" t="s">
        <v>129</v>
      </c>
    </row>
    <row r="260" spans="1:33" x14ac:dyDescent="0.15">
      <c r="A260" s="7" t="s">
        <v>128</v>
      </c>
      <c r="B260" s="1">
        <v>4004</v>
      </c>
      <c r="C260" s="7" t="s">
        <v>128</v>
      </c>
      <c r="D260" s="1">
        <v>3</v>
      </c>
      <c r="E260" s="7">
        <v>1004</v>
      </c>
      <c r="F260" s="1">
        <v>0</v>
      </c>
      <c r="G260" s="1">
        <v>1</v>
      </c>
      <c r="H260" s="1">
        <v>0</v>
      </c>
      <c r="I260" s="1">
        <v>0</v>
      </c>
      <c r="J260" s="1">
        <v>0</v>
      </c>
      <c r="K260" s="1">
        <v>9</v>
      </c>
      <c r="L260" s="1">
        <v>1</v>
      </c>
      <c r="M260" s="1">
        <v>100</v>
      </c>
      <c r="N260" s="1">
        <v>100</v>
      </c>
      <c r="Q260" s="37" t="s">
        <v>820</v>
      </c>
      <c r="R260" s="37" t="s">
        <v>819</v>
      </c>
      <c r="S260" s="37">
        <v>0</v>
      </c>
      <c r="U260" s="2" t="s">
        <v>802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7" t="s">
        <v>128</v>
      </c>
    </row>
    <row r="261" spans="1:33" x14ac:dyDescent="0.15">
      <c r="A261" s="7" t="s">
        <v>130</v>
      </c>
      <c r="B261" s="1">
        <v>4006</v>
      </c>
      <c r="C261" s="7" t="s">
        <v>130</v>
      </c>
      <c r="D261" s="1">
        <v>3</v>
      </c>
      <c r="E261" s="7">
        <v>1006</v>
      </c>
      <c r="F261" s="1">
        <v>0</v>
      </c>
      <c r="G261" s="1">
        <v>1</v>
      </c>
      <c r="H261" s="1">
        <v>0</v>
      </c>
      <c r="I261" s="1">
        <v>0</v>
      </c>
      <c r="J261" s="1">
        <v>0</v>
      </c>
      <c r="K261" s="1">
        <v>9</v>
      </c>
      <c r="L261" s="1">
        <v>1</v>
      </c>
      <c r="M261" s="1">
        <v>100</v>
      </c>
      <c r="N261" s="1">
        <v>100</v>
      </c>
      <c r="Q261" s="37" t="s">
        <v>820</v>
      </c>
      <c r="R261" s="37" t="s">
        <v>819</v>
      </c>
      <c r="S261" s="37">
        <v>0</v>
      </c>
      <c r="U261" s="2" t="s">
        <v>802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7" t="s">
        <v>130</v>
      </c>
    </row>
    <row r="262" spans="1:33" x14ac:dyDescent="0.15">
      <c r="A262" s="7" t="s">
        <v>164</v>
      </c>
      <c r="B262" s="1">
        <v>4007</v>
      </c>
      <c r="C262" s="7" t="s">
        <v>165</v>
      </c>
      <c r="D262" s="1">
        <v>3</v>
      </c>
      <c r="E262" s="7">
        <v>1007</v>
      </c>
      <c r="F262" s="1">
        <v>0</v>
      </c>
      <c r="G262" s="1">
        <v>1</v>
      </c>
      <c r="H262" s="1">
        <v>0</v>
      </c>
      <c r="I262" s="1">
        <v>0</v>
      </c>
      <c r="J262" s="1">
        <v>0</v>
      </c>
      <c r="K262" s="1">
        <v>9</v>
      </c>
      <c r="L262" s="1">
        <v>1</v>
      </c>
      <c r="M262" s="1">
        <v>100</v>
      </c>
      <c r="N262" s="1">
        <v>100</v>
      </c>
      <c r="Q262" s="37" t="s">
        <v>820</v>
      </c>
      <c r="R262" s="37" t="s">
        <v>819</v>
      </c>
      <c r="S262" s="37">
        <v>0</v>
      </c>
      <c r="U262" s="2" t="s">
        <v>802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7" t="s">
        <v>131</v>
      </c>
    </row>
    <row r="263" spans="1:33" x14ac:dyDescent="0.15">
      <c r="A263" s="8" t="s">
        <v>132</v>
      </c>
      <c r="B263" s="1">
        <v>4008</v>
      </c>
      <c r="C263" s="8" t="s">
        <v>132</v>
      </c>
      <c r="D263" s="1">
        <v>3</v>
      </c>
      <c r="E263" s="7">
        <v>1008</v>
      </c>
      <c r="F263" s="1">
        <v>0</v>
      </c>
      <c r="G263" s="1">
        <v>1</v>
      </c>
      <c r="H263" s="1">
        <v>0</v>
      </c>
      <c r="I263" s="1">
        <v>0</v>
      </c>
      <c r="J263" s="1">
        <v>0</v>
      </c>
      <c r="K263" s="1">
        <v>9</v>
      </c>
      <c r="L263" s="1">
        <v>1</v>
      </c>
      <c r="M263" s="1">
        <v>100</v>
      </c>
      <c r="N263" s="1">
        <v>100</v>
      </c>
      <c r="Q263" s="37" t="s">
        <v>820</v>
      </c>
      <c r="R263" s="37" t="s">
        <v>819</v>
      </c>
      <c r="S263" s="37">
        <v>0</v>
      </c>
      <c r="U263" s="2" t="s">
        <v>802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8" t="s">
        <v>132</v>
      </c>
    </row>
    <row r="264" spans="1:33" x14ac:dyDescent="0.15">
      <c r="A264" s="7" t="s">
        <v>133</v>
      </c>
      <c r="B264" s="1">
        <v>4009</v>
      </c>
      <c r="C264" s="7" t="s">
        <v>133</v>
      </c>
      <c r="D264" s="1">
        <v>3</v>
      </c>
      <c r="E264" s="7">
        <v>1009</v>
      </c>
      <c r="F264" s="1">
        <v>0</v>
      </c>
      <c r="G264" s="1">
        <v>1</v>
      </c>
      <c r="H264" s="1">
        <v>0</v>
      </c>
      <c r="I264" s="1">
        <v>0</v>
      </c>
      <c r="J264" s="1">
        <v>0</v>
      </c>
      <c r="K264" s="1">
        <v>9</v>
      </c>
      <c r="L264" s="1">
        <v>1</v>
      </c>
      <c r="M264" s="1">
        <v>100</v>
      </c>
      <c r="N264" s="1">
        <v>100</v>
      </c>
      <c r="Q264" s="37" t="s">
        <v>820</v>
      </c>
      <c r="R264" s="37" t="s">
        <v>819</v>
      </c>
      <c r="S264" s="37">
        <v>0</v>
      </c>
      <c r="U264" s="2" t="s">
        <v>802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7" t="s">
        <v>133</v>
      </c>
    </row>
    <row r="265" spans="1:33" x14ac:dyDescent="0.15">
      <c r="A265" s="8" t="s">
        <v>134</v>
      </c>
      <c r="B265" s="1">
        <v>4010</v>
      </c>
      <c r="C265" s="8" t="s">
        <v>134</v>
      </c>
      <c r="D265" s="1">
        <v>3</v>
      </c>
      <c r="E265" s="7">
        <v>1010</v>
      </c>
      <c r="F265" s="1">
        <v>0</v>
      </c>
      <c r="G265" s="1">
        <v>1</v>
      </c>
      <c r="H265" s="1">
        <v>0</v>
      </c>
      <c r="I265" s="1">
        <v>0</v>
      </c>
      <c r="J265" s="1">
        <v>0</v>
      </c>
      <c r="K265" s="1">
        <v>9</v>
      </c>
      <c r="L265" s="1">
        <v>1</v>
      </c>
      <c r="M265" s="1">
        <v>100</v>
      </c>
      <c r="N265" s="1">
        <v>100</v>
      </c>
      <c r="Q265" s="37" t="s">
        <v>820</v>
      </c>
      <c r="R265" s="37" t="s">
        <v>819</v>
      </c>
      <c r="S265" s="37">
        <v>0</v>
      </c>
      <c r="U265" s="2" t="s">
        <v>802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8" t="s">
        <v>134</v>
      </c>
    </row>
    <row r="266" spans="1:33" x14ac:dyDescent="0.15">
      <c r="A266" s="7" t="s">
        <v>135</v>
      </c>
      <c r="B266" s="1">
        <v>4011</v>
      </c>
      <c r="C266" s="7" t="s">
        <v>135</v>
      </c>
      <c r="D266" s="1">
        <v>3</v>
      </c>
      <c r="E266" s="7">
        <v>1011</v>
      </c>
      <c r="F266" s="1">
        <v>0</v>
      </c>
      <c r="G266" s="1">
        <v>1</v>
      </c>
      <c r="H266" s="1">
        <v>0</v>
      </c>
      <c r="I266" s="1">
        <v>0</v>
      </c>
      <c r="J266" s="1">
        <v>0</v>
      </c>
      <c r="K266" s="1">
        <v>9</v>
      </c>
      <c r="L266" s="1">
        <v>1</v>
      </c>
      <c r="M266" s="1">
        <v>100</v>
      </c>
      <c r="N266" s="1">
        <v>100</v>
      </c>
      <c r="Q266" s="37" t="s">
        <v>820</v>
      </c>
      <c r="R266" s="37" t="s">
        <v>819</v>
      </c>
      <c r="S266" s="37">
        <v>0</v>
      </c>
      <c r="U266" s="2" t="s">
        <v>802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7" t="s">
        <v>135</v>
      </c>
    </row>
    <row r="267" spans="1:33" x14ac:dyDescent="0.15">
      <c r="A267" s="7" t="s">
        <v>136</v>
      </c>
      <c r="B267" s="1">
        <v>4012</v>
      </c>
      <c r="C267" s="7" t="s">
        <v>136</v>
      </c>
      <c r="D267" s="1">
        <v>3</v>
      </c>
      <c r="E267" s="7">
        <v>1012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9</v>
      </c>
      <c r="L267" s="1">
        <v>1</v>
      </c>
      <c r="M267" s="1">
        <v>100</v>
      </c>
      <c r="N267" s="1">
        <v>100</v>
      </c>
      <c r="Q267" s="37" t="s">
        <v>820</v>
      </c>
      <c r="R267" s="37" t="s">
        <v>819</v>
      </c>
      <c r="S267" s="37">
        <v>0</v>
      </c>
      <c r="U267" s="2" t="s">
        <v>802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7" t="s">
        <v>136</v>
      </c>
    </row>
    <row r="268" spans="1:33" x14ac:dyDescent="0.15">
      <c r="A268" s="7" t="s">
        <v>137</v>
      </c>
      <c r="B268" s="1">
        <v>4013</v>
      </c>
      <c r="C268" s="7" t="s">
        <v>137</v>
      </c>
      <c r="D268" s="1">
        <v>3</v>
      </c>
      <c r="E268" s="7">
        <v>1013</v>
      </c>
      <c r="F268" s="1">
        <v>0</v>
      </c>
      <c r="G268" s="1">
        <v>1</v>
      </c>
      <c r="H268" s="1">
        <v>0</v>
      </c>
      <c r="I268" s="1">
        <v>0</v>
      </c>
      <c r="J268" s="1">
        <v>0</v>
      </c>
      <c r="K268" s="1">
        <v>9</v>
      </c>
      <c r="L268" s="1">
        <v>1</v>
      </c>
      <c r="M268" s="1">
        <v>100</v>
      </c>
      <c r="N268" s="1">
        <v>100</v>
      </c>
      <c r="Q268" s="37" t="s">
        <v>820</v>
      </c>
      <c r="R268" s="37" t="s">
        <v>819</v>
      </c>
      <c r="S268" s="37">
        <v>0</v>
      </c>
      <c r="U268" s="2" t="s">
        <v>802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7" t="s">
        <v>137</v>
      </c>
    </row>
    <row r="269" spans="1:33" x14ac:dyDescent="0.15">
      <c r="A269" s="7" t="s">
        <v>138</v>
      </c>
      <c r="B269" s="1">
        <v>4014</v>
      </c>
      <c r="C269" s="7" t="s">
        <v>138</v>
      </c>
      <c r="D269" s="1">
        <v>3</v>
      </c>
      <c r="E269" s="7">
        <v>1014</v>
      </c>
      <c r="F269" s="1">
        <v>0</v>
      </c>
      <c r="G269" s="1">
        <v>1</v>
      </c>
      <c r="H269" s="1">
        <v>0</v>
      </c>
      <c r="I269" s="1">
        <v>0</v>
      </c>
      <c r="J269" s="1">
        <v>0</v>
      </c>
      <c r="K269" s="1">
        <v>9</v>
      </c>
      <c r="L269" s="1">
        <v>1</v>
      </c>
      <c r="M269" s="1">
        <v>100</v>
      </c>
      <c r="N269" s="1">
        <v>100</v>
      </c>
      <c r="Q269" s="37" t="s">
        <v>820</v>
      </c>
      <c r="R269" s="37" t="s">
        <v>819</v>
      </c>
      <c r="S269" s="37">
        <v>0</v>
      </c>
      <c r="U269" s="2" t="s">
        <v>802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7" t="s">
        <v>138</v>
      </c>
    </row>
    <row r="270" spans="1:33" x14ac:dyDescent="0.15">
      <c r="A270" s="7" t="s">
        <v>139</v>
      </c>
      <c r="B270" s="1">
        <v>4015</v>
      </c>
      <c r="C270" s="7" t="s">
        <v>139</v>
      </c>
      <c r="D270" s="1">
        <v>3</v>
      </c>
      <c r="E270" s="7">
        <v>1015</v>
      </c>
      <c r="F270" s="1">
        <v>0</v>
      </c>
      <c r="G270" s="1">
        <v>1</v>
      </c>
      <c r="H270" s="1">
        <v>0</v>
      </c>
      <c r="I270" s="1">
        <v>0</v>
      </c>
      <c r="J270" s="1">
        <v>0</v>
      </c>
      <c r="K270" s="1">
        <v>9</v>
      </c>
      <c r="L270" s="1">
        <v>1</v>
      </c>
      <c r="M270" s="1">
        <v>100</v>
      </c>
      <c r="N270" s="1">
        <v>100</v>
      </c>
      <c r="Q270" s="37" t="s">
        <v>820</v>
      </c>
      <c r="R270" s="37" t="s">
        <v>819</v>
      </c>
      <c r="S270" s="37">
        <v>0</v>
      </c>
      <c r="U270" s="2" t="s">
        <v>802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7" t="s">
        <v>139</v>
      </c>
    </row>
    <row r="271" spans="1:33" x14ac:dyDescent="0.15">
      <c r="A271" s="7" t="s">
        <v>140</v>
      </c>
      <c r="B271" s="1">
        <v>4016</v>
      </c>
      <c r="C271" s="7" t="s">
        <v>140</v>
      </c>
      <c r="D271" s="1">
        <v>3</v>
      </c>
      <c r="E271" s="7">
        <v>1016</v>
      </c>
      <c r="F271" s="1">
        <v>0</v>
      </c>
      <c r="G271" s="1">
        <v>1</v>
      </c>
      <c r="H271" s="1">
        <v>0</v>
      </c>
      <c r="I271" s="1">
        <v>0</v>
      </c>
      <c r="J271" s="1">
        <v>0</v>
      </c>
      <c r="K271" s="1">
        <v>9</v>
      </c>
      <c r="L271" s="1">
        <v>1</v>
      </c>
      <c r="M271" s="1">
        <v>100</v>
      </c>
      <c r="N271" s="1">
        <v>100</v>
      </c>
      <c r="Q271" s="37" t="s">
        <v>820</v>
      </c>
      <c r="R271" s="37" t="s">
        <v>819</v>
      </c>
      <c r="S271" s="37">
        <v>0</v>
      </c>
      <c r="U271" s="2" t="s">
        <v>802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7" t="s">
        <v>140</v>
      </c>
    </row>
    <row r="272" spans="1:33" x14ac:dyDescent="0.15">
      <c r="A272" s="7" t="s">
        <v>141</v>
      </c>
      <c r="B272" s="1">
        <v>4017</v>
      </c>
      <c r="C272" s="7" t="s">
        <v>141</v>
      </c>
      <c r="D272" s="1">
        <v>3</v>
      </c>
      <c r="E272" s="7">
        <v>1017</v>
      </c>
      <c r="F272" s="1">
        <v>0</v>
      </c>
      <c r="G272" s="1">
        <v>1</v>
      </c>
      <c r="H272" s="1">
        <v>0</v>
      </c>
      <c r="I272" s="1">
        <v>0</v>
      </c>
      <c r="J272" s="1">
        <v>0</v>
      </c>
      <c r="K272" s="1">
        <v>9</v>
      </c>
      <c r="L272" s="1">
        <v>1</v>
      </c>
      <c r="M272" s="1">
        <v>100</v>
      </c>
      <c r="N272" s="1">
        <v>100</v>
      </c>
      <c r="Q272" s="37" t="s">
        <v>820</v>
      </c>
      <c r="R272" s="37" t="s">
        <v>819</v>
      </c>
      <c r="S272" s="37">
        <v>0</v>
      </c>
      <c r="U272" s="2" t="s">
        <v>802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7" t="s">
        <v>141</v>
      </c>
    </row>
    <row r="273" spans="1:33" x14ac:dyDescent="0.15">
      <c r="A273" s="7" t="s">
        <v>142</v>
      </c>
      <c r="B273" s="1">
        <v>4018</v>
      </c>
      <c r="C273" s="7" t="s">
        <v>142</v>
      </c>
      <c r="D273" s="1">
        <v>3</v>
      </c>
      <c r="E273" s="7">
        <v>1018</v>
      </c>
      <c r="F273" s="1">
        <v>0</v>
      </c>
      <c r="G273" s="1">
        <v>1</v>
      </c>
      <c r="H273" s="1">
        <v>0</v>
      </c>
      <c r="I273" s="1">
        <v>0</v>
      </c>
      <c r="J273" s="1">
        <v>0</v>
      </c>
      <c r="K273" s="1">
        <v>9</v>
      </c>
      <c r="L273" s="1">
        <v>1</v>
      </c>
      <c r="M273" s="1">
        <v>100</v>
      </c>
      <c r="N273" s="1">
        <v>100</v>
      </c>
      <c r="Q273" s="37" t="s">
        <v>820</v>
      </c>
      <c r="R273" s="37" t="s">
        <v>819</v>
      </c>
      <c r="S273" s="37">
        <v>0</v>
      </c>
      <c r="U273" s="2" t="s">
        <v>802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7" t="s">
        <v>142</v>
      </c>
    </row>
    <row r="274" spans="1:33" x14ac:dyDescent="0.15">
      <c r="A274" s="8" t="s">
        <v>143</v>
      </c>
      <c r="B274" s="1">
        <v>4020</v>
      </c>
      <c r="C274" s="8" t="s">
        <v>143</v>
      </c>
      <c r="D274" s="1">
        <v>3</v>
      </c>
      <c r="E274" s="7">
        <v>1020</v>
      </c>
      <c r="F274" s="1">
        <v>0</v>
      </c>
      <c r="G274" s="1">
        <v>1</v>
      </c>
      <c r="H274" s="1">
        <v>0</v>
      </c>
      <c r="I274" s="1">
        <v>0</v>
      </c>
      <c r="J274" s="1">
        <v>0</v>
      </c>
      <c r="K274" s="1">
        <v>9</v>
      </c>
      <c r="L274" s="1">
        <v>1</v>
      </c>
      <c r="M274" s="1">
        <v>100</v>
      </c>
      <c r="N274" s="1">
        <v>100</v>
      </c>
      <c r="Q274" s="37" t="s">
        <v>818</v>
      </c>
      <c r="R274" s="37" t="s">
        <v>819</v>
      </c>
      <c r="S274" s="37">
        <v>0</v>
      </c>
      <c r="U274" s="2" t="s">
        <v>802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8" t="s">
        <v>143</v>
      </c>
    </row>
    <row r="275" spans="1:33" x14ac:dyDescent="0.15">
      <c r="A275" s="7" t="s">
        <v>144</v>
      </c>
      <c r="B275" s="1">
        <v>4021</v>
      </c>
      <c r="C275" s="7" t="s">
        <v>144</v>
      </c>
      <c r="D275" s="1">
        <v>3</v>
      </c>
      <c r="E275" s="7">
        <v>1021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9</v>
      </c>
      <c r="L275" s="1">
        <v>1</v>
      </c>
      <c r="M275" s="1">
        <v>100</v>
      </c>
      <c r="N275" s="1">
        <v>100</v>
      </c>
      <c r="Q275" s="37" t="s">
        <v>818</v>
      </c>
      <c r="R275" s="37" t="s">
        <v>819</v>
      </c>
      <c r="S275" s="37">
        <v>0</v>
      </c>
      <c r="U275" s="2" t="s">
        <v>802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7" t="s">
        <v>144</v>
      </c>
    </row>
    <row r="276" spans="1:33" x14ac:dyDescent="0.15">
      <c r="A276" s="7" t="s">
        <v>145</v>
      </c>
      <c r="B276" s="1">
        <v>4022</v>
      </c>
      <c r="C276" s="7" t="s">
        <v>145</v>
      </c>
      <c r="D276" s="1">
        <v>3</v>
      </c>
      <c r="E276" s="7">
        <v>1022</v>
      </c>
      <c r="F276" s="1">
        <v>0</v>
      </c>
      <c r="G276" s="1">
        <v>1</v>
      </c>
      <c r="H276" s="1">
        <v>0</v>
      </c>
      <c r="I276" s="1">
        <v>0</v>
      </c>
      <c r="J276" s="1">
        <v>0</v>
      </c>
      <c r="K276" s="1">
        <v>9</v>
      </c>
      <c r="L276" s="1">
        <v>1</v>
      </c>
      <c r="M276" s="1">
        <v>100</v>
      </c>
      <c r="N276" s="1">
        <v>100</v>
      </c>
      <c r="Q276" s="37" t="s">
        <v>818</v>
      </c>
      <c r="R276" s="37" t="s">
        <v>819</v>
      </c>
      <c r="S276" s="37">
        <v>0</v>
      </c>
      <c r="U276" s="2" t="s">
        <v>802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7" t="s">
        <v>145</v>
      </c>
    </row>
    <row r="277" spans="1:33" x14ac:dyDescent="0.15">
      <c r="A277" s="7" t="s">
        <v>146</v>
      </c>
      <c r="B277" s="1">
        <v>4023</v>
      </c>
      <c r="C277" s="7" t="s">
        <v>146</v>
      </c>
      <c r="D277" s="1">
        <v>3</v>
      </c>
      <c r="E277" s="7">
        <v>1023</v>
      </c>
      <c r="F277" s="1">
        <v>0</v>
      </c>
      <c r="G277" s="1">
        <v>1</v>
      </c>
      <c r="H277" s="1">
        <v>0</v>
      </c>
      <c r="I277" s="1">
        <v>0</v>
      </c>
      <c r="J277" s="1">
        <v>0</v>
      </c>
      <c r="K277" s="1">
        <v>9</v>
      </c>
      <c r="L277" s="1">
        <v>1</v>
      </c>
      <c r="M277" s="1">
        <v>100</v>
      </c>
      <c r="N277" s="1">
        <v>100</v>
      </c>
      <c r="Q277" s="37" t="s">
        <v>818</v>
      </c>
      <c r="R277" s="37" t="s">
        <v>819</v>
      </c>
      <c r="S277" s="37">
        <v>0</v>
      </c>
      <c r="U277" s="2" t="s">
        <v>802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7" t="s">
        <v>146</v>
      </c>
    </row>
    <row r="278" spans="1:33" x14ac:dyDescent="0.15">
      <c r="A278" s="7" t="s">
        <v>147</v>
      </c>
      <c r="B278" s="1">
        <v>4024</v>
      </c>
      <c r="C278" s="7" t="s">
        <v>147</v>
      </c>
      <c r="D278" s="1">
        <v>3</v>
      </c>
      <c r="E278" s="7">
        <v>1024</v>
      </c>
      <c r="F278" s="1">
        <v>0</v>
      </c>
      <c r="G278" s="1">
        <v>1</v>
      </c>
      <c r="H278" s="1">
        <v>0</v>
      </c>
      <c r="I278" s="1">
        <v>0</v>
      </c>
      <c r="J278" s="1">
        <v>0</v>
      </c>
      <c r="K278" s="1">
        <v>9</v>
      </c>
      <c r="L278" s="1">
        <v>1</v>
      </c>
      <c r="M278" s="1">
        <v>100</v>
      </c>
      <c r="N278" s="1">
        <v>100</v>
      </c>
      <c r="Q278" s="37" t="s">
        <v>818</v>
      </c>
      <c r="R278" s="37" t="s">
        <v>819</v>
      </c>
      <c r="S278" s="37">
        <v>0</v>
      </c>
      <c r="U278" s="2" t="s">
        <v>802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7" t="s">
        <v>147</v>
      </c>
    </row>
    <row r="279" spans="1:33" x14ac:dyDescent="0.15">
      <c r="A279" s="8" t="s">
        <v>148</v>
      </c>
      <c r="B279" s="1">
        <v>4100</v>
      </c>
      <c r="C279" s="8" t="s">
        <v>148</v>
      </c>
      <c r="D279" s="1">
        <v>3</v>
      </c>
      <c r="E279" s="7">
        <v>1100</v>
      </c>
      <c r="F279" s="1">
        <v>0</v>
      </c>
      <c r="G279" s="1">
        <v>1</v>
      </c>
      <c r="H279" s="1">
        <v>0</v>
      </c>
      <c r="I279" s="1">
        <v>0</v>
      </c>
      <c r="J279" s="1">
        <v>0</v>
      </c>
      <c r="K279" s="1">
        <v>9</v>
      </c>
      <c r="L279" s="1">
        <v>1</v>
      </c>
      <c r="M279" s="1">
        <v>100</v>
      </c>
      <c r="N279" s="1">
        <v>100</v>
      </c>
      <c r="Q279" s="37" t="s">
        <v>818</v>
      </c>
      <c r="R279" s="37" t="s">
        <v>819</v>
      </c>
      <c r="S279" s="37">
        <v>0</v>
      </c>
      <c r="U279" s="2" t="s">
        <v>802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8" t="s">
        <v>148</v>
      </c>
    </row>
    <row r="280" spans="1:33" x14ac:dyDescent="0.15">
      <c r="A280" s="8" t="s">
        <v>149</v>
      </c>
      <c r="B280" s="1">
        <v>4101</v>
      </c>
      <c r="C280" s="8" t="s">
        <v>149</v>
      </c>
      <c r="D280" s="1">
        <v>3</v>
      </c>
      <c r="E280" s="7">
        <v>1101</v>
      </c>
      <c r="F280" s="1">
        <v>0</v>
      </c>
      <c r="G280" s="1">
        <v>1</v>
      </c>
      <c r="H280" s="1">
        <v>0</v>
      </c>
      <c r="I280" s="1">
        <v>0</v>
      </c>
      <c r="J280" s="1">
        <v>0</v>
      </c>
      <c r="K280" s="1">
        <v>9</v>
      </c>
      <c r="L280" s="1">
        <v>1</v>
      </c>
      <c r="M280" s="1">
        <v>100</v>
      </c>
      <c r="N280" s="1">
        <v>100</v>
      </c>
      <c r="Q280" s="37" t="s">
        <v>818</v>
      </c>
      <c r="R280" s="37" t="s">
        <v>819</v>
      </c>
      <c r="S280" s="37">
        <v>0</v>
      </c>
      <c r="U280" s="2" t="s">
        <v>802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8" t="s">
        <v>149</v>
      </c>
    </row>
    <row r="281" spans="1:33" x14ac:dyDescent="0.15">
      <c r="A281" s="8" t="s">
        <v>150</v>
      </c>
      <c r="B281" s="1">
        <v>4103</v>
      </c>
      <c r="C281" s="8" t="s">
        <v>150</v>
      </c>
      <c r="D281" s="1">
        <v>3</v>
      </c>
      <c r="E281" s="7">
        <v>1103</v>
      </c>
      <c r="F281" s="1">
        <v>0</v>
      </c>
      <c r="G281" s="1">
        <v>1</v>
      </c>
      <c r="H281" s="1">
        <v>0</v>
      </c>
      <c r="I281" s="1">
        <v>0</v>
      </c>
      <c r="J281" s="1">
        <v>0</v>
      </c>
      <c r="K281" s="1">
        <v>9</v>
      </c>
      <c r="L281" s="1">
        <v>1</v>
      </c>
      <c r="M281" s="1">
        <v>100</v>
      </c>
      <c r="N281" s="1">
        <v>100</v>
      </c>
      <c r="Q281" s="37" t="s">
        <v>818</v>
      </c>
      <c r="R281" s="37" t="s">
        <v>819</v>
      </c>
      <c r="S281" s="37">
        <v>0</v>
      </c>
      <c r="U281" s="2" t="s">
        <v>802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8" t="s">
        <v>150</v>
      </c>
    </row>
    <row r="282" spans="1:33" x14ac:dyDescent="0.15">
      <c r="A282" s="8" t="s">
        <v>203</v>
      </c>
      <c r="B282" s="1">
        <v>4105</v>
      </c>
      <c r="C282" s="8" t="s">
        <v>203</v>
      </c>
      <c r="D282" s="1">
        <v>3</v>
      </c>
      <c r="E282" s="7">
        <v>1105</v>
      </c>
      <c r="F282" s="1">
        <v>0</v>
      </c>
      <c r="G282" s="1">
        <v>1</v>
      </c>
      <c r="H282" s="1">
        <v>0</v>
      </c>
      <c r="I282" s="1">
        <v>0</v>
      </c>
      <c r="J282" s="1">
        <v>0</v>
      </c>
      <c r="K282" s="1">
        <v>9</v>
      </c>
      <c r="L282" s="1">
        <v>1</v>
      </c>
      <c r="M282" s="1">
        <v>100</v>
      </c>
      <c r="N282" s="1">
        <v>100</v>
      </c>
      <c r="Q282" s="37" t="s">
        <v>818</v>
      </c>
      <c r="R282" s="37" t="s">
        <v>819</v>
      </c>
      <c r="S282" s="37">
        <v>0</v>
      </c>
      <c r="U282" s="2" t="s">
        <v>802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8" t="s">
        <v>151</v>
      </c>
    </row>
    <row r="283" spans="1:33" x14ac:dyDescent="0.15">
      <c r="A283" s="8" t="s">
        <v>152</v>
      </c>
      <c r="B283" s="1">
        <v>4106</v>
      </c>
      <c r="C283" s="8" t="s">
        <v>152</v>
      </c>
      <c r="D283" s="1">
        <v>3</v>
      </c>
      <c r="E283" s="7">
        <v>1106</v>
      </c>
      <c r="F283" s="1">
        <v>0</v>
      </c>
      <c r="G283" s="1">
        <v>1</v>
      </c>
      <c r="H283" s="1">
        <v>0</v>
      </c>
      <c r="I283" s="1">
        <v>0</v>
      </c>
      <c r="J283" s="1">
        <v>0</v>
      </c>
      <c r="K283" s="1">
        <v>9</v>
      </c>
      <c r="L283" s="1">
        <v>1</v>
      </c>
      <c r="M283" s="1">
        <v>100</v>
      </c>
      <c r="N283" s="1">
        <v>100</v>
      </c>
      <c r="Q283" s="37" t="s">
        <v>818</v>
      </c>
      <c r="R283" s="37" t="s">
        <v>819</v>
      </c>
      <c r="S283" s="37">
        <v>0</v>
      </c>
      <c r="U283" s="2" t="s">
        <v>802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8" t="s">
        <v>152</v>
      </c>
    </row>
    <row r="284" spans="1:33" x14ac:dyDescent="0.15">
      <c r="A284" s="8" t="s">
        <v>263</v>
      </c>
      <c r="B284" s="1">
        <v>4109</v>
      </c>
      <c r="C284" s="8" t="s">
        <v>153</v>
      </c>
      <c r="D284" s="1">
        <v>3</v>
      </c>
      <c r="E284" s="7">
        <v>1109</v>
      </c>
      <c r="F284" s="1">
        <v>0</v>
      </c>
      <c r="G284" s="1">
        <v>1</v>
      </c>
      <c r="H284" s="1">
        <v>0</v>
      </c>
      <c r="I284" s="1">
        <v>0</v>
      </c>
      <c r="J284" s="1">
        <v>0</v>
      </c>
      <c r="K284" s="1">
        <v>9</v>
      </c>
      <c r="L284" s="1">
        <v>1</v>
      </c>
      <c r="M284" s="1">
        <v>100</v>
      </c>
      <c r="N284" s="1">
        <v>100</v>
      </c>
      <c r="Q284" s="37" t="s">
        <v>818</v>
      </c>
      <c r="R284" s="37" t="s">
        <v>819</v>
      </c>
      <c r="S284" s="37">
        <v>0</v>
      </c>
      <c r="U284" s="2" t="s">
        <v>802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8" t="s">
        <v>153</v>
      </c>
    </row>
    <row r="285" spans="1:33" x14ac:dyDescent="0.15">
      <c r="A285" s="8" t="s">
        <v>201</v>
      </c>
      <c r="B285" s="1">
        <v>4110</v>
      </c>
      <c r="C285" s="8" t="s">
        <v>154</v>
      </c>
      <c r="D285" s="1">
        <v>3</v>
      </c>
      <c r="E285" s="7">
        <v>1110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9</v>
      </c>
      <c r="L285" s="1">
        <v>1</v>
      </c>
      <c r="M285" s="1">
        <v>100</v>
      </c>
      <c r="N285" s="1">
        <v>100</v>
      </c>
      <c r="Q285" s="37" t="s">
        <v>818</v>
      </c>
      <c r="R285" s="37" t="s">
        <v>819</v>
      </c>
      <c r="S285" s="37">
        <v>0</v>
      </c>
      <c r="U285" s="2" t="s">
        <v>802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8" t="s">
        <v>154</v>
      </c>
    </row>
    <row r="286" spans="1:33" x14ac:dyDescent="0.15">
      <c r="A286" s="8" t="s">
        <v>155</v>
      </c>
      <c r="B286" s="1">
        <v>4111</v>
      </c>
      <c r="C286" s="8" t="s">
        <v>155</v>
      </c>
      <c r="D286" s="1">
        <v>3</v>
      </c>
      <c r="E286" s="7">
        <v>1111</v>
      </c>
      <c r="F286" s="1">
        <v>0</v>
      </c>
      <c r="G286" s="1">
        <v>1</v>
      </c>
      <c r="H286" s="1">
        <v>0</v>
      </c>
      <c r="I286" s="1">
        <v>0</v>
      </c>
      <c r="J286" s="1">
        <v>0</v>
      </c>
      <c r="K286" s="1">
        <v>9</v>
      </c>
      <c r="L286" s="1">
        <v>1</v>
      </c>
      <c r="M286" s="1">
        <v>100</v>
      </c>
      <c r="N286" s="1">
        <v>100</v>
      </c>
      <c r="Q286" s="37" t="s">
        <v>818</v>
      </c>
      <c r="R286" s="37" t="s">
        <v>819</v>
      </c>
      <c r="S286" s="37">
        <v>0</v>
      </c>
      <c r="U286" s="2" t="s">
        <v>802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8" t="s">
        <v>155</v>
      </c>
    </row>
    <row r="287" spans="1:33" x14ac:dyDescent="0.15">
      <c r="A287" s="8" t="s">
        <v>156</v>
      </c>
      <c r="B287" s="1">
        <v>4112</v>
      </c>
      <c r="C287" s="8" t="s">
        <v>156</v>
      </c>
      <c r="D287" s="1">
        <v>3</v>
      </c>
      <c r="E287" s="7">
        <v>1112</v>
      </c>
      <c r="F287" s="1">
        <v>0</v>
      </c>
      <c r="G287" s="1">
        <v>1</v>
      </c>
      <c r="H287" s="1">
        <v>0</v>
      </c>
      <c r="I287" s="1">
        <v>0</v>
      </c>
      <c r="J287" s="1">
        <v>0</v>
      </c>
      <c r="K287" s="1">
        <v>9</v>
      </c>
      <c r="L287" s="1">
        <v>1</v>
      </c>
      <c r="M287" s="1">
        <v>100</v>
      </c>
      <c r="N287" s="1">
        <v>100</v>
      </c>
      <c r="Q287" s="37" t="s">
        <v>818</v>
      </c>
      <c r="R287" s="37" t="s">
        <v>819</v>
      </c>
      <c r="S287" s="37">
        <v>0</v>
      </c>
      <c r="U287" s="2" t="s">
        <v>802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8" t="s">
        <v>156</v>
      </c>
    </row>
    <row r="288" spans="1:33" x14ac:dyDescent="0.15">
      <c r="A288" s="8" t="s">
        <v>157</v>
      </c>
      <c r="B288" s="1">
        <v>4113</v>
      </c>
      <c r="C288" s="8" t="s">
        <v>157</v>
      </c>
      <c r="D288" s="1">
        <v>3</v>
      </c>
      <c r="E288" s="7">
        <v>1113</v>
      </c>
      <c r="F288" s="1">
        <v>0</v>
      </c>
      <c r="G288" s="1">
        <v>1</v>
      </c>
      <c r="H288" s="1">
        <v>0</v>
      </c>
      <c r="I288" s="1">
        <v>0</v>
      </c>
      <c r="J288" s="1">
        <v>0</v>
      </c>
      <c r="K288" s="1">
        <v>9</v>
      </c>
      <c r="L288" s="1">
        <v>1</v>
      </c>
      <c r="M288" s="1">
        <v>100</v>
      </c>
      <c r="N288" s="1">
        <v>100</v>
      </c>
      <c r="Q288" s="37" t="s">
        <v>818</v>
      </c>
      <c r="R288" s="37" t="s">
        <v>819</v>
      </c>
      <c r="S288" s="37">
        <v>0</v>
      </c>
      <c r="U288" s="2" t="s">
        <v>802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8" t="s">
        <v>157</v>
      </c>
    </row>
    <row r="289" spans="1:33" x14ac:dyDescent="0.15">
      <c r="A289" s="8" t="s">
        <v>158</v>
      </c>
      <c r="B289" s="1">
        <v>4114</v>
      </c>
      <c r="C289" s="8" t="s">
        <v>158</v>
      </c>
      <c r="D289" s="1">
        <v>3</v>
      </c>
      <c r="E289" s="7">
        <v>1114</v>
      </c>
      <c r="F289" s="1">
        <v>0</v>
      </c>
      <c r="G289" s="1">
        <v>1</v>
      </c>
      <c r="H289" s="1">
        <v>0</v>
      </c>
      <c r="I289" s="1">
        <v>0</v>
      </c>
      <c r="J289" s="1">
        <v>0</v>
      </c>
      <c r="K289" s="1">
        <v>9</v>
      </c>
      <c r="L289" s="1">
        <v>1</v>
      </c>
      <c r="M289" s="1">
        <v>100</v>
      </c>
      <c r="N289" s="1">
        <v>100</v>
      </c>
      <c r="Q289" s="37" t="s">
        <v>818</v>
      </c>
      <c r="R289" s="37" t="s">
        <v>819</v>
      </c>
      <c r="S289" s="37">
        <v>0</v>
      </c>
      <c r="U289" s="2" t="s">
        <v>802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8" t="s">
        <v>158</v>
      </c>
    </row>
    <row r="290" spans="1:33" x14ac:dyDescent="0.15">
      <c r="A290" s="8" t="s">
        <v>159</v>
      </c>
      <c r="B290" s="1">
        <v>4115</v>
      </c>
      <c r="C290" s="8" t="s">
        <v>159</v>
      </c>
      <c r="D290" s="1">
        <v>3</v>
      </c>
      <c r="E290" s="7">
        <v>1115</v>
      </c>
      <c r="F290" s="1">
        <v>0</v>
      </c>
      <c r="G290" s="1">
        <v>1</v>
      </c>
      <c r="H290" s="1">
        <v>0</v>
      </c>
      <c r="I290" s="1">
        <v>0</v>
      </c>
      <c r="J290" s="1">
        <v>0</v>
      </c>
      <c r="K290" s="1">
        <v>9</v>
      </c>
      <c r="L290" s="1">
        <v>1</v>
      </c>
      <c r="M290" s="1">
        <v>100</v>
      </c>
      <c r="N290" s="1">
        <v>100</v>
      </c>
      <c r="Q290" s="37" t="s">
        <v>818</v>
      </c>
      <c r="R290" s="37" t="s">
        <v>819</v>
      </c>
      <c r="S290" s="37">
        <v>0</v>
      </c>
      <c r="U290" s="2" t="s">
        <v>802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8" t="s">
        <v>159</v>
      </c>
    </row>
    <row r="291" spans="1:33" x14ac:dyDescent="0.15">
      <c r="A291" s="8" t="s">
        <v>160</v>
      </c>
      <c r="B291" s="1">
        <v>4116</v>
      </c>
      <c r="C291" s="8" t="s">
        <v>160</v>
      </c>
      <c r="D291" s="1">
        <v>3</v>
      </c>
      <c r="E291" s="7">
        <v>1116</v>
      </c>
      <c r="F291" s="1">
        <v>0</v>
      </c>
      <c r="G291" s="1">
        <v>1</v>
      </c>
      <c r="H291" s="1">
        <v>0</v>
      </c>
      <c r="I291" s="1">
        <v>0</v>
      </c>
      <c r="J291" s="1">
        <v>0</v>
      </c>
      <c r="K291" s="1">
        <v>9</v>
      </c>
      <c r="L291" s="1">
        <v>1</v>
      </c>
      <c r="M291" s="1">
        <v>100</v>
      </c>
      <c r="N291" s="1">
        <v>100</v>
      </c>
      <c r="Q291" s="37" t="s">
        <v>818</v>
      </c>
      <c r="R291" s="37" t="s">
        <v>819</v>
      </c>
      <c r="S291" s="37">
        <v>0</v>
      </c>
      <c r="U291" s="2" t="s">
        <v>802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8" t="s">
        <v>160</v>
      </c>
    </row>
    <row r="292" spans="1:33" x14ac:dyDescent="0.15">
      <c r="A292" s="8" t="s">
        <v>161</v>
      </c>
      <c r="B292" s="1">
        <v>4117</v>
      </c>
      <c r="C292" s="8" t="s">
        <v>161</v>
      </c>
      <c r="D292" s="1">
        <v>3</v>
      </c>
      <c r="E292" s="7">
        <v>1117</v>
      </c>
      <c r="F292" s="1">
        <v>0</v>
      </c>
      <c r="G292" s="1">
        <v>1</v>
      </c>
      <c r="H292" s="1">
        <v>0</v>
      </c>
      <c r="I292" s="1">
        <v>0</v>
      </c>
      <c r="J292" s="1">
        <v>0</v>
      </c>
      <c r="K292" s="1">
        <v>9</v>
      </c>
      <c r="L292" s="1">
        <v>1</v>
      </c>
      <c r="M292" s="1">
        <v>100</v>
      </c>
      <c r="N292" s="1">
        <v>100</v>
      </c>
      <c r="Q292" s="37" t="s">
        <v>818</v>
      </c>
      <c r="R292" s="37" t="s">
        <v>819</v>
      </c>
      <c r="S292" s="37">
        <v>0</v>
      </c>
      <c r="U292" s="2" t="s">
        <v>802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8" t="s">
        <v>161</v>
      </c>
    </row>
    <row r="293" spans="1:33" x14ac:dyDescent="0.15">
      <c r="A293" s="11" t="s">
        <v>198</v>
      </c>
      <c r="B293" s="1">
        <v>3000</v>
      </c>
      <c r="C293" s="14" t="s">
        <v>198</v>
      </c>
      <c r="D293" s="1">
        <v>3</v>
      </c>
      <c r="E293" s="1">
        <v>0</v>
      </c>
      <c r="F293" s="1">
        <v>0</v>
      </c>
      <c r="G293" s="1">
        <v>1</v>
      </c>
      <c r="H293" s="1">
        <v>0</v>
      </c>
      <c r="I293" s="1">
        <v>0</v>
      </c>
      <c r="J293" s="1">
        <v>0</v>
      </c>
      <c r="K293" s="1">
        <v>9</v>
      </c>
      <c r="L293" s="1">
        <v>1</v>
      </c>
      <c r="M293" s="1">
        <v>100</v>
      </c>
      <c r="N293" s="1">
        <v>100</v>
      </c>
      <c r="Q293" s="37" t="s">
        <v>818</v>
      </c>
      <c r="R293" s="37" t="s">
        <v>819</v>
      </c>
      <c r="S293" s="37">
        <v>0</v>
      </c>
      <c r="U293" s="2" t="s">
        <v>802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</row>
    <row r="294" spans="1:33" x14ac:dyDescent="0.15">
      <c r="A294" s="11" t="s">
        <v>199</v>
      </c>
      <c r="B294" s="1">
        <v>3001</v>
      </c>
      <c r="C294" s="14" t="s">
        <v>199</v>
      </c>
      <c r="D294" s="1">
        <v>3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29</v>
      </c>
      <c r="L294" s="1">
        <v>1</v>
      </c>
      <c r="M294" s="1">
        <v>100</v>
      </c>
      <c r="N294" s="1">
        <v>100</v>
      </c>
      <c r="Q294" s="37" t="s">
        <v>818</v>
      </c>
      <c r="R294" s="37" t="s">
        <v>819</v>
      </c>
      <c r="S294" s="37">
        <v>0</v>
      </c>
      <c r="U294" s="2" t="s">
        <v>802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</row>
    <row r="295" spans="1:33" x14ac:dyDescent="0.15">
      <c r="A295" s="11" t="s">
        <v>679</v>
      </c>
      <c r="B295" s="1">
        <v>3002</v>
      </c>
      <c r="C295" s="14" t="s">
        <v>200</v>
      </c>
      <c r="D295" s="1">
        <v>3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29</v>
      </c>
      <c r="L295" s="1">
        <v>1</v>
      </c>
      <c r="M295" s="1">
        <v>100</v>
      </c>
      <c r="N295" s="1">
        <v>100</v>
      </c>
      <c r="Q295" s="37" t="s">
        <v>818</v>
      </c>
      <c r="R295" s="37" t="s">
        <v>819</v>
      </c>
      <c r="S295" s="37">
        <v>0</v>
      </c>
      <c r="U295" s="2" t="s">
        <v>802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</row>
    <row r="296" spans="1:33" x14ac:dyDescent="0.15">
      <c r="A296" s="11" t="s">
        <v>454</v>
      </c>
      <c r="B296" s="1">
        <v>3003</v>
      </c>
      <c r="C296" s="14" t="s">
        <v>268</v>
      </c>
      <c r="D296" s="1">
        <v>3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29</v>
      </c>
      <c r="L296" s="1">
        <v>1</v>
      </c>
      <c r="M296" s="1">
        <v>100</v>
      </c>
      <c r="N296" s="1">
        <v>100</v>
      </c>
      <c r="Q296" s="37" t="s">
        <v>818</v>
      </c>
      <c r="R296" s="37" t="s">
        <v>819</v>
      </c>
      <c r="S296" s="37">
        <v>0</v>
      </c>
      <c r="U296" s="2" t="s">
        <v>802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</row>
    <row r="297" spans="1:33" x14ac:dyDescent="0.15">
      <c r="A297" s="12" t="s">
        <v>455</v>
      </c>
      <c r="B297" s="1">
        <v>3005</v>
      </c>
      <c r="C297" s="14" t="s">
        <v>204</v>
      </c>
      <c r="D297" s="1">
        <v>3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29</v>
      </c>
      <c r="L297" s="1">
        <v>1</v>
      </c>
      <c r="M297" s="1">
        <v>100</v>
      </c>
      <c r="N297" s="1">
        <v>100</v>
      </c>
      <c r="Q297" s="37" t="s">
        <v>818</v>
      </c>
      <c r="R297" s="37" t="s">
        <v>819</v>
      </c>
      <c r="S297" s="37">
        <v>0</v>
      </c>
      <c r="U297" s="2" t="s">
        <v>802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</row>
    <row r="298" spans="1:33" x14ac:dyDescent="0.15">
      <c r="A298" s="12" t="s">
        <v>173</v>
      </c>
      <c r="B298" s="1">
        <v>3006</v>
      </c>
      <c r="C298" s="14" t="s">
        <v>173</v>
      </c>
      <c r="D298" s="1">
        <v>3</v>
      </c>
      <c r="E298" s="1">
        <v>0</v>
      </c>
      <c r="F298" s="1">
        <v>0</v>
      </c>
      <c r="G298" s="1">
        <v>1</v>
      </c>
      <c r="H298" s="1">
        <v>0</v>
      </c>
      <c r="I298" s="1">
        <v>0</v>
      </c>
      <c r="J298" s="1">
        <v>0</v>
      </c>
      <c r="K298" s="1">
        <v>29</v>
      </c>
      <c r="L298" s="1">
        <v>1</v>
      </c>
      <c r="M298" s="1">
        <v>100</v>
      </c>
      <c r="N298" s="1">
        <v>100</v>
      </c>
      <c r="Q298" s="37" t="s">
        <v>818</v>
      </c>
      <c r="R298" s="37" t="s">
        <v>819</v>
      </c>
      <c r="S298" s="37">
        <v>0</v>
      </c>
      <c r="U298" s="2" t="s">
        <v>802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</row>
    <row r="299" spans="1:33" x14ac:dyDescent="0.15">
      <c r="A299" s="12" t="s">
        <v>170</v>
      </c>
      <c r="B299" s="1">
        <v>3007</v>
      </c>
      <c r="C299" s="14" t="s">
        <v>170</v>
      </c>
      <c r="D299" s="1">
        <v>3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  <c r="J299" s="1">
        <v>0</v>
      </c>
      <c r="K299" s="1">
        <v>9</v>
      </c>
      <c r="L299" s="1">
        <v>1</v>
      </c>
      <c r="M299" s="1">
        <v>100</v>
      </c>
      <c r="N299" s="1">
        <v>100</v>
      </c>
      <c r="Q299" s="37" t="s">
        <v>818</v>
      </c>
      <c r="R299" s="37" t="s">
        <v>819</v>
      </c>
      <c r="S299" s="37">
        <v>0</v>
      </c>
      <c r="U299" s="2" t="s">
        <v>802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</row>
    <row r="300" spans="1:33" x14ac:dyDescent="0.15">
      <c r="A300" s="12" t="s">
        <v>172</v>
      </c>
      <c r="B300" s="1">
        <v>3008</v>
      </c>
      <c r="C300" s="14" t="s">
        <v>172</v>
      </c>
      <c r="D300" s="1">
        <v>3</v>
      </c>
      <c r="E300" s="1">
        <v>0</v>
      </c>
      <c r="F300" s="1">
        <v>0</v>
      </c>
      <c r="G300" s="1">
        <v>1</v>
      </c>
      <c r="H300" s="1">
        <v>0</v>
      </c>
      <c r="I300" s="1">
        <v>0</v>
      </c>
      <c r="J300" s="1">
        <v>0</v>
      </c>
      <c r="K300" s="1">
        <v>9</v>
      </c>
      <c r="L300" s="1">
        <v>1</v>
      </c>
      <c r="M300" s="1">
        <v>100</v>
      </c>
      <c r="N300" s="1">
        <v>100</v>
      </c>
      <c r="Q300" s="37" t="s">
        <v>818</v>
      </c>
      <c r="R300" s="37" t="s">
        <v>819</v>
      </c>
      <c r="S300" s="37">
        <v>0</v>
      </c>
      <c r="U300" s="2" t="s">
        <v>802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</row>
    <row r="301" spans="1:33" x14ac:dyDescent="0.15">
      <c r="A301" s="1" t="s">
        <v>185</v>
      </c>
      <c r="B301" s="1">
        <v>3009</v>
      </c>
      <c r="C301" s="14" t="s">
        <v>185</v>
      </c>
      <c r="D301" s="1">
        <v>3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29</v>
      </c>
      <c r="L301" s="1">
        <v>1</v>
      </c>
      <c r="M301" s="1">
        <v>100</v>
      </c>
      <c r="N301" s="1">
        <v>100</v>
      </c>
      <c r="Q301" s="37" t="s">
        <v>818</v>
      </c>
      <c r="R301" s="37" t="s">
        <v>819</v>
      </c>
      <c r="S301" s="37">
        <v>0</v>
      </c>
      <c r="U301" s="2" t="s">
        <v>802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</row>
    <row r="302" spans="1:33" x14ac:dyDescent="0.15">
      <c r="A302" s="1" t="s">
        <v>189</v>
      </c>
      <c r="B302" s="1">
        <v>3010</v>
      </c>
      <c r="C302" s="14" t="s">
        <v>189</v>
      </c>
      <c r="D302" s="1">
        <v>3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29</v>
      </c>
      <c r="L302" s="1">
        <v>1</v>
      </c>
      <c r="M302" s="1">
        <v>100</v>
      </c>
      <c r="N302" s="1">
        <v>100</v>
      </c>
      <c r="Q302" s="37" t="s">
        <v>818</v>
      </c>
      <c r="R302" s="37" t="s">
        <v>819</v>
      </c>
      <c r="S302" s="37">
        <v>0</v>
      </c>
      <c r="U302" s="2" t="s">
        <v>802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</row>
    <row r="303" spans="1:33" x14ac:dyDescent="0.15">
      <c r="A303" s="1" t="s">
        <v>265</v>
      </c>
      <c r="B303" s="1">
        <v>3011</v>
      </c>
      <c r="C303" s="14" t="s">
        <v>262</v>
      </c>
      <c r="D303" s="1">
        <v>3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29</v>
      </c>
      <c r="L303" s="1">
        <v>1</v>
      </c>
      <c r="M303" s="1">
        <v>100</v>
      </c>
      <c r="N303" s="1">
        <v>100</v>
      </c>
      <c r="Q303" s="37" t="s">
        <v>818</v>
      </c>
      <c r="R303" s="37" t="s">
        <v>819</v>
      </c>
      <c r="S303" s="37">
        <v>0</v>
      </c>
      <c r="U303" s="2" t="s">
        <v>802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</row>
    <row r="304" spans="1:33" x14ac:dyDescent="0.15">
      <c r="A304" s="13" t="s">
        <v>260</v>
      </c>
      <c r="B304" s="1">
        <v>3011</v>
      </c>
      <c r="C304" s="14" t="s">
        <v>216</v>
      </c>
      <c r="D304" s="1">
        <v>3</v>
      </c>
      <c r="E304" s="1">
        <v>0</v>
      </c>
      <c r="F304" s="1">
        <v>0</v>
      </c>
      <c r="G304" s="1">
        <v>1</v>
      </c>
      <c r="H304" s="1">
        <v>0</v>
      </c>
      <c r="I304" s="1">
        <v>0</v>
      </c>
      <c r="J304" s="1">
        <v>0</v>
      </c>
      <c r="K304" s="1">
        <v>29</v>
      </c>
      <c r="L304" s="1">
        <v>1</v>
      </c>
      <c r="M304" s="1">
        <v>100</v>
      </c>
      <c r="N304" s="1">
        <v>100</v>
      </c>
      <c r="Q304" s="37" t="s">
        <v>818</v>
      </c>
      <c r="R304" s="37" t="s">
        <v>819</v>
      </c>
      <c r="S304" s="37">
        <v>0</v>
      </c>
      <c r="U304" s="2" t="s">
        <v>802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</row>
    <row r="305" spans="1:32" x14ac:dyDescent="0.15">
      <c r="A305" s="13" t="s">
        <v>266</v>
      </c>
      <c r="B305" s="1">
        <v>3100</v>
      </c>
      <c r="C305" s="14" t="s">
        <v>328</v>
      </c>
      <c r="D305" s="1">
        <v>4</v>
      </c>
      <c r="E305" s="1">
        <v>0</v>
      </c>
      <c r="F305" s="1">
        <v>0</v>
      </c>
      <c r="G305" s="1">
        <v>1</v>
      </c>
      <c r="H305" s="1">
        <v>0</v>
      </c>
      <c r="I305" s="1">
        <v>0</v>
      </c>
      <c r="J305" s="1">
        <v>0</v>
      </c>
      <c r="K305" s="1">
        <v>1</v>
      </c>
      <c r="L305" s="1">
        <v>1</v>
      </c>
      <c r="M305" s="1">
        <v>100</v>
      </c>
      <c r="N305" s="1">
        <v>100</v>
      </c>
      <c r="Q305" s="37" t="s">
        <v>818</v>
      </c>
      <c r="R305" s="37" t="s">
        <v>815</v>
      </c>
      <c r="S305" s="37">
        <v>1000</v>
      </c>
      <c r="U305" s="2" t="s">
        <v>802</v>
      </c>
      <c r="V305" s="1">
        <f>VLOOKUP($A305,Sheet1!$C$4:$M$92,2,FALSE)</f>
        <v>15</v>
      </c>
      <c r="W305" s="1">
        <f>VLOOKUP($A305,Sheet1!$C$4:$M$92,3,FALSE)</f>
        <v>0</v>
      </c>
      <c r="X305" s="1">
        <f>VLOOKUP($A305,Sheet1!$C$4:$M$92,4,FALSE)</f>
        <v>0</v>
      </c>
      <c r="Y305" s="1">
        <v>0</v>
      </c>
      <c r="Z305" s="1">
        <v>0</v>
      </c>
      <c r="AA305" s="1">
        <v>0</v>
      </c>
      <c r="AB305" s="1">
        <f>VLOOKUP($A305,Sheet1!$C$4:$M$92,5,FALSE)</f>
        <v>0</v>
      </c>
      <c r="AC305" s="1">
        <f>VLOOKUP($A305,Sheet1!$C$4:$M$92,6,FALSE)</f>
        <v>0</v>
      </c>
      <c r="AD305" s="1">
        <f>VLOOKUP($A305,Sheet1!$C$4:$M$92,8,FALSE)</f>
        <v>0</v>
      </c>
      <c r="AE305" s="1">
        <f>VLOOKUP($A305,Sheet1!$C$4:$M$92,7,FALSE)</f>
        <v>0</v>
      </c>
      <c r="AF305" s="1">
        <v>10</v>
      </c>
    </row>
    <row r="306" spans="1:32" x14ac:dyDescent="0.15">
      <c r="A306" s="13" t="s">
        <v>267</v>
      </c>
      <c r="B306" s="1">
        <v>3101</v>
      </c>
      <c r="C306" s="14" t="s">
        <v>174</v>
      </c>
      <c r="D306" s="1">
        <v>4</v>
      </c>
      <c r="E306" s="1">
        <v>0</v>
      </c>
      <c r="F306" s="1">
        <v>0</v>
      </c>
      <c r="G306" s="1">
        <v>1</v>
      </c>
      <c r="H306" s="1">
        <v>0</v>
      </c>
      <c r="I306" s="1">
        <v>0</v>
      </c>
      <c r="J306" s="1">
        <v>0</v>
      </c>
      <c r="K306" s="1">
        <v>1</v>
      </c>
      <c r="L306" s="1">
        <v>1</v>
      </c>
      <c r="M306" s="1">
        <v>100</v>
      </c>
      <c r="N306" s="1">
        <v>100</v>
      </c>
      <c r="Q306" s="37" t="s">
        <v>818</v>
      </c>
      <c r="R306" s="37" t="s">
        <v>815</v>
      </c>
      <c r="S306" s="37">
        <v>1000</v>
      </c>
      <c r="U306" s="2" t="s">
        <v>802</v>
      </c>
      <c r="V306" s="1">
        <f>VLOOKUP($A306,Sheet1!C5:M93,2,FALSE)</f>
        <v>15</v>
      </c>
      <c r="W306" s="1">
        <f>VLOOKUP($A306,Sheet1!$C$4:$M$92,3,FALSE)</f>
        <v>0</v>
      </c>
      <c r="X306" s="1">
        <f>VLOOKUP($A306,Sheet1!$C$4:$M$92,4,FALSE)</f>
        <v>0</v>
      </c>
      <c r="Y306" s="1">
        <v>0</v>
      </c>
      <c r="Z306" s="1">
        <v>0</v>
      </c>
      <c r="AA306" s="1">
        <v>0</v>
      </c>
      <c r="AB306" s="1">
        <f>VLOOKUP($A306,Sheet1!$C$4:$M$92,5,FALSE)</f>
        <v>0</v>
      </c>
      <c r="AC306" s="1">
        <f>VLOOKUP($A306,Sheet1!$C$4:$M$92,6,FALSE)</f>
        <v>0</v>
      </c>
      <c r="AD306" s="1">
        <f>VLOOKUP($A306,Sheet1!$C$4:$M$92,8,FALSE)</f>
        <v>0</v>
      </c>
      <c r="AE306" s="1">
        <f>VLOOKUP($A306,Sheet1!$C$4:$M$92,7,FALSE)</f>
        <v>0</v>
      </c>
      <c r="AF306" s="1">
        <v>10</v>
      </c>
    </row>
    <row r="307" spans="1:32" x14ac:dyDescent="0.15">
      <c r="A307" s="13" t="s">
        <v>195</v>
      </c>
      <c r="B307" s="1">
        <v>3102</v>
      </c>
      <c r="C307" s="14" t="s">
        <v>195</v>
      </c>
      <c r="D307" s="1">
        <v>4</v>
      </c>
      <c r="E307" s="1">
        <v>0</v>
      </c>
      <c r="F307" s="1">
        <v>0</v>
      </c>
      <c r="G307" s="1">
        <v>1</v>
      </c>
      <c r="H307" s="1">
        <v>0</v>
      </c>
      <c r="I307" s="1">
        <v>0</v>
      </c>
      <c r="J307" s="1">
        <v>0</v>
      </c>
      <c r="K307" s="1">
        <v>1</v>
      </c>
      <c r="L307" s="1">
        <v>1</v>
      </c>
      <c r="M307" s="1">
        <v>100</v>
      </c>
      <c r="N307" s="1">
        <v>100</v>
      </c>
      <c r="Q307" s="37" t="s">
        <v>818</v>
      </c>
      <c r="R307" s="37" t="s">
        <v>815</v>
      </c>
      <c r="S307" s="37">
        <v>1000</v>
      </c>
      <c r="U307" s="2" t="s">
        <v>802</v>
      </c>
      <c r="V307" s="1">
        <f>VLOOKUP($A307,Sheet1!C6:M94,2,FALSE)</f>
        <v>0</v>
      </c>
      <c r="W307" s="1">
        <f>VLOOKUP($A307,Sheet1!$C$4:$M$92,3,FALSE)</f>
        <v>0</v>
      </c>
      <c r="X307" s="1">
        <f>VLOOKUP($A307,Sheet1!$C$4:$M$92,4,FALSE)</f>
        <v>10</v>
      </c>
      <c r="Y307" s="1">
        <v>0</v>
      </c>
      <c r="Z307" s="1">
        <v>0</v>
      </c>
      <c r="AA307" s="1">
        <v>0</v>
      </c>
      <c r="AB307" s="1">
        <f>VLOOKUP($A307,Sheet1!$C$4:$M$92,5,FALSE)</f>
        <v>0</v>
      </c>
      <c r="AC307" s="1">
        <f>VLOOKUP($A307,Sheet1!$C$4:$M$92,6,FALSE)</f>
        <v>0</v>
      </c>
      <c r="AD307" s="1">
        <f>VLOOKUP($A307,Sheet1!$C$4:$M$92,8,FALSE)</f>
        <v>0</v>
      </c>
      <c r="AE307" s="1">
        <f>VLOOKUP($A307,Sheet1!$C$4:$M$92,7,FALSE)</f>
        <v>7</v>
      </c>
      <c r="AF307" s="1">
        <v>10</v>
      </c>
    </row>
    <row r="308" spans="1:32" x14ac:dyDescent="0.15">
      <c r="A308" s="13" t="s">
        <v>177</v>
      </c>
      <c r="B308" s="1">
        <v>3103</v>
      </c>
      <c r="C308" s="14" t="s">
        <v>177</v>
      </c>
      <c r="D308" s="1">
        <v>4</v>
      </c>
      <c r="E308" s="1">
        <v>0</v>
      </c>
      <c r="F308" s="1">
        <v>0</v>
      </c>
      <c r="G308" s="1">
        <v>1</v>
      </c>
      <c r="H308" s="1">
        <v>0</v>
      </c>
      <c r="I308" s="1">
        <v>0</v>
      </c>
      <c r="J308" s="1">
        <v>0</v>
      </c>
      <c r="K308" s="1">
        <v>1</v>
      </c>
      <c r="L308" s="1">
        <v>1</v>
      </c>
      <c r="M308" s="1">
        <v>100</v>
      </c>
      <c r="N308" s="1">
        <v>100</v>
      </c>
      <c r="Q308" s="37" t="s">
        <v>818</v>
      </c>
      <c r="R308" s="37" t="s">
        <v>815</v>
      </c>
      <c r="S308" s="37">
        <v>1000</v>
      </c>
      <c r="U308" s="2" t="s">
        <v>802</v>
      </c>
      <c r="V308" s="1">
        <f>VLOOKUP($A308,Sheet1!C7:M95,2,FALSE)</f>
        <v>20</v>
      </c>
      <c r="W308" s="1">
        <f>VLOOKUP($A308,Sheet1!$C$4:$M$92,3,FALSE)</f>
        <v>0</v>
      </c>
      <c r="X308" s="1">
        <f>VLOOKUP($A308,Sheet1!$C$4:$M$92,4,FALSE)</f>
        <v>0</v>
      </c>
      <c r="Y308" s="1">
        <v>0</v>
      </c>
      <c r="Z308" s="1">
        <v>0</v>
      </c>
      <c r="AA308" s="1">
        <v>0</v>
      </c>
      <c r="AB308" s="1">
        <f>VLOOKUP($A308,Sheet1!$C$4:$M$92,5,FALSE)</f>
        <v>0</v>
      </c>
      <c r="AC308" s="1">
        <f>VLOOKUP($A308,Sheet1!$C$4:$M$92,6,FALSE)</f>
        <v>0</v>
      </c>
      <c r="AD308" s="1">
        <f>VLOOKUP($A308,Sheet1!$C$4:$M$92,8,FALSE)</f>
        <v>0</v>
      </c>
      <c r="AE308" s="1">
        <f>VLOOKUP($A308,Sheet1!$C$4:$M$92,7,FALSE)</f>
        <v>0</v>
      </c>
      <c r="AF308" s="1">
        <v>10</v>
      </c>
    </row>
    <row r="309" spans="1:32" x14ac:dyDescent="0.15">
      <c r="A309" s="13" t="s">
        <v>193</v>
      </c>
      <c r="B309" s="1">
        <v>3104</v>
      </c>
      <c r="C309" s="14" t="s">
        <v>193</v>
      </c>
      <c r="D309" s="1">
        <v>4</v>
      </c>
      <c r="E309" s="1">
        <v>0</v>
      </c>
      <c r="F309" s="1">
        <v>0</v>
      </c>
      <c r="G309" s="1">
        <v>1</v>
      </c>
      <c r="H309" s="1">
        <v>0</v>
      </c>
      <c r="I309" s="1">
        <v>0</v>
      </c>
      <c r="J309" s="1">
        <v>0</v>
      </c>
      <c r="K309" s="1">
        <v>1</v>
      </c>
      <c r="L309" s="1">
        <v>1</v>
      </c>
      <c r="M309" s="1">
        <v>100</v>
      </c>
      <c r="N309" s="1">
        <v>100</v>
      </c>
      <c r="Q309" s="37" t="s">
        <v>818</v>
      </c>
      <c r="R309" s="37" t="s">
        <v>815</v>
      </c>
      <c r="S309" s="37">
        <v>1000</v>
      </c>
      <c r="U309" s="2" t="s">
        <v>802</v>
      </c>
      <c r="V309" s="1">
        <f>VLOOKUP($A309,Sheet1!C8:M96,2,FALSE)</f>
        <v>0</v>
      </c>
      <c r="W309" s="1">
        <f>VLOOKUP($A309,Sheet1!$C$4:$M$92,3,FALSE)</f>
        <v>0</v>
      </c>
      <c r="X309" s="1">
        <f>VLOOKUP($A309,Sheet1!$C$4:$M$92,4,FALSE)</f>
        <v>20</v>
      </c>
      <c r="Y309" s="1">
        <v>0</v>
      </c>
      <c r="Z309" s="1">
        <v>0</v>
      </c>
      <c r="AA309" s="1">
        <v>0</v>
      </c>
      <c r="AB309" s="1">
        <f>VLOOKUP($A309,Sheet1!$C$4:$M$92,5,FALSE)</f>
        <v>0</v>
      </c>
      <c r="AC309" s="1">
        <f>VLOOKUP($A309,Sheet1!$C$4:$M$92,6,FALSE)</f>
        <v>0</v>
      </c>
      <c r="AD309" s="1">
        <f>VLOOKUP($A309,Sheet1!$C$4:$M$92,8,FALSE)</f>
        <v>0</v>
      </c>
      <c r="AE309" s="1">
        <f>VLOOKUP($A309,Sheet1!$C$4:$M$92,7,FALSE)</f>
        <v>0</v>
      </c>
      <c r="AF309" s="1">
        <v>10</v>
      </c>
    </row>
    <row r="310" spans="1:32" x14ac:dyDescent="0.15">
      <c r="A310" s="13" t="s">
        <v>205</v>
      </c>
      <c r="B310" s="1">
        <v>3105</v>
      </c>
      <c r="C310" s="14" t="s">
        <v>205</v>
      </c>
      <c r="D310" s="1">
        <v>4</v>
      </c>
      <c r="E310" s="1">
        <v>0</v>
      </c>
      <c r="F310" s="1">
        <v>0</v>
      </c>
      <c r="G310" s="1">
        <v>1</v>
      </c>
      <c r="H310" s="1">
        <v>0</v>
      </c>
      <c r="I310" s="1">
        <v>0</v>
      </c>
      <c r="J310" s="1">
        <v>0</v>
      </c>
      <c r="K310" s="1">
        <v>1</v>
      </c>
      <c r="L310" s="1">
        <v>1</v>
      </c>
      <c r="M310" s="1">
        <v>100</v>
      </c>
      <c r="N310" s="1">
        <v>100</v>
      </c>
      <c r="Q310" s="37" t="s">
        <v>818</v>
      </c>
      <c r="R310" s="37" t="s">
        <v>815</v>
      </c>
      <c r="S310" s="37">
        <v>1000</v>
      </c>
      <c r="U310" s="2" t="s">
        <v>802</v>
      </c>
      <c r="V310" s="1">
        <f>VLOOKUP($A310,Sheet1!C9:M97,2,FALSE)</f>
        <v>0</v>
      </c>
      <c r="W310" s="1">
        <f>VLOOKUP($A310,Sheet1!$C$4:$M$92,3,FALSE)</f>
        <v>0</v>
      </c>
      <c r="X310" s="1">
        <f>VLOOKUP($A310,Sheet1!$C$4:$M$92,4,FALSE)</f>
        <v>20</v>
      </c>
      <c r="Y310" s="1">
        <v>0</v>
      </c>
      <c r="Z310" s="1">
        <v>0</v>
      </c>
      <c r="AA310" s="1">
        <v>0</v>
      </c>
      <c r="AB310" s="1">
        <f>VLOOKUP($A310,Sheet1!$C$4:$M$92,5,FALSE)</f>
        <v>0</v>
      </c>
      <c r="AC310" s="1">
        <f>VLOOKUP($A310,Sheet1!$C$4:$M$92,6,FALSE)</f>
        <v>0</v>
      </c>
      <c r="AD310" s="1">
        <f>VLOOKUP($A310,Sheet1!$C$4:$M$92,8,FALSE)</f>
        <v>0</v>
      </c>
      <c r="AE310" s="1">
        <f>VLOOKUP($A310,Sheet1!$C$4:$M$92,7,FALSE)</f>
        <v>0</v>
      </c>
      <c r="AF310" s="1">
        <v>10</v>
      </c>
    </row>
    <row r="311" spans="1:32" x14ac:dyDescent="0.15">
      <c r="A311" s="13" t="s">
        <v>206</v>
      </c>
      <c r="B311" s="1">
        <v>3106</v>
      </c>
      <c r="C311" s="14" t="s">
        <v>206</v>
      </c>
      <c r="D311" s="1">
        <v>4</v>
      </c>
      <c r="E311" s="1">
        <v>0</v>
      </c>
      <c r="F311" s="1">
        <v>0</v>
      </c>
      <c r="G311" s="1">
        <v>1</v>
      </c>
      <c r="H311" s="1">
        <v>0</v>
      </c>
      <c r="I311" s="1">
        <v>0</v>
      </c>
      <c r="J311" s="1">
        <v>0</v>
      </c>
      <c r="K311" s="1">
        <v>1</v>
      </c>
      <c r="L311" s="1">
        <v>1</v>
      </c>
      <c r="M311" s="1">
        <v>100</v>
      </c>
      <c r="N311" s="1">
        <v>100</v>
      </c>
      <c r="Q311" s="37" t="s">
        <v>818</v>
      </c>
      <c r="R311" s="37" t="s">
        <v>815</v>
      </c>
      <c r="S311" s="37">
        <v>1000</v>
      </c>
      <c r="U311" s="2" t="s">
        <v>802</v>
      </c>
      <c r="V311" s="1">
        <f>VLOOKUP($A311,Sheet1!C10:M98,2,FALSE)</f>
        <v>0</v>
      </c>
      <c r="W311" s="1">
        <f>VLOOKUP($A311,Sheet1!$C$4:$M$92,3,FALSE)</f>
        <v>0</v>
      </c>
      <c r="X311" s="1">
        <f>VLOOKUP($A311,Sheet1!$C$4:$M$92,4,FALSE)</f>
        <v>30</v>
      </c>
      <c r="Y311" s="1">
        <v>0</v>
      </c>
      <c r="Z311" s="1">
        <v>0</v>
      </c>
      <c r="AA311" s="1">
        <v>0</v>
      </c>
      <c r="AB311" s="1">
        <f>VLOOKUP($A311,Sheet1!$C$4:$M$92,5,FALSE)</f>
        <v>0</v>
      </c>
      <c r="AC311" s="1">
        <f>VLOOKUP($A311,Sheet1!$C$4:$M$92,6,FALSE)</f>
        <v>0</v>
      </c>
      <c r="AD311" s="1">
        <f>VLOOKUP($A311,Sheet1!$C$4:$M$92,8,FALSE)</f>
        <v>0</v>
      </c>
      <c r="AE311" s="1">
        <f>VLOOKUP($A311,Sheet1!$C$4:$M$92,7,FALSE)</f>
        <v>0</v>
      </c>
      <c r="AF311" s="1">
        <v>10</v>
      </c>
    </row>
    <row r="312" spans="1:32" x14ac:dyDescent="0.15">
      <c r="A312" s="13" t="s">
        <v>176</v>
      </c>
      <c r="B312" s="1">
        <v>3107</v>
      </c>
      <c r="C312" s="14" t="s">
        <v>176</v>
      </c>
      <c r="D312" s="1">
        <v>4</v>
      </c>
      <c r="E312" s="1">
        <v>0</v>
      </c>
      <c r="F312" s="1">
        <v>0</v>
      </c>
      <c r="G312" s="1">
        <v>1</v>
      </c>
      <c r="H312" s="1">
        <v>0</v>
      </c>
      <c r="I312" s="1">
        <v>0</v>
      </c>
      <c r="J312" s="1">
        <v>0</v>
      </c>
      <c r="K312" s="1">
        <v>1</v>
      </c>
      <c r="L312" s="1">
        <v>1</v>
      </c>
      <c r="M312" s="1">
        <v>100</v>
      </c>
      <c r="N312" s="1">
        <v>100</v>
      </c>
      <c r="Q312" s="37" t="s">
        <v>818</v>
      </c>
      <c r="R312" s="37" t="s">
        <v>815</v>
      </c>
      <c r="S312" s="37">
        <v>1000</v>
      </c>
      <c r="U312" s="2" t="s">
        <v>802</v>
      </c>
      <c r="V312" s="1">
        <f>VLOOKUP($A312,Sheet1!C11:M99,2,FALSE)</f>
        <v>25</v>
      </c>
      <c r="W312" s="1">
        <f>VLOOKUP($A312,Sheet1!$C$4:$M$92,3,FALSE)</f>
        <v>0</v>
      </c>
      <c r="X312" s="1">
        <f>VLOOKUP($A312,Sheet1!$C$4:$M$92,4,FALSE)</f>
        <v>0</v>
      </c>
      <c r="Y312" s="1">
        <v>0</v>
      </c>
      <c r="Z312" s="1">
        <v>0</v>
      </c>
      <c r="AA312" s="1">
        <v>0</v>
      </c>
      <c r="AB312" s="1">
        <f>VLOOKUP($A312,Sheet1!$C$4:$M$92,5,FALSE)</f>
        <v>0</v>
      </c>
      <c r="AC312" s="1">
        <f>VLOOKUP($A312,Sheet1!$C$4:$M$92,6,FALSE)</f>
        <v>0</v>
      </c>
      <c r="AD312" s="1">
        <f>VLOOKUP($A312,Sheet1!$C$4:$M$92,8,FALSE)</f>
        <v>0</v>
      </c>
      <c r="AE312" s="1">
        <f>VLOOKUP($A312,Sheet1!$C$4:$M$92,7,FALSE)</f>
        <v>0</v>
      </c>
      <c r="AF312" s="1">
        <v>10</v>
      </c>
    </row>
    <row r="313" spans="1:32" x14ac:dyDescent="0.15">
      <c r="A313" s="13" t="s">
        <v>178</v>
      </c>
      <c r="B313" s="1">
        <v>3108</v>
      </c>
      <c r="C313" s="14" t="s">
        <v>270</v>
      </c>
      <c r="D313" s="1">
        <v>4</v>
      </c>
      <c r="E313" s="1">
        <v>0</v>
      </c>
      <c r="F313" s="1">
        <v>0</v>
      </c>
      <c r="G313" s="1">
        <v>1</v>
      </c>
      <c r="H313" s="1">
        <v>0</v>
      </c>
      <c r="I313" s="1">
        <v>0</v>
      </c>
      <c r="J313" s="1">
        <v>0</v>
      </c>
      <c r="K313" s="1">
        <v>1</v>
      </c>
      <c r="L313" s="1">
        <v>1</v>
      </c>
      <c r="M313" s="1">
        <v>100</v>
      </c>
      <c r="N313" s="1">
        <v>100</v>
      </c>
      <c r="Q313" s="37" t="s">
        <v>818</v>
      </c>
      <c r="R313" s="37" t="s">
        <v>815</v>
      </c>
      <c r="S313" s="37">
        <v>1000</v>
      </c>
      <c r="U313" s="2" t="s">
        <v>802</v>
      </c>
      <c r="V313" s="1">
        <f>VLOOKUP($A313,Sheet1!C12:M100,2,FALSE)</f>
        <v>35</v>
      </c>
      <c r="W313" s="1">
        <f>VLOOKUP($A313,Sheet1!$C$4:$M$92,3,FALSE)</f>
        <v>0</v>
      </c>
      <c r="X313" s="1">
        <f>VLOOKUP($A313,Sheet1!$C$4:$M$92,4,FALSE)</f>
        <v>0</v>
      </c>
      <c r="Y313" s="1">
        <v>0</v>
      </c>
      <c r="Z313" s="1">
        <v>0</v>
      </c>
      <c r="AA313" s="1">
        <v>0</v>
      </c>
      <c r="AB313" s="1">
        <f>VLOOKUP($A313,Sheet1!$C$4:$M$92,5,FALSE)</f>
        <v>0</v>
      </c>
      <c r="AC313" s="1">
        <f>VLOOKUP($A313,Sheet1!$C$4:$M$92,6,FALSE)</f>
        <v>0</v>
      </c>
      <c r="AD313" s="1">
        <f>VLOOKUP($A313,Sheet1!$C$4:$M$92,8,FALSE)</f>
        <v>0</v>
      </c>
      <c r="AE313" s="1">
        <f>VLOOKUP($A313,Sheet1!$C$4:$M$92,7,FALSE)</f>
        <v>0</v>
      </c>
      <c r="AF313" s="1">
        <v>10</v>
      </c>
    </row>
    <row r="314" spans="1:32" x14ac:dyDescent="0.15">
      <c r="A314" s="13" t="s">
        <v>207</v>
      </c>
      <c r="B314" s="1">
        <v>3109</v>
      </c>
      <c r="C314" s="14" t="s">
        <v>207</v>
      </c>
      <c r="D314" s="1">
        <v>4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0</v>
      </c>
      <c r="K314" s="1">
        <v>1</v>
      </c>
      <c r="L314" s="1">
        <v>1</v>
      </c>
      <c r="M314" s="1">
        <v>100</v>
      </c>
      <c r="N314" s="1">
        <v>100</v>
      </c>
      <c r="Q314" s="37" t="s">
        <v>818</v>
      </c>
      <c r="R314" s="37" t="s">
        <v>815</v>
      </c>
      <c r="S314" s="37">
        <v>1000</v>
      </c>
      <c r="U314" s="2" t="s">
        <v>802</v>
      </c>
      <c r="V314" s="1">
        <f>VLOOKUP($A314,Sheet1!C13:M101,2,FALSE)</f>
        <v>0</v>
      </c>
      <c r="W314" s="1">
        <f>VLOOKUP($A314,Sheet1!$C$4:$M$92,3,FALSE)</f>
        <v>10</v>
      </c>
      <c r="X314" s="1">
        <f>VLOOKUP($A314,Sheet1!$C$4:$M$92,4,FALSE)</f>
        <v>0</v>
      </c>
      <c r="Y314" s="1">
        <v>0</v>
      </c>
      <c r="Z314" s="1">
        <v>0</v>
      </c>
      <c r="AA314" s="1">
        <v>0</v>
      </c>
      <c r="AB314" s="1">
        <f>VLOOKUP($A314,Sheet1!$C$4:$M$92,5,FALSE)</f>
        <v>0</v>
      </c>
      <c r="AC314" s="1">
        <f>VLOOKUP($A314,Sheet1!$C$4:$M$92,6,FALSE)</f>
        <v>0</v>
      </c>
      <c r="AD314" s="1">
        <f>VLOOKUP($A314,Sheet1!$C$4:$M$92,8,FALSE)</f>
        <v>0</v>
      </c>
      <c r="AE314" s="1">
        <f>VLOOKUP($A314,Sheet1!$C$4:$M$92,7,FALSE)</f>
        <v>0</v>
      </c>
      <c r="AF314" s="1">
        <v>10</v>
      </c>
    </row>
    <row r="315" spans="1:32" x14ac:dyDescent="0.15">
      <c r="A315" s="13" t="s">
        <v>175</v>
      </c>
      <c r="B315" s="1">
        <v>3110</v>
      </c>
      <c r="C315" s="14" t="s">
        <v>175</v>
      </c>
      <c r="D315" s="1">
        <v>4</v>
      </c>
      <c r="E315" s="1">
        <v>0</v>
      </c>
      <c r="F315" s="1">
        <v>0</v>
      </c>
      <c r="G315" s="1">
        <v>1</v>
      </c>
      <c r="H315" s="1">
        <v>0</v>
      </c>
      <c r="I315" s="1">
        <v>0</v>
      </c>
      <c r="J315" s="1">
        <v>0</v>
      </c>
      <c r="K315" s="1">
        <v>1</v>
      </c>
      <c r="L315" s="1">
        <v>1</v>
      </c>
      <c r="M315" s="1">
        <v>100</v>
      </c>
      <c r="N315" s="1">
        <v>100</v>
      </c>
      <c r="Q315" s="37">
        <v>1</v>
      </c>
      <c r="R315" s="37" t="s">
        <v>815</v>
      </c>
      <c r="S315" s="37">
        <v>1000</v>
      </c>
      <c r="U315" s="2" t="s">
        <v>802</v>
      </c>
      <c r="V315" s="1">
        <f>VLOOKUP($A315,Sheet1!C14:M102,2,FALSE)</f>
        <v>0</v>
      </c>
      <c r="W315" s="1">
        <f>VLOOKUP($A315,Sheet1!$C$4:$M$92,3,FALSE)</f>
        <v>0</v>
      </c>
      <c r="X315" s="1">
        <f>VLOOKUP($A315,Sheet1!$C$4:$M$92,4,FALSE)</f>
        <v>0</v>
      </c>
      <c r="Y315" s="1">
        <v>0</v>
      </c>
      <c r="Z315" s="1">
        <v>0</v>
      </c>
      <c r="AA315" s="1">
        <v>0</v>
      </c>
      <c r="AB315" s="1">
        <f>VLOOKUP($A315,Sheet1!$C$4:$M$92,5,FALSE)</f>
        <v>0</v>
      </c>
      <c r="AC315" s="1">
        <f>VLOOKUP($A315,Sheet1!$C$4:$M$92,6,FALSE)</f>
        <v>10</v>
      </c>
      <c r="AD315" s="1">
        <f>VLOOKUP($A315,Sheet1!$C$4:$M$92,8,FALSE)</f>
        <v>0</v>
      </c>
      <c r="AE315" s="1">
        <f>VLOOKUP($A315,Sheet1!$C$4:$M$92,7,FALSE)</f>
        <v>0</v>
      </c>
      <c r="AF315" s="1">
        <v>10</v>
      </c>
    </row>
    <row r="316" spans="1:32" x14ac:dyDescent="0.15">
      <c r="A316" s="13" t="s">
        <v>208</v>
      </c>
      <c r="B316" s="1">
        <v>3111</v>
      </c>
      <c r="C316" s="14" t="s">
        <v>208</v>
      </c>
      <c r="D316" s="1">
        <v>4</v>
      </c>
      <c r="E316" s="1">
        <v>0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1</v>
      </c>
      <c r="L316" s="1">
        <v>1</v>
      </c>
      <c r="M316" s="1">
        <v>100</v>
      </c>
      <c r="N316" s="1">
        <v>100</v>
      </c>
      <c r="Q316" s="37" t="s">
        <v>818</v>
      </c>
      <c r="R316" s="37" t="s">
        <v>815</v>
      </c>
      <c r="S316" s="37">
        <v>1000</v>
      </c>
      <c r="U316" s="2" t="s">
        <v>802</v>
      </c>
      <c r="V316" s="1">
        <f>VLOOKUP($A316,Sheet1!C15:M103,2,FALSE)</f>
        <v>0</v>
      </c>
      <c r="W316" s="1">
        <f>VLOOKUP($A316,Sheet1!$C$4:$M$92,3,FALSE)</f>
        <v>0</v>
      </c>
      <c r="X316" s="1">
        <f>VLOOKUP($A316,Sheet1!$C$4:$M$92,4,FALSE)</f>
        <v>30</v>
      </c>
      <c r="Y316" s="1">
        <v>0</v>
      </c>
      <c r="Z316" s="1">
        <v>0</v>
      </c>
      <c r="AA316" s="1">
        <v>0</v>
      </c>
      <c r="AB316" s="1">
        <f>VLOOKUP($A316,Sheet1!$C$4:$M$92,5,FALSE)</f>
        <v>0</v>
      </c>
      <c r="AC316" s="1">
        <f>VLOOKUP($A316,Sheet1!$C$4:$M$92,6,FALSE)</f>
        <v>0</v>
      </c>
      <c r="AD316" s="1">
        <f>VLOOKUP($A316,Sheet1!$C$4:$M$92,8,FALSE)</f>
        <v>0</v>
      </c>
      <c r="AE316" s="1">
        <f>VLOOKUP($A316,Sheet1!$C$4:$M$92,7,FALSE)</f>
        <v>0</v>
      </c>
      <c r="AF316" s="1">
        <v>10</v>
      </c>
    </row>
    <row r="317" spans="1:32" x14ac:dyDescent="0.15">
      <c r="A317" s="13" t="s">
        <v>261</v>
      </c>
      <c r="B317" s="1">
        <v>3112</v>
      </c>
      <c r="C317" s="15" t="s">
        <v>261</v>
      </c>
      <c r="D317" s="1">
        <v>4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1</v>
      </c>
      <c r="L317" s="1">
        <v>1</v>
      </c>
      <c r="M317" s="1">
        <v>100</v>
      </c>
      <c r="N317" s="1">
        <v>100</v>
      </c>
      <c r="Q317" s="37" t="s">
        <v>818</v>
      </c>
      <c r="R317" s="37" t="s">
        <v>815</v>
      </c>
      <c r="S317" s="37">
        <v>1000</v>
      </c>
      <c r="U317" s="2" t="s">
        <v>802</v>
      </c>
      <c r="V317" s="1">
        <f>VLOOKUP($A317,Sheet1!C16:M104,2,FALSE)</f>
        <v>0</v>
      </c>
      <c r="W317" s="1">
        <f>VLOOKUP($A317,Sheet1!$C$4:$M$92,3,FALSE)</f>
        <v>0</v>
      </c>
      <c r="X317" s="1">
        <f>VLOOKUP($A317,Sheet1!$C$4:$M$92,4,FALSE)</f>
        <v>40</v>
      </c>
      <c r="Y317" s="1">
        <v>0</v>
      </c>
      <c r="Z317" s="1">
        <v>0</v>
      </c>
      <c r="AA317" s="1">
        <v>0</v>
      </c>
      <c r="AB317" s="1">
        <f>VLOOKUP($A317,Sheet1!$C$4:$M$92,5,FALSE)</f>
        <v>0</v>
      </c>
      <c r="AC317" s="1">
        <f>VLOOKUP($A317,Sheet1!$C$4:$M$92,6,FALSE)</f>
        <v>0</v>
      </c>
      <c r="AD317" s="1">
        <f>VLOOKUP($A317,Sheet1!$C$4:$M$92,8,FALSE)</f>
        <v>0</v>
      </c>
      <c r="AE317" s="1">
        <f>VLOOKUP($A317,Sheet1!$C$4:$M$92,7,FALSE)</f>
        <v>0</v>
      </c>
      <c r="AF317" s="1">
        <v>10</v>
      </c>
    </row>
    <row r="318" spans="1:32" x14ac:dyDescent="0.15">
      <c r="A318" s="13" t="s">
        <v>209</v>
      </c>
      <c r="B318" s="1">
        <v>3113</v>
      </c>
      <c r="C318" s="14" t="s">
        <v>271</v>
      </c>
      <c r="D318" s="1">
        <v>4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1</v>
      </c>
      <c r="L318" s="1">
        <v>1</v>
      </c>
      <c r="M318" s="1">
        <v>100</v>
      </c>
      <c r="N318" s="1">
        <v>100</v>
      </c>
      <c r="Q318" s="37">
        <v>1</v>
      </c>
      <c r="R318" s="37" t="s">
        <v>815</v>
      </c>
      <c r="S318" s="37">
        <v>1000</v>
      </c>
      <c r="U318" s="2" t="s">
        <v>802</v>
      </c>
      <c r="V318" s="1">
        <f>VLOOKUP($A318,Sheet1!C17:M105,2,FALSE)</f>
        <v>0</v>
      </c>
      <c r="W318" s="1">
        <f>VLOOKUP($A318,Sheet1!$C$4:$M$92,3,FALSE)</f>
        <v>0</v>
      </c>
      <c r="X318" s="1">
        <f>VLOOKUP($A318,Sheet1!$C$4:$M$92,4,FALSE)</f>
        <v>0</v>
      </c>
      <c r="Y318" s="1">
        <v>0</v>
      </c>
      <c r="Z318" s="1">
        <v>0</v>
      </c>
      <c r="AA318" s="1">
        <v>0</v>
      </c>
      <c r="AB318" s="1">
        <f>VLOOKUP($A318,Sheet1!$C$4:$M$92,5,FALSE)</f>
        <v>0</v>
      </c>
      <c r="AC318" s="1">
        <f>VLOOKUP($A318,Sheet1!$C$4:$M$92,6,FALSE)</f>
        <v>0</v>
      </c>
      <c r="AD318" s="1">
        <f>VLOOKUP($A318,Sheet1!$C$4:$M$92,8,FALSE)</f>
        <v>0</v>
      </c>
      <c r="AE318" s="1">
        <f>VLOOKUP($A318,Sheet1!$C$4:$M$92,7,FALSE)</f>
        <v>10</v>
      </c>
      <c r="AF318" s="1">
        <v>10</v>
      </c>
    </row>
    <row r="319" spans="1:32" x14ac:dyDescent="0.15">
      <c r="A319" s="13" t="s">
        <v>182</v>
      </c>
      <c r="B319" s="1">
        <v>3114</v>
      </c>
      <c r="C319" s="14" t="s">
        <v>272</v>
      </c>
      <c r="D319" s="1">
        <v>4</v>
      </c>
      <c r="E319" s="1">
        <v>0</v>
      </c>
      <c r="F319" s="1">
        <v>0</v>
      </c>
      <c r="G319" s="1">
        <v>1</v>
      </c>
      <c r="H319" s="1">
        <v>0</v>
      </c>
      <c r="I319" s="1">
        <v>0</v>
      </c>
      <c r="J319" s="1">
        <v>0</v>
      </c>
      <c r="K319" s="1">
        <v>1</v>
      </c>
      <c r="L319" s="1">
        <v>1</v>
      </c>
      <c r="M319" s="1">
        <v>100</v>
      </c>
      <c r="N319" s="1">
        <v>100</v>
      </c>
      <c r="Q319" s="37">
        <v>1</v>
      </c>
      <c r="R319" s="37" t="s">
        <v>815</v>
      </c>
      <c r="S319" s="37">
        <v>1000</v>
      </c>
      <c r="U319" s="2" t="s">
        <v>802</v>
      </c>
      <c r="V319" s="1">
        <f>VLOOKUP($A319,Sheet1!C18:M106,2,FALSE)</f>
        <v>0</v>
      </c>
      <c r="W319" s="1">
        <f>VLOOKUP($A319,Sheet1!$C$4:$M$92,3,FALSE)</f>
        <v>0</v>
      </c>
      <c r="X319" s="1">
        <f>VLOOKUP($A319,Sheet1!$C$4:$M$92,4,FALSE)</f>
        <v>0</v>
      </c>
      <c r="Y319" s="1">
        <v>0</v>
      </c>
      <c r="Z319" s="1">
        <v>0</v>
      </c>
      <c r="AA319" s="1">
        <v>0</v>
      </c>
      <c r="AB319" s="1">
        <f>VLOOKUP($A319,Sheet1!$C$4:$M$92,5,FALSE)</f>
        <v>0</v>
      </c>
      <c r="AC319" s="1">
        <f>VLOOKUP($A319,Sheet1!$C$4:$M$92,6,FALSE)</f>
        <v>15</v>
      </c>
      <c r="AD319" s="1">
        <f>VLOOKUP($A319,Sheet1!$C$4:$M$92,8,FALSE)</f>
        <v>0</v>
      </c>
      <c r="AE319" s="1">
        <f>VLOOKUP($A319,Sheet1!$C$4:$M$92,7,FALSE)</f>
        <v>0</v>
      </c>
      <c r="AF319" s="1">
        <v>10</v>
      </c>
    </row>
    <row r="320" spans="1:32" x14ac:dyDescent="0.15">
      <c r="A320" s="13" t="s">
        <v>210</v>
      </c>
      <c r="B320" s="1">
        <v>3115</v>
      </c>
      <c r="C320" s="14" t="s">
        <v>210</v>
      </c>
      <c r="D320" s="1">
        <v>4</v>
      </c>
      <c r="E320" s="1">
        <v>0</v>
      </c>
      <c r="F320" s="1">
        <v>0</v>
      </c>
      <c r="G320" s="1">
        <v>1</v>
      </c>
      <c r="H320" s="1">
        <v>0</v>
      </c>
      <c r="I320" s="1">
        <v>0</v>
      </c>
      <c r="J320" s="1">
        <v>0</v>
      </c>
      <c r="K320" s="1">
        <v>1</v>
      </c>
      <c r="L320" s="1">
        <v>1</v>
      </c>
      <c r="M320" s="1">
        <v>100</v>
      </c>
      <c r="N320" s="1">
        <v>100</v>
      </c>
      <c r="Q320" s="37" t="s">
        <v>818</v>
      </c>
      <c r="R320" s="37" t="s">
        <v>815</v>
      </c>
      <c r="S320" s="37">
        <v>1000</v>
      </c>
      <c r="U320" s="2" t="s">
        <v>802</v>
      </c>
      <c r="V320" s="1">
        <f>VLOOKUP($A320,Sheet1!C19:M107,2,FALSE)</f>
        <v>0</v>
      </c>
      <c r="W320" s="1">
        <f>VLOOKUP($A320,Sheet1!$C$4:$M$92,3,FALSE)</f>
        <v>0</v>
      </c>
      <c r="X320" s="1">
        <f>VLOOKUP($A320,Sheet1!$C$4:$M$92,4,FALSE)</f>
        <v>60</v>
      </c>
      <c r="Y320" s="1">
        <v>0</v>
      </c>
      <c r="Z320" s="1">
        <v>0</v>
      </c>
      <c r="AA320" s="1">
        <v>0</v>
      </c>
      <c r="AB320" s="1">
        <f>VLOOKUP($A320,Sheet1!$C$4:$M$92,5,FALSE)</f>
        <v>0</v>
      </c>
      <c r="AC320" s="1">
        <f>VLOOKUP($A320,Sheet1!$C$4:$M$92,6,FALSE)</f>
        <v>0</v>
      </c>
      <c r="AD320" s="1">
        <f>VLOOKUP($A320,Sheet1!$C$4:$M$92,8,FALSE)</f>
        <v>0</v>
      </c>
      <c r="AE320" s="1">
        <f>VLOOKUP($A320,Sheet1!$C$4:$M$92,7,FALSE)</f>
        <v>0</v>
      </c>
      <c r="AF320" s="1">
        <v>10</v>
      </c>
    </row>
    <row r="321" spans="1:32" x14ac:dyDescent="0.15">
      <c r="A321" s="13" t="s">
        <v>211</v>
      </c>
      <c r="B321" s="1">
        <v>3116</v>
      </c>
      <c r="C321" s="14" t="s">
        <v>269</v>
      </c>
      <c r="D321" s="1">
        <v>4</v>
      </c>
      <c r="E321" s="1">
        <v>0</v>
      </c>
      <c r="F321" s="1">
        <v>0</v>
      </c>
      <c r="G321" s="1">
        <v>1</v>
      </c>
      <c r="H321" s="1">
        <v>0</v>
      </c>
      <c r="I321" s="1">
        <v>0</v>
      </c>
      <c r="J321" s="1">
        <v>0</v>
      </c>
      <c r="K321" s="1">
        <v>1</v>
      </c>
      <c r="L321" s="1">
        <v>1</v>
      </c>
      <c r="M321" s="1">
        <v>100</v>
      </c>
      <c r="N321" s="1">
        <v>100</v>
      </c>
      <c r="Q321" s="37" t="s">
        <v>818</v>
      </c>
      <c r="R321" s="37" t="s">
        <v>815</v>
      </c>
      <c r="S321" s="37">
        <v>1000</v>
      </c>
      <c r="U321" s="2" t="s">
        <v>802</v>
      </c>
      <c r="V321" s="1">
        <f>VLOOKUP($A321,Sheet1!C20:M108,2,FALSE)</f>
        <v>0</v>
      </c>
      <c r="W321" s="1">
        <f>VLOOKUP($A321,Sheet1!$C$4:$M$92,3,FALSE)</f>
        <v>20</v>
      </c>
      <c r="X321" s="1">
        <f>VLOOKUP($A321,Sheet1!$C$4:$M$92,4,FALSE)</f>
        <v>0</v>
      </c>
      <c r="Y321" s="1">
        <v>0</v>
      </c>
      <c r="Z321" s="1">
        <v>0</v>
      </c>
      <c r="AA321" s="1">
        <v>0</v>
      </c>
      <c r="AB321" s="1">
        <f>VLOOKUP($A321,Sheet1!$C$4:$M$92,5,FALSE)</f>
        <v>0</v>
      </c>
      <c r="AC321" s="1">
        <f>VLOOKUP($A321,Sheet1!$C$4:$M$92,6,FALSE)</f>
        <v>0</v>
      </c>
      <c r="AD321" s="1">
        <f>VLOOKUP($A321,Sheet1!$C$4:$M$92,8,FALSE)</f>
        <v>0</v>
      </c>
      <c r="AE321" s="1">
        <f>VLOOKUP($A321,Sheet1!$C$4:$M$92,7,FALSE)</f>
        <v>0</v>
      </c>
      <c r="AF321" s="1">
        <v>10</v>
      </c>
    </row>
    <row r="322" spans="1:32" x14ac:dyDescent="0.15">
      <c r="A322" s="13" t="s">
        <v>181</v>
      </c>
      <c r="B322" s="1">
        <v>3117</v>
      </c>
      <c r="C322" s="14" t="s">
        <v>273</v>
      </c>
      <c r="D322" s="1">
        <v>4</v>
      </c>
      <c r="E322" s="1">
        <v>0</v>
      </c>
      <c r="F322" s="1">
        <v>0</v>
      </c>
      <c r="G322" s="1">
        <v>1</v>
      </c>
      <c r="H322" s="1">
        <v>0</v>
      </c>
      <c r="I322" s="1">
        <v>0</v>
      </c>
      <c r="J322" s="1">
        <v>0</v>
      </c>
      <c r="K322" s="1">
        <v>1</v>
      </c>
      <c r="L322" s="1">
        <v>1</v>
      </c>
      <c r="M322" s="1">
        <v>100</v>
      </c>
      <c r="N322" s="1">
        <v>100</v>
      </c>
      <c r="Q322" s="37" t="s">
        <v>818</v>
      </c>
      <c r="R322" s="37" t="s">
        <v>815</v>
      </c>
      <c r="S322" s="37">
        <v>1000</v>
      </c>
      <c r="U322" s="2" t="s">
        <v>802</v>
      </c>
      <c r="V322" s="1">
        <f>VLOOKUP($A322,Sheet1!C21:M109,2,FALSE)</f>
        <v>40</v>
      </c>
      <c r="W322" s="1">
        <f>VLOOKUP($A322,Sheet1!$C$4:$M$92,3,FALSE)</f>
        <v>0</v>
      </c>
      <c r="X322" s="1">
        <f>VLOOKUP($A322,Sheet1!$C$4:$M$92,4,FALSE)</f>
        <v>0</v>
      </c>
      <c r="Y322" s="1">
        <v>0</v>
      </c>
      <c r="Z322" s="1">
        <v>0</v>
      </c>
      <c r="AA322" s="1">
        <v>0</v>
      </c>
      <c r="AB322" s="1">
        <f>VLOOKUP($A322,Sheet1!$C$4:$M$92,5,FALSE)</f>
        <v>0</v>
      </c>
      <c r="AC322" s="1">
        <f>VLOOKUP($A322,Sheet1!$C$4:$M$92,6,FALSE)</f>
        <v>0</v>
      </c>
      <c r="AD322" s="1">
        <f>VLOOKUP($A322,Sheet1!$C$4:$M$92,8,FALSE)</f>
        <v>0</v>
      </c>
      <c r="AE322" s="1">
        <f>VLOOKUP($A322,Sheet1!$C$4:$M$92,7,FALSE)</f>
        <v>0</v>
      </c>
      <c r="AF322" s="1">
        <v>10</v>
      </c>
    </row>
    <row r="323" spans="1:32" x14ac:dyDescent="0.15">
      <c r="A323" s="13" t="s">
        <v>212</v>
      </c>
      <c r="B323" s="1">
        <v>3118</v>
      </c>
      <c r="C323" s="14" t="s">
        <v>274</v>
      </c>
      <c r="D323" s="1">
        <v>4</v>
      </c>
      <c r="E323" s="1">
        <v>0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1</v>
      </c>
      <c r="L323" s="1">
        <v>1</v>
      </c>
      <c r="M323" s="1">
        <v>100</v>
      </c>
      <c r="N323" s="1">
        <v>100</v>
      </c>
      <c r="Q323" s="37" t="s">
        <v>818</v>
      </c>
      <c r="R323" s="37" t="s">
        <v>815</v>
      </c>
      <c r="S323" s="37">
        <v>1000</v>
      </c>
      <c r="U323" s="2" t="s">
        <v>802</v>
      </c>
      <c r="V323" s="1">
        <f>VLOOKUP($A323,Sheet1!C22:M110,2,FALSE)</f>
        <v>0</v>
      </c>
      <c r="W323" s="1">
        <f>VLOOKUP($A323,Sheet1!$C$4:$M$92,3,FALSE)</f>
        <v>0</v>
      </c>
      <c r="X323" s="1">
        <f>VLOOKUP($A323,Sheet1!$C$4:$M$92,4,FALSE)</f>
        <v>80</v>
      </c>
      <c r="Y323" s="1">
        <v>0</v>
      </c>
      <c r="Z323" s="1">
        <v>0</v>
      </c>
      <c r="AA323" s="1">
        <v>0</v>
      </c>
      <c r="AB323" s="1">
        <f>VLOOKUP($A323,Sheet1!$C$4:$M$92,5,FALSE)</f>
        <v>0</v>
      </c>
      <c r="AC323" s="1">
        <f>VLOOKUP($A323,Sheet1!$C$4:$M$92,6,FALSE)</f>
        <v>0</v>
      </c>
      <c r="AD323" s="1">
        <f>VLOOKUP($A323,Sheet1!$C$4:$M$92,8,FALSE)</f>
        <v>0</v>
      </c>
      <c r="AE323" s="1">
        <f>VLOOKUP($A323,Sheet1!$C$4:$M$92,7,FALSE)</f>
        <v>0</v>
      </c>
      <c r="AF323" s="1">
        <v>10</v>
      </c>
    </row>
    <row r="324" spans="1:32" x14ac:dyDescent="0.15">
      <c r="A324" s="13" t="s">
        <v>183</v>
      </c>
      <c r="B324" s="1">
        <v>3119</v>
      </c>
      <c r="C324" s="14" t="s">
        <v>276</v>
      </c>
      <c r="D324" s="1">
        <v>4</v>
      </c>
      <c r="E324" s="1">
        <v>0</v>
      </c>
      <c r="F324" s="1">
        <v>0</v>
      </c>
      <c r="G324" s="1">
        <v>1</v>
      </c>
      <c r="H324" s="1">
        <v>0</v>
      </c>
      <c r="I324" s="1">
        <v>0</v>
      </c>
      <c r="J324" s="1">
        <v>0</v>
      </c>
      <c r="K324" s="1">
        <v>1</v>
      </c>
      <c r="L324" s="1">
        <v>1</v>
      </c>
      <c r="M324" s="1">
        <v>100</v>
      </c>
      <c r="N324" s="1">
        <v>100</v>
      </c>
      <c r="Q324" s="37" t="s">
        <v>818</v>
      </c>
      <c r="R324" s="37" t="s">
        <v>815</v>
      </c>
      <c r="S324" s="37">
        <v>1000</v>
      </c>
      <c r="U324" s="2" t="s">
        <v>802</v>
      </c>
      <c r="V324" s="1">
        <f>VLOOKUP($A324,Sheet1!C23:M111,2,FALSE)</f>
        <v>50</v>
      </c>
      <c r="W324" s="1">
        <f>VLOOKUP($A324,Sheet1!$C$4:$M$92,3,FALSE)</f>
        <v>0</v>
      </c>
      <c r="X324" s="1">
        <f>VLOOKUP($A324,Sheet1!$C$4:$M$92,4,FALSE)</f>
        <v>0</v>
      </c>
      <c r="Y324" s="1">
        <v>0</v>
      </c>
      <c r="Z324" s="1">
        <v>0</v>
      </c>
      <c r="AA324" s="1">
        <v>0</v>
      </c>
      <c r="AB324" s="1">
        <f>VLOOKUP($A324,Sheet1!$C$4:$M$92,5,FALSE)</f>
        <v>0</v>
      </c>
      <c r="AC324" s="1">
        <f>VLOOKUP($A324,Sheet1!$C$4:$M$92,6,FALSE)</f>
        <v>0</v>
      </c>
      <c r="AD324" s="1">
        <f>VLOOKUP($A324,Sheet1!$C$4:$M$92,8,FALSE)</f>
        <v>0</v>
      </c>
      <c r="AE324" s="1">
        <f>VLOOKUP($A324,Sheet1!$C$4:$M$92,7,FALSE)</f>
        <v>0</v>
      </c>
      <c r="AF324" s="1">
        <v>10</v>
      </c>
    </row>
    <row r="325" spans="1:32" x14ac:dyDescent="0.15">
      <c r="A325" s="13" t="s">
        <v>213</v>
      </c>
      <c r="B325" s="1">
        <v>3120</v>
      </c>
      <c r="C325" s="14" t="s">
        <v>277</v>
      </c>
      <c r="D325" s="1">
        <v>4</v>
      </c>
      <c r="E325" s="1">
        <v>0</v>
      </c>
      <c r="F325" s="1">
        <v>0</v>
      </c>
      <c r="G325" s="1">
        <v>1</v>
      </c>
      <c r="H325" s="1">
        <v>0</v>
      </c>
      <c r="I325" s="1">
        <v>0</v>
      </c>
      <c r="J325" s="1">
        <v>0</v>
      </c>
      <c r="K325" s="1">
        <v>1</v>
      </c>
      <c r="L325" s="1">
        <v>1</v>
      </c>
      <c r="M325" s="1">
        <v>100</v>
      </c>
      <c r="N325" s="1">
        <v>100</v>
      </c>
      <c r="Q325" s="37">
        <v>1</v>
      </c>
      <c r="R325" s="37" t="s">
        <v>815</v>
      </c>
      <c r="S325" s="37">
        <v>1000</v>
      </c>
      <c r="U325" s="2" t="s">
        <v>802</v>
      </c>
      <c r="V325" s="1">
        <f>VLOOKUP($A325,Sheet1!C24:M112,2,FALSE)</f>
        <v>0</v>
      </c>
      <c r="W325" s="1">
        <f>VLOOKUP($A325,Sheet1!$C$4:$M$92,3,FALSE)</f>
        <v>0</v>
      </c>
      <c r="X325" s="1">
        <f>VLOOKUP($A325,Sheet1!$C$4:$M$92,4,FALSE)</f>
        <v>0</v>
      </c>
      <c r="Y325" s="1">
        <v>0</v>
      </c>
      <c r="Z325" s="1">
        <v>0</v>
      </c>
      <c r="AA325" s="1">
        <v>0</v>
      </c>
      <c r="AB325" s="1">
        <f>VLOOKUP($A325,Sheet1!$C$4:$M$92,5,FALSE)</f>
        <v>0</v>
      </c>
      <c r="AC325" s="1">
        <f>VLOOKUP($A325,Sheet1!$C$4:$M$92,6,FALSE)</f>
        <v>0</v>
      </c>
      <c r="AD325" s="1">
        <f>VLOOKUP($A325,Sheet1!$C$4:$M$92,8,FALSE)</f>
        <v>0</v>
      </c>
      <c r="AE325" s="1">
        <f>VLOOKUP($A325,Sheet1!$C$4:$M$92,7,FALSE)</f>
        <v>15</v>
      </c>
      <c r="AF325" s="1">
        <v>10</v>
      </c>
    </row>
    <row r="326" spans="1:32" x14ac:dyDescent="0.15">
      <c r="A326" s="13" t="s">
        <v>196</v>
      </c>
      <c r="B326" s="1">
        <v>3121</v>
      </c>
      <c r="C326" s="14" t="s">
        <v>278</v>
      </c>
      <c r="D326" s="1">
        <v>4</v>
      </c>
      <c r="E326" s="1">
        <v>0</v>
      </c>
      <c r="F326" s="1">
        <v>0</v>
      </c>
      <c r="G326" s="1">
        <v>1</v>
      </c>
      <c r="H326" s="1">
        <v>0</v>
      </c>
      <c r="I326" s="1">
        <v>0</v>
      </c>
      <c r="J326" s="1">
        <v>0</v>
      </c>
      <c r="K326" s="1">
        <v>1</v>
      </c>
      <c r="L326" s="1">
        <v>1</v>
      </c>
      <c r="M326" s="1">
        <v>100</v>
      </c>
      <c r="N326" s="1">
        <v>100</v>
      </c>
      <c r="Q326" s="37">
        <v>1</v>
      </c>
      <c r="R326" s="37" t="s">
        <v>815</v>
      </c>
      <c r="S326" s="37">
        <v>1000</v>
      </c>
      <c r="U326" s="2" t="s">
        <v>802</v>
      </c>
      <c r="V326" s="1">
        <f>VLOOKUP($A326,Sheet1!C25:M113,2,FALSE)</f>
        <v>0</v>
      </c>
      <c r="W326" s="1">
        <f>VLOOKUP($A326,Sheet1!$C$4:$M$92,3,FALSE)</f>
        <v>0</v>
      </c>
      <c r="X326" s="1">
        <f>VLOOKUP($A326,Sheet1!$C$4:$M$92,4,FALSE)</f>
        <v>0</v>
      </c>
      <c r="Y326" s="1">
        <v>0</v>
      </c>
      <c r="Z326" s="1">
        <v>0</v>
      </c>
      <c r="AA326" s="1">
        <v>0</v>
      </c>
      <c r="AB326" s="1">
        <f>VLOOKUP($A326,Sheet1!$C$4:$M$92,5,FALSE)</f>
        <v>0</v>
      </c>
      <c r="AC326" s="1">
        <f>VLOOKUP($A326,Sheet1!$C$4:$M$92,6,FALSE)</f>
        <v>0</v>
      </c>
      <c r="AD326" s="1">
        <f>VLOOKUP($A326,Sheet1!$C$4:$M$92,8,FALSE)</f>
        <v>15</v>
      </c>
      <c r="AE326" s="1">
        <f>VLOOKUP($A326,Sheet1!$C$4:$M$92,7,FALSE)</f>
        <v>0</v>
      </c>
      <c r="AF326" s="1">
        <v>10</v>
      </c>
    </row>
    <row r="327" spans="1:32" x14ac:dyDescent="0.15">
      <c r="A327" s="13" t="s">
        <v>179</v>
      </c>
      <c r="B327" s="1">
        <v>3122</v>
      </c>
      <c r="C327" s="14" t="s">
        <v>179</v>
      </c>
      <c r="D327" s="1">
        <v>4</v>
      </c>
      <c r="E327" s="1">
        <v>0</v>
      </c>
      <c r="F327" s="1">
        <v>0</v>
      </c>
      <c r="G327" s="1">
        <v>1</v>
      </c>
      <c r="H327" s="1">
        <v>0</v>
      </c>
      <c r="I327" s="1">
        <v>0</v>
      </c>
      <c r="J327" s="1">
        <v>0</v>
      </c>
      <c r="K327" s="1">
        <v>1</v>
      </c>
      <c r="L327" s="1">
        <v>1</v>
      </c>
      <c r="M327" s="1">
        <v>100</v>
      </c>
      <c r="N327" s="1">
        <v>100</v>
      </c>
      <c r="Q327" s="37">
        <v>1</v>
      </c>
      <c r="R327" s="37" t="s">
        <v>815</v>
      </c>
      <c r="S327" s="37">
        <v>1000</v>
      </c>
      <c r="U327" s="2" t="s">
        <v>802</v>
      </c>
      <c r="V327" s="1">
        <f>VLOOKUP($A327,Sheet1!C26:M114,2,FALSE)</f>
        <v>0</v>
      </c>
      <c r="W327" s="1">
        <f>VLOOKUP($A327,Sheet1!$C$4:$M$92,3,FALSE)</f>
        <v>0</v>
      </c>
      <c r="X327" s="1">
        <f>VLOOKUP($A327,Sheet1!$C$4:$M$92,4,FALSE)</f>
        <v>0</v>
      </c>
      <c r="Y327" s="1">
        <v>0</v>
      </c>
      <c r="Z327" s="1">
        <v>0</v>
      </c>
      <c r="AA327" s="1">
        <v>0</v>
      </c>
      <c r="AB327" s="1">
        <f>VLOOKUP($A327,Sheet1!$C$4:$M$92,5,FALSE)</f>
        <v>0</v>
      </c>
      <c r="AC327" s="1">
        <f>VLOOKUP($A327,Sheet1!$C$4:$M$92,6,FALSE)</f>
        <v>0</v>
      </c>
      <c r="AD327" s="1">
        <f>VLOOKUP($A327,Sheet1!$C$4:$M$92,8,FALSE)</f>
        <v>15</v>
      </c>
      <c r="AE327" s="1">
        <f>VLOOKUP($A327,Sheet1!$C$4:$M$92,7,FALSE)</f>
        <v>0</v>
      </c>
      <c r="AF327" s="1">
        <v>10</v>
      </c>
    </row>
    <row r="328" spans="1:32" x14ac:dyDescent="0.15">
      <c r="A328" s="13" t="s">
        <v>186</v>
      </c>
      <c r="B328" s="1">
        <v>3123</v>
      </c>
      <c r="C328" s="14" t="s">
        <v>186</v>
      </c>
      <c r="D328" s="1">
        <v>4</v>
      </c>
      <c r="E328" s="1">
        <v>0</v>
      </c>
      <c r="F328" s="1">
        <v>0</v>
      </c>
      <c r="G328" s="1">
        <v>1</v>
      </c>
      <c r="H328" s="1">
        <v>0</v>
      </c>
      <c r="I328" s="1">
        <v>0</v>
      </c>
      <c r="J328" s="1">
        <v>0</v>
      </c>
      <c r="K328" s="1">
        <v>1</v>
      </c>
      <c r="L328" s="1">
        <v>1</v>
      </c>
      <c r="M328" s="1">
        <v>100</v>
      </c>
      <c r="N328" s="1">
        <v>100</v>
      </c>
      <c r="Q328" s="37">
        <v>1</v>
      </c>
      <c r="R328" s="37" t="s">
        <v>815</v>
      </c>
      <c r="S328" s="37">
        <v>1000</v>
      </c>
      <c r="U328" s="2" t="s">
        <v>802</v>
      </c>
      <c r="V328" s="1">
        <f>VLOOKUP($A328,Sheet1!C27:M115,2,FALSE)</f>
        <v>0</v>
      </c>
      <c r="W328" s="1">
        <f>VLOOKUP($A328,Sheet1!$C$4:$M$92,3,FALSE)</f>
        <v>0</v>
      </c>
      <c r="X328" s="1">
        <f>VLOOKUP($A328,Sheet1!$C$4:$M$92,4,FALSE)</f>
        <v>0</v>
      </c>
      <c r="Y328" s="1">
        <v>0</v>
      </c>
      <c r="Z328" s="1">
        <v>0</v>
      </c>
      <c r="AA328" s="1">
        <v>0</v>
      </c>
      <c r="AB328" s="1">
        <f>VLOOKUP($A328,Sheet1!$C$4:$M$92,5,FALSE)</f>
        <v>0</v>
      </c>
      <c r="AC328" s="1">
        <f>VLOOKUP($A328,Sheet1!$C$4:$M$92,6,FALSE)</f>
        <v>0</v>
      </c>
      <c r="AD328" s="1">
        <f>VLOOKUP($A328,Sheet1!$C$4:$M$92,8,FALSE)</f>
        <v>20</v>
      </c>
      <c r="AE328" s="1">
        <f>VLOOKUP($A328,Sheet1!$C$4:$M$92,7,FALSE)</f>
        <v>0</v>
      </c>
      <c r="AF328" s="1">
        <v>10</v>
      </c>
    </row>
    <row r="329" spans="1:32" x14ac:dyDescent="0.15">
      <c r="A329" s="13" t="s">
        <v>188</v>
      </c>
      <c r="B329" s="1">
        <v>3124</v>
      </c>
      <c r="C329" s="14" t="s">
        <v>188</v>
      </c>
      <c r="D329" s="1">
        <v>4</v>
      </c>
      <c r="E329" s="1">
        <v>0</v>
      </c>
      <c r="F329" s="1">
        <v>0</v>
      </c>
      <c r="G329" s="1">
        <v>1</v>
      </c>
      <c r="H329" s="1">
        <v>0</v>
      </c>
      <c r="I329" s="1">
        <v>0</v>
      </c>
      <c r="J329" s="1">
        <v>0</v>
      </c>
      <c r="K329" s="1">
        <v>1</v>
      </c>
      <c r="L329" s="1">
        <v>1</v>
      </c>
      <c r="M329" s="1">
        <v>100</v>
      </c>
      <c r="N329" s="1">
        <v>100</v>
      </c>
      <c r="Q329" s="37">
        <v>1</v>
      </c>
      <c r="R329" s="37" t="s">
        <v>815</v>
      </c>
      <c r="S329" s="37">
        <v>1000</v>
      </c>
      <c r="U329" s="2" t="s">
        <v>802</v>
      </c>
      <c r="V329" s="1">
        <f>VLOOKUP($A329,Sheet1!C28:M116,2,FALSE)</f>
        <v>0</v>
      </c>
      <c r="W329" s="1">
        <f>VLOOKUP($A329,Sheet1!$C$4:$M$92,3,FALSE)</f>
        <v>0</v>
      </c>
      <c r="X329" s="1">
        <f>VLOOKUP($A329,Sheet1!$C$4:$M$92,4,FALSE)</f>
        <v>0</v>
      </c>
      <c r="Y329" s="1">
        <v>0</v>
      </c>
      <c r="Z329" s="1">
        <v>0</v>
      </c>
      <c r="AA329" s="1">
        <v>0</v>
      </c>
      <c r="AB329" s="1">
        <f>VLOOKUP($A329,Sheet1!$C$4:$M$92,5,FALSE)</f>
        <v>0</v>
      </c>
      <c r="AC329" s="1">
        <f>VLOOKUP($A329,Sheet1!$C$4:$M$92,6,FALSE)</f>
        <v>0</v>
      </c>
      <c r="AD329" s="1">
        <f>VLOOKUP($A329,Sheet1!$C$4:$M$92,8,FALSE)</f>
        <v>20</v>
      </c>
      <c r="AE329" s="1">
        <f>VLOOKUP($A329,Sheet1!$C$4:$M$92,7,FALSE)</f>
        <v>0</v>
      </c>
      <c r="AF329" s="1">
        <v>10</v>
      </c>
    </row>
    <row r="330" spans="1:32" x14ac:dyDescent="0.15">
      <c r="A330" s="13" t="s">
        <v>190</v>
      </c>
      <c r="B330" s="1">
        <v>3125</v>
      </c>
      <c r="C330" s="14" t="s">
        <v>190</v>
      </c>
      <c r="D330" s="1">
        <v>4</v>
      </c>
      <c r="E330" s="1">
        <v>0</v>
      </c>
      <c r="F330" s="1">
        <v>0</v>
      </c>
      <c r="G330" s="1">
        <v>1</v>
      </c>
      <c r="H330" s="1">
        <v>0</v>
      </c>
      <c r="I330" s="1">
        <v>0</v>
      </c>
      <c r="J330" s="1">
        <v>0</v>
      </c>
      <c r="K330" s="1">
        <v>1</v>
      </c>
      <c r="L330" s="1">
        <v>1</v>
      </c>
      <c r="M330" s="1">
        <v>100</v>
      </c>
      <c r="N330" s="1">
        <v>100</v>
      </c>
      <c r="Q330" s="37">
        <v>1</v>
      </c>
      <c r="R330" s="37" t="s">
        <v>815</v>
      </c>
      <c r="S330" s="37">
        <v>1000</v>
      </c>
      <c r="U330" s="2" t="s">
        <v>802</v>
      </c>
      <c r="V330" s="1">
        <f>VLOOKUP($A330,Sheet1!C29:M117,2,FALSE)</f>
        <v>0</v>
      </c>
      <c r="W330" s="1">
        <f>VLOOKUP($A330,Sheet1!$C$4:$M$92,3,FALSE)</f>
        <v>0</v>
      </c>
      <c r="X330" s="1">
        <f>VLOOKUP($A330,Sheet1!$C$4:$M$92,4,FALSE)</f>
        <v>0</v>
      </c>
      <c r="Y330" s="1">
        <v>0</v>
      </c>
      <c r="Z330" s="1">
        <v>0</v>
      </c>
      <c r="AA330" s="1">
        <v>0</v>
      </c>
      <c r="AB330" s="1">
        <f>VLOOKUP($A330,Sheet1!$C$4:$M$92,5,FALSE)</f>
        <v>0</v>
      </c>
      <c r="AC330" s="1">
        <f>VLOOKUP($A330,Sheet1!$C$4:$M$92,6,FALSE)</f>
        <v>0</v>
      </c>
      <c r="AD330" s="1">
        <f>VLOOKUP($A330,Sheet1!$C$4:$M$92,8,FALSE)</f>
        <v>20</v>
      </c>
      <c r="AE330" s="1">
        <f>VLOOKUP($A330,Sheet1!$C$4:$M$92,7,FALSE)</f>
        <v>0</v>
      </c>
      <c r="AF330" s="1">
        <v>10</v>
      </c>
    </row>
    <row r="331" spans="1:32" x14ac:dyDescent="0.15">
      <c r="A331" s="13" t="s">
        <v>191</v>
      </c>
      <c r="B331" s="1">
        <v>3126</v>
      </c>
      <c r="C331" s="14" t="s">
        <v>191</v>
      </c>
      <c r="D331" s="1">
        <v>4</v>
      </c>
      <c r="E331" s="1">
        <v>0</v>
      </c>
      <c r="F331" s="1">
        <v>0</v>
      </c>
      <c r="G331" s="1">
        <v>1</v>
      </c>
      <c r="H331" s="1">
        <v>0</v>
      </c>
      <c r="I331" s="1">
        <v>0</v>
      </c>
      <c r="J331" s="1">
        <v>0</v>
      </c>
      <c r="K331" s="1">
        <v>1</v>
      </c>
      <c r="L331" s="1">
        <v>1</v>
      </c>
      <c r="M331" s="1">
        <v>100</v>
      </c>
      <c r="N331" s="1">
        <v>100</v>
      </c>
      <c r="Q331" s="37">
        <v>1</v>
      </c>
      <c r="R331" s="37" t="s">
        <v>815</v>
      </c>
      <c r="S331" s="37">
        <v>1000</v>
      </c>
      <c r="U331" s="2" t="s">
        <v>802</v>
      </c>
      <c r="V331" s="1">
        <f>VLOOKUP($A331,Sheet1!C30:M118,2,FALSE)</f>
        <v>0</v>
      </c>
      <c r="W331" s="1">
        <f>VLOOKUP($A331,Sheet1!$C$4:$M$92,3,FALSE)</f>
        <v>0</v>
      </c>
      <c r="X331" s="1">
        <f>VLOOKUP($A331,Sheet1!$C$4:$M$92,4,FALSE)</f>
        <v>0</v>
      </c>
      <c r="Y331" s="1">
        <v>0</v>
      </c>
      <c r="Z331" s="1">
        <v>0</v>
      </c>
      <c r="AA331" s="1">
        <v>0</v>
      </c>
      <c r="AB331" s="1">
        <f>VLOOKUP($A331,Sheet1!$C$4:$M$92,5,FALSE)</f>
        <v>0</v>
      </c>
      <c r="AC331" s="1">
        <f>VLOOKUP($A331,Sheet1!$C$4:$M$92,6,FALSE)</f>
        <v>0</v>
      </c>
      <c r="AD331" s="1">
        <f>VLOOKUP($A331,Sheet1!$C$4:$M$92,8,FALSE)</f>
        <v>20</v>
      </c>
      <c r="AE331" s="1">
        <f>VLOOKUP($A331,Sheet1!$C$4:$M$92,7,FALSE)</f>
        <v>0</v>
      </c>
      <c r="AF331" s="1">
        <v>10</v>
      </c>
    </row>
    <row r="332" spans="1:32" x14ac:dyDescent="0.15">
      <c r="A332" s="13" t="s">
        <v>214</v>
      </c>
      <c r="B332" s="1">
        <v>3127</v>
      </c>
      <c r="C332" s="14" t="s">
        <v>275</v>
      </c>
      <c r="D332" s="1">
        <v>4</v>
      </c>
      <c r="E332" s="1">
        <v>0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1</v>
      </c>
      <c r="L332" s="1">
        <v>1</v>
      </c>
      <c r="M332" s="1">
        <v>100</v>
      </c>
      <c r="N332" s="1">
        <v>100</v>
      </c>
      <c r="Q332" s="37">
        <v>1</v>
      </c>
      <c r="R332" s="37" t="s">
        <v>815</v>
      </c>
      <c r="S332" s="37">
        <v>1000</v>
      </c>
      <c r="U332" s="2" t="s">
        <v>802</v>
      </c>
      <c r="V332" s="1">
        <f>VLOOKUP($A332,Sheet1!C31:M119,2,FALSE)</f>
        <v>0</v>
      </c>
      <c r="W332" s="1">
        <f>VLOOKUP($A332,Sheet1!$C$4:$M$92,3,FALSE)</f>
        <v>0</v>
      </c>
      <c r="X332" s="1">
        <f>VLOOKUP($A332,Sheet1!$C$4:$M$92,4,FALSE)</f>
        <v>0</v>
      </c>
      <c r="Y332" s="1">
        <v>0</v>
      </c>
      <c r="Z332" s="1">
        <v>0</v>
      </c>
      <c r="AA332" s="1">
        <v>0</v>
      </c>
      <c r="AB332" s="1">
        <f>VLOOKUP($A332,Sheet1!$C$4:$M$92,5,FALSE)</f>
        <v>0</v>
      </c>
      <c r="AC332" s="1">
        <f>VLOOKUP($A332,Sheet1!$C$4:$M$92,6,FALSE)</f>
        <v>0</v>
      </c>
      <c r="AD332" s="1">
        <f>VLOOKUP($A332,Sheet1!$C$4:$M$92,8,FALSE)</f>
        <v>0</v>
      </c>
      <c r="AE332" s="1">
        <f>VLOOKUP($A332,Sheet1!$C$4:$M$92,7,FALSE)</f>
        <v>15</v>
      </c>
      <c r="AF332" s="1">
        <v>10</v>
      </c>
    </row>
    <row r="333" spans="1:32" x14ac:dyDescent="0.15">
      <c r="A333" s="13" t="s">
        <v>215</v>
      </c>
      <c r="B333" s="1">
        <v>3128</v>
      </c>
      <c r="C333" s="14" t="s">
        <v>279</v>
      </c>
      <c r="D333" s="1">
        <v>4</v>
      </c>
      <c r="E333" s="1">
        <v>0</v>
      </c>
      <c r="F333" s="1">
        <v>0</v>
      </c>
      <c r="G333" s="1">
        <v>1</v>
      </c>
      <c r="H333" s="1">
        <v>0</v>
      </c>
      <c r="I333" s="1">
        <v>0</v>
      </c>
      <c r="J333" s="1">
        <v>0</v>
      </c>
      <c r="K333" s="1">
        <v>1</v>
      </c>
      <c r="L333" s="1">
        <v>1</v>
      </c>
      <c r="M333" s="1">
        <v>100</v>
      </c>
      <c r="N333" s="1">
        <v>100</v>
      </c>
      <c r="Q333" s="37" t="s">
        <v>818</v>
      </c>
      <c r="R333" s="37" t="s">
        <v>815</v>
      </c>
      <c r="S333" s="37">
        <v>1000</v>
      </c>
      <c r="U333" s="2" t="s">
        <v>802</v>
      </c>
      <c r="V333" s="1">
        <f>VLOOKUP($A333,Sheet1!C32:M120,2,FALSE)</f>
        <v>60</v>
      </c>
      <c r="W333" s="1">
        <f>VLOOKUP($A333,Sheet1!$C$4:$M$92,3,FALSE)</f>
        <v>0</v>
      </c>
      <c r="X333" s="1">
        <f>VLOOKUP($A333,Sheet1!$C$4:$M$92,4,FALSE)</f>
        <v>0</v>
      </c>
      <c r="Y333" s="1">
        <v>0</v>
      </c>
      <c r="Z333" s="1">
        <v>0</v>
      </c>
      <c r="AA333" s="1">
        <v>0</v>
      </c>
      <c r="AB333" s="1">
        <f>VLOOKUP($A333,Sheet1!$C$4:$M$92,5,FALSE)</f>
        <v>0</v>
      </c>
      <c r="AC333" s="1">
        <f>VLOOKUP($A333,Sheet1!$C$4:$M$92,6,FALSE)</f>
        <v>0</v>
      </c>
      <c r="AD333" s="1">
        <f>VLOOKUP($A333,Sheet1!$C$4:$M$92,8,FALSE)</f>
        <v>0</v>
      </c>
      <c r="AE333" s="1">
        <f>VLOOKUP($A333,Sheet1!$C$4:$M$92,7,FALSE)</f>
        <v>0</v>
      </c>
      <c r="AF333" s="1">
        <v>10</v>
      </c>
    </row>
    <row r="334" spans="1:32" x14ac:dyDescent="0.15">
      <c r="A334" s="13" t="s">
        <v>192</v>
      </c>
      <c r="B334" s="1">
        <v>3129</v>
      </c>
      <c r="C334" s="14" t="s">
        <v>192</v>
      </c>
      <c r="D334" s="1">
        <v>4</v>
      </c>
      <c r="E334" s="1">
        <v>0</v>
      </c>
      <c r="F334" s="1">
        <v>0</v>
      </c>
      <c r="G334" s="1">
        <v>1</v>
      </c>
      <c r="H334" s="1">
        <v>0</v>
      </c>
      <c r="I334" s="1">
        <v>0</v>
      </c>
      <c r="J334" s="1">
        <v>0</v>
      </c>
      <c r="K334" s="1">
        <v>1</v>
      </c>
      <c r="L334" s="1">
        <v>1</v>
      </c>
      <c r="M334" s="1">
        <v>100</v>
      </c>
      <c r="N334" s="1">
        <v>100</v>
      </c>
      <c r="Q334" s="37">
        <v>1</v>
      </c>
      <c r="R334" s="37" t="s">
        <v>815</v>
      </c>
      <c r="S334" s="37">
        <v>1000</v>
      </c>
      <c r="U334" s="2" t="s">
        <v>802</v>
      </c>
      <c r="V334" s="1">
        <f>VLOOKUP($A334,Sheet1!C33:M121,2,FALSE)</f>
        <v>0</v>
      </c>
      <c r="W334" s="1">
        <f>VLOOKUP($A334,Sheet1!$C$4:$M$92,3,FALSE)</f>
        <v>0</v>
      </c>
      <c r="X334" s="1">
        <f>VLOOKUP($A334,Sheet1!$C$4:$M$92,4,FALSE)</f>
        <v>0</v>
      </c>
      <c r="Y334" s="1">
        <v>0</v>
      </c>
      <c r="Z334" s="1">
        <v>0</v>
      </c>
      <c r="AA334" s="1">
        <v>0</v>
      </c>
      <c r="AB334" s="1">
        <f>VLOOKUP($A334,Sheet1!$C$4:$M$92,5,FALSE)</f>
        <v>0</v>
      </c>
      <c r="AC334" s="1">
        <f>VLOOKUP($A334,Sheet1!$C$4:$M$92,6,FALSE)</f>
        <v>0</v>
      </c>
      <c r="AD334" s="1">
        <f>VLOOKUP($A334,Sheet1!$C$4:$M$92,8,FALSE)</f>
        <v>0</v>
      </c>
      <c r="AE334" s="1">
        <f>VLOOKUP($A334,Sheet1!$C$4:$M$92,7,FALSE)</f>
        <v>20</v>
      </c>
      <c r="AF334" s="1">
        <v>10</v>
      </c>
    </row>
    <row r="335" spans="1:32" x14ac:dyDescent="0.15">
      <c r="A335" s="13" t="s">
        <v>217</v>
      </c>
      <c r="B335" s="1">
        <v>3130</v>
      </c>
      <c r="C335" s="14" t="s">
        <v>217</v>
      </c>
      <c r="D335" s="1">
        <v>4</v>
      </c>
      <c r="E335" s="1">
        <v>0</v>
      </c>
      <c r="F335" s="1">
        <v>0</v>
      </c>
      <c r="G335" s="1">
        <v>1</v>
      </c>
      <c r="H335" s="1">
        <v>0</v>
      </c>
      <c r="I335" s="1">
        <v>0</v>
      </c>
      <c r="J335" s="1">
        <v>0</v>
      </c>
      <c r="K335" s="1">
        <v>1</v>
      </c>
      <c r="L335" s="1">
        <v>1</v>
      </c>
      <c r="M335" s="1">
        <v>100</v>
      </c>
      <c r="N335" s="1">
        <v>100</v>
      </c>
      <c r="Q335" s="37">
        <v>1</v>
      </c>
      <c r="R335" s="37" t="s">
        <v>815</v>
      </c>
      <c r="S335" s="37">
        <v>1000</v>
      </c>
      <c r="U335" s="2" t="s">
        <v>802</v>
      </c>
      <c r="V335" s="1">
        <f>VLOOKUP($A335,Sheet1!C34:M122,2,FALSE)</f>
        <v>0</v>
      </c>
      <c r="W335" s="1">
        <f>VLOOKUP($A335,Sheet1!$C$4:$M$92,3,FALSE)</f>
        <v>0</v>
      </c>
      <c r="X335" s="1">
        <f>VLOOKUP($A335,Sheet1!$C$4:$M$92,4,FALSE)</f>
        <v>0</v>
      </c>
      <c r="Y335" s="1">
        <v>0</v>
      </c>
      <c r="Z335" s="1">
        <v>0</v>
      </c>
      <c r="AA335" s="1">
        <v>0</v>
      </c>
      <c r="AB335" s="1">
        <f>VLOOKUP($A335,Sheet1!$C$4:$M$92,5,FALSE)</f>
        <v>0</v>
      </c>
      <c r="AC335" s="1">
        <f>VLOOKUP($A335,Sheet1!$C$4:$M$92,6,FALSE)</f>
        <v>0</v>
      </c>
      <c r="AD335" s="1">
        <f>VLOOKUP($A335,Sheet1!$C$4:$M$92,8,FALSE)</f>
        <v>0</v>
      </c>
      <c r="AE335" s="1">
        <f>VLOOKUP($A335,Sheet1!$C$4:$M$92,7,FALSE)</f>
        <v>0</v>
      </c>
      <c r="AF335" s="1">
        <v>10</v>
      </c>
    </row>
    <row r="336" spans="1:32" x14ac:dyDescent="0.15">
      <c r="A336" s="13" t="s">
        <v>218</v>
      </c>
      <c r="B336" s="1">
        <v>3131</v>
      </c>
      <c r="C336" s="14" t="s">
        <v>280</v>
      </c>
      <c r="D336" s="1">
        <v>4</v>
      </c>
      <c r="E336" s="1">
        <v>0</v>
      </c>
      <c r="F336" s="1">
        <v>0</v>
      </c>
      <c r="G336" s="1">
        <v>1</v>
      </c>
      <c r="H336" s="1">
        <v>0</v>
      </c>
      <c r="I336" s="1">
        <v>0</v>
      </c>
      <c r="J336" s="1">
        <v>0</v>
      </c>
      <c r="K336" s="1">
        <v>1</v>
      </c>
      <c r="L336" s="1">
        <v>1</v>
      </c>
      <c r="M336" s="1">
        <v>100</v>
      </c>
      <c r="N336" s="1">
        <v>100</v>
      </c>
      <c r="Q336" s="37" t="s">
        <v>818</v>
      </c>
      <c r="R336" s="37" t="s">
        <v>815</v>
      </c>
      <c r="S336" s="37">
        <v>1000</v>
      </c>
      <c r="U336" s="2" t="s">
        <v>802</v>
      </c>
      <c r="V336" s="1">
        <f>VLOOKUP($A336,Sheet1!C35:M123,2,FALSE)</f>
        <v>70</v>
      </c>
      <c r="W336" s="1">
        <f>VLOOKUP($A336,Sheet1!$C$4:$M$92,3,FALSE)</f>
        <v>0</v>
      </c>
      <c r="X336" s="1">
        <f>VLOOKUP($A336,Sheet1!$C$4:$M$92,4,FALSE)</f>
        <v>0</v>
      </c>
      <c r="Y336" s="1">
        <v>0</v>
      </c>
      <c r="Z336" s="1">
        <v>0</v>
      </c>
      <c r="AA336" s="1">
        <v>0</v>
      </c>
      <c r="AB336" s="1">
        <f>VLOOKUP($A336,Sheet1!$C$4:$M$92,5,FALSE)</f>
        <v>0</v>
      </c>
      <c r="AC336" s="1">
        <f>VLOOKUP($A336,Sheet1!$C$4:$M$92,6,FALSE)</f>
        <v>0</v>
      </c>
      <c r="AD336" s="1">
        <f>VLOOKUP($A336,Sheet1!$C$4:$M$92,8,FALSE)</f>
        <v>0</v>
      </c>
      <c r="AE336" s="1">
        <f>VLOOKUP($A336,Sheet1!$C$4:$M$92,7,FALSE)</f>
        <v>0</v>
      </c>
      <c r="AF336" s="1">
        <v>10</v>
      </c>
    </row>
    <row r="337" spans="1:32" x14ac:dyDescent="0.15">
      <c r="A337" s="13" t="s">
        <v>194</v>
      </c>
      <c r="B337" s="1">
        <v>3132</v>
      </c>
      <c r="C337" s="14" t="s">
        <v>281</v>
      </c>
      <c r="D337" s="1">
        <v>4</v>
      </c>
      <c r="E337" s="1">
        <v>0</v>
      </c>
      <c r="F337" s="1">
        <v>0</v>
      </c>
      <c r="G337" s="1">
        <v>1</v>
      </c>
      <c r="H337" s="1">
        <v>0</v>
      </c>
      <c r="I337" s="1">
        <v>0</v>
      </c>
      <c r="J337" s="1">
        <v>0</v>
      </c>
      <c r="K337" s="1">
        <v>1</v>
      </c>
      <c r="L337" s="1">
        <v>1</v>
      </c>
      <c r="M337" s="1">
        <v>100</v>
      </c>
      <c r="N337" s="1">
        <v>100</v>
      </c>
      <c r="Q337" s="37" t="s">
        <v>818</v>
      </c>
      <c r="R337" s="37" t="s">
        <v>815</v>
      </c>
      <c r="S337" s="37">
        <v>1000</v>
      </c>
      <c r="U337" s="2" t="s">
        <v>802</v>
      </c>
      <c r="V337" s="1">
        <f>VLOOKUP($A337,Sheet1!C36:M124,2,FALSE)</f>
        <v>80</v>
      </c>
      <c r="W337" s="1">
        <f>VLOOKUP($A337,Sheet1!$C$4:$M$92,3,FALSE)</f>
        <v>30</v>
      </c>
      <c r="X337" s="1">
        <f>VLOOKUP($A337,Sheet1!$C$4:$M$92,4,FALSE)</f>
        <v>70</v>
      </c>
      <c r="Y337" s="1">
        <v>0</v>
      </c>
      <c r="Z337" s="1">
        <v>0</v>
      </c>
      <c r="AA337" s="1">
        <v>0</v>
      </c>
      <c r="AB337" s="1">
        <f>VLOOKUP($A337,Sheet1!$C$4:$M$92,5,FALSE)</f>
        <v>0</v>
      </c>
      <c r="AC337" s="1">
        <f>VLOOKUP($A337,Sheet1!$C$4:$M$92,6,FALSE)</f>
        <v>0</v>
      </c>
      <c r="AD337" s="1">
        <f>VLOOKUP($A337,Sheet1!$C$4:$M$92,8,FALSE)</f>
        <v>0</v>
      </c>
      <c r="AE337" s="1">
        <f>VLOOKUP($A337,Sheet1!$C$4:$M$92,7,FALSE)</f>
        <v>0</v>
      </c>
      <c r="AF337" s="1">
        <v>10</v>
      </c>
    </row>
    <row r="338" spans="1:32" x14ac:dyDescent="0.15">
      <c r="A338" s="13" t="s">
        <v>219</v>
      </c>
      <c r="B338" s="1">
        <v>3133</v>
      </c>
      <c r="C338" s="14" t="s">
        <v>282</v>
      </c>
      <c r="D338" s="1">
        <v>4</v>
      </c>
      <c r="E338" s="1">
        <v>0</v>
      </c>
      <c r="F338" s="1">
        <v>0</v>
      </c>
      <c r="G338" s="1">
        <v>1</v>
      </c>
      <c r="H338" s="1">
        <v>0</v>
      </c>
      <c r="I338" s="1">
        <v>0</v>
      </c>
      <c r="J338" s="1">
        <v>0</v>
      </c>
      <c r="K338" s="1">
        <v>1</v>
      </c>
      <c r="L338" s="1">
        <v>1</v>
      </c>
      <c r="M338" s="1">
        <v>100</v>
      </c>
      <c r="N338" s="1">
        <v>100</v>
      </c>
      <c r="Q338" s="37" t="s">
        <v>818</v>
      </c>
      <c r="R338" s="37" t="s">
        <v>815</v>
      </c>
      <c r="S338" s="37">
        <v>1000</v>
      </c>
      <c r="U338" s="2" t="s">
        <v>802</v>
      </c>
      <c r="V338" s="1">
        <f>VLOOKUP($A338,Sheet1!C37:M125,2,FALSE)</f>
        <v>100</v>
      </c>
      <c r="W338" s="1">
        <f>VLOOKUP($A338,Sheet1!$C$4:$M$92,3,FALSE)</f>
        <v>40</v>
      </c>
      <c r="X338" s="1">
        <f>VLOOKUP($A338,Sheet1!$C$4:$M$92,4,FALSE)</f>
        <v>0</v>
      </c>
      <c r="Y338" s="1">
        <v>0</v>
      </c>
      <c r="Z338" s="1">
        <v>0</v>
      </c>
      <c r="AA338" s="1">
        <v>0</v>
      </c>
      <c r="AB338" s="1">
        <f>VLOOKUP($A338,Sheet1!$C$4:$M$92,5,FALSE)</f>
        <v>0</v>
      </c>
      <c r="AC338" s="1">
        <f>VLOOKUP($A338,Sheet1!$C$4:$M$92,6,FALSE)</f>
        <v>0</v>
      </c>
      <c r="AD338" s="1">
        <f>VLOOKUP($A338,Sheet1!$C$4:$M$92,8,FALSE)</f>
        <v>0</v>
      </c>
      <c r="AE338" s="1">
        <f>VLOOKUP($A338,Sheet1!$C$4:$M$92,7,FALSE)</f>
        <v>0</v>
      </c>
      <c r="AF338" s="1">
        <v>10</v>
      </c>
    </row>
    <row r="339" spans="1:32" x14ac:dyDescent="0.15">
      <c r="A339" s="13" t="s">
        <v>220</v>
      </c>
      <c r="B339" s="1">
        <v>3134</v>
      </c>
      <c r="C339" s="14" t="s">
        <v>283</v>
      </c>
      <c r="D339" s="1">
        <v>4</v>
      </c>
      <c r="E339" s="1">
        <v>0</v>
      </c>
      <c r="F339" s="1">
        <v>0</v>
      </c>
      <c r="G339" s="1">
        <v>1</v>
      </c>
      <c r="H339" s="1">
        <v>0</v>
      </c>
      <c r="I339" s="1">
        <v>0</v>
      </c>
      <c r="J339" s="1">
        <v>0</v>
      </c>
      <c r="K339" s="1">
        <v>1</v>
      </c>
      <c r="L339" s="1">
        <v>1</v>
      </c>
      <c r="M339" s="1">
        <v>100</v>
      </c>
      <c r="N339" s="1">
        <v>100</v>
      </c>
      <c r="Q339" s="37" t="s">
        <v>818</v>
      </c>
      <c r="R339" s="37" t="s">
        <v>815</v>
      </c>
      <c r="S339" s="37">
        <v>1000</v>
      </c>
      <c r="U339" s="2" t="s">
        <v>802</v>
      </c>
      <c r="V339" s="1">
        <f>VLOOKUP($A339,Sheet1!C38:M126,2,FALSE)</f>
        <v>100</v>
      </c>
      <c r="W339" s="1">
        <f>VLOOKUP($A339,Sheet1!$C$4:$M$92,3,FALSE)</f>
        <v>0</v>
      </c>
      <c r="X339" s="1">
        <f>VLOOKUP($A339,Sheet1!$C$4:$M$92,4,FALSE)</f>
        <v>0</v>
      </c>
      <c r="Y339" s="1">
        <v>0</v>
      </c>
      <c r="Z339" s="1">
        <v>0</v>
      </c>
      <c r="AA339" s="1">
        <v>0</v>
      </c>
      <c r="AB339" s="1">
        <f>VLOOKUP($A339,Sheet1!$C$4:$M$92,5,FALSE)</f>
        <v>0</v>
      </c>
      <c r="AC339" s="1">
        <f>VLOOKUP($A339,Sheet1!$C$4:$M$92,6,FALSE)</f>
        <v>0</v>
      </c>
      <c r="AD339" s="1">
        <f>VLOOKUP($A339,Sheet1!$C$4:$M$92,8,FALSE)</f>
        <v>0</v>
      </c>
      <c r="AE339" s="1">
        <f>VLOOKUP($A339,Sheet1!$C$4:$M$92,7,FALSE)</f>
        <v>0</v>
      </c>
      <c r="AF339" s="1">
        <v>10</v>
      </c>
    </row>
    <row r="340" spans="1:32" x14ac:dyDescent="0.15">
      <c r="A340" s="13" t="s">
        <v>221</v>
      </c>
      <c r="B340" s="1">
        <v>3135</v>
      </c>
      <c r="C340" s="14" t="s">
        <v>285</v>
      </c>
      <c r="D340" s="1">
        <v>4</v>
      </c>
      <c r="E340" s="1">
        <v>0</v>
      </c>
      <c r="F340" s="1">
        <v>0</v>
      </c>
      <c r="G340" s="1">
        <v>1</v>
      </c>
      <c r="H340" s="1">
        <v>0</v>
      </c>
      <c r="I340" s="1">
        <v>0</v>
      </c>
      <c r="J340" s="1">
        <v>0</v>
      </c>
      <c r="K340" s="1">
        <v>1</v>
      </c>
      <c r="L340" s="1">
        <v>1</v>
      </c>
      <c r="M340" s="1">
        <v>100</v>
      </c>
      <c r="N340" s="1">
        <v>100</v>
      </c>
      <c r="Q340" s="37" t="s">
        <v>818</v>
      </c>
      <c r="R340" s="37" t="s">
        <v>815</v>
      </c>
      <c r="S340" s="37">
        <v>1000</v>
      </c>
      <c r="U340" s="2" t="s">
        <v>802</v>
      </c>
      <c r="V340" s="1">
        <f>VLOOKUP($A340,Sheet1!C39:M127,2,FALSE)</f>
        <v>0</v>
      </c>
      <c r="W340" s="1">
        <f>VLOOKUP($A340,Sheet1!$C$4:$M$92,3,FALSE)</f>
        <v>50</v>
      </c>
      <c r="X340" s="1">
        <f>VLOOKUP($A340,Sheet1!$C$4:$M$92,4,FALSE)</f>
        <v>0</v>
      </c>
      <c r="Y340" s="1">
        <v>0</v>
      </c>
      <c r="Z340" s="1">
        <v>0</v>
      </c>
      <c r="AA340" s="1">
        <v>0</v>
      </c>
      <c r="AB340" s="1">
        <f>VLOOKUP($A340,Sheet1!$C$4:$M$92,5,FALSE)</f>
        <v>0</v>
      </c>
      <c r="AC340" s="1">
        <f>VLOOKUP($A340,Sheet1!$C$4:$M$92,6,FALSE)</f>
        <v>0</v>
      </c>
      <c r="AD340" s="1">
        <f>VLOOKUP($A340,Sheet1!$C$4:$M$92,8,FALSE)</f>
        <v>0</v>
      </c>
      <c r="AE340" s="1">
        <f>VLOOKUP($A340,Sheet1!$C$4:$M$92,7,FALSE)</f>
        <v>0</v>
      </c>
      <c r="AF340" s="1">
        <v>10</v>
      </c>
    </row>
    <row r="341" spans="1:32" x14ac:dyDescent="0.15">
      <c r="A341" s="13" t="s">
        <v>180</v>
      </c>
      <c r="B341" s="1">
        <v>3136</v>
      </c>
      <c r="C341" s="14" t="s">
        <v>286</v>
      </c>
      <c r="D341" s="1">
        <v>4</v>
      </c>
      <c r="E341" s="1">
        <v>0</v>
      </c>
      <c r="F341" s="1">
        <v>0</v>
      </c>
      <c r="G341" s="1">
        <v>1</v>
      </c>
      <c r="H341" s="1">
        <v>0</v>
      </c>
      <c r="I341" s="1">
        <v>0</v>
      </c>
      <c r="J341" s="1">
        <v>0</v>
      </c>
      <c r="K341" s="1">
        <v>1</v>
      </c>
      <c r="L341" s="1">
        <v>1</v>
      </c>
      <c r="M341" s="1">
        <v>100</v>
      </c>
      <c r="N341" s="1">
        <v>100</v>
      </c>
      <c r="Q341" s="37" t="s">
        <v>818</v>
      </c>
      <c r="R341" s="37" t="s">
        <v>815</v>
      </c>
      <c r="S341" s="37">
        <v>1000</v>
      </c>
      <c r="U341" s="2" t="s">
        <v>802</v>
      </c>
      <c r="V341" s="1">
        <f>VLOOKUP($A341,Sheet1!C40:M128,2,FALSE)</f>
        <v>0</v>
      </c>
      <c r="W341" s="1">
        <f>VLOOKUP($A341,Sheet1!$C$4:$M$92,3,FALSE)</f>
        <v>60</v>
      </c>
      <c r="X341" s="1">
        <f>VLOOKUP($A341,Sheet1!$C$4:$M$92,4,FALSE)</f>
        <v>0</v>
      </c>
      <c r="Y341" s="1">
        <v>0</v>
      </c>
      <c r="Z341" s="1">
        <v>0</v>
      </c>
      <c r="AA341" s="1">
        <v>0</v>
      </c>
      <c r="AB341" s="1">
        <f>VLOOKUP($A341,Sheet1!$C$4:$M$92,5,FALSE)</f>
        <v>0</v>
      </c>
      <c r="AC341" s="1">
        <f>VLOOKUP($A341,Sheet1!$C$4:$M$92,6,FALSE)</f>
        <v>0</v>
      </c>
      <c r="AD341" s="1">
        <f>VLOOKUP($A341,Sheet1!$C$4:$M$92,8,FALSE)</f>
        <v>0</v>
      </c>
      <c r="AE341" s="1">
        <f>VLOOKUP($A341,Sheet1!$C$4:$M$92,7,FALSE)</f>
        <v>0</v>
      </c>
      <c r="AF341" s="1">
        <v>10</v>
      </c>
    </row>
    <row r="342" spans="1:32" x14ac:dyDescent="0.15">
      <c r="A342" s="13" t="s">
        <v>222</v>
      </c>
      <c r="B342" s="1">
        <v>3137</v>
      </c>
      <c r="C342" s="14" t="s">
        <v>287</v>
      </c>
      <c r="D342" s="1">
        <v>4</v>
      </c>
      <c r="E342" s="1">
        <v>0</v>
      </c>
      <c r="F342" s="1">
        <v>0</v>
      </c>
      <c r="G342" s="1">
        <v>1</v>
      </c>
      <c r="H342" s="1">
        <v>0</v>
      </c>
      <c r="I342" s="1">
        <v>0</v>
      </c>
      <c r="J342" s="1">
        <v>0</v>
      </c>
      <c r="K342" s="1">
        <v>1</v>
      </c>
      <c r="L342" s="1">
        <v>1</v>
      </c>
      <c r="M342" s="1">
        <v>100</v>
      </c>
      <c r="N342" s="1">
        <v>100</v>
      </c>
      <c r="Q342" s="37" t="s">
        <v>818</v>
      </c>
      <c r="R342" s="37" t="s">
        <v>815</v>
      </c>
      <c r="S342" s="37">
        <v>1000</v>
      </c>
      <c r="U342" s="2" t="s">
        <v>802</v>
      </c>
      <c r="V342" s="1">
        <f>VLOOKUP($A342,Sheet1!C41:M129,2,FALSE)</f>
        <v>0</v>
      </c>
      <c r="W342" s="1">
        <f>VLOOKUP($A342,Sheet1!$C$4:$M$92,3,FALSE)</f>
        <v>70</v>
      </c>
      <c r="X342" s="1">
        <f>VLOOKUP($A342,Sheet1!$C$4:$M$92,4,FALSE)</f>
        <v>0</v>
      </c>
      <c r="Y342" s="1">
        <v>0</v>
      </c>
      <c r="Z342" s="1">
        <v>0</v>
      </c>
      <c r="AA342" s="1">
        <v>0</v>
      </c>
      <c r="AB342" s="1">
        <f>VLOOKUP($A342,Sheet1!$C$4:$M$92,5,FALSE)</f>
        <v>0</v>
      </c>
      <c r="AC342" s="1">
        <f>VLOOKUP($A342,Sheet1!$C$4:$M$92,6,FALSE)</f>
        <v>0</v>
      </c>
      <c r="AD342" s="1">
        <f>VLOOKUP($A342,Sheet1!$C$4:$M$92,8,FALSE)</f>
        <v>30</v>
      </c>
      <c r="AE342" s="1">
        <f>VLOOKUP($A342,Sheet1!$C$4:$M$92,7,FALSE)</f>
        <v>0</v>
      </c>
      <c r="AF342" s="1">
        <v>10</v>
      </c>
    </row>
    <row r="343" spans="1:32" x14ac:dyDescent="0.15">
      <c r="A343" s="13" t="s">
        <v>223</v>
      </c>
      <c r="B343" s="1">
        <v>3138</v>
      </c>
      <c r="C343" s="14" t="s">
        <v>284</v>
      </c>
      <c r="D343" s="1">
        <v>4</v>
      </c>
      <c r="E343" s="1">
        <v>0</v>
      </c>
      <c r="F343" s="1">
        <v>0</v>
      </c>
      <c r="G343" s="1">
        <v>1</v>
      </c>
      <c r="H343" s="1">
        <v>0</v>
      </c>
      <c r="I343" s="1">
        <v>0</v>
      </c>
      <c r="J343" s="1">
        <v>0</v>
      </c>
      <c r="K343" s="1">
        <v>1</v>
      </c>
      <c r="L343" s="1">
        <v>1</v>
      </c>
      <c r="M343" s="1">
        <v>100</v>
      </c>
      <c r="N343" s="1">
        <v>100</v>
      </c>
      <c r="Q343" s="37">
        <v>1</v>
      </c>
      <c r="R343" s="37" t="s">
        <v>815</v>
      </c>
      <c r="S343" s="37">
        <v>1000</v>
      </c>
      <c r="U343" s="2" t="s">
        <v>802</v>
      </c>
      <c r="V343" s="1">
        <f>VLOOKUP($A343,Sheet1!C42:M130,2,FALSE)</f>
        <v>0</v>
      </c>
      <c r="W343" s="1">
        <f>VLOOKUP($A343,Sheet1!$C$4:$M$92,3,FALSE)</f>
        <v>0</v>
      </c>
      <c r="X343" s="1">
        <f>VLOOKUP($A343,Sheet1!$C$4:$M$92,4,FALSE)</f>
        <v>0</v>
      </c>
      <c r="Y343" s="1">
        <v>0</v>
      </c>
      <c r="Z343" s="1">
        <v>0</v>
      </c>
      <c r="AA343" s="1">
        <v>0</v>
      </c>
      <c r="AB343" s="1">
        <f>VLOOKUP($A343,Sheet1!$C$4:$M$92,5,FALSE)</f>
        <v>0</v>
      </c>
      <c r="AC343" s="1">
        <f>VLOOKUP($A343,Sheet1!$C$4:$M$92,6,FALSE)</f>
        <v>0</v>
      </c>
      <c r="AD343" s="1">
        <f>VLOOKUP($A343,Sheet1!$C$4:$M$92,8,FALSE)</f>
        <v>30</v>
      </c>
      <c r="AE343" s="1">
        <f>VLOOKUP($A343,Sheet1!$C$4:$M$92,7,FALSE)</f>
        <v>20</v>
      </c>
      <c r="AF343" s="1">
        <v>10</v>
      </c>
    </row>
    <row r="344" spans="1:32" x14ac:dyDescent="0.15">
      <c r="A344" s="13" t="s">
        <v>224</v>
      </c>
      <c r="B344" s="1">
        <v>3139</v>
      </c>
      <c r="C344" s="14" t="s">
        <v>288</v>
      </c>
      <c r="D344" s="1">
        <v>4</v>
      </c>
      <c r="E344" s="1">
        <v>0</v>
      </c>
      <c r="F344" s="1">
        <v>0</v>
      </c>
      <c r="G344" s="1">
        <v>1</v>
      </c>
      <c r="H344" s="1">
        <v>0</v>
      </c>
      <c r="I344" s="1">
        <v>0</v>
      </c>
      <c r="J344" s="1">
        <v>0</v>
      </c>
      <c r="K344" s="1">
        <v>1</v>
      </c>
      <c r="L344" s="1">
        <v>1</v>
      </c>
      <c r="M344" s="1">
        <v>100</v>
      </c>
      <c r="N344" s="1">
        <v>100</v>
      </c>
      <c r="Q344" s="37" t="s">
        <v>818</v>
      </c>
      <c r="R344" s="37" t="s">
        <v>815</v>
      </c>
      <c r="S344" s="37">
        <v>1000</v>
      </c>
      <c r="U344" s="2" t="s">
        <v>802</v>
      </c>
      <c r="V344" s="1">
        <f>VLOOKUP($A344,Sheet1!C43:M131,2,FALSE)</f>
        <v>0</v>
      </c>
      <c r="W344" s="1">
        <f>VLOOKUP($A344,Sheet1!$C$4:$M$92,3,FALSE)</f>
        <v>0</v>
      </c>
      <c r="X344" s="1">
        <f>VLOOKUP($A344,Sheet1!$C$4:$M$92,4,FALSE)</f>
        <v>100</v>
      </c>
      <c r="Y344" s="1">
        <v>0</v>
      </c>
      <c r="Z344" s="1">
        <v>0</v>
      </c>
      <c r="AA344" s="1">
        <v>0</v>
      </c>
      <c r="AB344" s="1">
        <f>VLOOKUP($A344,Sheet1!$C$4:$M$92,5,FALSE)</f>
        <v>0</v>
      </c>
      <c r="AC344" s="1">
        <f>VLOOKUP($A344,Sheet1!$C$4:$M$92,6,FALSE)</f>
        <v>0</v>
      </c>
      <c r="AD344" s="1">
        <f>VLOOKUP($A344,Sheet1!$C$4:$M$92,8,FALSE)</f>
        <v>0</v>
      </c>
      <c r="AE344" s="1">
        <f>VLOOKUP($A344,Sheet1!$C$4:$M$92,7,FALSE)</f>
        <v>0</v>
      </c>
      <c r="AF344" s="1">
        <v>10</v>
      </c>
    </row>
    <row r="345" spans="1:32" x14ac:dyDescent="0.15">
      <c r="A345" s="13" t="s">
        <v>225</v>
      </c>
      <c r="B345" s="1">
        <v>3140</v>
      </c>
      <c r="C345" s="14" t="s">
        <v>289</v>
      </c>
      <c r="D345" s="1">
        <v>4</v>
      </c>
      <c r="E345" s="1">
        <v>0</v>
      </c>
      <c r="F345" s="1">
        <v>0</v>
      </c>
      <c r="G345" s="1">
        <v>1</v>
      </c>
      <c r="H345" s="1">
        <v>0</v>
      </c>
      <c r="I345" s="1">
        <v>0</v>
      </c>
      <c r="J345" s="1">
        <v>0</v>
      </c>
      <c r="K345" s="1">
        <v>1</v>
      </c>
      <c r="L345" s="1">
        <v>1</v>
      </c>
      <c r="M345" s="1">
        <v>100</v>
      </c>
      <c r="N345" s="1">
        <v>100</v>
      </c>
      <c r="Q345" s="37" t="s">
        <v>818</v>
      </c>
      <c r="R345" s="37" t="s">
        <v>815</v>
      </c>
      <c r="S345" s="37">
        <v>1000</v>
      </c>
      <c r="U345" s="2" t="s">
        <v>802</v>
      </c>
      <c r="V345" s="1">
        <f>VLOOKUP($A345,Sheet1!C44:M132,2,FALSE)</f>
        <v>0</v>
      </c>
      <c r="W345" s="1">
        <f>VLOOKUP($A345,Sheet1!$C$4:$M$92,3,FALSE)</f>
        <v>80</v>
      </c>
      <c r="X345" s="1">
        <f>VLOOKUP($A345,Sheet1!$C$4:$M$92,4,FALSE)</f>
        <v>0</v>
      </c>
      <c r="Y345" s="1">
        <v>0</v>
      </c>
      <c r="Z345" s="1">
        <v>0</v>
      </c>
      <c r="AA345" s="1">
        <v>0</v>
      </c>
      <c r="AB345" s="1">
        <f>VLOOKUP($A345,Sheet1!$C$4:$M$92,5,FALSE)</f>
        <v>0</v>
      </c>
      <c r="AC345" s="1">
        <f>VLOOKUP($A345,Sheet1!$C$4:$M$92,6,FALSE)</f>
        <v>0</v>
      </c>
      <c r="AD345" s="1">
        <f>VLOOKUP($A345,Sheet1!$C$4:$M$92,8,FALSE)</f>
        <v>40</v>
      </c>
      <c r="AE345" s="1">
        <f>VLOOKUP($A345,Sheet1!$C$4:$M$92,7,FALSE)</f>
        <v>0</v>
      </c>
      <c r="AF345" s="1">
        <v>10</v>
      </c>
    </row>
    <row r="346" spans="1:32" x14ac:dyDescent="0.15">
      <c r="A346" s="13" t="s">
        <v>226</v>
      </c>
      <c r="B346" s="1">
        <v>3141</v>
      </c>
      <c r="C346" s="14" t="s">
        <v>290</v>
      </c>
      <c r="D346" s="1">
        <v>4</v>
      </c>
      <c r="E346" s="1">
        <v>0</v>
      </c>
      <c r="F346" s="1">
        <v>0</v>
      </c>
      <c r="G346" s="1">
        <v>1</v>
      </c>
      <c r="H346" s="1">
        <v>0</v>
      </c>
      <c r="I346" s="1">
        <v>0</v>
      </c>
      <c r="J346" s="1">
        <v>0</v>
      </c>
      <c r="K346" s="1">
        <v>1</v>
      </c>
      <c r="L346" s="1">
        <v>1</v>
      </c>
      <c r="M346" s="1">
        <v>100</v>
      </c>
      <c r="N346" s="1">
        <v>100</v>
      </c>
      <c r="Q346" s="37">
        <v>1</v>
      </c>
      <c r="R346" s="37" t="s">
        <v>815</v>
      </c>
      <c r="S346" s="37">
        <v>1000</v>
      </c>
      <c r="U346" s="2" t="s">
        <v>802</v>
      </c>
      <c r="V346" s="1">
        <f>VLOOKUP($A346,Sheet1!C45:M133,2,FALSE)</f>
        <v>0</v>
      </c>
      <c r="W346" s="1">
        <f>VLOOKUP($A346,Sheet1!$C$4:$M$92,3,FALSE)</f>
        <v>0</v>
      </c>
      <c r="X346" s="1">
        <f>VLOOKUP($A346,Sheet1!$C$4:$M$92,4,FALSE)</f>
        <v>0</v>
      </c>
      <c r="Y346" s="1">
        <v>0</v>
      </c>
      <c r="Z346" s="1">
        <v>0</v>
      </c>
      <c r="AA346" s="1">
        <v>0</v>
      </c>
      <c r="AB346" s="1">
        <f>VLOOKUP($A346,Sheet1!$C$4:$M$92,5,FALSE)</f>
        <v>0</v>
      </c>
      <c r="AC346" s="1">
        <f>VLOOKUP($A346,Sheet1!$C$4:$M$92,6,FALSE)</f>
        <v>0</v>
      </c>
      <c r="AD346" s="1">
        <f>VLOOKUP($A346,Sheet1!$C$4:$M$92,8,FALSE)</f>
        <v>0</v>
      </c>
      <c r="AE346" s="1">
        <f>VLOOKUP($A346,Sheet1!$C$4:$M$92,7,FALSE)</f>
        <v>30</v>
      </c>
      <c r="AF346" s="1">
        <v>10</v>
      </c>
    </row>
    <row r="347" spans="1:32" x14ac:dyDescent="0.15">
      <c r="A347" s="13" t="s">
        <v>187</v>
      </c>
      <c r="B347" s="1">
        <v>3142</v>
      </c>
      <c r="C347" s="14" t="s">
        <v>291</v>
      </c>
      <c r="D347" s="1">
        <v>4</v>
      </c>
      <c r="E347" s="1">
        <v>0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  <c r="K347" s="1">
        <v>1</v>
      </c>
      <c r="L347" s="1">
        <v>1</v>
      </c>
      <c r="M347" s="1">
        <v>100</v>
      </c>
      <c r="N347" s="1">
        <v>100</v>
      </c>
      <c r="Q347" s="37">
        <v>1</v>
      </c>
      <c r="R347" s="37" t="s">
        <v>815</v>
      </c>
      <c r="S347" s="37">
        <v>1000</v>
      </c>
      <c r="U347" s="2" t="s">
        <v>802</v>
      </c>
      <c r="V347" s="1">
        <f>VLOOKUP($A347,Sheet1!C46:M134,2,FALSE)</f>
        <v>0</v>
      </c>
      <c r="W347" s="1">
        <f>VLOOKUP($A347,Sheet1!$C$4:$M$92,3,FALSE)</f>
        <v>0</v>
      </c>
      <c r="X347" s="1">
        <f>VLOOKUP($A347,Sheet1!$C$4:$M$92,4,FALSE)</f>
        <v>0</v>
      </c>
      <c r="Y347" s="1">
        <v>0</v>
      </c>
      <c r="Z347" s="1">
        <v>0</v>
      </c>
      <c r="AA347" s="1">
        <v>0</v>
      </c>
      <c r="AB347" s="1">
        <f>VLOOKUP($A347,Sheet1!$C$4:$M$92,5,FALSE)</f>
        <v>10</v>
      </c>
      <c r="AC347" s="1">
        <f>VLOOKUP($A347,Sheet1!$C$4:$M$92,6,FALSE)</f>
        <v>0</v>
      </c>
      <c r="AD347" s="1">
        <f>VLOOKUP($A347,Sheet1!$C$4:$M$92,8,FALSE)</f>
        <v>0</v>
      </c>
      <c r="AE347" s="1">
        <f>VLOOKUP($A347,Sheet1!$C$4:$M$92,7,FALSE)</f>
        <v>0</v>
      </c>
      <c r="AF347" s="1">
        <v>10</v>
      </c>
    </row>
    <row r="348" spans="1:32" x14ac:dyDescent="0.15">
      <c r="A348" s="13" t="s">
        <v>197</v>
      </c>
      <c r="B348" s="1">
        <v>3143</v>
      </c>
      <c r="C348" s="14" t="s">
        <v>292</v>
      </c>
      <c r="D348" s="1">
        <v>4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1</v>
      </c>
      <c r="L348" s="1">
        <v>1</v>
      </c>
      <c r="M348" s="1">
        <v>100</v>
      </c>
      <c r="N348" s="1">
        <v>100</v>
      </c>
      <c r="Q348" s="37">
        <v>1</v>
      </c>
      <c r="R348" s="37" t="s">
        <v>815</v>
      </c>
      <c r="S348" s="37">
        <v>1000</v>
      </c>
      <c r="U348" s="2" t="s">
        <v>802</v>
      </c>
      <c r="V348" s="1">
        <f>VLOOKUP($A348,Sheet1!C47:M135,2,FALSE)</f>
        <v>0</v>
      </c>
      <c r="W348" s="1">
        <f>VLOOKUP($A348,Sheet1!$C$4:$M$92,3,FALSE)</f>
        <v>0</v>
      </c>
      <c r="X348" s="1">
        <f>VLOOKUP($A348,Sheet1!$C$4:$M$92,4,FALSE)</f>
        <v>0</v>
      </c>
      <c r="Y348" s="1">
        <v>0</v>
      </c>
      <c r="Z348" s="1">
        <v>0</v>
      </c>
      <c r="AA348" s="1">
        <v>0</v>
      </c>
      <c r="AB348" s="1">
        <f>VLOOKUP($A348,Sheet1!$C$4:$M$92,5,FALSE)</f>
        <v>20</v>
      </c>
      <c r="AC348" s="1">
        <f>VLOOKUP($A348,Sheet1!$C$4:$M$92,6,FALSE)</f>
        <v>0</v>
      </c>
      <c r="AD348" s="1">
        <f>VLOOKUP($A348,Sheet1!$C$4:$M$92,8,FALSE)</f>
        <v>0</v>
      </c>
      <c r="AE348" s="1">
        <f>VLOOKUP($A348,Sheet1!$C$4:$M$92,7,FALSE)</f>
        <v>0</v>
      </c>
      <c r="AF348" s="1">
        <v>10</v>
      </c>
    </row>
    <row r="349" spans="1:32" x14ac:dyDescent="0.15">
      <c r="A349" s="13" t="s">
        <v>184</v>
      </c>
      <c r="B349" s="1">
        <v>3144</v>
      </c>
      <c r="C349" s="14" t="s">
        <v>293</v>
      </c>
      <c r="D349" s="1">
        <v>4</v>
      </c>
      <c r="E349" s="1">
        <v>0</v>
      </c>
      <c r="F349" s="1">
        <v>0</v>
      </c>
      <c r="G349" s="1">
        <v>1</v>
      </c>
      <c r="H349" s="1">
        <v>0</v>
      </c>
      <c r="I349" s="1">
        <v>0</v>
      </c>
      <c r="J349" s="1">
        <v>0</v>
      </c>
      <c r="K349" s="1">
        <v>1</v>
      </c>
      <c r="L349" s="1">
        <v>1</v>
      </c>
      <c r="M349" s="1">
        <v>100</v>
      </c>
      <c r="N349" s="1">
        <v>100</v>
      </c>
      <c r="Q349" s="37">
        <v>1</v>
      </c>
      <c r="R349" s="37" t="s">
        <v>815</v>
      </c>
      <c r="S349" s="37">
        <v>1000</v>
      </c>
      <c r="U349" s="2" t="s">
        <v>802</v>
      </c>
      <c r="V349" s="1">
        <f>VLOOKUP($A349,Sheet1!C48:M136,2,FALSE)</f>
        <v>0</v>
      </c>
      <c r="W349" s="1">
        <f>VLOOKUP($A349,Sheet1!$C$4:$M$92,3,FALSE)</f>
        <v>0</v>
      </c>
      <c r="X349" s="1">
        <f>VLOOKUP($A349,Sheet1!$C$4:$M$92,4,FALSE)</f>
        <v>0</v>
      </c>
      <c r="Y349" s="1">
        <v>0</v>
      </c>
      <c r="Z349" s="1">
        <v>0</v>
      </c>
      <c r="AA349" s="1">
        <v>0</v>
      </c>
      <c r="AB349" s="1">
        <f>VLOOKUP($A349,Sheet1!$C$4:$M$92,5,FALSE)</f>
        <v>15</v>
      </c>
      <c r="AC349" s="1">
        <f>VLOOKUP($A349,Sheet1!$C$4:$M$92,6,FALSE)</f>
        <v>0</v>
      </c>
      <c r="AD349" s="1">
        <f>VLOOKUP($A349,Sheet1!$C$4:$M$92,8,FALSE)</f>
        <v>0</v>
      </c>
      <c r="AE349" s="1">
        <f>VLOOKUP($A349,Sheet1!$C$4:$M$92,7,FALSE)</f>
        <v>0</v>
      </c>
      <c r="AF349" s="1">
        <v>10</v>
      </c>
    </row>
    <row r="350" spans="1:32" x14ac:dyDescent="0.15">
      <c r="A350" s="13" t="s">
        <v>227</v>
      </c>
      <c r="B350" s="1">
        <v>3145</v>
      </c>
      <c r="C350" s="14" t="s">
        <v>294</v>
      </c>
      <c r="D350" s="1">
        <v>4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1</v>
      </c>
      <c r="L350" s="1">
        <v>1</v>
      </c>
      <c r="M350" s="1">
        <v>100</v>
      </c>
      <c r="N350" s="1">
        <v>100</v>
      </c>
      <c r="Q350" s="37">
        <v>1</v>
      </c>
      <c r="R350" s="37" t="s">
        <v>815</v>
      </c>
      <c r="S350" s="37">
        <v>1000</v>
      </c>
      <c r="U350" s="2" t="s">
        <v>802</v>
      </c>
      <c r="V350" s="1">
        <f>VLOOKUP($A350,Sheet1!C49:M137,2,FALSE)</f>
        <v>0</v>
      </c>
      <c r="W350" s="1">
        <f>VLOOKUP($A350,Sheet1!$C$4:$M$92,3,FALSE)</f>
        <v>0</v>
      </c>
      <c r="X350" s="1">
        <f>VLOOKUP($A350,Sheet1!$C$4:$M$92,4,FALSE)</f>
        <v>0</v>
      </c>
      <c r="Y350" s="1">
        <v>0</v>
      </c>
      <c r="Z350" s="1">
        <v>0</v>
      </c>
      <c r="AA350" s="1">
        <v>0</v>
      </c>
      <c r="AB350" s="1">
        <f>VLOOKUP($A350,Sheet1!$C$4:$M$92,5,FALSE)</f>
        <v>25</v>
      </c>
      <c r="AC350" s="1">
        <f>VLOOKUP($A350,Sheet1!$C$4:$M$92,6,FALSE)</f>
        <v>0</v>
      </c>
      <c r="AD350" s="1">
        <f>VLOOKUP($A350,Sheet1!$C$4:$M$92,8,FALSE)</f>
        <v>0</v>
      </c>
      <c r="AE350" s="1">
        <f>VLOOKUP($A350,Sheet1!$C$4:$M$92,7,FALSE)</f>
        <v>0</v>
      </c>
      <c r="AF350" s="1">
        <v>10</v>
      </c>
    </row>
    <row r="351" spans="1:32" x14ac:dyDescent="0.15">
      <c r="A351" s="13" t="s">
        <v>228</v>
      </c>
      <c r="B351" s="1">
        <v>3146</v>
      </c>
      <c r="C351" s="14" t="s">
        <v>295</v>
      </c>
      <c r="D351" s="1">
        <v>4</v>
      </c>
      <c r="E351" s="1">
        <v>0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1</v>
      </c>
      <c r="L351" s="1">
        <v>1</v>
      </c>
      <c r="M351" s="1">
        <v>100</v>
      </c>
      <c r="N351" s="1">
        <v>100</v>
      </c>
      <c r="Q351" s="37">
        <v>1</v>
      </c>
      <c r="R351" s="37" t="s">
        <v>815</v>
      </c>
      <c r="S351" s="37">
        <v>1000</v>
      </c>
      <c r="U351" s="2" t="s">
        <v>802</v>
      </c>
      <c r="V351" s="1">
        <f>VLOOKUP($A351,Sheet1!C50:M138,2,FALSE)</f>
        <v>0</v>
      </c>
      <c r="W351" s="1">
        <f>VLOOKUP($A351,Sheet1!$C$4:$M$92,3,FALSE)</f>
        <v>0</v>
      </c>
      <c r="X351" s="1">
        <f>VLOOKUP($A351,Sheet1!$C$4:$M$92,4,FALSE)</f>
        <v>0</v>
      </c>
      <c r="Y351" s="1">
        <v>0</v>
      </c>
      <c r="Z351" s="1">
        <v>0</v>
      </c>
      <c r="AA351" s="1">
        <v>0</v>
      </c>
      <c r="AB351" s="1">
        <f>VLOOKUP($A351,Sheet1!$C$4:$M$92,5,FALSE)</f>
        <v>30</v>
      </c>
      <c r="AC351" s="1">
        <f>VLOOKUP($A351,Sheet1!$C$4:$M$92,6,FALSE)</f>
        <v>0</v>
      </c>
      <c r="AD351" s="1">
        <f>VLOOKUP($A351,Sheet1!$C$4:$M$92,8,FALSE)</f>
        <v>0</v>
      </c>
      <c r="AE351" s="1">
        <f>VLOOKUP($A351,Sheet1!$C$4:$M$92,7,FALSE)</f>
        <v>0</v>
      </c>
      <c r="AF351" s="1">
        <v>10</v>
      </c>
    </row>
    <row r="352" spans="1:32" x14ac:dyDescent="0.15">
      <c r="A352" s="13" t="s">
        <v>229</v>
      </c>
      <c r="B352" s="1">
        <v>3147</v>
      </c>
      <c r="C352" s="14" t="s">
        <v>297</v>
      </c>
      <c r="D352" s="1">
        <v>4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1</v>
      </c>
      <c r="L352" s="1">
        <v>1</v>
      </c>
      <c r="M352" s="1">
        <v>100</v>
      </c>
      <c r="N352" s="1">
        <v>100</v>
      </c>
      <c r="Q352" s="37">
        <v>1</v>
      </c>
      <c r="R352" s="37" t="s">
        <v>815</v>
      </c>
      <c r="S352" s="37">
        <v>1000</v>
      </c>
      <c r="U352" s="2" t="s">
        <v>802</v>
      </c>
      <c r="V352" s="1">
        <f>VLOOKUP($A352,Sheet1!C51:M139,2,FALSE)</f>
        <v>0</v>
      </c>
      <c r="W352" s="1">
        <f>VLOOKUP($A352,Sheet1!$C$4:$M$92,3,FALSE)</f>
        <v>0</v>
      </c>
      <c r="X352" s="1">
        <f>VLOOKUP($A352,Sheet1!$C$4:$M$92,4,FALSE)</f>
        <v>0</v>
      </c>
      <c r="Y352" s="1">
        <v>0</v>
      </c>
      <c r="Z352" s="1">
        <v>0</v>
      </c>
      <c r="AA352" s="1">
        <v>0</v>
      </c>
      <c r="AB352" s="1">
        <f>VLOOKUP($A352,Sheet1!$C$4:$M$92,5,FALSE)</f>
        <v>40</v>
      </c>
      <c r="AC352" s="1">
        <f>VLOOKUP($A352,Sheet1!$C$4:$M$92,6,FALSE)</f>
        <v>0</v>
      </c>
      <c r="AD352" s="1">
        <f>VLOOKUP($A352,Sheet1!$C$4:$M$92,8,FALSE)</f>
        <v>0</v>
      </c>
      <c r="AE352" s="1">
        <f>VLOOKUP($A352,Sheet1!$C$4:$M$92,7,FALSE)</f>
        <v>0</v>
      </c>
      <c r="AF352" s="1">
        <v>10</v>
      </c>
    </row>
    <row r="353" spans="1:32" x14ac:dyDescent="0.15">
      <c r="A353" s="13" t="s">
        <v>230</v>
      </c>
      <c r="B353" s="1">
        <v>3148</v>
      </c>
      <c r="C353" s="14" t="s">
        <v>296</v>
      </c>
      <c r="D353" s="1">
        <v>4</v>
      </c>
      <c r="E353" s="1">
        <v>0</v>
      </c>
      <c r="F353" s="1">
        <v>0</v>
      </c>
      <c r="G353" s="1">
        <v>1</v>
      </c>
      <c r="H353" s="1">
        <v>0</v>
      </c>
      <c r="I353" s="1">
        <v>0</v>
      </c>
      <c r="J353" s="1">
        <v>0</v>
      </c>
      <c r="K353" s="1">
        <v>1</v>
      </c>
      <c r="L353" s="1">
        <v>1</v>
      </c>
      <c r="M353" s="1">
        <v>100</v>
      </c>
      <c r="N353" s="1">
        <v>100</v>
      </c>
      <c r="Q353" s="37">
        <v>1</v>
      </c>
      <c r="R353" s="37" t="s">
        <v>815</v>
      </c>
      <c r="S353" s="37">
        <v>1000</v>
      </c>
      <c r="U353" s="2" t="s">
        <v>802</v>
      </c>
      <c r="V353" s="1">
        <f>VLOOKUP($A353,Sheet1!C52:M140,2,FALSE)</f>
        <v>0</v>
      </c>
      <c r="W353" s="1">
        <f>VLOOKUP($A353,Sheet1!$C$4:$M$92,3,FALSE)</f>
        <v>0</v>
      </c>
      <c r="X353" s="1">
        <f>VLOOKUP($A353,Sheet1!$C$4:$M$92,4,FALSE)</f>
        <v>0</v>
      </c>
      <c r="Y353" s="1">
        <v>0</v>
      </c>
      <c r="Z353" s="1">
        <v>0</v>
      </c>
      <c r="AA353" s="1">
        <v>0</v>
      </c>
      <c r="AB353" s="1">
        <f>VLOOKUP($A353,Sheet1!$C$4:$M$92,5,FALSE)</f>
        <v>40</v>
      </c>
      <c r="AC353" s="1">
        <f>VLOOKUP($A353,Sheet1!$C$4:$M$92,6,FALSE)</f>
        <v>0</v>
      </c>
      <c r="AD353" s="1">
        <f>VLOOKUP($A353,Sheet1!$C$4:$M$92,8,FALSE)</f>
        <v>0</v>
      </c>
      <c r="AE353" s="1">
        <f>VLOOKUP($A353,Sheet1!$C$4:$M$92,7,FALSE)</f>
        <v>0</v>
      </c>
      <c r="AF353" s="1">
        <v>10</v>
      </c>
    </row>
    <row r="354" spans="1:32" x14ac:dyDescent="0.15">
      <c r="A354" s="13" t="s">
        <v>299</v>
      </c>
      <c r="B354" s="1">
        <v>3149</v>
      </c>
      <c r="C354" s="14" t="s">
        <v>298</v>
      </c>
      <c r="D354" s="1">
        <v>4</v>
      </c>
      <c r="E354" s="1">
        <v>0</v>
      </c>
      <c r="F354" s="1">
        <v>0</v>
      </c>
      <c r="G354" s="1">
        <v>1</v>
      </c>
      <c r="H354" s="1">
        <v>0</v>
      </c>
      <c r="I354" s="1">
        <v>0</v>
      </c>
      <c r="J354" s="1">
        <v>0</v>
      </c>
      <c r="K354" s="1">
        <v>1</v>
      </c>
      <c r="L354" s="1">
        <v>1</v>
      </c>
      <c r="M354" s="1">
        <v>100</v>
      </c>
      <c r="N354" s="1">
        <v>100</v>
      </c>
      <c r="Q354" s="37">
        <v>1</v>
      </c>
      <c r="R354" s="37" t="s">
        <v>815</v>
      </c>
      <c r="S354" s="37">
        <v>1000</v>
      </c>
      <c r="U354" s="2" t="s">
        <v>802</v>
      </c>
      <c r="V354" s="1">
        <f>VLOOKUP($A354,Sheet1!C53:M141,2,FALSE)</f>
        <v>0</v>
      </c>
      <c r="W354" s="1">
        <f>VLOOKUP($A354,Sheet1!$C$4:$M$92,3,FALSE)</f>
        <v>0</v>
      </c>
      <c r="X354" s="1">
        <f>VLOOKUP($A354,Sheet1!$C$4:$M$92,4,FALSE)</f>
        <v>0</v>
      </c>
      <c r="Y354" s="1">
        <v>0</v>
      </c>
      <c r="Z354" s="1">
        <v>0</v>
      </c>
      <c r="AA354" s="1">
        <v>0</v>
      </c>
      <c r="AB354" s="1">
        <f>VLOOKUP($A354,Sheet1!$C$4:$M$92,5,FALSE)</f>
        <v>35</v>
      </c>
      <c r="AC354" s="1">
        <f>VLOOKUP($A354,Sheet1!$C$4:$M$92,6,FALSE)</f>
        <v>0</v>
      </c>
      <c r="AD354" s="1">
        <f>VLOOKUP($A354,Sheet1!$C$4:$M$92,8,FALSE)</f>
        <v>0</v>
      </c>
      <c r="AE354" s="1">
        <f>VLOOKUP($A354,Sheet1!$C$4:$M$92,7,FALSE)</f>
        <v>0</v>
      </c>
      <c r="AF354" s="1">
        <v>10</v>
      </c>
    </row>
    <row r="355" spans="1:32" x14ac:dyDescent="0.15">
      <c r="A355" s="13" t="s">
        <v>231</v>
      </c>
      <c r="B355" s="1">
        <v>3150</v>
      </c>
      <c r="C355" s="14" t="s">
        <v>300</v>
      </c>
      <c r="D355" s="1">
        <v>4</v>
      </c>
      <c r="E355" s="1">
        <v>0</v>
      </c>
      <c r="F355" s="1">
        <v>0</v>
      </c>
      <c r="G355" s="1">
        <v>1</v>
      </c>
      <c r="H355" s="1">
        <v>0</v>
      </c>
      <c r="I355" s="1">
        <v>0</v>
      </c>
      <c r="J355" s="1">
        <v>0</v>
      </c>
      <c r="K355" s="1">
        <v>1</v>
      </c>
      <c r="L355" s="1">
        <v>1</v>
      </c>
      <c r="M355" s="1">
        <v>100</v>
      </c>
      <c r="N355" s="1">
        <v>100</v>
      </c>
      <c r="Q355" s="37">
        <v>1</v>
      </c>
      <c r="R355" s="37" t="s">
        <v>815</v>
      </c>
      <c r="S355" s="37">
        <v>1000</v>
      </c>
      <c r="U355" s="2" t="s">
        <v>802</v>
      </c>
      <c r="V355" s="1">
        <f>VLOOKUP($A355,Sheet1!C54:M142,2,FALSE)</f>
        <v>0</v>
      </c>
      <c r="W355" s="1">
        <f>VLOOKUP($A355,Sheet1!$C$4:$M$92,3,FALSE)</f>
        <v>0</v>
      </c>
      <c r="X355" s="1">
        <f>VLOOKUP($A355,Sheet1!$C$4:$M$92,4,FALSE)</f>
        <v>0</v>
      </c>
      <c r="Y355" s="1">
        <v>0</v>
      </c>
      <c r="Z355" s="1">
        <v>0</v>
      </c>
      <c r="AA355" s="1">
        <v>0</v>
      </c>
      <c r="AB355" s="1">
        <f>VLOOKUP($A355,Sheet1!$C$4:$M$92,5,FALSE)</f>
        <v>0</v>
      </c>
      <c r="AC355" s="1">
        <f>VLOOKUP($A355,Sheet1!$C$4:$M$92,6,FALSE)</f>
        <v>20</v>
      </c>
      <c r="AD355" s="1">
        <f>VLOOKUP($A355,Sheet1!$C$4:$M$92,8,FALSE)</f>
        <v>0</v>
      </c>
      <c r="AE355" s="1">
        <f>VLOOKUP($A355,Sheet1!$C$4:$M$92,7,FALSE)</f>
        <v>0</v>
      </c>
      <c r="AF355" s="1">
        <v>10</v>
      </c>
    </row>
    <row r="356" spans="1:32" x14ac:dyDescent="0.15">
      <c r="A356" s="13" t="s">
        <v>232</v>
      </c>
      <c r="B356" s="1">
        <v>3151</v>
      </c>
      <c r="C356" s="14" t="s">
        <v>301</v>
      </c>
      <c r="D356" s="1">
        <v>4</v>
      </c>
      <c r="E356" s="1">
        <v>0</v>
      </c>
      <c r="F356" s="1">
        <v>0</v>
      </c>
      <c r="G356" s="1">
        <v>1</v>
      </c>
      <c r="H356" s="1">
        <v>0</v>
      </c>
      <c r="I356" s="1">
        <v>0</v>
      </c>
      <c r="J356" s="1">
        <v>0</v>
      </c>
      <c r="K356" s="1">
        <v>1</v>
      </c>
      <c r="L356" s="1">
        <v>1</v>
      </c>
      <c r="M356" s="1">
        <v>100</v>
      </c>
      <c r="N356" s="1">
        <v>100</v>
      </c>
      <c r="Q356" s="37">
        <v>1</v>
      </c>
      <c r="R356" s="37" t="s">
        <v>815</v>
      </c>
      <c r="S356" s="37">
        <v>1000</v>
      </c>
      <c r="U356" s="2" t="s">
        <v>802</v>
      </c>
      <c r="V356" s="1">
        <f>VLOOKUP($A356,Sheet1!C55:M143,2,FALSE)</f>
        <v>0</v>
      </c>
      <c r="W356" s="1">
        <f>VLOOKUP($A356,Sheet1!$C$4:$M$92,3,FALSE)</f>
        <v>0</v>
      </c>
      <c r="X356" s="1">
        <f>VLOOKUP($A356,Sheet1!$C$4:$M$92,4,FALSE)</f>
        <v>0</v>
      </c>
      <c r="Y356" s="1">
        <v>0</v>
      </c>
      <c r="Z356" s="1">
        <v>0</v>
      </c>
      <c r="AA356" s="1">
        <v>0</v>
      </c>
      <c r="AB356" s="1">
        <f>VLOOKUP($A356,Sheet1!$C$4:$M$92,5,FALSE)</f>
        <v>0</v>
      </c>
      <c r="AC356" s="1">
        <f>VLOOKUP($A356,Sheet1!$C$4:$M$92,6,FALSE)</f>
        <v>25</v>
      </c>
      <c r="AD356" s="1">
        <f>VLOOKUP($A356,Sheet1!$C$4:$M$92,8,FALSE)</f>
        <v>0</v>
      </c>
      <c r="AE356" s="1">
        <f>VLOOKUP($A356,Sheet1!$C$4:$M$92,7,FALSE)</f>
        <v>0</v>
      </c>
      <c r="AF356" s="1">
        <v>10</v>
      </c>
    </row>
    <row r="357" spans="1:32" x14ac:dyDescent="0.15">
      <c r="A357" s="13" t="s">
        <v>233</v>
      </c>
      <c r="B357" s="1">
        <v>3152</v>
      </c>
      <c r="C357" s="14" t="s">
        <v>302</v>
      </c>
      <c r="D357" s="1">
        <v>4</v>
      </c>
      <c r="E357" s="1">
        <v>0</v>
      </c>
      <c r="F357" s="1">
        <v>0</v>
      </c>
      <c r="G357" s="1">
        <v>1</v>
      </c>
      <c r="H357" s="1">
        <v>0</v>
      </c>
      <c r="I357" s="1">
        <v>0</v>
      </c>
      <c r="J357" s="1">
        <v>0</v>
      </c>
      <c r="K357" s="1">
        <v>1</v>
      </c>
      <c r="L357" s="1">
        <v>1</v>
      </c>
      <c r="M357" s="1">
        <v>100</v>
      </c>
      <c r="N357" s="1">
        <v>100</v>
      </c>
      <c r="Q357" s="37">
        <v>1</v>
      </c>
      <c r="R357" s="37" t="s">
        <v>815</v>
      </c>
      <c r="S357" s="37">
        <v>1000</v>
      </c>
      <c r="U357" s="2" t="s">
        <v>802</v>
      </c>
      <c r="V357" s="1">
        <f>VLOOKUP($A357,Sheet1!C56:M144,2,FALSE)</f>
        <v>0</v>
      </c>
      <c r="W357" s="1">
        <f>VLOOKUP($A357,Sheet1!$C$4:$M$92,3,FALSE)</f>
        <v>0</v>
      </c>
      <c r="X357" s="1">
        <f>VLOOKUP($A357,Sheet1!$C$4:$M$92,4,FALSE)</f>
        <v>0</v>
      </c>
      <c r="Y357" s="1">
        <v>0</v>
      </c>
      <c r="Z357" s="1">
        <v>0</v>
      </c>
      <c r="AA357" s="1">
        <v>0</v>
      </c>
      <c r="AB357" s="1">
        <f>VLOOKUP($A357,Sheet1!$C$4:$M$92,5,FALSE)</f>
        <v>0</v>
      </c>
      <c r="AC357" s="1">
        <f>VLOOKUP($A357,Sheet1!$C$4:$M$92,6,FALSE)</f>
        <v>30</v>
      </c>
      <c r="AD357" s="1">
        <f>VLOOKUP($A357,Sheet1!$C$4:$M$92,8,FALSE)</f>
        <v>0</v>
      </c>
      <c r="AE357" s="1">
        <f>VLOOKUP($A357,Sheet1!$C$4:$M$92,7,FALSE)</f>
        <v>0</v>
      </c>
      <c r="AF357" s="1">
        <v>10</v>
      </c>
    </row>
    <row r="358" spans="1:32" x14ac:dyDescent="0.15">
      <c r="A358" s="13" t="s">
        <v>234</v>
      </c>
      <c r="B358" s="1">
        <v>3153</v>
      </c>
      <c r="C358" s="14" t="s">
        <v>303</v>
      </c>
      <c r="D358" s="1">
        <v>4</v>
      </c>
      <c r="E358" s="1">
        <v>0</v>
      </c>
      <c r="F358" s="1">
        <v>0</v>
      </c>
      <c r="G358" s="1">
        <v>1</v>
      </c>
      <c r="H358" s="1">
        <v>0</v>
      </c>
      <c r="I358" s="1">
        <v>0</v>
      </c>
      <c r="J358" s="1">
        <v>0</v>
      </c>
      <c r="K358" s="1">
        <v>1</v>
      </c>
      <c r="L358" s="1">
        <v>1</v>
      </c>
      <c r="M358" s="1">
        <v>100</v>
      </c>
      <c r="N358" s="1">
        <v>100</v>
      </c>
      <c r="Q358" s="37" t="s">
        <v>818</v>
      </c>
      <c r="R358" s="37" t="s">
        <v>815</v>
      </c>
      <c r="S358" s="37">
        <v>1000</v>
      </c>
      <c r="U358" s="2" t="s">
        <v>802</v>
      </c>
      <c r="V358" s="1">
        <f>VLOOKUP($A358,Sheet1!C57:M145,2,FALSE)</f>
        <v>0</v>
      </c>
      <c r="W358" s="1">
        <f>VLOOKUP($A358,Sheet1!$C$4:$M$92,3,FALSE)</f>
        <v>100</v>
      </c>
      <c r="X358" s="1">
        <f>VLOOKUP($A358,Sheet1!$C$4:$M$92,4,FALSE)</f>
        <v>0</v>
      </c>
      <c r="Y358" s="1">
        <v>0</v>
      </c>
      <c r="Z358" s="1">
        <v>0</v>
      </c>
      <c r="AA358" s="1">
        <v>0</v>
      </c>
      <c r="AB358" s="1">
        <f>VLOOKUP($A358,Sheet1!$C$4:$M$92,5,FALSE)</f>
        <v>0</v>
      </c>
      <c r="AC358" s="1">
        <f>VLOOKUP($A358,Sheet1!$C$4:$M$92,6,FALSE)</f>
        <v>0</v>
      </c>
      <c r="AD358" s="1">
        <f>VLOOKUP($A358,Sheet1!$C$4:$M$92,8,FALSE)</f>
        <v>0</v>
      </c>
      <c r="AE358" s="1">
        <f>VLOOKUP($A358,Sheet1!$C$4:$M$92,7,FALSE)</f>
        <v>0</v>
      </c>
      <c r="AF358" s="1">
        <v>10</v>
      </c>
    </row>
    <row r="359" spans="1:32" x14ac:dyDescent="0.15">
      <c r="A359" s="13" t="s">
        <v>235</v>
      </c>
      <c r="B359" s="1">
        <v>3154</v>
      </c>
      <c r="C359" s="14" t="s">
        <v>304</v>
      </c>
      <c r="D359" s="1">
        <v>4</v>
      </c>
      <c r="E359" s="1">
        <v>0</v>
      </c>
      <c r="F359" s="1">
        <v>0</v>
      </c>
      <c r="G359" s="1">
        <v>1</v>
      </c>
      <c r="H359" s="1">
        <v>0</v>
      </c>
      <c r="I359" s="1">
        <v>0</v>
      </c>
      <c r="J359" s="1">
        <v>0</v>
      </c>
      <c r="K359" s="1">
        <v>1</v>
      </c>
      <c r="L359" s="1">
        <v>1</v>
      </c>
      <c r="M359" s="1">
        <v>100</v>
      </c>
      <c r="N359" s="1">
        <v>100</v>
      </c>
      <c r="Q359" s="37">
        <v>1</v>
      </c>
      <c r="R359" s="37" t="s">
        <v>815</v>
      </c>
      <c r="S359" s="37">
        <v>1000</v>
      </c>
      <c r="U359" s="2" t="s">
        <v>802</v>
      </c>
      <c r="V359" s="1">
        <f>VLOOKUP($A359,Sheet1!C58:M146,2,FALSE)</f>
        <v>0</v>
      </c>
      <c r="W359" s="1">
        <f>VLOOKUP($A359,Sheet1!$C$4:$M$92,3,FALSE)</f>
        <v>0</v>
      </c>
      <c r="X359" s="1">
        <f>VLOOKUP($A359,Sheet1!$C$4:$M$92,4,FALSE)</f>
        <v>0</v>
      </c>
      <c r="Y359" s="1">
        <v>0</v>
      </c>
      <c r="Z359" s="1">
        <v>0</v>
      </c>
      <c r="AA359" s="1">
        <v>0</v>
      </c>
      <c r="AB359" s="1">
        <f>VLOOKUP($A359,Sheet1!$C$4:$M$92,5,FALSE)</f>
        <v>0</v>
      </c>
      <c r="AC359" s="1">
        <f>VLOOKUP($A359,Sheet1!$C$4:$M$92,6,FALSE)</f>
        <v>40</v>
      </c>
      <c r="AD359" s="1">
        <f>VLOOKUP($A359,Sheet1!$C$4:$M$92,8,FALSE)</f>
        <v>0</v>
      </c>
      <c r="AE359" s="1">
        <f>VLOOKUP($A359,Sheet1!$C$4:$M$92,7,FALSE)</f>
        <v>0</v>
      </c>
      <c r="AF359" s="1">
        <v>10</v>
      </c>
    </row>
    <row r="360" spans="1:32" x14ac:dyDescent="0.15">
      <c r="A360" s="13" t="s">
        <v>236</v>
      </c>
      <c r="B360" s="1">
        <v>3155</v>
      </c>
      <c r="C360" s="14" t="s">
        <v>305</v>
      </c>
      <c r="D360" s="1">
        <v>4</v>
      </c>
      <c r="E360" s="1">
        <v>0</v>
      </c>
      <c r="F360" s="1">
        <v>0</v>
      </c>
      <c r="G360" s="1">
        <v>1</v>
      </c>
      <c r="H360" s="1">
        <v>0</v>
      </c>
      <c r="I360" s="1">
        <v>0</v>
      </c>
      <c r="J360" s="1">
        <v>0</v>
      </c>
      <c r="K360" s="1">
        <v>1</v>
      </c>
      <c r="L360" s="1">
        <v>1</v>
      </c>
      <c r="M360" s="1">
        <v>100</v>
      </c>
      <c r="N360" s="1">
        <v>100</v>
      </c>
      <c r="Q360" s="37">
        <v>1</v>
      </c>
      <c r="R360" s="37" t="s">
        <v>815</v>
      </c>
      <c r="S360" s="37">
        <v>1000</v>
      </c>
      <c r="U360" s="2" t="s">
        <v>802</v>
      </c>
      <c r="V360" s="1">
        <f>VLOOKUP($A360,Sheet1!C59:M147,2,FALSE)</f>
        <v>0</v>
      </c>
      <c r="W360" s="1">
        <f>VLOOKUP($A360,Sheet1!$C$4:$M$92,3,FALSE)</f>
        <v>0</v>
      </c>
      <c r="X360" s="1">
        <f>VLOOKUP($A360,Sheet1!$C$4:$M$92,4,FALSE)</f>
        <v>0</v>
      </c>
      <c r="Y360" s="1">
        <v>0</v>
      </c>
      <c r="Z360" s="1">
        <v>0</v>
      </c>
      <c r="AA360" s="1">
        <v>0</v>
      </c>
      <c r="AB360" s="1">
        <f>VLOOKUP($A360,Sheet1!$C$4:$M$92,5,FALSE)</f>
        <v>0</v>
      </c>
      <c r="AC360" s="1">
        <f>VLOOKUP($A360,Sheet1!$C$4:$M$92,6,FALSE)</f>
        <v>40</v>
      </c>
      <c r="AD360" s="1">
        <f>VLOOKUP($A360,Sheet1!$C$4:$M$92,8,FALSE)</f>
        <v>0</v>
      </c>
      <c r="AE360" s="1">
        <f>VLOOKUP($A360,Sheet1!$C$4:$M$92,7,FALSE)</f>
        <v>0</v>
      </c>
      <c r="AF360" s="1">
        <v>10</v>
      </c>
    </row>
    <row r="361" spans="1:32" x14ac:dyDescent="0.15">
      <c r="A361" s="13" t="s">
        <v>237</v>
      </c>
      <c r="B361" s="1">
        <v>3156</v>
      </c>
      <c r="C361" s="14" t="s">
        <v>306</v>
      </c>
      <c r="D361" s="1">
        <v>4</v>
      </c>
      <c r="E361" s="1">
        <v>0</v>
      </c>
      <c r="F361" s="1">
        <v>0</v>
      </c>
      <c r="G361" s="1">
        <v>1</v>
      </c>
      <c r="H361" s="1">
        <v>0</v>
      </c>
      <c r="I361" s="1">
        <v>0</v>
      </c>
      <c r="J361" s="1">
        <v>0</v>
      </c>
      <c r="K361" s="1">
        <v>1</v>
      </c>
      <c r="L361" s="1">
        <v>1</v>
      </c>
      <c r="M361" s="1">
        <v>100</v>
      </c>
      <c r="N361" s="1">
        <v>100</v>
      </c>
      <c r="Q361" s="37" t="s">
        <v>818</v>
      </c>
      <c r="R361" s="37" t="s">
        <v>815</v>
      </c>
      <c r="S361" s="37">
        <v>1000</v>
      </c>
      <c r="U361" s="2" t="s">
        <v>802</v>
      </c>
      <c r="V361" s="1">
        <f>VLOOKUP($A361,Sheet1!C60:M148,2,FALSE)</f>
        <v>0</v>
      </c>
      <c r="W361" s="1">
        <f>VLOOKUP($A361,Sheet1!$C$4:$M$92,3,FALSE)</f>
        <v>0</v>
      </c>
      <c r="X361" s="1">
        <f>VLOOKUP($A361,Sheet1!$C$4:$M$92,4,FALSE)</f>
        <v>130</v>
      </c>
      <c r="Y361" s="1">
        <v>0</v>
      </c>
      <c r="Z361" s="1">
        <v>0</v>
      </c>
      <c r="AA361" s="1">
        <v>0</v>
      </c>
      <c r="AB361" s="1">
        <f>VLOOKUP($A361,Sheet1!$C$4:$M$92,5,FALSE)</f>
        <v>0</v>
      </c>
      <c r="AC361" s="1">
        <f>VLOOKUP($A361,Sheet1!$C$4:$M$92,6,FALSE)</f>
        <v>0</v>
      </c>
      <c r="AD361" s="1">
        <f>VLOOKUP($A361,Sheet1!$C$4:$M$92,8,FALSE)</f>
        <v>0</v>
      </c>
      <c r="AE361" s="1">
        <f>VLOOKUP($A361,Sheet1!$C$4:$M$92,7,FALSE)</f>
        <v>0</v>
      </c>
      <c r="AF361" s="1">
        <v>10</v>
      </c>
    </row>
    <row r="362" spans="1:32" x14ac:dyDescent="0.15">
      <c r="A362" s="13" t="s">
        <v>238</v>
      </c>
      <c r="B362" s="1">
        <v>3157</v>
      </c>
      <c r="C362" s="14" t="s">
        <v>307</v>
      </c>
      <c r="D362" s="1">
        <v>4</v>
      </c>
      <c r="E362" s="1">
        <v>0</v>
      </c>
      <c r="F362" s="1">
        <v>0</v>
      </c>
      <c r="G362" s="1">
        <v>1</v>
      </c>
      <c r="H362" s="1">
        <v>0</v>
      </c>
      <c r="I362" s="1">
        <v>0</v>
      </c>
      <c r="J362" s="1">
        <v>0</v>
      </c>
      <c r="K362" s="1">
        <v>1</v>
      </c>
      <c r="L362" s="1">
        <v>1</v>
      </c>
      <c r="M362" s="1">
        <v>100</v>
      </c>
      <c r="N362" s="1">
        <v>100</v>
      </c>
      <c r="Q362" s="37" t="s">
        <v>818</v>
      </c>
      <c r="R362" s="37" t="s">
        <v>815</v>
      </c>
      <c r="S362" s="37">
        <v>1000</v>
      </c>
      <c r="U362" s="2" t="s">
        <v>802</v>
      </c>
      <c r="V362" s="1">
        <f>VLOOKUP($A362,Sheet1!C61:M149,2,FALSE)</f>
        <v>0</v>
      </c>
      <c r="W362" s="1">
        <f>VLOOKUP($A362,Sheet1!$C$4:$M$92,3,FALSE)</f>
        <v>0</v>
      </c>
      <c r="X362" s="1">
        <f>VLOOKUP($A362,Sheet1!$C$4:$M$92,4,FALSE)</f>
        <v>140</v>
      </c>
      <c r="Y362" s="1">
        <v>0</v>
      </c>
      <c r="Z362" s="1">
        <v>0</v>
      </c>
      <c r="AA362" s="1">
        <v>0</v>
      </c>
      <c r="AB362" s="1">
        <f>VLOOKUP($A362,Sheet1!$C$4:$M$92,5,FALSE)</f>
        <v>0</v>
      </c>
      <c r="AC362" s="1">
        <f>VLOOKUP($A362,Sheet1!$C$4:$M$92,6,FALSE)</f>
        <v>0</v>
      </c>
      <c r="AD362" s="1">
        <f>VLOOKUP($A362,Sheet1!$C$4:$M$92,8,FALSE)</f>
        <v>0</v>
      </c>
      <c r="AE362" s="1">
        <f>VLOOKUP($A362,Sheet1!$C$4:$M$92,7,FALSE)</f>
        <v>0</v>
      </c>
      <c r="AF362" s="1">
        <v>10</v>
      </c>
    </row>
    <row r="363" spans="1:32" x14ac:dyDescent="0.15">
      <c r="A363" s="13" t="s">
        <v>239</v>
      </c>
      <c r="B363" s="1">
        <v>3158</v>
      </c>
      <c r="C363" s="14" t="s">
        <v>308</v>
      </c>
      <c r="D363" s="1">
        <v>4</v>
      </c>
      <c r="E363" s="1">
        <v>0</v>
      </c>
      <c r="F363" s="1">
        <v>0</v>
      </c>
      <c r="G363" s="1">
        <v>1</v>
      </c>
      <c r="H363" s="1">
        <v>0</v>
      </c>
      <c r="I363" s="1">
        <v>0</v>
      </c>
      <c r="J363" s="1">
        <v>0</v>
      </c>
      <c r="K363" s="1">
        <v>1</v>
      </c>
      <c r="L363" s="1">
        <v>1</v>
      </c>
      <c r="M363" s="1">
        <v>100</v>
      </c>
      <c r="N363" s="1">
        <v>100</v>
      </c>
      <c r="Q363" s="37" t="s">
        <v>818</v>
      </c>
      <c r="R363" s="37" t="s">
        <v>815</v>
      </c>
      <c r="S363" s="37">
        <v>1000</v>
      </c>
      <c r="U363" s="2" t="s">
        <v>802</v>
      </c>
      <c r="V363" s="1">
        <f>VLOOKUP($A363,Sheet1!C62:M150,2,FALSE)</f>
        <v>0</v>
      </c>
      <c r="W363" s="1">
        <f>VLOOKUP($A363,Sheet1!$C$4:$M$92,3,FALSE)</f>
        <v>120</v>
      </c>
      <c r="X363" s="1">
        <f>VLOOKUP($A363,Sheet1!$C$4:$M$92,4,FALSE)</f>
        <v>0</v>
      </c>
      <c r="Y363" s="1">
        <v>0</v>
      </c>
      <c r="Z363" s="1">
        <v>0</v>
      </c>
      <c r="AA363" s="1">
        <v>0</v>
      </c>
      <c r="AB363" s="1">
        <f>VLOOKUP($A363,Sheet1!$C$4:$M$92,5,FALSE)</f>
        <v>0</v>
      </c>
      <c r="AC363" s="1">
        <f>VLOOKUP($A363,Sheet1!$C$4:$M$92,6,FALSE)</f>
        <v>0</v>
      </c>
      <c r="AD363" s="1">
        <f>VLOOKUP($A363,Sheet1!$C$4:$M$92,8,FALSE)</f>
        <v>0</v>
      </c>
      <c r="AE363" s="1">
        <f>VLOOKUP($A363,Sheet1!$C$4:$M$92,7,FALSE)</f>
        <v>0</v>
      </c>
      <c r="AF363" s="1">
        <v>10</v>
      </c>
    </row>
    <row r="364" spans="1:32" x14ac:dyDescent="0.15">
      <c r="A364" s="13" t="s">
        <v>240</v>
      </c>
      <c r="B364" s="1">
        <v>3159</v>
      </c>
      <c r="C364" s="14" t="s">
        <v>309</v>
      </c>
      <c r="D364" s="1">
        <v>4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1</v>
      </c>
      <c r="L364" s="1">
        <v>1</v>
      </c>
      <c r="M364" s="1">
        <v>100</v>
      </c>
      <c r="N364" s="1">
        <v>100</v>
      </c>
      <c r="Q364" s="37" t="s">
        <v>818</v>
      </c>
      <c r="R364" s="37" t="s">
        <v>815</v>
      </c>
      <c r="S364" s="37">
        <v>1000</v>
      </c>
      <c r="U364" s="2" t="s">
        <v>802</v>
      </c>
      <c r="V364" s="1">
        <f>VLOOKUP($A364,Sheet1!C63:M151,2,FALSE)</f>
        <v>160</v>
      </c>
      <c r="W364" s="1">
        <f>VLOOKUP($A364,Sheet1!$C$4:$M$92,3,FALSE)</f>
        <v>0</v>
      </c>
      <c r="X364" s="1">
        <f>VLOOKUP($A364,Sheet1!$C$4:$M$92,4,FALSE)</f>
        <v>0</v>
      </c>
      <c r="Y364" s="1">
        <v>0</v>
      </c>
      <c r="Z364" s="1">
        <v>0</v>
      </c>
      <c r="AA364" s="1">
        <v>0</v>
      </c>
      <c r="AB364" s="1">
        <f>VLOOKUP($A364,Sheet1!$C$4:$M$92,5,FALSE)</f>
        <v>0</v>
      </c>
      <c r="AC364" s="1">
        <f>VLOOKUP($A364,Sheet1!$C$4:$M$92,6,FALSE)</f>
        <v>0</v>
      </c>
      <c r="AD364" s="1">
        <f>VLOOKUP($A364,Sheet1!$C$4:$M$92,8,FALSE)</f>
        <v>0</v>
      </c>
      <c r="AE364" s="1">
        <f>VLOOKUP($A364,Sheet1!$C$4:$M$92,7,FALSE)</f>
        <v>0</v>
      </c>
      <c r="AF364" s="1">
        <v>10</v>
      </c>
    </row>
    <row r="365" spans="1:32" x14ac:dyDescent="0.15">
      <c r="A365" s="13" t="s">
        <v>241</v>
      </c>
      <c r="B365" s="1">
        <v>3160</v>
      </c>
      <c r="C365" s="14" t="s">
        <v>310</v>
      </c>
      <c r="D365" s="1">
        <v>4</v>
      </c>
      <c r="E365" s="1">
        <v>0</v>
      </c>
      <c r="F365" s="1">
        <v>0</v>
      </c>
      <c r="G365" s="1">
        <v>1</v>
      </c>
      <c r="H365" s="1">
        <v>0</v>
      </c>
      <c r="I365" s="1">
        <v>0</v>
      </c>
      <c r="J365" s="1">
        <v>0</v>
      </c>
      <c r="K365" s="1">
        <v>1</v>
      </c>
      <c r="L365" s="1">
        <v>1</v>
      </c>
      <c r="M365" s="1">
        <v>100</v>
      </c>
      <c r="N365" s="1">
        <v>100</v>
      </c>
      <c r="Q365" s="37" t="s">
        <v>818</v>
      </c>
      <c r="R365" s="37" t="s">
        <v>815</v>
      </c>
      <c r="S365" s="37">
        <v>1000</v>
      </c>
      <c r="U365" s="2" t="s">
        <v>802</v>
      </c>
      <c r="V365" s="1">
        <f>VLOOKUP($A365,Sheet1!C64:M152,2,FALSE)</f>
        <v>180</v>
      </c>
      <c r="W365" s="1">
        <f>VLOOKUP($A365,Sheet1!$C$4:$M$92,3,FALSE)</f>
        <v>0</v>
      </c>
      <c r="X365" s="1">
        <f>VLOOKUP($A365,Sheet1!$C$4:$M$92,4,FALSE)</f>
        <v>0</v>
      </c>
      <c r="Y365" s="1">
        <v>0</v>
      </c>
      <c r="Z365" s="1">
        <v>0</v>
      </c>
      <c r="AA365" s="1">
        <v>0</v>
      </c>
      <c r="AB365" s="1">
        <f>VLOOKUP($A365,Sheet1!$C$4:$M$92,5,FALSE)</f>
        <v>0</v>
      </c>
      <c r="AC365" s="1">
        <f>VLOOKUP($A365,Sheet1!$C$4:$M$92,6,FALSE)</f>
        <v>0</v>
      </c>
      <c r="AD365" s="1">
        <f>VLOOKUP($A365,Sheet1!$C$4:$M$92,8,FALSE)</f>
        <v>0</v>
      </c>
      <c r="AE365" s="1">
        <f>VLOOKUP($A365,Sheet1!$C$4:$M$92,7,FALSE)</f>
        <v>0</v>
      </c>
      <c r="AF365" s="1">
        <v>10</v>
      </c>
    </row>
    <row r="366" spans="1:32" x14ac:dyDescent="0.15">
      <c r="A366" s="13" t="s">
        <v>242</v>
      </c>
      <c r="B366" s="1">
        <v>3161</v>
      </c>
      <c r="C366" s="14" t="s">
        <v>311</v>
      </c>
      <c r="D366" s="1">
        <v>4</v>
      </c>
      <c r="E366" s="1">
        <v>0</v>
      </c>
      <c r="F366" s="1">
        <v>0</v>
      </c>
      <c r="G366" s="1">
        <v>1</v>
      </c>
      <c r="H366" s="1">
        <v>0</v>
      </c>
      <c r="I366" s="1">
        <v>0</v>
      </c>
      <c r="J366" s="1">
        <v>0</v>
      </c>
      <c r="K366" s="1">
        <v>1</v>
      </c>
      <c r="L366" s="1">
        <v>1</v>
      </c>
      <c r="M366" s="1">
        <v>100</v>
      </c>
      <c r="N366" s="1">
        <v>100</v>
      </c>
      <c r="Q366" s="37" t="s">
        <v>818</v>
      </c>
      <c r="R366" s="37" t="s">
        <v>815</v>
      </c>
      <c r="S366" s="37">
        <v>1000</v>
      </c>
      <c r="U366" s="2" t="s">
        <v>802</v>
      </c>
      <c r="V366" s="1">
        <f>VLOOKUP($A366,Sheet1!C65:M153,2,FALSE)</f>
        <v>180</v>
      </c>
      <c r="W366" s="1">
        <f>VLOOKUP($A366,Sheet1!$C$4:$M$92,3,FALSE)</f>
        <v>0</v>
      </c>
      <c r="X366" s="1">
        <f>VLOOKUP($A366,Sheet1!$C$4:$M$92,4,FALSE)</f>
        <v>0</v>
      </c>
      <c r="Y366" s="1">
        <v>0</v>
      </c>
      <c r="Z366" s="1">
        <v>0</v>
      </c>
      <c r="AA366" s="1">
        <v>0</v>
      </c>
      <c r="AB366" s="1">
        <f>VLOOKUP($A366,Sheet1!$C$4:$M$92,5,FALSE)</f>
        <v>0</v>
      </c>
      <c r="AC366" s="1">
        <f>VLOOKUP($A366,Sheet1!$C$4:$M$92,6,FALSE)</f>
        <v>0</v>
      </c>
      <c r="AD366" s="1">
        <f>VLOOKUP($A366,Sheet1!$C$4:$M$92,8,FALSE)</f>
        <v>0</v>
      </c>
      <c r="AE366" s="1">
        <f>VLOOKUP($A366,Sheet1!$C$4:$M$92,7,FALSE)</f>
        <v>0</v>
      </c>
      <c r="AF366" s="1">
        <v>10</v>
      </c>
    </row>
    <row r="367" spans="1:32" x14ac:dyDescent="0.15">
      <c r="A367" s="13" t="s">
        <v>243</v>
      </c>
      <c r="B367" s="1">
        <v>3162</v>
      </c>
      <c r="C367" s="14" t="s">
        <v>312</v>
      </c>
      <c r="D367" s="1">
        <v>4</v>
      </c>
      <c r="E367" s="1">
        <v>0</v>
      </c>
      <c r="F367" s="1">
        <v>0</v>
      </c>
      <c r="G367" s="1">
        <v>1</v>
      </c>
      <c r="H367" s="1">
        <v>0</v>
      </c>
      <c r="I367" s="1">
        <v>0</v>
      </c>
      <c r="J367" s="1">
        <v>0</v>
      </c>
      <c r="K367" s="1">
        <v>1</v>
      </c>
      <c r="L367" s="1">
        <v>1</v>
      </c>
      <c r="M367" s="1">
        <v>100</v>
      </c>
      <c r="N367" s="1">
        <v>100</v>
      </c>
      <c r="Q367" s="37" t="s">
        <v>818</v>
      </c>
      <c r="R367" s="37" t="s">
        <v>815</v>
      </c>
      <c r="S367" s="37">
        <v>1000</v>
      </c>
      <c r="U367" s="2" t="s">
        <v>802</v>
      </c>
      <c r="V367" s="1">
        <f>VLOOKUP($A367,Sheet1!C66:M154,2,FALSE)</f>
        <v>200</v>
      </c>
      <c r="W367" s="1">
        <f>VLOOKUP($A367,Sheet1!$C$4:$M$92,3,FALSE)</f>
        <v>0</v>
      </c>
      <c r="X367" s="1">
        <f>VLOOKUP($A367,Sheet1!$C$4:$M$92,4,FALSE)</f>
        <v>0</v>
      </c>
      <c r="Y367" s="1">
        <v>0</v>
      </c>
      <c r="Z367" s="1">
        <v>0</v>
      </c>
      <c r="AA367" s="1">
        <v>0</v>
      </c>
      <c r="AB367" s="1">
        <f>VLOOKUP($A367,Sheet1!$C$4:$M$92,5,FALSE)</f>
        <v>0</v>
      </c>
      <c r="AC367" s="1">
        <f>VLOOKUP($A367,Sheet1!$C$4:$M$92,6,FALSE)</f>
        <v>0</v>
      </c>
      <c r="AD367" s="1">
        <f>VLOOKUP($A367,Sheet1!$C$4:$M$92,8,FALSE)</f>
        <v>0</v>
      </c>
      <c r="AE367" s="1">
        <f>VLOOKUP($A367,Sheet1!$C$4:$M$92,7,FALSE)</f>
        <v>0</v>
      </c>
      <c r="AF367" s="1">
        <v>10</v>
      </c>
    </row>
    <row r="368" spans="1:32" x14ac:dyDescent="0.15">
      <c r="A368" s="13" t="s">
        <v>244</v>
      </c>
      <c r="B368" s="1">
        <v>3163</v>
      </c>
      <c r="C368" s="14" t="s">
        <v>313</v>
      </c>
      <c r="D368" s="1">
        <v>4</v>
      </c>
      <c r="E368" s="1">
        <v>0</v>
      </c>
      <c r="F368" s="1">
        <v>0</v>
      </c>
      <c r="G368" s="1">
        <v>1</v>
      </c>
      <c r="H368" s="1">
        <v>0</v>
      </c>
      <c r="I368" s="1">
        <v>0</v>
      </c>
      <c r="J368" s="1">
        <v>0</v>
      </c>
      <c r="K368" s="1">
        <v>1</v>
      </c>
      <c r="L368" s="1">
        <v>1</v>
      </c>
      <c r="M368" s="1">
        <v>100</v>
      </c>
      <c r="N368" s="1">
        <v>100</v>
      </c>
      <c r="Q368" s="37">
        <v>1</v>
      </c>
      <c r="R368" s="37" t="s">
        <v>815</v>
      </c>
      <c r="S368" s="37">
        <v>1000</v>
      </c>
      <c r="U368" s="2" t="s">
        <v>802</v>
      </c>
      <c r="V368" s="1">
        <f>VLOOKUP($A368,Sheet1!C67:M155,2,FALSE)</f>
        <v>0</v>
      </c>
      <c r="W368" s="1">
        <f>VLOOKUP($A368,Sheet1!$C$4:$M$92,3,FALSE)</f>
        <v>0</v>
      </c>
      <c r="X368" s="1">
        <f>VLOOKUP($A368,Sheet1!$C$4:$M$92,4,FALSE)</f>
        <v>0</v>
      </c>
      <c r="Y368" s="1">
        <v>0</v>
      </c>
      <c r="Z368" s="1">
        <v>0</v>
      </c>
      <c r="AA368" s="1">
        <v>0</v>
      </c>
      <c r="AB368" s="1">
        <f>VLOOKUP($A368,Sheet1!$C$4:$M$92,5,FALSE)</f>
        <v>50</v>
      </c>
      <c r="AC368" s="1">
        <f>VLOOKUP($A368,Sheet1!$C$4:$M$92,6,FALSE)</f>
        <v>0</v>
      </c>
      <c r="AD368" s="1">
        <f>VLOOKUP($A368,Sheet1!$C$4:$M$92,8,FALSE)</f>
        <v>0</v>
      </c>
      <c r="AE368" s="1">
        <f>VLOOKUP($A368,Sheet1!$C$4:$M$92,7,FALSE)</f>
        <v>0</v>
      </c>
      <c r="AF368" s="1">
        <v>10</v>
      </c>
    </row>
    <row r="369" spans="1:32" x14ac:dyDescent="0.15">
      <c r="A369" s="13" t="s">
        <v>245</v>
      </c>
      <c r="B369" s="1">
        <v>3164</v>
      </c>
      <c r="C369" s="14" t="s">
        <v>314</v>
      </c>
      <c r="D369" s="1">
        <v>4</v>
      </c>
      <c r="E369" s="1">
        <v>0</v>
      </c>
      <c r="F369" s="1">
        <v>0</v>
      </c>
      <c r="G369" s="1">
        <v>1</v>
      </c>
      <c r="H369" s="1">
        <v>0</v>
      </c>
      <c r="I369" s="1">
        <v>0</v>
      </c>
      <c r="J369" s="1">
        <v>0</v>
      </c>
      <c r="K369" s="1">
        <v>1</v>
      </c>
      <c r="L369" s="1">
        <v>1</v>
      </c>
      <c r="M369" s="1">
        <v>100</v>
      </c>
      <c r="N369" s="1">
        <v>100</v>
      </c>
      <c r="Q369" s="37">
        <v>1</v>
      </c>
      <c r="R369" s="37" t="s">
        <v>815</v>
      </c>
      <c r="S369" s="37">
        <v>1000</v>
      </c>
      <c r="U369" s="2" t="s">
        <v>802</v>
      </c>
      <c r="V369" s="1">
        <f>VLOOKUP($A369,Sheet1!C68:M156,2,FALSE)</f>
        <v>0</v>
      </c>
      <c r="W369" s="1">
        <f>VLOOKUP($A369,Sheet1!$C$4:$M$92,3,FALSE)</f>
        <v>0</v>
      </c>
      <c r="X369" s="1">
        <f>VLOOKUP($A369,Sheet1!$C$4:$M$92,4,FALSE)</f>
        <v>0</v>
      </c>
      <c r="Y369" s="1">
        <v>0</v>
      </c>
      <c r="Z369" s="1">
        <v>0</v>
      </c>
      <c r="AA369" s="1">
        <v>0</v>
      </c>
      <c r="AB369" s="1">
        <f>VLOOKUP($A369,Sheet1!$C$4:$M$92,5,FALSE)</f>
        <v>50</v>
      </c>
      <c r="AC369" s="1">
        <f>VLOOKUP($A369,Sheet1!$C$4:$M$92,6,FALSE)</f>
        <v>0</v>
      </c>
      <c r="AD369" s="1">
        <f>VLOOKUP($A369,Sheet1!$C$4:$M$92,8,FALSE)</f>
        <v>0</v>
      </c>
      <c r="AE369" s="1">
        <f>VLOOKUP($A369,Sheet1!$C$4:$M$92,7,FALSE)</f>
        <v>0</v>
      </c>
      <c r="AF369" s="1">
        <v>10</v>
      </c>
    </row>
    <row r="370" spans="1:32" x14ac:dyDescent="0.15">
      <c r="A370" s="13" t="s">
        <v>246</v>
      </c>
      <c r="B370" s="1">
        <v>3165</v>
      </c>
      <c r="C370" s="14" t="s">
        <v>315</v>
      </c>
      <c r="D370" s="1">
        <v>4</v>
      </c>
      <c r="E370" s="1">
        <v>0</v>
      </c>
      <c r="F370" s="1">
        <v>0</v>
      </c>
      <c r="G370" s="1">
        <v>1</v>
      </c>
      <c r="H370" s="1">
        <v>0</v>
      </c>
      <c r="I370" s="1">
        <v>0</v>
      </c>
      <c r="J370" s="1">
        <v>0</v>
      </c>
      <c r="K370" s="1">
        <v>1</v>
      </c>
      <c r="L370" s="1">
        <v>1</v>
      </c>
      <c r="M370" s="1">
        <v>100</v>
      </c>
      <c r="N370" s="1">
        <v>100</v>
      </c>
      <c r="Q370" s="37">
        <v>1</v>
      </c>
      <c r="R370" s="37" t="s">
        <v>815</v>
      </c>
      <c r="S370" s="37">
        <v>1000</v>
      </c>
      <c r="U370" s="2" t="s">
        <v>802</v>
      </c>
      <c r="V370" s="1">
        <f>VLOOKUP($A370,Sheet1!C69:M157,2,FALSE)</f>
        <v>0</v>
      </c>
      <c r="W370" s="1">
        <f>VLOOKUP($A370,Sheet1!$C$4:$M$92,3,FALSE)</f>
        <v>0</v>
      </c>
      <c r="X370" s="1">
        <f>VLOOKUP($A370,Sheet1!$C$4:$M$92,4,FALSE)</f>
        <v>0</v>
      </c>
      <c r="Y370" s="1">
        <v>0</v>
      </c>
      <c r="Z370" s="1">
        <v>0</v>
      </c>
      <c r="AA370" s="1">
        <v>0</v>
      </c>
      <c r="AB370" s="1">
        <f>VLOOKUP($A370,Sheet1!$C$4:$M$92,5,FALSE)</f>
        <v>60</v>
      </c>
      <c r="AC370" s="1">
        <f>VLOOKUP($A370,Sheet1!$C$4:$M$92,6,FALSE)</f>
        <v>0</v>
      </c>
      <c r="AD370" s="1">
        <f>VLOOKUP($A370,Sheet1!$C$4:$M$92,8,FALSE)</f>
        <v>0</v>
      </c>
      <c r="AE370" s="1">
        <f>VLOOKUP($A370,Sheet1!$C$4:$M$92,7,FALSE)</f>
        <v>0</v>
      </c>
      <c r="AF370" s="1">
        <v>10</v>
      </c>
    </row>
    <row r="371" spans="1:32" x14ac:dyDescent="0.15">
      <c r="A371" s="13" t="s">
        <v>247</v>
      </c>
      <c r="B371" s="1">
        <v>3166</v>
      </c>
      <c r="C371" s="14" t="s">
        <v>316</v>
      </c>
      <c r="D371" s="1">
        <v>4</v>
      </c>
      <c r="E371" s="1">
        <v>0</v>
      </c>
      <c r="F371" s="1">
        <v>0</v>
      </c>
      <c r="G371" s="1">
        <v>1</v>
      </c>
      <c r="H371" s="1">
        <v>0</v>
      </c>
      <c r="I371" s="1">
        <v>0</v>
      </c>
      <c r="J371" s="1">
        <v>0</v>
      </c>
      <c r="K371" s="1">
        <v>1</v>
      </c>
      <c r="L371" s="1">
        <v>1</v>
      </c>
      <c r="M371" s="1">
        <v>100</v>
      </c>
      <c r="N371" s="1">
        <v>100</v>
      </c>
      <c r="Q371" s="37" t="s">
        <v>818</v>
      </c>
      <c r="R371" s="37" t="s">
        <v>815</v>
      </c>
      <c r="S371" s="37">
        <v>1000</v>
      </c>
      <c r="U371" s="2" t="s">
        <v>802</v>
      </c>
      <c r="V371" s="1">
        <f>VLOOKUP($A371,Sheet1!C70:M158,2,FALSE)</f>
        <v>0</v>
      </c>
      <c r="W371" s="1">
        <f>VLOOKUP($A371,Sheet1!$C$4:$M$92,3,FALSE)</f>
        <v>150</v>
      </c>
      <c r="X371" s="1">
        <f>VLOOKUP($A371,Sheet1!$C$4:$M$92,4,FALSE)</f>
        <v>0</v>
      </c>
      <c r="Y371" s="1">
        <v>0</v>
      </c>
      <c r="Z371" s="1">
        <v>0</v>
      </c>
      <c r="AA371" s="1">
        <v>0</v>
      </c>
      <c r="AB371" s="1">
        <f>VLOOKUP($A371,Sheet1!$C$4:$M$92,5,FALSE)</f>
        <v>0</v>
      </c>
      <c r="AC371" s="1">
        <f>VLOOKUP($A371,Sheet1!$C$4:$M$92,6,FALSE)</f>
        <v>45</v>
      </c>
      <c r="AD371" s="1">
        <f>VLOOKUP($A371,Sheet1!$C$4:$M$92,8,FALSE)</f>
        <v>0</v>
      </c>
      <c r="AE371" s="1">
        <f>VLOOKUP($A371,Sheet1!$C$4:$M$92,7,FALSE)</f>
        <v>0</v>
      </c>
      <c r="AF371" s="1">
        <v>10</v>
      </c>
    </row>
    <row r="372" spans="1:32" x14ac:dyDescent="0.15">
      <c r="A372" s="13" t="s">
        <v>248</v>
      </c>
      <c r="B372" s="1">
        <v>3167</v>
      </c>
      <c r="C372" s="14" t="s">
        <v>317</v>
      </c>
      <c r="D372" s="1">
        <v>4</v>
      </c>
      <c r="E372" s="1">
        <v>0</v>
      </c>
      <c r="F372" s="1">
        <v>0</v>
      </c>
      <c r="G372" s="1">
        <v>1</v>
      </c>
      <c r="H372" s="1">
        <v>0</v>
      </c>
      <c r="I372" s="1">
        <v>0</v>
      </c>
      <c r="J372" s="1">
        <v>0</v>
      </c>
      <c r="K372" s="1">
        <v>1</v>
      </c>
      <c r="L372" s="1">
        <v>1</v>
      </c>
      <c r="M372" s="1">
        <v>100</v>
      </c>
      <c r="N372" s="1">
        <v>100</v>
      </c>
      <c r="Q372" s="37" t="s">
        <v>818</v>
      </c>
      <c r="R372" s="37" t="s">
        <v>815</v>
      </c>
      <c r="S372" s="37">
        <v>1000</v>
      </c>
      <c r="U372" s="2" t="s">
        <v>802</v>
      </c>
      <c r="V372" s="1">
        <f>VLOOKUP($A372,Sheet1!C71:M159,2,FALSE)</f>
        <v>0</v>
      </c>
      <c r="W372" s="1">
        <f>VLOOKUP($A372,Sheet1!$C$4:$M$92,3,FALSE)</f>
        <v>160</v>
      </c>
      <c r="X372" s="1">
        <f>VLOOKUP($A372,Sheet1!$C$4:$M$92,4,FALSE)</f>
        <v>0</v>
      </c>
      <c r="Y372" s="1">
        <v>0</v>
      </c>
      <c r="Z372" s="1">
        <v>0</v>
      </c>
      <c r="AA372" s="1">
        <v>0</v>
      </c>
      <c r="AB372" s="1">
        <f>VLOOKUP($A372,Sheet1!$C$4:$M$92,5,FALSE)</f>
        <v>0</v>
      </c>
      <c r="AC372" s="1">
        <f>VLOOKUP($A372,Sheet1!$C$4:$M$92,6,FALSE)</f>
        <v>0</v>
      </c>
      <c r="AD372" s="1">
        <f>VLOOKUP($A372,Sheet1!$C$4:$M$92,8,FALSE)</f>
        <v>0</v>
      </c>
      <c r="AE372" s="1">
        <f>VLOOKUP($A372,Sheet1!$C$4:$M$92,7,FALSE)</f>
        <v>0</v>
      </c>
      <c r="AF372" s="1">
        <v>10</v>
      </c>
    </row>
    <row r="373" spans="1:32" x14ac:dyDescent="0.15">
      <c r="A373" s="13" t="s">
        <v>249</v>
      </c>
      <c r="B373" s="1">
        <v>3168</v>
      </c>
      <c r="C373" s="14" t="s">
        <v>318</v>
      </c>
      <c r="D373" s="1">
        <v>4</v>
      </c>
      <c r="E373" s="1">
        <v>0</v>
      </c>
      <c r="F373" s="1">
        <v>0</v>
      </c>
      <c r="G373" s="1">
        <v>1</v>
      </c>
      <c r="H373" s="1">
        <v>0</v>
      </c>
      <c r="I373" s="1">
        <v>0</v>
      </c>
      <c r="J373" s="1">
        <v>0</v>
      </c>
      <c r="K373" s="1">
        <v>1</v>
      </c>
      <c r="L373" s="1">
        <v>1</v>
      </c>
      <c r="M373" s="1">
        <v>100</v>
      </c>
      <c r="N373" s="1">
        <v>100</v>
      </c>
      <c r="Q373" s="37" t="s">
        <v>818</v>
      </c>
      <c r="R373" s="37" t="s">
        <v>815</v>
      </c>
      <c r="S373" s="37">
        <v>1000</v>
      </c>
      <c r="U373" s="2" t="s">
        <v>802</v>
      </c>
      <c r="V373" s="1">
        <f>VLOOKUP($A373,Sheet1!C72:M160,2,FALSE)</f>
        <v>0</v>
      </c>
      <c r="W373" s="1">
        <f>VLOOKUP($A373,Sheet1!$C$4:$M$92,3,FALSE)</f>
        <v>0</v>
      </c>
      <c r="X373" s="1">
        <f>VLOOKUP($A373,Sheet1!$C$4:$M$92,4,FALSE)</f>
        <v>150</v>
      </c>
      <c r="Y373" s="1">
        <v>0</v>
      </c>
      <c r="Z373" s="1">
        <v>0</v>
      </c>
      <c r="AA373" s="1">
        <v>0</v>
      </c>
      <c r="AB373" s="1">
        <f>VLOOKUP($A373,Sheet1!$C$4:$M$92,5,FALSE)</f>
        <v>0</v>
      </c>
      <c r="AC373" s="1">
        <f>VLOOKUP($A373,Sheet1!$C$4:$M$92,6,FALSE)</f>
        <v>45</v>
      </c>
      <c r="AD373" s="1">
        <f>VLOOKUP($A373,Sheet1!$C$4:$M$92,8,FALSE)</f>
        <v>0</v>
      </c>
      <c r="AE373" s="1">
        <f>VLOOKUP($A373,Sheet1!$C$4:$M$92,7,FALSE)</f>
        <v>0</v>
      </c>
      <c r="AF373" s="1">
        <v>10</v>
      </c>
    </row>
    <row r="374" spans="1:32" x14ac:dyDescent="0.15">
      <c r="A374" s="13" t="s">
        <v>250</v>
      </c>
      <c r="B374" s="1">
        <v>3169</v>
      </c>
      <c r="C374" s="14" t="s">
        <v>329</v>
      </c>
      <c r="D374" s="1">
        <v>4</v>
      </c>
      <c r="E374" s="1">
        <v>0</v>
      </c>
      <c r="F374" s="1">
        <v>0</v>
      </c>
      <c r="G374" s="1">
        <v>1</v>
      </c>
      <c r="H374" s="1">
        <v>0</v>
      </c>
      <c r="I374" s="1">
        <v>0</v>
      </c>
      <c r="J374" s="1">
        <v>0</v>
      </c>
      <c r="K374" s="1">
        <v>1</v>
      </c>
      <c r="L374" s="1">
        <v>1</v>
      </c>
      <c r="M374" s="1">
        <v>100</v>
      </c>
      <c r="N374" s="1">
        <v>100</v>
      </c>
      <c r="Q374" s="37" t="s">
        <v>818</v>
      </c>
      <c r="R374" s="37" t="s">
        <v>815</v>
      </c>
      <c r="S374" s="37">
        <v>1000</v>
      </c>
      <c r="U374" s="2" t="s">
        <v>802</v>
      </c>
      <c r="V374" s="1">
        <f>VLOOKUP($A374,Sheet1!C73:M161,2,FALSE)</f>
        <v>140</v>
      </c>
      <c r="W374" s="1">
        <f>VLOOKUP($A374,Sheet1!$C$4:$M$92,3,FALSE)</f>
        <v>100</v>
      </c>
      <c r="X374" s="1">
        <f>VLOOKUP($A374,Sheet1!$C$4:$M$92,4,FALSE)</f>
        <v>0</v>
      </c>
      <c r="Y374" s="1">
        <v>0</v>
      </c>
      <c r="Z374" s="1">
        <v>0</v>
      </c>
      <c r="AA374" s="1">
        <v>0</v>
      </c>
      <c r="AB374" s="1">
        <f>VLOOKUP($A374,Sheet1!$C$4:$M$92,5,FALSE)</f>
        <v>0</v>
      </c>
      <c r="AC374" s="1">
        <f>VLOOKUP($A374,Sheet1!$C$4:$M$92,6,FALSE)</f>
        <v>0</v>
      </c>
      <c r="AD374" s="1">
        <f>VLOOKUP($A374,Sheet1!$C$4:$M$92,8,FALSE)</f>
        <v>0</v>
      </c>
      <c r="AE374" s="1">
        <f>VLOOKUP($A374,Sheet1!$C$4:$M$92,7,FALSE)</f>
        <v>0</v>
      </c>
      <c r="AF374" s="1">
        <v>10</v>
      </c>
    </row>
    <row r="375" spans="1:32" x14ac:dyDescent="0.15">
      <c r="A375" s="13" t="s">
        <v>251</v>
      </c>
      <c r="B375" s="1">
        <v>3170</v>
      </c>
      <c r="C375" s="14" t="s">
        <v>319</v>
      </c>
      <c r="D375" s="1">
        <v>4</v>
      </c>
      <c r="E375" s="1">
        <v>0</v>
      </c>
      <c r="F375" s="1">
        <v>0</v>
      </c>
      <c r="G375" s="1">
        <v>1</v>
      </c>
      <c r="H375" s="1">
        <v>0</v>
      </c>
      <c r="I375" s="1">
        <v>0</v>
      </c>
      <c r="J375" s="1">
        <v>0</v>
      </c>
      <c r="K375" s="1">
        <v>1</v>
      </c>
      <c r="L375" s="1">
        <v>1</v>
      </c>
      <c r="M375" s="1">
        <v>100</v>
      </c>
      <c r="N375" s="1">
        <v>100</v>
      </c>
      <c r="Q375" s="37">
        <v>1</v>
      </c>
      <c r="R375" s="37" t="s">
        <v>815</v>
      </c>
      <c r="S375" s="37">
        <v>1000</v>
      </c>
      <c r="U375" s="2" t="s">
        <v>802</v>
      </c>
      <c r="V375" s="1">
        <f>VLOOKUP($A375,Sheet1!C74:M162,2,FALSE)</f>
        <v>0</v>
      </c>
      <c r="W375" s="1">
        <f>VLOOKUP($A375,Sheet1!$C$4:$M$92,3,FALSE)</f>
        <v>0</v>
      </c>
      <c r="X375" s="1">
        <f>VLOOKUP($A375,Sheet1!$C$4:$M$92,4,FALSE)</f>
        <v>0</v>
      </c>
      <c r="Y375" s="1">
        <v>0</v>
      </c>
      <c r="Z375" s="1">
        <v>0</v>
      </c>
      <c r="AA375" s="1">
        <v>0</v>
      </c>
      <c r="AB375" s="1">
        <f>VLOOKUP($A375,Sheet1!$C$4:$M$92,5,FALSE)</f>
        <v>0</v>
      </c>
      <c r="AC375" s="1">
        <f>VLOOKUP($A375,Sheet1!$C$4:$M$92,6,FALSE)</f>
        <v>50</v>
      </c>
      <c r="AD375" s="1">
        <f>VLOOKUP($A375,Sheet1!$C$4:$M$92,8,FALSE)</f>
        <v>0</v>
      </c>
      <c r="AE375" s="1">
        <f>VLOOKUP($A375,Sheet1!$C$4:$M$92,7,FALSE)</f>
        <v>0</v>
      </c>
      <c r="AF375" s="1">
        <v>10</v>
      </c>
    </row>
    <row r="376" spans="1:32" x14ac:dyDescent="0.15">
      <c r="A376" s="13" t="s">
        <v>321</v>
      </c>
      <c r="B376" s="1">
        <v>3171</v>
      </c>
      <c r="C376" s="14" t="s">
        <v>252</v>
      </c>
      <c r="D376" s="1">
        <v>4</v>
      </c>
      <c r="E376" s="1">
        <v>0</v>
      </c>
      <c r="F376" s="1">
        <v>0</v>
      </c>
      <c r="G376" s="1">
        <v>1</v>
      </c>
      <c r="H376" s="1">
        <v>0</v>
      </c>
      <c r="I376" s="1">
        <v>0</v>
      </c>
      <c r="J376" s="1">
        <v>0</v>
      </c>
      <c r="K376" s="1">
        <v>1</v>
      </c>
      <c r="L376" s="1">
        <v>1</v>
      </c>
      <c r="M376" s="1">
        <v>100</v>
      </c>
      <c r="N376" s="1">
        <v>100</v>
      </c>
      <c r="Q376" s="37">
        <v>1</v>
      </c>
      <c r="R376" s="37" t="s">
        <v>815</v>
      </c>
      <c r="S376" s="37">
        <v>1000</v>
      </c>
      <c r="U376" s="2" t="s">
        <v>802</v>
      </c>
      <c r="V376" s="1">
        <f>VLOOKUP($A376,Sheet1!C75:M163,2,FALSE)</f>
        <v>0</v>
      </c>
      <c r="W376" s="1">
        <f>VLOOKUP($A376,Sheet1!$C$4:$M$92,3,FALSE)</f>
        <v>0</v>
      </c>
      <c r="X376" s="1">
        <f>VLOOKUP($A376,Sheet1!$C$4:$M$92,4,FALSE)</f>
        <v>0</v>
      </c>
      <c r="Y376" s="1">
        <v>0</v>
      </c>
      <c r="Z376" s="1">
        <v>0</v>
      </c>
      <c r="AA376" s="1">
        <v>0</v>
      </c>
      <c r="AB376" s="1">
        <f>VLOOKUP($A376,Sheet1!$C$4:$M$92,5,FALSE)</f>
        <v>0</v>
      </c>
      <c r="AC376" s="1">
        <f>VLOOKUP($A376,Sheet1!$C$4:$M$92,6,FALSE)</f>
        <v>0</v>
      </c>
      <c r="AD376" s="1">
        <f>VLOOKUP($A376,Sheet1!$C$4:$M$92,8,FALSE)</f>
        <v>0</v>
      </c>
      <c r="AE376" s="1">
        <f>VLOOKUP($A376,Sheet1!$C$4:$M$92,7,FALSE)</f>
        <v>32</v>
      </c>
      <c r="AF376" s="1">
        <v>10</v>
      </c>
    </row>
    <row r="377" spans="1:32" x14ac:dyDescent="0.15">
      <c r="A377" s="13" t="s">
        <v>320</v>
      </c>
      <c r="B377" s="1">
        <v>3172</v>
      </c>
      <c r="C377" s="14" t="s">
        <v>253</v>
      </c>
      <c r="D377" s="1">
        <v>4</v>
      </c>
      <c r="E377" s="1">
        <v>0</v>
      </c>
      <c r="F377" s="1">
        <v>0</v>
      </c>
      <c r="G377" s="1">
        <v>1</v>
      </c>
      <c r="H377" s="1">
        <v>0</v>
      </c>
      <c r="I377" s="1">
        <v>0</v>
      </c>
      <c r="J377" s="1">
        <v>0</v>
      </c>
      <c r="K377" s="1">
        <v>1</v>
      </c>
      <c r="L377" s="1">
        <v>1</v>
      </c>
      <c r="M377" s="1">
        <v>100</v>
      </c>
      <c r="N377" s="1">
        <v>100</v>
      </c>
      <c r="Q377" s="37">
        <v>1</v>
      </c>
      <c r="R377" s="37" t="s">
        <v>815</v>
      </c>
      <c r="S377" s="37">
        <v>1000</v>
      </c>
      <c r="U377" s="2" t="s">
        <v>802</v>
      </c>
      <c r="V377" s="1">
        <f>VLOOKUP($A377,Sheet1!C76:M164,2,FALSE)</f>
        <v>0</v>
      </c>
      <c r="W377" s="1">
        <f>VLOOKUP($A377,Sheet1!$C$4:$M$92,3,FALSE)</f>
        <v>0</v>
      </c>
      <c r="X377" s="1">
        <f>VLOOKUP($A377,Sheet1!$C$4:$M$92,4,FALSE)</f>
        <v>0</v>
      </c>
      <c r="Y377" s="1">
        <v>0</v>
      </c>
      <c r="Z377" s="1">
        <v>0</v>
      </c>
      <c r="AA377" s="1">
        <v>0</v>
      </c>
      <c r="AB377" s="1">
        <f>VLOOKUP($A377,Sheet1!$C$4:$M$92,5,FALSE)</f>
        <v>0</v>
      </c>
      <c r="AC377" s="1">
        <f>VLOOKUP($A377,Sheet1!$C$4:$M$92,6,FALSE)</f>
        <v>55</v>
      </c>
      <c r="AD377" s="1">
        <f>VLOOKUP($A377,Sheet1!$C$4:$M$92,8,FALSE)</f>
        <v>0</v>
      </c>
      <c r="AE377" s="1">
        <f>VLOOKUP($A377,Sheet1!$C$4:$M$92,7,FALSE)</f>
        <v>0</v>
      </c>
      <c r="AF377" s="1">
        <v>10</v>
      </c>
    </row>
    <row r="378" spans="1:32" x14ac:dyDescent="0.15">
      <c r="A378" s="13" t="s">
        <v>322</v>
      </c>
      <c r="B378" s="1">
        <v>3173</v>
      </c>
      <c r="C378" s="14" t="s">
        <v>254</v>
      </c>
      <c r="D378" s="1">
        <v>4</v>
      </c>
      <c r="E378" s="1">
        <v>0</v>
      </c>
      <c r="F378" s="1">
        <v>0</v>
      </c>
      <c r="G378" s="1">
        <v>1</v>
      </c>
      <c r="H378" s="1">
        <v>0</v>
      </c>
      <c r="I378" s="1">
        <v>0</v>
      </c>
      <c r="J378" s="1">
        <v>0</v>
      </c>
      <c r="K378" s="1">
        <v>1</v>
      </c>
      <c r="L378" s="1">
        <v>1</v>
      </c>
      <c r="M378" s="1">
        <v>100</v>
      </c>
      <c r="N378" s="1">
        <v>100</v>
      </c>
      <c r="Q378" s="37" t="s">
        <v>818</v>
      </c>
      <c r="R378" s="37" t="s">
        <v>815</v>
      </c>
      <c r="S378" s="37">
        <v>1000</v>
      </c>
      <c r="U378" s="2" t="s">
        <v>802</v>
      </c>
      <c r="V378" s="1">
        <f>VLOOKUP($A378,Sheet1!C77:M165,2,FALSE)</f>
        <v>0</v>
      </c>
      <c r="W378" s="1">
        <f>VLOOKUP($A378,Sheet1!$C$4:$M$92,3,FALSE)</f>
        <v>180</v>
      </c>
      <c r="X378" s="1">
        <f>VLOOKUP($A378,Sheet1!$C$4:$M$92,4,FALSE)</f>
        <v>0</v>
      </c>
      <c r="Y378" s="1">
        <v>0</v>
      </c>
      <c r="Z378" s="1">
        <v>0</v>
      </c>
      <c r="AA378" s="1">
        <v>0</v>
      </c>
      <c r="AB378" s="1">
        <f>VLOOKUP($A378,Sheet1!$C$4:$M$92,5,FALSE)</f>
        <v>0</v>
      </c>
      <c r="AC378" s="1">
        <f>VLOOKUP($A378,Sheet1!$C$4:$M$92,6,FALSE)</f>
        <v>0</v>
      </c>
      <c r="AD378" s="1">
        <f>VLOOKUP($A378,Sheet1!$C$4:$M$92,8,FALSE)</f>
        <v>0</v>
      </c>
      <c r="AE378" s="1">
        <f>VLOOKUP($A378,Sheet1!$C$4:$M$92,7,FALSE)</f>
        <v>0</v>
      </c>
      <c r="AF378" s="1">
        <v>10</v>
      </c>
    </row>
    <row r="379" spans="1:32" x14ac:dyDescent="0.15">
      <c r="A379" s="13" t="s">
        <v>255</v>
      </c>
      <c r="B379" s="1">
        <v>3174</v>
      </c>
      <c r="C379" s="14" t="s">
        <v>323</v>
      </c>
      <c r="D379" s="1">
        <v>4</v>
      </c>
      <c r="E379" s="1">
        <v>0</v>
      </c>
      <c r="F379" s="1">
        <v>0</v>
      </c>
      <c r="G379" s="1">
        <v>1</v>
      </c>
      <c r="H379" s="1">
        <v>0</v>
      </c>
      <c r="I379" s="1">
        <v>0</v>
      </c>
      <c r="J379" s="1">
        <v>0</v>
      </c>
      <c r="K379" s="1">
        <v>1</v>
      </c>
      <c r="L379" s="1">
        <v>1</v>
      </c>
      <c r="M379" s="1">
        <v>100</v>
      </c>
      <c r="N379" s="1">
        <v>100</v>
      </c>
      <c r="Q379" s="37">
        <v>1</v>
      </c>
      <c r="R379" s="37" t="s">
        <v>815</v>
      </c>
      <c r="S379" s="37">
        <v>1000</v>
      </c>
      <c r="U379" s="2" t="s">
        <v>802</v>
      </c>
      <c r="V379" s="1">
        <f>VLOOKUP($A379,Sheet1!C78:M166,2,FALSE)</f>
        <v>0</v>
      </c>
      <c r="W379" s="1">
        <f>VLOOKUP($A379,Sheet1!$C$4:$M$92,3,FALSE)</f>
        <v>0</v>
      </c>
      <c r="X379" s="1">
        <f>VLOOKUP($A379,Sheet1!$C$4:$M$92,4,FALSE)</f>
        <v>0</v>
      </c>
      <c r="Y379" s="1">
        <v>0</v>
      </c>
      <c r="Z379" s="1">
        <v>0</v>
      </c>
      <c r="AA379" s="1">
        <v>0</v>
      </c>
      <c r="AB379" s="1">
        <f>VLOOKUP($A379,Sheet1!$C$4:$M$92,5,FALSE)</f>
        <v>0</v>
      </c>
      <c r="AC379" s="1">
        <f>VLOOKUP($A379,Sheet1!$C$4:$M$92,6,FALSE)</f>
        <v>0</v>
      </c>
      <c r="AD379" s="1">
        <f>VLOOKUP($A379,Sheet1!$C$4:$M$92,8,FALSE)</f>
        <v>0</v>
      </c>
      <c r="AE379" s="1">
        <f>VLOOKUP($A379,Sheet1!$C$4:$M$92,7,FALSE)</f>
        <v>35</v>
      </c>
      <c r="AF379" s="1">
        <v>10</v>
      </c>
    </row>
    <row r="380" spans="1:32" x14ac:dyDescent="0.15">
      <c r="A380" s="13" t="s">
        <v>324</v>
      </c>
      <c r="B380" s="1">
        <v>3175</v>
      </c>
      <c r="C380" s="14" t="s">
        <v>256</v>
      </c>
      <c r="D380" s="1">
        <v>4</v>
      </c>
      <c r="E380" s="1">
        <v>0</v>
      </c>
      <c r="F380" s="1">
        <v>0</v>
      </c>
      <c r="G380" s="1">
        <v>1</v>
      </c>
      <c r="H380" s="1">
        <v>0</v>
      </c>
      <c r="I380" s="1">
        <v>0</v>
      </c>
      <c r="J380" s="1">
        <v>0</v>
      </c>
      <c r="K380" s="1">
        <v>1</v>
      </c>
      <c r="L380" s="1">
        <v>1</v>
      </c>
      <c r="M380" s="1">
        <v>100</v>
      </c>
      <c r="N380" s="1">
        <v>100</v>
      </c>
      <c r="Q380" s="37">
        <v>1</v>
      </c>
      <c r="R380" s="37" t="s">
        <v>815</v>
      </c>
      <c r="S380" s="37">
        <v>1000</v>
      </c>
      <c r="U380" s="2" t="s">
        <v>802</v>
      </c>
      <c r="V380" s="1">
        <f>VLOOKUP($A380,Sheet1!C79:M167,2,FALSE)</f>
        <v>0</v>
      </c>
      <c r="W380" s="1">
        <f>VLOOKUP($A380,Sheet1!$C$4:$M$92,3,FALSE)</f>
        <v>0</v>
      </c>
      <c r="X380" s="1">
        <f>VLOOKUP($A380,Sheet1!$C$4:$M$92,4,FALSE)</f>
        <v>0</v>
      </c>
      <c r="Y380" s="1">
        <v>0</v>
      </c>
      <c r="Z380" s="1">
        <v>0</v>
      </c>
      <c r="AA380" s="1">
        <v>0</v>
      </c>
      <c r="AB380" s="1">
        <f>VLOOKUP($A380,Sheet1!$C$4:$M$92,5,FALSE)</f>
        <v>0</v>
      </c>
      <c r="AC380" s="1">
        <f>VLOOKUP($A380,Sheet1!$C$4:$M$92,6,FALSE)</f>
        <v>0</v>
      </c>
      <c r="AD380" s="1">
        <f>VLOOKUP($A380,Sheet1!$C$4:$M$92,8,FALSE)</f>
        <v>0</v>
      </c>
      <c r="AE380" s="1">
        <f>VLOOKUP($A380,Sheet1!$C$4:$M$92,7,FALSE)</f>
        <v>40</v>
      </c>
      <c r="AF380" s="1">
        <v>10</v>
      </c>
    </row>
    <row r="381" spans="1:32" x14ac:dyDescent="0.15">
      <c r="A381" s="13" t="s">
        <v>257</v>
      </c>
      <c r="B381" s="1">
        <v>3176</v>
      </c>
      <c r="C381" s="14" t="s">
        <v>325</v>
      </c>
      <c r="D381" s="1">
        <v>4</v>
      </c>
      <c r="E381" s="1">
        <v>0</v>
      </c>
      <c r="F381" s="1">
        <v>0</v>
      </c>
      <c r="G381" s="1">
        <v>1</v>
      </c>
      <c r="H381" s="1">
        <v>0</v>
      </c>
      <c r="I381" s="1">
        <v>0</v>
      </c>
      <c r="J381" s="1">
        <v>0</v>
      </c>
      <c r="K381" s="1">
        <v>1</v>
      </c>
      <c r="L381" s="1">
        <v>1</v>
      </c>
      <c r="M381" s="1">
        <v>100</v>
      </c>
      <c r="N381" s="1">
        <v>100</v>
      </c>
      <c r="Q381" s="37" t="s">
        <v>818</v>
      </c>
      <c r="R381" s="37" t="s">
        <v>815</v>
      </c>
      <c r="S381" s="37">
        <v>1000</v>
      </c>
      <c r="U381" s="2" t="s">
        <v>802</v>
      </c>
      <c r="V381" s="1">
        <f>VLOOKUP($A381,Sheet1!C80:M168,2,FALSE)</f>
        <v>170</v>
      </c>
      <c r="W381" s="1">
        <f>VLOOKUP($A381,Sheet1!$C$4:$M$92,3,FALSE)</f>
        <v>130</v>
      </c>
      <c r="X381" s="1">
        <f>VLOOKUP($A381,Sheet1!$C$4:$M$92,4,FALSE)</f>
        <v>0</v>
      </c>
      <c r="Y381" s="1">
        <v>0</v>
      </c>
      <c r="Z381" s="1">
        <v>0</v>
      </c>
      <c r="AA381" s="1">
        <v>0</v>
      </c>
      <c r="AB381" s="1">
        <f>VLOOKUP($A381,Sheet1!$C$4:$M$92,5,FALSE)</f>
        <v>0</v>
      </c>
      <c r="AC381" s="1">
        <f>VLOOKUP($A381,Sheet1!$C$4:$M$92,6,FALSE)</f>
        <v>0</v>
      </c>
      <c r="AD381" s="1">
        <f>VLOOKUP($A381,Sheet1!$C$4:$M$92,8,FALSE)</f>
        <v>0</v>
      </c>
      <c r="AE381" s="1">
        <f>VLOOKUP($A381,Sheet1!$C$4:$M$92,7,FALSE)</f>
        <v>0</v>
      </c>
      <c r="AF381" s="1">
        <v>10</v>
      </c>
    </row>
    <row r="382" spans="1:32" x14ac:dyDescent="0.15">
      <c r="A382" s="13" t="s">
        <v>326</v>
      </c>
      <c r="B382" s="1">
        <v>3177</v>
      </c>
      <c r="C382" s="14" t="s">
        <v>258</v>
      </c>
      <c r="D382" s="1">
        <v>4</v>
      </c>
      <c r="E382" s="1">
        <v>0</v>
      </c>
      <c r="F382" s="1">
        <v>0</v>
      </c>
      <c r="G382" s="1">
        <v>1</v>
      </c>
      <c r="H382" s="1">
        <v>0</v>
      </c>
      <c r="I382" s="1">
        <v>0</v>
      </c>
      <c r="J382" s="1">
        <v>0</v>
      </c>
      <c r="K382" s="1">
        <v>1</v>
      </c>
      <c r="L382" s="1">
        <v>1</v>
      </c>
      <c r="M382" s="1">
        <v>100</v>
      </c>
      <c r="N382" s="1">
        <v>100</v>
      </c>
      <c r="Q382" s="37">
        <v>1</v>
      </c>
      <c r="R382" s="37" t="s">
        <v>815</v>
      </c>
      <c r="S382" s="37">
        <v>1000</v>
      </c>
      <c r="U382" s="2" t="s">
        <v>802</v>
      </c>
      <c r="V382" s="1">
        <f>VLOOKUP($A382,Sheet1!C81:M169,2,FALSE)</f>
        <v>0</v>
      </c>
      <c r="W382" s="1">
        <f>VLOOKUP($A382,Sheet1!$C$4:$M$92,3,FALSE)</f>
        <v>0</v>
      </c>
      <c r="X382" s="1">
        <f>VLOOKUP($A382,Sheet1!$C$4:$M$92,4,FALSE)</f>
        <v>0</v>
      </c>
      <c r="Y382" s="1">
        <v>0</v>
      </c>
      <c r="Z382" s="1">
        <v>0</v>
      </c>
      <c r="AA382" s="1">
        <v>0</v>
      </c>
      <c r="AB382" s="1">
        <f>VLOOKUP($A382,Sheet1!$C$4:$M$92,5,FALSE)</f>
        <v>0</v>
      </c>
      <c r="AC382" s="1">
        <f>VLOOKUP($A382,Sheet1!$C$4:$M$92,6,FALSE)</f>
        <v>0</v>
      </c>
      <c r="AD382" s="1">
        <f>VLOOKUP($A382,Sheet1!$C$4:$M$92,8,FALSE)</f>
        <v>0</v>
      </c>
      <c r="AE382" s="1">
        <f>VLOOKUP($A382,Sheet1!$C$4:$M$92,7,FALSE)</f>
        <v>45</v>
      </c>
      <c r="AF382" s="1">
        <v>10</v>
      </c>
    </row>
    <row r="383" spans="1:32" x14ac:dyDescent="0.15">
      <c r="A383" s="13" t="s">
        <v>327</v>
      </c>
      <c r="B383" s="1">
        <v>3178</v>
      </c>
      <c r="C383" s="14" t="s">
        <v>259</v>
      </c>
      <c r="D383" s="1">
        <v>4</v>
      </c>
      <c r="E383" s="1">
        <v>0</v>
      </c>
      <c r="F383" s="1">
        <v>0</v>
      </c>
      <c r="G383" s="1">
        <v>1</v>
      </c>
      <c r="H383" s="1">
        <v>0</v>
      </c>
      <c r="I383" s="1">
        <v>0</v>
      </c>
      <c r="J383" s="1">
        <v>0</v>
      </c>
      <c r="K383" s="1">
        <v>1</v>
      </c>
      <c r="L383" s="1">
        <v>1</v>
      </c>
      <c r="M383" s="1">
        <v>100</v>
      </c>
      <c r="N383" s="1">
        <v>100</v>
      </c>
      <c r="Q383" s="37" t="s">
        <v>818</v>
      </c>
      <c r="R383" s="37" t="s">
        <v>815</v>
      </c>
      <c r="S383" s="37">
        <v>1000</v>
      </c>
      <c r="U383" s="2" t="s">
        <v>802</v>
      </c>
      <c r="V383" s="1">
        <f>VLOOKUP($A383,Sheet1!C82:M170,2,FALSE)</f>
        <v>0</v>
      </c>
      <c r="W383" s="1">
        <f>VLOOKUP($A383,Sheet1!$C$4:$M$92,3,FALSE)</f>
        <v>200</v>
      </c>
      <c r="X383" s="1">
        <f>VLOOKUP($A383,Sheet1!$C$4:$M$92,4,FALSE)</f>
        <v>0</v>
      </c>
      <c r="Y383" s="1">
        <v>0</v>
      </c>
      <c r="Z383" s="1">
        <v>0</v>
      </c>
      <c r="AA383" s="1">
        <v>0</v>
      </c>
      <c r="AB383" s="1">
        <f>VLOOKUP($A383,Sheet1!$C$4:$M$92,5,FALSE)</f>
        <v>0</v>
      </c>
      <c r="AC383" s="1">
        <f>VLOOKUP($A383,Sheet1!$C$4:$M$92,6,FALSE)</f>
        <v>0</v>
      </c>
      <c r="AD383" s="1">
        <f>VLOOKUP($A383,Sheet1!$C$4:$M$92,8,FALSE)</f>
        <v>0</v>
      </c>
      <c r="AE383" s="1">
        <f>VLOOKUP($A383,Sheet1!$C$4:$M$92,7,FALSE)</f>
        <v>0</v>
      </c>
      <c r="AF383" s="1">
        <v>10</v>
      </c>
    </row>
    <row r="384" spans="1:32" x14ac:dyDescent="0.15">
      <c r="A384" s="12" t="s">
        <v>636</v>
      </c>
      <c r="B384" s="1">
        <v>4000</v>
      </c>
      <c r="C384" s="12" t="s">
        <v>636</v>
      </c>
      <c r="D384" s="1">
        <v>5</v>
      </c>
      <c r="E384" s="1">
        <v>0</v>
      </c>
      <c r="F384" s="1">
        <v>0</v>
      </c>
      <c r="G384" s="1">
        <v>1</v>
      </c>
      <c r="H384" s="1">
        <v>0</v>
      </c>
      <c r="I384" s="1">
        <v>0</v>
      </c>
      <c r="J384" s="1">
        <v>0</v>
      </c>
      <c r="K384" s="1">
        <v>1</v>
      </c>
      <c r="L384" s="1">
        <v>1</v>
      </c>
      <c r="M384" s="1">
        <v>100</v>
      </c>
      <c r="N384" s="1">
        <v>100</v>
      </c>
      <c r="Q384" s="37">
        <v>1</v>
      </c>
      <c r="R384" s="37">
        <v>0</v>
      </c>
      <c r="S384" s="37">
        <v>0</v>
      </c>
      <c r="U384" s="2" t="s">
        <v>802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</row>
    <row r="385" spans="1:32" x14ac:dyDescent="0.15">
      <c r="A385" s="12" t="s">
        <v>637</v>
      </c>
      <c r="B385" s="1">
        <v>4001</v>
      </c>
      <c r="C385" s="12" t="s">
        <v>637</v>
      </c>
      <c r="D385" s="1">
        <v>5</v>
      </c>
      <c r="E385" s="1">
        <v>0</v>
      </c>
      <c r="F385" s="1">
        <v>0</v>
      </c>
      <c r="G385" s="1">
        <v>1</v>
      </c>
      <c r="H385" s="1">
        <v>0</v>
      </c>
      <c r="I385" s="1">
        <v>0</v>
      </c>
      <c r="J385" s="1">
        <v>0</v>
      </c>
      <c r="K385" s="1">
        <v>1</v>
      </c>
      <c r="L385" s="1">
        <v>1</v>
      </c>
      <c r="M385" s="1">
        <v>100</v>
      </c>
      <c r="N385" s="1">
        <v>100</v>
      </c>
      <c r="Q385" s="37">
        <v>1</v>
      </c>
      <c r="R385" s="37">
        <v>0</v>
      </c>
      <c r="S385" s="37">
        <v>0</v>
      </c>
      <c r="U385" s="2" t="s">
        <v>802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</row>
    <row r="386" spans="1:32" x14ac:dyDescent="0.15">
      <c r="A386" s="12" t="s">
        <v>638</v>
      </c>
      <c r="B386" s="1">
        <v>4002</v>
      </c>
      <c r="C386" s="12" t="s">
        <v>638</v>
      </c>
      <c r="D386" s="1">
        <v>5</v>
      </c>
      <c r="E386" s="1">
        <v>0</v>
      </c>
      <c r="F386" s="1">
        <v>0</v>
      </c>
      <c r="G386" s="1">
        <v>1</v>
      </c>
      <c r="H386" s="1">
        <v>0</v>
      </c>
      <c r="I386" s="1">
        <v>0</v>
      </c>
      <c r="J386" s="1">
        <v>0</v>
      </c>
      <c r="K386" s="1">
        <v>1</v>
      </c>
      <c r="L386" s="1">
        <v>1</v>
      </c>
      <c r="M386" s="1">
        <v>100</v>
      </c>
      <c r="N386" s="1">
        <v>100</v>
      </c>
      <c r="Q386" s="37">
        <v>1</v>
      </c>
      <c r="R386" s="37">
        <v>0</v>
      </c>
      <c r="S386" s="37">
        <v>0</v>
      </c>
      <c r="U386" s="2" t="s">
        <v>802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</row>
    <row r="387" spans="1:32" x14ac:dyDescent="0.15">
      <c r="A387" s="12" t="s">
        <v>639</v>
      </c>
      <c r="B387" s="1">
        <v>4003</v>
      </c>
      <c r="C387" s="12" t="s">
        <v>639</v>
      </c>
      <c r="D387" s="1">
        <v>5</v>
      </c>
      <c r="E387" s="1">
        <v>0</v>
      </c>
      <c r="F387" s="1">
        <v>0</v>
      </c>
      <c r="G387" s="1">
        <v>1</v>
      </c>
      <c r="H387" s="1">
        <v>0</v>
      </c>
      <c r="I387" s="1">
        <v>0</v>
      </c>
      <c r="J387" s="1">
        <v>0</v>
      </c>
      <c r="K387" s="1">
        <v>1</v>
      </c>
      <c r="L387" s="1">
        <v>1</v>
      </c>
      <c r="M387" s="1">
        <v>100</v>
      </c>
      <c r="N387" s="1">
        <v>100</v>
      </c>
      <c r="Q387" s="37">
        <v>1</v>
      </c>
      <c r="R387" s="37">
        <v>0</v>
      </c>
      <c r="S387" s="37">
        <v>0</v>
      </c>
      <c r="U387" s="2" t="s">
        <v>802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</row>
    <row r="388" spans="1:32" x14ac:dyDescent="0.15">
      <c r="A388" s="12" t="s">
        <v>640</v>
      </c>
      <c r="B388" s="1">
        <v>4004</v>
      </c>
      <c r="C388" s="12" t="s">
        <v>640</v>
      </c>
      <c r="D388" s="1">
        <v>5</v>
      </c>
      <c r="E388" s="1">
        <v>0</v>
      </c>
      <c r="F388" s="1">
        <v>0</v>
      </c>
      <c r="G388" s="1">
        <v>1</v>
      </c>
      <c r="H388" s="1">
        <v>0</v>
      </c>
      <c r="I388" s="1">
        <v>0</v>
      </c>
      <c r="J388" s="1">
        <v>0</v>
      </c>
      <c r="K388" s="1">
        <v>1</v>
      </c>
      <c r="L388" s="1">
        <v>1</v>
      </c>
      <c r="M388" s="1">
        <v>100</v>
      </c>
      <c r="N388" s="1">
        <v>100</v>
      </c>
      <c r="Q388" s="37">
        <v>1</v>
      </c>
      <c r="R388" s="37">
        <v>0</v>
      </c>
      <c r="S388" s="37">
        <v>0</v>
      </c>
      <c r="U388" s="2" t="s">
        <v>802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</row>
    <row r="389" spans="1:32" x14ac:dyDescent="0.15">
      <c r="A389" s="12" t="s">
        <v>641</v>
      </c>
      <c r="B389" s="1">
        <v>4005</v>
      </c>
      <c r="C389" s="12" t="s">
        <v>641</v>
      </c>
      <c r="D389" s="1">
        <v>5</v>
      </c>
      <c r="E389" s="1">
        <v>0</v>
      </c>
      <c r="F389" s="1">
        <v>0</v>
      </c>
      <c r="G389" s="1">
        <v>1</v>
      </c>
      <c r="H389" s="1">
        <v>0</v>
      </c>
      <c r="I389" s="1">
        <v>0</v>
      </c>
      <c r="J389" s="1">
        <v>0</v>
      </c>
      <c r="K389" s="1">
        <v>1</v>
      </c>
      <c r="L389" s="1">
        <v>1</v>
      </c>
      <c r="M389" s="1">
        <v>100</v>
      </c>
      <c r="N389" s="1">
        <v>100</v>
      </c>
      <c r="Q389" s="37">
        <v>1</v>
      </c>
      <c r="R389" s="37">
        <v>0</v>
      </c>
      <c r="S389" s="37">
        <v>0</v>
      </c>
      <c r="U389" s="2" t="s">
        <v>802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</row>
    <row r="390" spans="1:32" x14ac:dyDescent="0.15">
      <c r="A390" s="12" t="s">
        <v>642</v>
      </c>
      <c r="B390" s="1">
        <v>4006</v>
      </c>
      <c r="C390" s="12" t="s">
        <v>642</v>
      </c>
      <c r="D390" s="1">
        <v>5</v>
      </c>
      <c r="E390" s="1">
        <v>0</v>
      </c>
      <c r="F390" s="1">
        <v>0</v>
      </c>
      <c r="G390" s="1">
        <v>1</v>
      </c>
      <c r="H390" s="1">
        <v>0</v>
      </c>
      <c r="I390" s="1">
        <v>0</v>
      </c>
      <c r="J390" s="1">
        <v>0</v>
      </c>
      <c r="K390" s="1">
        <v>1</v>
      </c>
      <c r="L390" s="1">
        <v>1</v>
      </c>
      <c r="M390" s="1">
        <v>100</v>
      </c>
      <c r="N390" s="1">
        <v>100</v>
      </c>
      <c r="Q390" s="37">
        <v>1</v>
      </c>
      <c r="R390" s="37">
        <v>0</v>
      </c>
      <c r="S390" s="37">
        <v>0</v>
      </c>
      <c r="U390" s="2" t="s">
        <v>802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</row>
    <row r="391" spans="1:32" x14ac:dyDescent="0.15">
      <c r="A391" s="12" t="s">
        <v>643</v>
      </c>
      <c r="B391" s="1">
        <v>4007</v>
      </c>
      <c r="C391" s="12" t="s">
        <v>643</v>
      </c>
      <c r="D391" s="1">
        <v>5</v>
      </c>
      <c r="E391" s="1">
        <v>0</v>
      </c>
      <c r="F391" s="1">
        <v>0</v>
      </c>
      <c r="G391" s="1">
        <v>1</v>
      </c>
      <c r="H391" s="1">
        <v>0</v>
      </c>
      <c r="I391" s="1">
        <v>0</v>
      </c>
      <c r="J391" s="1">
        <v>0</v>
      </c>
      <c r="K391" s="1">
        <v>1</v>
      </c>
      <c r="L391" s="1">
        <v>1</v>
      </c>
      <c r="M391" s="1">
        <v>100</v>
      </c>
      <c r="N391" s="1">
        <v>100</v>
      </c>
      <c r="Q391" s="37">
        <v>1</v>
      </c>
      <c r="R391" s="37">
        <v>0</v>
      </c>
      <c r="S391" s="37">
        <v>0</v>
      </c>
      <c r="U391" s="2" t="s">
        <v>802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</row>
    <row r="392" spans="1:32" x14ac:dyDescent="0.15">
      <c r="A392" s="12" t="s">
        <v>644</v>
      </c>
      <c r="B392" s="1">
        <v>4008</v>
      </c>
      <c r="C392" s="12" t="s">
        <v>644</v>
      </c>
      <c r="D392" s="1">
        <v>5</v>
      </c>
      <c r="E392" s="1">
        <v>0</v>
      </c>
      <c r="F392" s="1">
        <v>0</v>
      </c>
      <c r="G392" s="1">
        <v>1</v>
      </c>
      <c r="H392" s="1">
        <v>0</v>
      </c>
      <c r="I392" s="1">
        <v>0</v>
      </c>
      <c r="J392" s="1">
        <v>0</v>
      </c>
      <c r="K392" s="1">
        <v>1</v>
      </c>
      <c r="L392" s="1">
        <v>1</v>
      </c>
      <c r="M392" s="1">
        <v>100</v>
      </c>
      <c r="N392" s="1">
        <v>100</v>
      </c>
      <c r="Q392" s="37">
        <v>1</v>
      </c>
      <c r="R392" s="37">
        <v>0</v>
      </c>
      <c r="S392" s="37">
        <v>0</v>
      </c>
      <c r="U392" s="2" t="s">
        <v>802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</row>
    <row r="393" spans="1:32" x14ac:dyDescent="0.15">
      <c r="A393" s="12" t="s">
        <v>645</v>
      </c>
      <c r="B393" s="1">
        <v>4009</v>
      </c>
      <c r="C393" s="12" t="s">
        <v>645</v>
      </c>
      <c r="D393" s="1">
        <v>5</v>
      </c>
      <c r="E393" s="1">
        <v>0</v>
      </c>
      <c r="F393" s="1">
        <v>0</v>
      </c>
      <c r="G393" s="1">
        <v>1</v>
      </c>
      <c r="H393" s="1">
        <v>0</v>
      </c>
      <c r="I393" s="1">
        <v>0</v>
      </c>
      <c r="J393" s="1">
        <v>0</v>
      </c>
      <c r="K393" s="1">
        <v>1</v>
      </c>
      <c r="L393" s="1">
        <v>1</v>
      </c>
      <c r="M393" s="1">
        <v>100</v>
      </c>
      <c r="N393" s="1">
        <v>100</v>
      </c>
      <c r="Q393" s="37">
        <v>1</v>
      </c>
      <c r="R393" s="37">
        <v>0</v>
      </c>
      <c r="S393" s="37">
        <v>0</v>
      </c>
      <c r="U393" s="2" t="s">
        <v>802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</row>
    <row r="394" spans="1:32" x14ac:dyDescent="0.15">
      <c r="A394" s="12" t="s">
        <v>646</v>
      </c>
      <c r="B394" s="1">
        <v>4010</v>
      </c>
      <c r="C394" s="12" t="s">
        <v>646</v>
      </c>
      <c r="D394" s="1">
        <v>5</v>
      </c>
      <c r="E394" s="1">
        <v>0</v>
      </c>
      <c r="F394" s="1">
        <v>0</v>
      </c>
      <c r="G394" s="1">
        <v>1</v>
      </c>
      <c r="H394" s="1">
        <v>0</v>
      </c>
      <c r="I394" s="1">
        <v>0</v>
      </c>
      <c r="J394" s="1">
        <v>0</v>
      </c>
      <c r="K394" s="1">
        <v>1</v>
      </c>
      <c r="L394" s="1">
        <v>1</v>
      </c>
      <c r="M394" s="1">
        <v>100</v>
      </c>
      <c r="N394" s="1">
        <v>100</v>
      </c>
      <c r="Q394" s="37">
        <v>1</v>
      </c>
      <c r="R394" s="37">
        <v>0</v>
      </c>
      <c r="S394" s="37">
        <v>0</v>
      </c>
      <c r="U394" s="2" t="s">
        <v>802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</row>
  </sheetData>
  <autoFilter ref="A3:AG394"/>
  <phoneticPr fontId="1" type="noConversion"/>
  <conditionalFormatting sqref="A66:A1048576 A1:A64">
    <cfRule type="duplicateValues" dxfId="7" priority="9"/>
  </conditionalFormatting>
  <conditionalFormatting sqref="A65">
    <cfRule type="duplicateValues" dxfId="6" priority="7"/>
  </conditionalFormatting>
  <conditionalFormatting sqref="C10:C12">
    <cfRule type="duplicateValues" dxfId="5" priority="6"/>
  </conditionalFormatting>
  <conditionalFormatting sqref="C384:C394">
    <cfRule type="duplicateValues" dxfId="4" priority="5"/>
  </conditionalFormatting>
  <conditionalFormatting sqref="C88:C121">
    <cfRule type="duplicateValues" dxfId="3" priority="4"/>
  </conditionalFormatting>
  <conditionalFormatting sqref="C26:C87">
    <cfRule type="duplicateValues" dxfId="2" priority="33"/>
  </conditionalFormatting>
  <conditionalFormatting sqref="C122">
    <cfRule type="duplicateValues" dxfId="1" priority="2"/>
  </conditionalFormatting>
  <conditionalFormatting sqref="C193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S145"/>
  <sheetViews>
    <sheetView topLeftCell="A4" workbookViewId="0">
      <selection activeCell="L18" sqref="L18"/>
    </sheetView>
  </sheetViews>
  <sheetFormatPr defaultRowHeight="13.5" x14ac:dyDescent="0.15"/>
  <cols>
    <col min="5" max="5" width="10.75" customWidth="1"/>
    <col min="11" max="11" width="15" customWidth="1"/>
    <col min="12" max="12" width="11.25" customWidth="1"/>
  </cols>
  <sheetData>
    <row r="5" spans="2:19" x14ac:dyDescent="0.15">
      <c r="D5">
        <v>322</v>
      </c>
      <c r="S5" s="12"/>
    </row>
    <row r="6" spans="2:19" x14ac:dyDescent="0.15">
      <c r="B6" s="3">
        <v>1600</v>
      </c>
      <c r="C6" s="1" t="s">
        <v>343</v>
      </c>
      <c r="E6" t="s">
        <v>335</v>
      </c>
      <c r="F6" t="s">
        <v>445</v>
      </c>
      <c r="G6" s="3"/>
      <c r="H6" s="14" t="s">
        <v>397</v>
      </c>
      <c r="J6" s="12" t="s">
        <v>432</v>
      </c>
      <c r="K6" s="12" t="s">
        <v>501</v>
      </c>
      <c r="L6" s="12"/>
      <c r="N6" s="12">
        <f>VLOOKUP(J6,ItemData!$A$4:$B$394,2,FALSE)</f>
        <v>298</v>
      </c>
      <c r="O6" s="12">
        <f>VLOOKUP(K6,ItemData!$A$4:$B$394,2,FALSE)</f>
        <v>274</v>
      </c>
      <c r="P6" s="12"/>
      <c r="Q6" s="12"/>
      <c r="S6" s="12" t="str">
        <f>N6&amp;","&amp;O6&amp;IF(P6&lt;&gt;"",","&amp;P6,"")&amp;IF(Q6&lt;&gt;"",","&amp;Q6,"")</f>
        <v>298,274</v>
      </c>
    </row>
    <row r="7" spans="2:19" x14ac:dyDescent="0.15">
      <c r="B7" s="3">
        <v>1601</v>
      </c>
      <c r="C7" s="1" t="s">
        <v>344</v>
      </c>
      <c r="E7" t="s">
        <v>336</v>
      </c>
      <c r="F7" s="12" t="s">
        <v>445</v>
      </c>
      <c r="G7" s="3" t="s">
        <v>722</v>
      </c>
      <c r="H7" s="14" t="s">
        <v>396</v>
      </c>
      <c r="J7" s="12" t="s">
        <v>343</v>
      </c>
      <c r="K7" s="12" t="s">
        <v>373</v>
      </c>
      <c r="L7" s="12" t="s">
        <v>766</v>
      </c>
      <c r="N7" s="12">
        <f>VLOOKUP(J7,ItemData!$A$4:$B$394,2,FALSE)</f>
        <v>1600</v>
      </c>
      <c r="O7" s="12">
        <f>VLOOKUP(K7,ItemData!$A$4:$B$394,2,FALSE)</f>
        <v>220</v>
      </c>
      <c r="P7" s="12">
        <f>VLOOKUP(L7,ItemData!$A$4:$B$394,2,FALSE)</f>
        <v>257</v>
      </c>
      <c r="Q7" s="12"/>
      <c r="S7" s="12" t="str">
        <f>N7&amp;","&amp;O7&amp;IF(P7&lt;&gt;"",","&amp;P7,"")&amp;IF(Q7&lt;&gt;"",","&amp;Q7,"")</f>
        <v>1600,220,257</v>
      </c>
    </row>
    <row r="8" spans="2:19" x14ac:dyDescent="0.15">
      <c r="B8" s="3">
        <v>1602</v>
      </c>
      <c r="C8" s="1" t="s">
        <v>404</v>
      </c>
      <c r="E8" t="s">
        <v>337</v>
      </c>
      <c r="F8" s="12" t="s">
        <v>445</v>
      </c>
      <c r="G8" s="24" t="s">
        <v>709</v>
      </c>
      <c r="H8" s="17" t="s">
        <v>386</v>
      </c>
      <c r="J8" s="12" t="s">
        <v>397</v>
      </c>
      <c r="K8" s="7" t="s">
        <v>473</v>
      </c>
      <c r="L8" t="s">
        <v>458</v>
      </c>
      <c r="M8" t="s">
        <v>520</v>
      </c>
      <c r="N8" s="12">
        <f>VLOOKUP(J8,ItemData!$A$4:$B$394,2,FALSE)</f>
        <v>1600</v>
      </c>
      <c r="O8" s="12">
        <f>VLOOKUP(K8,ItemData!$A$4:$B$394,2,FALSE)</f>
        <v>229</v>
      </c>
      <c r="P8" s="12">
        <f>VLOOKUP(L8,ItemData!$A$4:$B$394,2,FALSE)</f>
        <v>205</v>
      </c>
      <c r="Q8" s="12">
        <f>VLOOKUP(M8,ItemData!$A$4:$B$394,2,FALSE)</f>
        <v>284</v>
      </c>
      <c r="S8" s="12" t="str">
        <f t="shared" ref="S8:S54" si="0">N8&amp;","&amp;O8&amp;IF(P8&lt;&gt;"",","&amp;P8,"")&amp;IF(Q8&lt;&gt;"",","&amp;Q8,"")</f>
        <v>1600,229,205,284</v>
      </c>
    </row>
    <row r="9" spans="2:19" x14ac:dyDescent="0.15">
      <c r="B9" s="3">
        <v>1603</v>
      </c>
      <c r="C9" s="1" t="s">
        <v>345</v>
      </c>
      <c r="E9" t="s">
        <v>338</v>
      </c>
      <c r="F9" s="12" t="s">
        <v>445</v>
      </c>
      <c r="G9" s="3" t="s">
        <v>724</v>
      </c>
      <c r="H9" s="14" t="s">
        <v>776</v>
      </c>
      <c r="J9" s="12" t="s">
        <v>343</v>
      </c>
      <c r="K9" s="12" t="s">
        <v>467</v>
      </c>
      <c r="L9" s="12" t="s">
        <v>367</v>
      </c>
      <c r="M9" t="s">
        <v>462</v>
      </c>
      <c r="N9" s="12">
        <f>VLOOKUP(J9,ItemData!$A$4:$B$394,2,FALSE)</f>
        <v>1600</v>
      </c>
      <c r="O9" s="12">
        <f>VLOOKUP(K9,ItemData!$A$4:$B$394,2,FALSE)</f>
        <v>218</v>
      </c>
      <c r="P9" s="12">
        <f>VLOOKUP(L9,ItemData!$A$4:$B$394,2,FALSE)</f>
        <v>299</v>
      </c>
      <c r="Q9" s="12">
        <f>VLOOKUP(M9,ItemData!$A$4:$B$394,2,FALSE)</f>
        <v>212</v>
      </c>
      <c r="S9" s="12" t="str">
        <f t="shared" si="0"/>
        <v>1600,218,299,212</v>
      </c>
    </row>
    <row r="10" spans="2:19" x14ac:dyDescent="0.15">
      <c r="B10" s="3">
        <v>1604</v>
      </c>
      <c r="C10" s="1" t="s">
        <v>405</v>
      </c>
      <c r="F10" s="12" t="s">
        <v>445</v>
      </c>
      <c r="G10" s="24" t="s">
        <v>710</v>
      </c>
      <c r="H10" s="14" t="s">
        <v>395</v>
      </c>
      <c r="J10" s="12" t="s">
        <v>420</v>
      </c>
      <c r="K10" s="12" t="s">
        <v>492</v>
      </c>
      <c r="L10" s="12" t="s">
        <v>606</v>
      </c>
      <c r="M10" s="12" t="s">
        <v>421</v>
      </c>
      <c r="N10" s="12">
        <f>VLOOKUP(J10,ItemData!$A$4:$B$394,2,FALSE)</f>
        <v>1600</v>
      </c>
      <c r="O10" s="12">
        <f>VLOOKUP(K10,ItemData!$A$4:$B$394,2,FALSE)</f>
        <v>260</v>
      </c>
      <c r="P10" s="12">
        <f>VLOOKUP(L10,ItemData!$A$4:$B$394,2,FALSE)</f>
        <v>261</v>
      </c>
      <c r="Q10" s="12">
        <f>VLOOKUP(M10,ItemData!$A$4:$B$394,2,FALSE)</f>
        <v>253</v>
      </c>
      <c r="S10" s="12" t="str">
        <f t="shared" si="0"/>
        <v>1600,260,261,253</v>
      </c>
    </row>
    <row r="11" spans="2:19" x14ac:dyDescent="0.15">
      <c r="B11" s="3">
        <v>1605</v>
      </c>
      <c r="C11" s="1" t="s">
        <v>346</v>
      </c>
      <c r="F11" s="12" t="s">
        <v>445</v>
      </c>
      <c r="G11" s="3"/>
      <c r="H11" s="14" t="s">
        <v>402</v>
      </c>
      <c r="J11" s="16" t="s">
        <v>360</v>
      </c>
      <c r="K11" s="27" t="s">
        <v>470</v>
      </c>
      <c r="L11" s="16" t="s">
        <v>369</v>
      </c>
      <c r="N11" s="12">
        <f>VLOOKUP(J11,ItemData!$A$4:$B$394,2,FALSE)</f>
        <v>104</v>
      </c>
      <c r="O11" s="12">
        <f>VLOOKUP(K11,ItemData!$A$4:$B$394,2,FALSE)</f>
        <v>222</v>
      </c>
      <c r="P11" s="12">
        <f>VLOOKUP(L11,ItemData!$A$4:$B$394,2,FALSE)</f>
        <v>274</v>
      </c>
      <c r="Q11" s="12"/>
      <c r="S11" s="12" t="str">
        <f t="shared" si="0"/>
        <v>104,222,274</v>
      </c>
    </row>
    <row r="12" spans="2:19" x14ac:dyDescent="0.15">
      <c r="B12" s="3">
        <v>1606</v>
      </c>
      <c r="C12" s="1" t="s">
        <v>347</v>
      </c>
      <c r="F12" s="12" t="s">
        <v>445</v>
      </c>
      <c r="G12" s="3" t="s">
        <v>723</v>
      </c>
      <c r="H12" s="14" t="s">
        <v>423</v>
      </c>
      <c r="I12" s="12"/>
      <c r="J12" s="1" t="s">
        <v>576</v>
      </c>
      <c r="K12" s="16" t="s">
        <v>379</v>
      </c>
      <c r="L12" s="16" t="s">
        <v>479</v>
      </c>
      <c r="M12" s="12" t="s">
        <v>380</v>
      </c>
      <c r="N12" s="12">
        <f>VLOOKUP(J12,ItemData!$A$4:$B$394,2,FALSE)</f>
        <v>1605</v>
      </c>
      <c r="O12" s="12">
        <f>VLOOKUP(K12,ItemData!$A$4:$B$394,2,FALSE)</f>
        <v>259</v>
      </c>
      <c r="P12" s="12">
        <f>VLOOKUP(L12,ItemData!$A$4:$B$394,2,FALSE)</f>
        <v>237</v>
      </c>
      <c r="Q12" s="12">
        <f>VLOOKUP(M12,ItemData!$A$4:$B$394,2,FALSE)</f>
        <v>239</v>
      </c>
      <c r="S12" s="12" t="str">
        <f t="shared" si="0"/>
        <v>1605,259,237,239</v>
      </c>
    </row>
    <row r="13" spans="2:19" x14ac:dyDescent="0.15">
      <c r="B13" s="3">
        <v>1607</v>
      </c>
      <c r="C13" s="1" t="s">
        <v>423</v>
      </c>
      <c r="F13" s="12" t="s">
        <v>445</v>
      </c>
      <c r="G13" s="24" t="s">
        <v>712</v>
      </c>
      <c r="H13" s="14" t="s">
        <v>624</v>
      </c>
      <c r="J13" s="12" t="s">
        <v>346</v>
      </c>
      <c r="K13" s="12" t="s">
        <v>513</v>
      </c>
      <c r="L13" s="16" t="s">
        <v>586</v>
      </c>
      <c r="N13" s="12">
        <f>VLOOKUP(J13,ItemData!$A$4:$B$394,2,FALSE)</f>
        <v>1605</v>
      </c>
      <c r="O13" s="12">
        <f>VLOOKUP(K13,ItemData!$A$4:$B$394,2,FALSE)</f>
        <v>275</v>
      </c>
      <c r="P13" s="12">
        <f>VLOOKUP(L13,ItemData!$A$4:$B$394,2,FALSE)</f>
        <v>299</v>
      </c>
      <c r="Q13" s="12"/>
      <c r="S13" s="12" t="str">
        <f t="shared" si="0"/>
        <v>1605,275,299</v>
      </c>
    </row>
    <row r="14" spans="2:19" x14ac:dyDescent="0.15">
      <c r="B14" s="3">
        <v>1608</v>
      </c>
      <c r="C14" s="1" t="s">
        <v>348</v>
      </c>
      <c r="F14" s="12" t="s">
        <v>445</v>
      </c>
      <c r="G14" s="18" t="s">
        <v>713</v>
      </c>
      <c r="H14" s="14" t="s">
        <v>348</v>
      </c>
      <c r="J14" s="12" t="s">
        <v>346</v>
      </c>
      <c r="K14" s="12" t="s">
        <v>375</v>
      </c>
      <c r="L14" s="12" t="s">
        <v>480</v>
      </c>
      <c r="M14" t="s">
        <v>475</v>
      </c>
      <c r="N14" s="12">
        <f>VLOOKUP(J14,ItemData!$A$4:$B$394,2,FALSE)</f>
        <v>1605</v>
      </c>
      <c r="O14" s="12">
        <f>VLOOKUP(K14,ItemData!$A$4:$B$394,2,FALSE)</f>
        <v>227</v>
      </c>
      <c r="P14" s="12">
        <f>VLOOKUP(L14,ItemData!$A$4:$B$394,2,FALSE)</f>
        <v>240</v>
      </c>
      <c r="Q14" s="12">
        <f>VLOOKUP(M14,ItemData!$A$4:$B$394,2,FALSE)</f>
        <v>232</v>
      </c>
      <c r="S14" s="12" t="str">
        <f t="shared" si="0"/>
        <v>1605,227,240,232</v>
      </c>
    </row>
    <row r="15" spans="2:19" s="12" customFormat="1" x14ac:dyDescent="0.15">
      <c r="B15" s="3">
        <v>1609</v>
      </c>
      <c r="C15" s="1" t="s">
        <v>349</v>
      </c>
      <c r="F15" s="12" t="s">
        <v>445</v>
      </c>
      <c r="G15" s="24" t="s">
        <v>711</v>
      </c>
      <c r="H15" s="9" t="s">
        <v>557</v>
      </c>
      <c r="J15" s="12" t="s">
        <v>479</v>
      </c>
      <c r="K15" s="12" t="s">
        <v>501</v>
      </c>
      <c r="L15" s="12" t="s">
        <v>769</v>
      </c>
      <c r="M15" s="12" t="s">
        <v>572</v>
      </c>
      <c r="N15" s="12">
        <f>VLOOKUP(J15,ItemData!$A$4:$B$394,2,FALSE)</f>
        <v>237</v>
      </c>
      <c r="O15" s="12">
        <f>VLOOKUP(K15,ItemData!$A$4:$B$394,2,FALSE)</f>
        <v>274</v>
      </c>
      <c r="P15" s="12">
        <f>VLOOKUP(L15,ItemData!$A$4:$B$394,2,FALSE)</f>
        <v>256</v>
      </c>
      <c r="Q15" s="12">
        <f>VLOOKUP(M15,ItemData!$A$4:$B$394,2,FALSE)</f>
        <v>285</v>
      </c>
      <c r="S15" s="12" t="str">
        <f t="shared" si="0"/>
        <v>237,274,256,285</v>
      </c>
    </row>
    <row r="16" spans="2:19" s="12" customFormat="1" x14ac:dyDescent="0.15">
      <c r="B16" s="3">
        <v>1610</v>
      </c>
      <c r="C16" s="1" t="s">
        <v>350</v>
      </c>
      <c r="F16" s="12" t="s">
        <v>445</v>
      </c>
      <c r="G16" s="24" t="s">
        <v>714</v>
      </c>
      <c r="H16" s="9" t="s">
        <v>558</v>
      </c>
      <c r="J16" s="12" t="s">
        <v>524</v>
      </c>
      <c r="K16" s="12" t="s">
        <v>346</v>
      </c>
      <c r="L16" s="12" t="s">
        <v>609</v>
      </c>
      <c r="M16" s="12" t="s">
        <v>687</v>
      </c>
      <c r="N16" s="12">
        <f>VLOOKUP(J16,ItemData!$A$4:$B$394,2,FALSE)</f>
        <v>269</v>
      </c>
      <c r="O16" s="12">
        <f>VLOOKUP(K16,ItemData!$A$4:$B$394,2,FALSE)</f>
        <v>1605</v>
      </c>
      <c r="P16" s="12">
        <f>VLOOKUP(L16,ItemData!$A$4:$B$394,2,FALSE)</f>
        <v>264</v>
      </c>
      <c r="Q16" s="12">
        <f>VLOOKUP(M16,ItemData!$A$4:$B$394,2,FALSE)</f>
        <v>208</v>
      </c>
      <c r="S16" s="12" t="str">
        <f t="shared" si="0"/>
        <v>269,1605,264,208</v>
      </c>
    </row>
    <row r="17" spans="2:19" x14ac:dyDescent="0.15">
      <c r="B17" s="3">
        <v>1611</v>
      </c>
      <c r="C17" s="1" t="s">
        <v>351</v>
      </c>
      <c r="F17" s="12" t="s">
        <v>445</v>
      </c>
      <c r="G17" s="3"/>
      <c r="H17" s="14" t="s">
        <v>531</v>
      </c>
      <c r="J17" s="12" t="s">
        <v>367</v>
      </c>
      <c r="K17" s="12" t="s">
        <v>369</v>
      </c>
      <c r="L17" t="s">
        <v>756</v>
      </c>
      <c r="N17" s="12">
        <f>VLOOKUP(J17,ItemData!$A$4:$B$394,2,FALSE)</f>
        <v>299</v>
      </c>
      <c r="O17" s="12">
        <f>VLOOKUP(K17,ItemData!$A$4:$B$394,2,FALSE)</f>
        <v>274</v>
      </c>
      <c r="P17" s="12">
        <f>VLOOKUP(L17,ItemData!$A$4:$B$394,2,FALSE)</f>
        <v>241</v>
      </c>
      <c r="Q17" s="12"/>
      <c r="S17" s="12" t="str">
        <f t="shared" si="0"/>
        <v>299,274,241</v>
      </c>
    </row>
    <row r="18" spans="2:19" x14ac:dyDescent="0.15">
      <c r="B18" s="3">
        <v>1612</v>
      </c>
      <c r="C18" s="1" t="s">
        <v>352</v>
      </c>
      <c r="F18" s="12" t="s">
        <v>445</v>
      </c>
      <c r="G18" s="3" t="s">
        <v>721</v>
      </c>
      <c r="H18" s="14" t="s">
        <v>401</v>
      </c>
      <c r="J18" s="12" t="s">
        <v>532</v>
      </c>
      <c r="K18" s="12" t="s">
        <v>577</v>
      </c>
      <c r="L18" s="12" t="s">
        <v>383</v>
      </c>
      <c r="N18" s="12">
        <f>VLOOKUP(J18,ItemData!$A$4:$B$394,2,FALSE)</f>
        <v>1609</v>
      </c>
      <c r="O18" s="12">
        <f>VLOOKUP(K18,ItemData!$A$4:$B$394,2,FALSE)</f>
        <v>254</v>
      </c>
      <c r="P18" s="12">
        <f>VLOOKUP(L18,ItemData!$A$4:$B$394,2,FALSE)</f>
        <v>211</v>
      </c>
      <c r="Q18" s="12"/>
      <c r="S18" s="12" t="str">
        <f t="shared" si="0"/>
        <v>1609,254,211</v>
      </c>
    </row>
    <row r="19" spans="2:19" x14ac:dyDescent="0.15">
      <c r="B19" s="3">
        <v>1613</v>
      </c>
      <c r="C19" s="1" t="s">
        <v>353</v>
      </c>
      <c r="F19" s="12" t="s">
        <v>445</v>
      </c>
      <c r="G19" s="24" t="s">
        <v>715</v>
      </c>
      <c r="H19" s="14" t="s">
        <v>400</v>
      </c>
      <c r="J19" s="12" t="s">
        <v>349</v>
      </c>
      <c r="K19" s="12" t="s">
        <v>379</v>
      </c>
      <c r="L19" s="12" t="s">
        <v>491</v>
      </c>
      <c r="M19" s="12" t="s">
        <v>381</v>
      </c>
      <c r="N19" s="12">
        <f>VLOOKUP(J19,ItemData!$A$4:$B$394,2,FALSE)</f>
        <v>1609</v>
      </c>
      <c r="O19" s="12">
        <f>VLOOKUP(K19,ItemData!$A$4:$B$394,2,FALSE)</f>
        <v>259</v>
      </c>
      <c r="P19" s="12">
        <f>VLOOKUP(L19,ItemData!$A$4:$B$394,2,FALSE)</f>
        <v>258</v>
      </c>
      <c r="Q19" s="12">
        <f>VLOOKUP(M19,ItemData!$A$4:$B$394,2,FALSE)</f>
        <v>263</v>
      </c>
      <c r="S19" s="12" t="str">
        <f t="shared" si="0"/>
        <v>1609,259,258,263</v>
      </c>
    </row>
    <row r="20" spans="2:19" x14ac:dyDescent="0.15">
      <c r="B20" s="3">
        <v>1614</v>
      </c>
      <c r="C20" s="1" t="s">
        <v>406</v>
      </c>
      <c r="F20" s="12" t="s">
        <v>445</v>
      </c>
      <c r="G20" s="24" t="s">
        <v>720</v>
      </c>
      <c r="H20" s="14" t="s">
        <v>399</v>
      </c>
      <c r="J20" s="12" t="s">
        <v>349</v>
      </c>
      <c r="K20" s="12" t="s">
        <v>377</v>
      </c>
      <c r="L20" s="12" t="s">
        <v>492</v>
      </c>
      <c r="M20" s="12" t="s">
        <v>497</v>
      </c>
      <c r="N20" s="12">
        <f>VLOOKUP(J20,ItemData!$A$4:$B$394,2,FALSE)</f>
        <v>1609</v>
      </c>
      <c r="O20" s="12">
        <f>VLOOKUP(K20,ItemData!$A$4:$B$394,2,FALSE)</f>
        <v>253</v>
      </c>
      <c r="P20" s="12">
        <f>VLOOKUP(L20,ItemData!$A$4:$B$394,2,FALSE)</f>
        <v>260</v>
      </c>
      <c r="Q20" s="12">
        <f>VLOOKUP(M20,ItemData!$A$4:$B$394,2,FALSE)</f>
        <v>267</v>
      </c>
      <c r="S20" s="12" t="str">
        <f t="shared" si="0"/>
        <v>1609,253,260,267</v>
      </c>
    </row>
    <row r="21" spans="2:19" x14ac:dyDescent="0.15">
      <c r="B21" s="3">
        <v>1615</v>
      </c>
      <c r="C21" s="1" t="s">
        <v>354</v>
      </c>
      <c r="F21" s="12" t="s">
        <v>538</v>
      </c>
      <c r="G21" s="3"/>
      <c r="H21" s="14" t="s">
        <v>592</v>
      </c>
      <c r="J21" s="12" t="s">
        <v>363</v>
      </c>
      <c r="K21" s="12" t="s">
        <v>583</v>
      </c>
      <c r="L21" s="12" t="s">
        <v>596</v>
      </c>
      <c r="N21" s="12">
        <f>VLOOKUP(J21,ItemData!$A$4:$B$394,2,FALSE)</f>
        <v>238</v>
      </c>
      <c r="O21" s="12">
        <f>VLOOKUP(K21,ItemData!$A$4:$B$394,2,FALSE)</f>
        <v>276</v>
      </c>
      <c r="P21" s="12">
        <f>VLOOKUP(L21,ItemData!$A$4:$B$394,2,FALSE)</f>
        <v>214</v>
      </c>
      <c r="Q21" s="12"/>
      <c r="S21" s="12" t="str">
        <f t="shared" si="0"/>
        <v>238,276,214</v>
      </c>
    </row>
    <row r="22" spans="2:19" x14ac:dyDescent="0.15">
      <c r="B22" s="3">
        <v>1616</v>
      </c>
      <c r="C22" s="1" t="s">
        <v>355</v>
      </c>
      <c r="F22" s="12" t="s">
        <v>538</v>
      </c>
      <c r="G22" s="3"/>
      <c r="H22" s="14" t="s">
        <v>584</v>
      </c>
      <c r="J22" s="12" t="s">
        <v>469</v>
      </c>
      <c r="K22" s="12" t="s">
        <v>372</v>
      </c>
      <c r="L22" s="12" t="s">
        <v>596</v>
      </c>
      <c r="N22" s="12">
        <f>VLOOKUP(J22,ItemData!$A$4:$B$394,2,FALSE)</f>
        <v>221</v>
      </c>
      <c r="O22" s="12">
        <f>VLOOKUP(K22,ItemData!$A$4:$B$394,2,FALSE)</f>
        <v>276</v>
      </c>
      <c r="P22" s="12">
        <f>VLOOKUP(L22,ItemData!$A$4:$B$394,2,FALSE)</f>
        <v>214</v>
      </c>
      <c r="Q22" s="12"/>
      <c r="S22" s="12" t="str">
        <f t="shared" si="0"/>
        <v>221,276,214</v>
      </c>
    </row>
    <row r="23" spans="2:19" x14ac:dyDescent="0.15">
      <c r="B23" s="3">
        <v>1617</v>
      </c>
      <c r="C23" s="1" t="s">
        <v>629</v>
      </c>
      <c r="F23" s="12" t="s">
        <v>538</v>
      </c>
      <c r="G23" s="24" t="s">
        <v>716</v>
      </c>
      <c r="H23" s="14" t="s">
        <v>611</v>
      </c>
      <c r="J23" s="12" t="s">
        <v>353</v>
      </c>
      <c r="K23" s="12" t="s">
        <v>574</v>
      </c>
      <c r="L23" s="12" t="s">
        <v>765</v>
      </c>
      <c r="N23" s="12" t="e">
        <f>VLOOKUP(J23,ItemData!$A$4:$B$394,2,FALSE)</f>
        <v>#N/A</v>
      </c>
      <c r="O23" s="12">
        <f>VLOOKUP(K23,ItemData!$A$4:$B$394,2,FALSE)</f>
        <v>213</v>
      </c>
      <c r="P23" s="12">
        <f>VLOOKUP(L23,ItemData!$A$4:$B$394,2,FALSE)</f>
        <v>246</v>
      </c>
      <c r="Q23" s="12"/>
      <c r="S23" s="12" t="e">
        <f t="shared" si="0"/>
        <v>#N/A</v>
      </c>
    </row>
    <row r="24" spans="2:19" x14ac:dyDescent="0.15">
      <c r="B24" s="3">
        <v>1618</v>
      </c>
      <c r="C24" s="1" t="s">
        <v>630</v>
      </c>
      <c r="F24" s="12" t="s">
        <v>538</v>
      </c>
      <c r="G24" s="24" t="s">
        <v>717</v>
      </c>
      <c r="H24" s="14" t="s">
        <v>610</v>
      </c>
      <c r="J24" s="12" t="s">
        <v>352</v>
      </c>
      <c r="K24" s="12" t="s">
        <v>418</v>
      </c>
      <c r="L24" s="12" t="s">
        <v>352</v>
      </c>
      <c r="N24" s="12">
        <f>VLOOKUP(J24,ItemData!$A$4:$B$394,2,FALSE)</f>
        <v>1612</v>
      </c>
      <c r="O24" s="12">
        <f>VLOOKUP(K24,ItemData!$A$4:$B$394,2,FALSE)</f>
        <v>211</v>
      </c>
      <c r="P24" s="12">
        <f>VLOOKUP(L24,ItemData!$A$4:$B$394,2,FALSE)</f>
        <v>1612</v>
      </c>
      <c r="Q24" s="12"/>
      <c r="S24" s="12" t="str">
        <f t="shared" si="0"/>
        <v>1612,211,1612</v>
      </c>
    </row>
    <row r="25" spans="2:19" s="12" customFormat="1" x14ac:dyDescent="0.15">
      <c r="B25" s="3">
        <v>1619</v>
      </c>
      <c r="C25" s="1" t="s">
        <v>631</v>
      </c>
      <c r="F25" s="12" t="s">
        <v>445</v>
      </c>
      <c r="G25" s="24" t="s">
        <v>718</v>
      </c>
      <c r="H25" s="9" t="s">
        <v>561</v>
      </c>
      <c r="J25" s="12" t="s">
        <v>521</v>
      </c>
      <c r="K25" s="12" t="s">
        <v>471</v>
      </c>
      <c r="L25" s="12" t="s">
        <v>618</v>
      </c>
      <c r="M25" s="12" t="s">
        <v>406</v>
      </c>
      <c r="N25" s="12">
        <f>VLOOKUP(J25,ItemData!$A$4:$B$394,2,FALSE)</f>
        <v>270</v>
      </c>
      <c r="O25" s="12">
        <f>VLOOKUP(K25,ItemData!$A$4:$B$394,2,FALSE)</f>
        <v>225</v>
      </c>
      <c r="P25" s="12">
        <f>VLOOKUP(L25,ItemData!$A$4:$B$394,2,FALSE)</f>
        <v>239</v>
      </c>
      <c r="Q25" s="12" t="e">
        <f>VLOOKUP(M25,ItemData!$A$4:$B$394,2,FALSE)</f>
        <v>#N/A</v>
      </c>
      <c r="S25" s="12" t="e">
        <f t="shared" si="0"/>
        <v>#N/A</v>
      </c>
    </row>
    <row r="26" spans="2:19" s="12" customFormat="1" x14ac:dyDescent="0.15">
      <c r="B26" s="3">
        <v>1620</v>
      </c>
      <c r="C26" s="1" t="s">
        <v>632</v>
      </c>
      <c r="F26" s="12" t="s">
        <v>445</v>
      </c>
      <c r="G26" s="24" t="s">
        <v>719</v>
      </c>
      <c r="H26" s="9" t="s">
        <v>560</v>
      </c>
      <c r="J26" s="12" t="s">
        <v>482</v>
      </c>
      <c r="K26" s="12" t="s">
        <v>619</v>
      </c>
      <c r="L26" s="12" t="s">
        <v>498</v>
      </c>
      <c r="M26" s="12" t="s">
        <v>354</v>
      </c>
      <c r="N26" s="12">
        <f>VLOOKUP(J26,ItemData!$A$4:$B$394,2,FALSE)</f>
        <v>245</v>
      </c>
      <c r="O26" s="12">
        <f>VLOOKUP(K26,ItemData!$A$4:$B$394,2,FALSE)</f>
        <v>255</v>
      </c>
      <c r="P26" s="12">
        <f>VLOOKUP(L26,ItemData!$A$4:$B$394,2,FALSE)</f>
        <v>268</v>
      </c>
      <c r="Q26" s="12">
        <f>VLOOKUP(M26,ItemData!$A$4:$B$394,2,FALSE)</f>
        <v>1615</v>
      </c>
      <c r="S26" s="12" t="str">
        <f t="shared" si="0"/>
        <v>245,255,268,1615</v>
      </c>
    </row>
    <row r="27" spans="2:19" x14ac:dyDescent="0.15">
      <c r="B27" s="3">
        <v>1650</v>
      </c>
      <c r="C27" s="1" t="s">
        <v>364</v>
      </c>
      <c r="F27" t="s">
        <v>538</v>
      </c>
      <c r="G27" s="24"/>
      <c r="H27" s="17" t="s">
        <v>620</v>
      </c>
      <c r="J27" s="12" t="s">
        <v>417</v>
      </c>
      <c r="K27" s="12" t="s">
        <v>595</v>
      </c>
      <c r="L27" s="12"/>
      <c r="M27" s="12"/>
      <c r="N27" s="12">
        <f>VLOOKUP(J27,ItemData!$A$4:$B$394,2,FALSE)</f>
        <v>204</v>
      </c>
      <c r="O27" s="12">
        <f>VLOOKUP(K27,ItemData!$A$4:$B$394,2,FALSE)</f>
        <v>277</v>
      </c>
      <c r="P27" s="12"/>
      <c r="Q27" s="12"/>
      <c r="S27" s="12" t="str">
        <f t="shared" si="0"/>
        <v>204,277</v>
      </c>
    </row>
    <row r="28" spans="2:19" x14ac:dyDescent="0.15">
      <c r="B28" s="3">
        <v>1651</v>
      </c>
      <c r="C28" s="1" t="s">
        <v>362</v>
      </c>
      <c r="F28" s="12" t="s">
        <v>538</v>
      </c>
      <c r="G28" s="3"/>
      <c r="H28" s="17" t="s">
        <v>613</v>
      </c>
      <c r="J28" s="12" t="s">
        <v>597</v>
      </c>
      <c r="K28" s="12" t="s">
        <v>591</v>
      </c>
      <c r="L28" s="12" t="s">
        <v>614</v>
      </c>
      <c r="M28" s="12"/>
      <c r="N28" s="12">
        <f>VLOOKUP(J28,ItemData!$A$4:$B$394,2,FALSE)</f>
        <v>271</v>
      </c>
      <c r="O28" s="12">
        <f>VLOOKUP(K28,ItemData!$A$4:$B$394,2,FALSE)</f>
        <v>278</v>
      </c>
      <c r="P28" s="12">
        <f>VLOOKUP(L28,ItemData!$A$4:$B$394,2,FALSE)</f>
        <v>214</v>
      </c>
      <c r="Q28" s="12"/>
      <c r="S28" s="12" t="str">
        <f t="shared" si="0"/>
        <v>271,278,214</v>
      </c>
    </row>
    <row r="29" spans="2:19" x14ac:dyDescent="0.15">
      <c r="B29" s="3">
        <v>1652</v>
      </c>
      <c r="C29" s="1" t="s">
        <v>407</v>
      </c>
      <c r="F29" s="12" t="s">
        <v>538</v>
      </c>
      <c r="G29" s="3"/>
      <c r="H29" s="17" t="s">
        <v>387</v>
      </c>
      <c r="J29" s="12" t="s">
        <v>362</v>
      </c>
      <c r="K29" s="12" t="s">
        <v>375</v>
      </c>
      <c r="L29" s="12" t="s">
        <v>367</v>
      </c>
      <c r="M29" s="12"/>
      <c r="N29" s="12">
        <f>VLOOKUP(J29,ItemData!$A$4:$B$394,2,FALSE)</f>
        <v>1651</v>
      </c>
      <c r="O29" s="12">
        <f>VLOOKUP(K29,ItemData!$A$4:$B$394,2,FALSE)</f>
        <v>227</v>
      </c>
      <c r="P29" s="12">
        <f>VLOOKUP(L29,ItemData!$A$4:$B$394,2,FALSE)</f>
        <v>299</v>
      </c>
      <c r="Q29" s="12"/>
      <c r="S29" s="12" t="str">
        <f t="shared" si="0"/>
        <v>1651,227,299</v>
      </c>
    </row>
    <row r="30" spans="2:19" x14ac:dyDescent="0.15">
      <c r="B30" s="3">
        <v>1653</v>
      </c>
      <c r="C30" s="1" t="s">
        <v>408</v>
      </c>
      <c r="F30" s="12" t="s">
        <v>538</v>
      </c>
      <c r="G30" s="3"/>
      <c r="H30" s="17" t="s">
        <v>356</v>
      </c>
      <c r="J30" t="s">
        <v>362</v>
      </c>
      <c r="K30" s="12" t="s">
        <v>361</v>
      </c>
      <c r="L30" s="25" t="s">
        <v>764</v>
      </c>
      <c r="M30" s="12"/>
      <c r="N30" s="12">
        <f>VLOOKUP(J30,ItemData!$A$4:$B$394,2,FALSE)</f>
        <v>1651</v>
      </c>
      <c r="O30" s="12">
        <f>VLOOKUP(K30,ItemData!$A$4:$B$394,2,FALSE)</f>
        <v>223</v>
      </c>
      <c r="P30" s="12">
        <f>VLOOKUP(L30,ItemData!$A$4:$B$394,2,FALSE)</f>
        <v>301</v>
      </c>
      <c r="Q30" s="12"/>
      <c r="S30" s="12" t="str">
        <f t="shared" si="0"/>
        <v>1651,223,301</v>
      </c>
    </row>
    <row r="31" spans="2:19" x14ac:dyDescent="0.15">
      <c r="B31" s="3">
        <v>1654</v>
      </c>
      <c r="C31" s="1" t="s">
        <v>366</v>
      </c>
      <c r="F31" s="12" t="s">
        <v>445</v>
      </c>
      <c r="G31" s="3"/>
      <c r="H31" s="17" t="s">
        <v>616</v>
      </c>
      <c r="J31" s="12" t="s">
        <v>535</v>
      </c>
      <c r="K31" t="s">
        <v>458</v>
      </c>
      <c r="L31" s="12"/>
      <c r="M31" s="12"/>
      <c r="N31" s="12">
        <f>VLOOKUP(J31,ItemData!$A$4:$B$394,2,FALSE)</f>
        <v>298</v>
      </c>
      <c r="O31" s="12">
        <f>VLOOKUP(K31,ItemData!$A$4:$B$394,2,FALSE)</f>
        <v>205</v>
      </c>
      <c r="P31" s="12"/>
      <c r="Q31" s="12"/>
      <c r="S31" s="12" t="str">
        <f t="shared" si="0"/>
        <v>298,205</v>
      </c>
    </row>
    <row r="32" spans="2:19" x14ac:dyDescent="0.15">
      <c r="B32" s="3">
        <v>1655</v>
      </c>
      <c r="C32" s="1" t="s">
        <v>409</v>
      </c>
      <c r="F32" s="12" t="s">
        <v>445</v>
      </c>
      <c r="G32" s="3"/>
      <c r="H32" s="17" t="s">
        <v>388</v>
      </c>
      <c r="J32" s="12" t="s">
        <v>366</v>
      </c>
      <c r="K32" s="12" t="s">
        <v>600</v>
      </c>
      <c r="L32" s="12" t="s">
        <v>473</v>
      </c>
      <c r="M32" s="12" t="s">
        <v>570</v>
      </c>
      <c r="N32" s="12">
        <f>VLOOKUP(J32,ItemData!$A$4:$B$394,2,FALSE)</f>
        <v>1654</v>
      </c>
      <c r="O32" s="12">
        <f>VLOOKUP(K32,ItemData!$A$4:$B$394,2,FALSE)</f>
        <v>250</v>
      </c>
      <c r="P32" s="12">
        <f>VLOOKUP(L32,ItemData!$A$4:$B$394,2,FALSE)</f>
        <v>229</v>
      </c>
      <c r="Q32" s="12">
        <f>VLOOKUP(M32,ItemData!$A$4:$B$394,2,FALSE)</f>
        <v>286</v>
      </c>
      <c r="S32" s="12" t="str">
        <f t="shared" si="0"/>
        <v>1654,250,229,286</v>
      </c>
    </row>
    <row r="33" spans="2:19" s="12" customFormat="1" x14ac:dyDescent="0.15">
      <c r="B33" s="3">
        <v>1656</v>
      </c>
      <c r="C33" s="1" t="s">
        <v>680</v>
      </c>
      <c r="F33" s="12" t="s">
        <v>445</v>
      </c>
      <c r="G33" s="3"/>
      <c r="H33" s="17" t="s">
        <v>681</v>
      </c>
      <c r="J33" s="12" t="s">
        <v>457</v>
      </c>
      <c r="K33" s="12" t="s">
        <v>366</v>
      </c>
      <c r="L33" s="12" t="s">
        <v>461</v>
      </c>
      <c r="N33" s="12">
        <f>VLOOKUP(J33,ItemData!$A$4:$B$394,2,FALSE)</f>
        <v>202</v>
      </c>
      <c r="O33" s="12">
        <f>VLOOKUP(K33,ItemData!$A$4:$B$394,2,FALSE)</f>
        <v>1654</v>
      </c>
      <c r="P33" s="12">
        <f>VLOOKUP(L33,ItemData!$A$4:$B$394,2,FALSE)</f>
        <v>210</v>
      </c>
      <c r="S33" s="12" t="str">
        <f t="shared" si="0"/>
        <v>202,1654,210</v>
      </c>
    </row>
    <row r="34" spans="2:19" x14ac:dyDescent="0.15">
      <c r="B34" s="3">
        <v>1657</v>
      </c>
      <c r="C34" s="1" t="s">
        <v>368</v>
      </c>
      <c r="F34" s="12" t="s">
        <v>538</v>
      </c>
      <c r="G34" s="3"/>
      <c r="H34" s="17" t="s">
        <v>357</v>
      </c>
      <c r="J34" s="12" t="s">
        <v>598</v>
      </c>
      <c r="K34" s="12" t="s">
        <v>763</v>
      </c>
      <c r="L34" s="12" t="s">
        <v>595</v>
      </c>
      <c r="M34" s="25" t="s">
        <v>730</v>
      </c>
      <c r="N34" s="12">
        <f>VLOOKUP(J34,ItemData!$A$4:$B$394,2,FALSE)</f>
        <v>272</v>
      </c>
      <c r="O34" s="12">
        <f>VLOOKUP(K34,ItemData!$A$4:$B$394,2,FALSE)</f>
        <v>228</v>
      </c>
      <c r="P34" s="12">
        <f>VLOOKUP(L34,ItemData!$A$4:$B$394,2,FALSE)</f>
        <v>277</v>
      </c>
      <c r="Q34" s="12"/>
      <c r="S34" s="12" t="str">
        <f t="shared" si="0"/>
        <v>272,228,277</v>
      </c>
    </row>
    <row r="35" spans="2:19" x14ac:dyDescent="0.15">
      <c r="B35" s="3">
        <v>1658</v>
      </c>
      <c r="C35" s="1" t="s">
        <v>410</v>
      </c>
      <c r="F35" s="12" t="s">
        <v>538</v>
      </c>
      <c r="G35" s="3"/>
      <c r="H35" s="17" t="s">
        <v>358</v>
      </c>
      <c r="J35" s="12" t="s">
        <v>529</v>
      </c>
      <c r="K35" s="12" t="s">
        <v>591</v>
      </c>
      <c r="L35" s="12" t="s">
        <v>597</v>
      </c>
      <c r="M35" s="12"/>
      <c r="N35" s="12">
        <f>VLOOKUP(J35,ItemData!$A$4:$B$394,2,FALSE)</f>
        <v>273</v>
      </c>
      <c r="O35" s="12">
        <f>VLOOKUP(K35,ItemData!$A$4:$B$394,2,FALSE)</f>
        <v>278</v>
      </c>
      <c r="P35" s="12">
        <f>VLOOKUP(L35,ItemData!$A$4:$B$394,2,FALSE)</f>
        <v>271</v>
      </c>
      <c r="Q35" s="12"/>
      <c r="S35" s="12" t="str">
        <f t="shared" si="0"/>
        <v>273,278,271</v>
      </c>
    </row>
    <row r="36" spans="2:19" x14ac:dyDescent="0.15">
      <c r="B36" s="3">
        <v>1659</v>
      </c>
      <c r="C36" s="1" t="s">
        <v>411</v>
      </c>
      <c r="F36" s="12" t="s">
        <v>538</v>
      </c>
      <c r="G36" s="3"/>
      <c r="H36" s="17" t="s">
        <v>393</v>
      </c>
      <c r="J36" s="12" t="s">
        <v>530</v>
      </c>
      <c r="K36" s="12" t="s">
        <v>595</v>
      </c>
      <c r="L36" s="12" t="s">
        <v>422</v>
      </c>
      <c r="M36" s="12" t="s">
        <v>384</v>
      </c>
      <c r="N36" s="12">
        <f>VLOOKUP(J36,ItemData!$A$4:$B$394,2,FALSE)</f>
        <v>264</v>
      </c>
      <c r="O36" s="12">
        <f>VLOOKUP(K36,ItemData!$A$4:$B$394,2,FALSE)</f>
        <v>277</v>
      </c>
      <c r="P36" s="12">
        <f>VLOOKUP(L36,ItemData!$A$4:$B$394,2,FALSE)</f>
        <v>255</v>
      </c>
      <c r="Q36" s="12">
        <f>VLOOKUP(M36,ItemData!$A$4:$B$394,2,FALSE)</f>
        <v>246</v>
      </c>
      <c r="S36" s="12" t="str">
        <f t="shared" si="0"/>
        <v>264,277,255,246</v>
      </c>
    </row>
    <row r="37" spans="2:19" x14ac:dyDescent="0.15">
      <c r="B37" s="3">
        <v>1660</v>
      </c>
      <c r="C37" s="1" t="s">
        <v>412</v>
      </c>
      <c r="F37" s="12" t="s">
        <v>538</v>
      </c>
      <c r="G37" s="3"/>
      <c r="H37" s="17" t="s">
        <v>394</v>
      </c>
      <c r="J37" s="12" t="s">
        <v>364</v>
      </c>
      <c r="K37" s="12" t="s">
        <v>460</v>
      </c>
      <c r="L37" s="12" t="s">
        <v>771</v>
      </c>
      <c r="M37" s="12"/>
      <c r="N37" s="12">
        <f>VLOOKUP(J37,ItemData!$A$4:$B$394,2,FALSE)</f>
        <v>1650</v>
      </c>
      <c r="O37" s="12">
        <f>VLOOKUP(K37,ItemData!$A$4:$B$394,2,FALSE)</f>
        <v>208</v>
      </c>
      <c r="P37" s="12">
        <f>VLOOKUP(L37,ItemData!$A$4:$B$394,2,FALSE)</f>
        <v>224</v>
      </c>
      <c r="R37" s="12"/>
      <c r="S37" s="12" t="str">
        <f t="shared" si="0"/>
        <v>1650,208,224</v>
      </c>
    </row>
    <row r="38" spans="2:19" x14ac:dyDescent="0.15">
      <c r="B38" s="3">
        <v>1661</v>
      </c>
      <c r="C38" s="1" t="s">
        <v>413</v>
      </c>
      <c r="F38" s="12" t="s">
        <v>538</v>
      </c>
      <c r="G38" s="3"/>
      <c r="H38" s="17" t="s">
        <v>390</v>
      </c>
      <c r="J38" s="12" t="s">
        <v>617</v>
      </c>
      <c r="K38" s="12" t="s">
        <v>378</v>
      </c>
      <c r="L38" s="12" t="s">
        <v>760</v>
      </c>
      <c r="M38" s="12" t="s">
        <v>757</v>
      </c>
      <c r="N38" s="12">
        <f>VLOOKUP(J38,ItemData!$A$4:$B$394,2,FALSE)</f>
        <v>1651</v>
      </c>
      <c r="O38" s="12">
        <f>VLOOKUP(K38,ItemData!$A$4:$B$394,2,FALSE)</f>
        <v>242</v>
      </c>
      <c r="P38" s="12">
        <f>VLOOKUP(L38,ItemData!$A$4:$B$394,2,FALSE)</f>
        <v>247</v>
      </c>
      <c r="Q38" s="12">
        <f>VLOOKUP(M38,ItemData!$A$4:$B$394,2,FALSE)</f>
        <v>241</v>
      </c>
      <c r="S38" s="12" t="str">
        <f t="shared" si="0"/>
        <v>1651,242,247,241</v>
      </c>
    </row>
    <row r="39" spans="2:19" x14ac:dyDescent="0.15">
      <c r="B39" s="3">
        <v>1662</v>
      </c>
      <c r="C39" s="1" t="s">
        <v>414</v>
      </c>
      <c r="F39" s="12" t="s">
        <v>445</v>
      </c>
      <c r="G39" s="3"/>
      <c r="H39" s="17" t="s">
        <v>389</v>
      </c>
      <c r="J39" s="12" t="s">
        <v>366</v>
      </c>
      <c r="K39" s="12" t="s">
        <v>369</v>
      </c>
      <c r="L39" s="12" t="s">
        <v>419</v>
      </c>
      <c r="M39" s="12" t="s">
        <v>467</v>
      </c>
      <c r="N39" s="12">
        <f>VLOOKUP(J39,ItemData!$A$4:$B$394,2,FALSE)</f>
        <v>1654</v>
      </c>
      <c r="O39" s="12">
        <f>VLOOKUP(K39,ItemData!$A$4:$B$394,2,FALSE)</f>
        <v>274</v>
      </c>
      <c r="P39" s="12">
        <f>VLOOKUP(L39,ItemData!$A$4:$B$394,2,FALSE)</f>
        <v>299</v>
      </c>
      <c r="Q39" s="12">
        <f>VLOOKUP(M39,ItemData!$A$4:$B$394,2,FALSE)</f>
        <v>218</v>
      </c>
      <c r="S39" s="12" t="str">
        <f t="shared" si="0"/>
        <v>1654,274,299,218</v>
      </c>
    </row>
    <row r="40" spans="2:19" x14ac:dyDescent="0.15">
      <c r="B40" s="3">
        <v>1663</v>
      </c>
      <c r="C40" s="1" t="s">
        <v>415</v>
      </c>
      <c r="F40" s="12" t="s">
        <v>538</v>
      </c>
      <c r="G40" s="3"/>
      <c r="H40" s="17" t="s">
        <v>391</v>
      </c>
      <c r="J40" s="12" t="s">
        <v>365</v>
      </c>
      <c r="K40" s="12" t="s">
        <v>370</v>
      </c>
      <c r="L40" s="12" t="s">
        <v>374</v>
      </c>
      <c r="M40" s="12"/>
      <c r="N40" s="12">
        <f>VLOOKUP(J40,ItemData!$A$4:$B$394,2,FALSE)</f>
        <v>204</v>
      </c>
      <c r="O40" s="12">
        <f>VLOOKUP(K40,ItemData!$A$4:$B$394,2,FALSE)</f>
        <v>214</v>
      </c>
      <c r="P40" s="12">
        <f>VLOOKUP(L40,ItemData!$A$4:$B$394,2,FALSE)</f>
        <v>228</v>
      </c>
      <c r="R40" s="12"/>
      <c r="S40" s="12" t="str">
        <f t="shared" si="0"/>
        <v>204,214,228</v>
      </c>
    </row>
    <row r="41" spans="2:19" x14ac:dyDescent="0.15">
      <c r="B41" s="3">
        <v>1664</v>
      </c>
      <c r="C41" s="1" t="s">
        <v>416</v>
      </c>
      <c r="F41" s="12" t="s">
        <v>538</v>
      </c>
      <c r="G41" s="3"/>
      <c r="H41" s="17" t="s">
        <v>392</v>
      </c>
      <c r="J41" s="12" t="s">
        <v>364</v>
      </c>
      <c r="K41" s="12" t="s">
        <v>540</v>
      </c>
      <c r="L41" s="7" t="s">
        <v>545</v>
      </c>
      <c r="N41" s="12">
        <f>VLOOKUP(J41,ItemData!$A$4:$B$394,2,FALSE)</f>
        <v>1650</v>
      </c>
      <c r="O41" s="12">
        <f>VLOOKUP(K41,ItemData!$A$4:$B$394,2,FALSE)</f>
        <v>232</v>
      </c>
      <c r="P41" s="12">
        <f>VLOOKUP(L41,ItemData!$A$4:$B$394,2,FALSE)</f>
        <v>282</v>
      </c>
      <c r="R41" s="12"/>
      <c r="S41" s="12" t="str">
        <f t="shared" si="0"/>
        <v>1650,232,282</v>
      </c>
    </row>
    <row r="42" spans="2:19" x14ac:dyDescent="0.15">
      <c r="B42" s="3">
        <v>1665</v>
      </c>
      <c r="C42" s="1" t="s">
        <v>403</v>
      </c>
      <c r="F42" s="12" t="s">
        <v>538</v>
      </c>
      <c r="G42" s="3"/>
      <c r="H42" s="17" t="s">
        <v>403</v>
      </c>
      <c r="J42" s="12" t="s">
        <v>368</v>
      </c>
      <c r="K42" s="12" t="s">
        <v>515</v>
      </c>
      <c r="L42" s="12" t="s">
        <v>476</v>
      </c>
      <c r="M42" s="12" t="s">
        <v>385</v>
      </c>
      <c r="N42" s="12">
        <f>VLOOKUP(J42,ItemData!$A$4:$B$394,2,FALSE)</f>
        <v>1657</v>
      </c>
      <c r="O42" s="12">
        <f>VLOOKUP(K42,ItemData!$A$4:$B$394,2,FALSE)</f>
        <v>279</v>
      </c>
      <c r="P42" s="12">
        <f>VLOOKUP(L42,ItemData!$A$4:$B$394,2,FALSE)</f>
        <v>234</v>
      </c>
      <c r="Q42" s="12">
        <f>VLOOKUP(M42,ItemData!$A$4:$B$394,2,FALSE)</f>
        <v>247</v>
      </c>
      <c r="S42" s="12" t="str">
        <f t="shared" si="0"/>
        <v>1657,279,234,247</v>
      </c>
    </row>
    <row r="43" spans="2:19" s="12" customFormat="1" x14ac:dyDescent="0.15">
      <c r="B43" s="3">
        <v>1666</v>
      </c>
      <c r="C43" s="1" t="s">
        <v>633</v>
      </c>
      <c r="F43" s="12" t="s">
        <v>538</v>
      </c>
      <c r="G43" s="3"/>
      <c r="H43" s="18" t="s">
        <v>563</v>
      </c>
      <c r="J43" s="12" t="s">
        <v>761</v>
      </c>
      <c r="K43" s="12" t="s">
        <v>364</v>
      </c>
      <c r="L43" s="12" t="s">
        <v>482</v>
      </c>
      <c r="M43" s="12" t="s">
        <v>736</v>
      </c>
      <c r="N43" s="12">
        <f>VLOOKUP(J43,ItemData!$A$4:$B$394,2,FALSE)</f>
        <v>248</v>
      </c>
      <c r="O43" s="12">
        <f>VLOOKUP(K43,ItemData!$A$4:$B$394,2,FALSE)</f>
        <v>1650</v>
      </c>
      <c r="P43" s="12">
        <f>VLOOKUP(L43,ItemData!$A$4:$B$394,2,FALSE)</f>
        <v>245</v>
      </c>
      <c r="Q43" s="12">
        <f>VLOOKUP(M43,ItemData!$A$4:$B$394,2,FALSE)</f>
        <v>285</v>
      </c>
      <c r="S43" s="12" t="str">
        <f t="shared" si="0"/>
        <v>248,1650,245,285</v>
      </c>
    </row>
    <row r="44" spans="2:19" x14ac:dyDescent="0.15">
      <c r="B44" s="3">
        <v>1700</v>
      </c>
      <c r="C44" s="1" t="s">
        <v>438</v>
      </c>
      <c r="F44" s="12" t="s">
        <v>538</v>
      </c>
      <c r="G44" s="3"/>
      <c r="H44" s="18" t="s">
        <v>439</v>
      </c>
      <c r="J44" t="s">
        <v>447</v>
      </c>
      <c r="K44" s="26" t="s">
        <v>775</v>
      </c>
      <c r="L44" s="12" t="s">
        <v>539</v>
      </c>
      <c r="M44" s="27"/>
      <c r="N44" s="12">
        <f>VLOOKUP(J44,ItemData!$A$4:$B$394,2,FALSE)</f>
        <v>204</v>
      </c>
      <c r="O44" s="12">
        <f>VLOOKUP(K44,ItemData!$A$4:$B$394,2,FALSE)</f>
        <v>302</v>
      </c>
      <c r="P44" s="12">
        <f>VLOOKUP(L44,ItemData!$A$4:$B$394,2,FALSE)</f>
        <v>278</v>
      </c>
      <c r="R44" s="12"/>
      <c r="S44" s="12" t="str">
        <f t="shared" si="0"/>
        <v>204,302,278</v>
      </c>
    </row>
    <row r="45" spans="2:19" x14ac:dyDescent="0.15">
      <c r="B45" s="3">
        <v>1701</v>
      </c>
      <c r="C45" s="1" t="s">
        <v>435</v>
      </c>
      <c r="F45" s="12" t="s">
        <v>538</v>
      </c>
      <c r="G45" s="3"/>
      <c r="H45" s="18" t="s">
        <v>590</v>
      </c>
      <c r="J45" t="s">
        <v>453</v>
      </c>
      <c r="K45" t="s">
        <v>470</v>
      </c>
      <c r="L45" s="12" t="s">
        <v>539</v>
      </c>
      <c r="N45" s="12">
        <f>VLOOKUP(J45,ItemData!$A$4:$B$394,2,FALSE)</f>
        <v>271</v>
      </c>
      <c r="O45" s="12">
        <f>VLOOKUP(K45,ItemData!$A$4:$B$394,2,FALSE)</f>
        <v>222</v>
      </c>
      <c r="P45" s="12">
        <f>VLOOKUP(L45,ItemData!$A$4:$B$394,2,FALSE)</f>
        <v>278</v>
      </c>
      <c r="R45" s="12"/>
      <c r="S45" s="12" t="str">
        <f t="shared" si="0"/>
        <v>271,222,278</v>
      </c>
    </row>
    <row r="46" spans="2:19" x14ac:dyDescent="0.15">
      <c r="B46" s="3">
        <v>1702</v>
      </c>
      <c r="C46" s="1" t="s">
        <v>436</v>
      </c>
      <c r="F46" s="12" t="s">
        <v>445</v>
      </c>
      <c r="G46" s="3"/>
      <c r="H46" s="18" t="s">
        <v>448</v>
      </c>
      <c r="J46" s="12" t="s">
        <v>432</v>
      </c>
      <c r="K46" s="12" t="s">
        <v>580</v>
      </c>
      <c r="L46" t="s">
        <v>457</v>
      </c>
      <c r="N46" s="12">
        <f>VLOOKUP(J46,ItemData!$A$4:$B$394,2,FALSE)</f>
        <v>298</v>
      </c>
      <c r="O46" s="12">
        <f>VLOOKUP(K46,ItemData!$A$4:$B$394,2,FALSE)</f>
        <v>210</v>
      </c>
      <c r="P46" s="12">
        <f>VLOOKUP(L46,ItemData!$A$4:$B$394,2,FALSE)</f>
        <v>202</v>
      </c>
      <c r="R46" s="12"/>
      <c r="S46" s="12" t="str">
        <f t="shared" si="0"/>
        <v>298,210,202</v>
      </c>
    </row>
    <row r="47" spans="2:19" ht="27" x14ac:dyDescent="0.15">
      <c r="B47" s="3">
        <v>1703</v>
      </c>
      <c r="C47" s="1" t="s">
        <v>437</v>
      </c>
      <c r="F47" s="12" t="s">
        <v>538</v>
      </c>
      <c r="G47" s="3"/>
      <c r="H47" s="18" t="s">
        <v>607</v>
      </c>
      <c r="J47" s="12" t="s">
        <v>435</v>
      </c>
      <c r="K47" t="s">
        <v>529</v>
      </c>
      <c r="L47" t="s">
        <v>363</v>
      </c>
      <c r="M47" s="27" t="s">
        <v>728</v>
      </c>
      <c r="N47" s="12">
        <f>VLOOKUP(J47,ItemData!$A$4:$B$394,2,FALSE)</f>
        <v>1701</v>
      </c>
      <c r="O47" s="12">
        <f>VLOOKUP(K47,ItemData!$A$4:$B$394,2,FALSE)</f>
        <v>273</v>
      </c>
      <c r="P47" s="12">
        <f>VLOOKUP(L47,ItemData!$A$4:$B$394,2,FALSE)</f>
        <v>238</v>
      </c>
      <c r="R47" s="12"/>
      <c r="S47" s="12" t="str">
        <f t="shared" si="0"/>
        <v>1701,273,238</v>
      </c>
    </row>
    <row r="48" spans="2:19" x14ac:dyDescent="0.15">
      <c r="B48" s="3">
        <v>1704</v>
      </c>
      <c r="C48" s="1" t="s">
        <v>440</v>
      </c>
      <c r="F48" s="12" t="s">
        <v>538</v>
      </c>
      <c r="G48" s="3"/>
      <c r="H48" s="18" t="s">
        <v>604</v>
      </c>
      <c r="J48" s="12" t="s">
        <v>439</v>
      </c>
      <c r="K48" s="27" t="s">
        <v>728</v>
      </c>
      <c r="L48" t="s">
        <v>370</v>
      </c>
      <c r="N48" s="12">
        <f>VLOOKUP(J48,ItemData!$A$4:$B$394,2,FALSE)</f>
        <v>1700</v>
      </c>
      <c r="O48" s="12">
        <f>VLOOKUP(K48,ItemData!$A$4:$B$394,2,FALSE)</f>
        <v>301</v>
      </c>
      <c r="P48" s="12">
        <f>VLOOKUP(L48,ItemData!$A$4:$B$394,2,FALSE)</f>
        <v>214</v>
      </c>
      <c r="R48" s="12"/>
      <c r="S48" s="12" t="str">
        <f t="shared" si="0"/>
        <v>1700,301,214</v>
      </c>
    </row>
    <row r="49" spans="2:19" x14ac:dyDescent="0.15">
      <c r="B49" s="3">
        <v>1705</v>
      </c>
      <c r="C49" s="1" t="s">
        <v>444</v>
      </c>
      <c r="F49" s="12" t="s">
        <v>538</v>
      </c>
      <c r="G49" s="3"/>
      <c r="H49" s="18" t="s">
        <v>514</v>
      </c>
      <c r="J49" s="12" t="s">
        <v>435</v>
      </c>
      <c r="K49" t="s">
        <v>772</v>
      </c>
      <c r="L49" t="s">
        <v>361</v>
      </c>
      <c r="M49" t="s">
        <v>515</v>
      </c>
      <c r="N49" s="12">
        <f>VLOOKUP(J49,ItemData!$A$4:$B$394,2,FALSE)</f>
        <v>1701</v>
      </c>
      <c r="O49" s="12">
        <f>VLOOKUP(K49,ItemData!$A$4:$B$394,2,FALSE)</f>
        <v>234</v>
      </c>
      <c r="P49" s="12">
        <f>VLOOKUP(L49,ItemData!$A$4:$B$394,2,FALSE)</f>
        <v>223</v>
      </c>
      <c r="Q49" s="12">
        <f>VLOOKUP(M49,ItemData!$A$4:$B$394,2,FALSE)</f>
        <v>279</v>
      </c>
      <c r="S49" s="12" t="str">
        <f t="shared" si="0"/>
        <v>1701,234,223,279</v>
      </c>
    </row>
    <row r="50" spans="2:19" s="12" customFormat="1" x14ac:dyDescent="0.15">
      <c r="B50" s="3">
        <v>1706</v>
      </c>
      <c r="C50" s="1" t="s">
        <v>443</v>
      </c>
      <c r="F50" s="12" t="s">
        <v>538</v>
      </c>
      <c r="G50" s="3"/>
      <c r="H50" s="18" t="s">
        <v>449</v>
      </c>
      <c r="J50" s="12" t="s">
        <v>438</v>
      </c>
      <c r="K50" s="12" t="s">
        <v>502</v>
      </c>
      <c r="L50" s="12" t="s">
        <v>605</v>
      </c>
      <c r="M50" s="12" t="s">
        <v>753</v>
      </c>
      <c r="N50" s="12">
        <f>VLOOKUP(J50,ItemData!$A$4:$B$394,2,FALSE)</f>
        <v>1700</v>
      </c>
      <c r="O50" s="12">
        <f>VLOOKUP(K50,ItemData!$A$4:$B$394,2,FALSE)</f>
        <v>280</v>
      </c>
      <c r="P50" s="12">
        <f>VLOOKUP(L50,ItemData!$A$4:$B$394,2,FALSE)</f>
        <v>232</v>
      </c>
      <c r="Q50" s="12">
        <f>VLOOKUP(M50,ItemData!$A$4:$B$394,2,FALSE)</f>
        <v>272</v>
      </c>
      <c r="S50" s="12" t="str">
        <f t="shared" si="0"/>
        <v>1700,280,232,272</v>
      </c>
    </row>
    <row r="51" spans="2:19" s="12" customFormat="1" x14ac:dyDescent="0.15">
      <c r="B51" s="3">
        <v>1707</v>
      </c>
      <c r="C51" s="1" t="s">
        <v>442</v>
      </c>
      <c r="F51" s="12" t="s">
        <v>445</v>
      </c>
      <c r="G51" s="3"/>
      <c r="H51" s="18" t="s">
        <v>450</v>
      </c>
      <c r="J51" s="18" t="s">
        <v>448</v>
      </c>
      <c r="K51" s="12" t="s">
        <v>513</v>
      </c>
      <c r="L51" s="12" t="s">
        <v>480</v>
      </c>
      <c r="M51" s="12" t="s">
        <v>586</v>
      </c>
      <c r="N51" s="12">
        <f>VLOOKUP(J51,ItemData!$A$4:$B$394,2,FALSE)</f>
        <v>1702</v>
      </c>
      <c r="O51" s="12">
        <f>VLOOKUP(K51,ItemData!$A$4:$B$394,2,FALSE)</f>
        <v>275</v>
      </c>
      <c r="P51" s="12">
        <f>VLOOKUP(L51,ItemData!$A$4:$B$394,2,FALSE)</f>
        <v>240</v>
      </c>
      <c r="Q51" s="12">
        <f>VLOOKUP(M51,ItemData!$A$4:$B$394,2,FALSE)</f>
        <v>299</v>
      </c>
      <c r="S51" s="12" t="str">
        <f t="shared" si="0"/>
        <v>1702,275,240,299</v>
      </c>
    </row>
    <row r="52" spans="2:19" s="12" customFormat="1" x14ac:dyDescent="0.15">
      <c r="B52" s="3">
        <v>1708</v>
      </c>
      <c r="C52" s="1" t="s">
        <v>446</v>
      </c>
      <c r="F52" s="12" t="s">
        <v>538</v>
      </c>
      <c r="G52" s="3"/>
      <c r="H52" s="18" t="s">
        <v>517</v>
      </c>
      <c r="J52" s="12" t="s">
        <v>439</v>
      </c>
      <c r="K52" s="12" t="s">
        <v>602</v>
      </c>
      <c r="L52" s="12" t="s">
        <v>773</v>
      </c>
      <c r="M52" s="12" t="s">
        <v>767</v>
      </c>
      <c r="N52" s="12">
        <f>VLOOKUP(J52,ItemData!$A$4:$B$394,2,FALSE)</f>
        <v>1700</v>
      </c>
      <c r="O52" s="12">
        <f>VLOOKUP(K52,ItemData!$A$4:$B$394,2,FALSE)</f>
        <v>281</v>
      </c>
      <c r="P52" s="12">
        <f>VLOOKUP(L52,ItemData!$A$4:$B$394,2,FALSE)</f>
        <v>251</v>
      </c>
      <c r="Q52" s="12">
        <f>VLOOKUP(M52,ItemData!$A$4:$B$394,2,FALSE)</f>
        <v>282</v>
      </c>
      <c r="S52" s="12" t="str">
        <f t="shared" si="0"/>
        <v>1700,281,251,282</v>
      </c>
    </row>
    <row r="53" spans="2:19" x14ac:dyDescent="0.15">
      <c r="B53" s="3">
        <v>1709</v>
      </c>
      <c r="C53" s="1" t="s">
        <v>441</v>
      </c>
      <c r="F53" s="12" t="s">
        <v>538</v>
      </c>
      <c r="G53" s="3"/>
      <c r="H53" s="18" t="s">
        <v>518</v>
      </c>
      <c r="J53" t="s">
        <v>382</v>
      </c>
      <c r="K53" t="s">
        <v>440</v>
      </c>
      <c r="L53" s="12" t="s">
        <v>762</v>
      </c>
      <c r="M53" t="s">
        <v>491</v>
      </c>
      <c r="N53" s="12">
        <f>VLOOKUP(J53,ItemData!$A$4:$B$394,2,FALSE)</f>
        <v>224</v>
      </c>
      <c r="O53" s="12">
        <f>VLOOKUP(K53,ItemData!$A$4:$B$394,2,FALSE)</f>
        <v>1704</v>
      </c>
      <c r="P53" s="12">
        <f>VLOOKUP(L53,ItemData!$A$4:$B$394,2,FALSE)</f>
        <v>264</v>
      </c>
      <c r="Q53" s="12">
        <f>VLOOKUP(M53,ItemData!$A$4:$B$394,2,FALSE)</f>
        <v>258</v>
      </c>
      <c r="S53" s="12" t="str">
        <f t="shared" si="0"/>
        <v>224,1704,264,258</v>
      </c>
    </row>
    <row r="54" spans="2:19" s="12" customFormat="1" x14ac:dyDescent="0.15">
      <c r="B54" s="3">
        <v>1710</v>
      </c>
      <c r="C54" s="1" t="s">
        <v>634</v>
      </c>
      <c r="F54" s="12" t="s">
        <v>774</v>
      </c>
      <c r="H54" s="18" t="s">
        <v>564</v>
      </c>
      <c r="J54" s="12" t="s">
        <v>437</v>
      </c>
      <c r="K54" s="12" t="s">
        <v>567</v>
      </c>
      <c r="L54" s="12" t="s">
        <v>475</v>
      </c>
      <c r="M54" t="s">
        <v>497</v>
      </c>
      <c r="N54" s="12">
        <f>VLOOKUP(J54,ItemData!$A$4:$B$394,2,FALSE)</f>
        <v>1703</v>
      </c>
      <c r="O54" s="12">
        <f>VLOOKUP(K54,ItemData!$A$4:$B$394,2,FALSE)</f>
        <v>282</v>
      </c>
      <c r="P54" s="12">
        <f>VLOOKUP(L54,ItemData!$A$4:$B$394,2,FALSE)</f>
        <v>232</v>
      </c>
      <c r="Q54" s="12">
        <f>VLOOKUP(M54,ItemData!$A$4:$B$394,2,FALSE)</f>
        <v>267</v>
      </c>
      <c r="S54" s="12" t="str">
        <f t="shared" si="0"/>
        <v>1703,282,232,267</v>
      </c>
    </row>
    <row r="55" spans="2:19" s="12" customFormat="1" x14ac:dyDescent="0.15"/>
    <row r="56" spans="2:19" s="12" customFormat="1" x14ac:dyDescent="0.15">
      <c r="H56" s="12" t="s">
        <v>505</v>
      </c>
    </row>
    <row r="57" spans="2:19" s="12" customFormat="1" x14ac:dyDescent="0.15">
      <c r="H57" s="12" t="s">
        <v>507</v>
      </c>
    </row>
    <row r="58" spans="2:19" x14ac:dyDescent="0.15">
      <c r="B58" s="12"/>
      <c r="C58" s="12"/>
      <c r="H58" s="12" t="s">
        <v>506</v>
      </c>
      <c r="S58" s="12"/>
    </row>
    <row r="59" spans="2:19" s="12" customFormat="1" x14ac:dyDescent="0.15">
      <c r="B59"/>
      <c r="C59"/>
    </row>
    <row r="60" spans="2:19" s="12" customFormat="1" x14ac:dyDescent="0.15"/>
    <row r="61" spans="2:19" x14ac:dyDescent="0.15">
      <c r="B61" s="12"/>
      <c r="C61" s="12"/>
      <c r="S61" s="12"/>
    </row>
    <row r="62" spans="2:19" x14ac:dyDescent="0.15">
      <c r="D62" s="20" t="s">
        <v>541</v>
      </c>
      <c r="F62" t="s">
        <v>676</v>
      </c>
      <c r="H62" t="s">
        <v>425</v>
      </c>
      <c r="J62" t="s">
        <v>171</v>
      </c>
      <c r="S62" s="12"/>
    </row>
    <row r="63" spans="2:19" x14ac:dyDescent="0.15">
      <c r="D63" s="20" t="s">
        <v>770</v>
      </c>
      <c r="F63" s="12" t="s">
        <v>676</v>
      </c>
      <c r="H63" t="s">
        <v>424</v>
      </c>
      <c r="J63" t="s">
        <v>425</v>
      </c>
      <c r="S63" s="12"/>
    </row>
    <row r="64" spans="2:19" x14ac:dyDescent="0.15">
      <c r="D64" s="20" t="s">
        <v>523</v>
      </c>
      <c r="F64" s="12" t="s">
        <v>676</v>
      </c>
      <c r="H64" t="s">
        <v>429</v>
      </c>
      <c r="J64" t="s">
        <v>431</v>
      </c>
      <c r="S64" s="12"/>
    </row>
    <row r="65" spans="4:19" x14ac:dyDescent="0.15">
      <c r="D65" s="20" t="s">
        <v>559</v>
      </c>
      <c r="F65" s="19" t="s">
        <v>445</v>
      </c>
      <c r="H65" t="s">
        <v>452</v>
      </c>
      <c r="J65" t="s">
        <v>433</v>
      </c>
      <c r="K65" t="s">
        <v>621</v>
      </c>
      <c r="N65" s="12"/>
      <c r="S65" s="12"/>
    </row>
    <row r="66" spans="4:19" x14ac:dyDescent="0.15">
      <c r="D66" s="22" t="s">
        <v>527</v>
      </c>
      <c r="F66" s="19" t="s">
        <v>445</v>
      </c>
      <c r="H66" s="12" t="s">
        <v>432</v>
      </c>
      <c r="J66" t="s">
        <v>534</v>
      </c>
      <c r="K66" s="12" t="s">
        <v>434</v>
      </c>
      <c r="N66" s="12"/>
      <c r="S66" s="12"/>
    </row>
    <row r="67" spans="4:19" x14ac:dyDescent="0.15">
      <c r="D67" s="21" t="s">
        <v>768</v>
      </c>
      <c r="F67" s="19" t="s">
        <v>445</v>
      </c>
      <c r="H67" s="12" t="s">
        <v>533</v>
      </c>
      <c r="I67" s="12"/>
      <c r="J67" s="12" t="s">
        <v>536</v>
      </c>
      <c r="K67" s="12" t="s">
        <v>434</v>
      </c>
      <c r="N67" s="12"/>
      <c r="S67" s="12"/>
    </row>
    <row r="68" spans="4:19" x14ac:dyDescent="0.15">
      <c r="D68" s="21" t="s">
        <v>623</v>
      </c>
      <c r="J68" s="19"/>
      <c r="S68" s="12"/>
    </row>
    <row r="69" spans="4:19" x14ac:dyDescent="0.15">
      <c r="D69" s="20" t="s">
        <v>516</v>
      </c>
      <c r="F69" t="s">
        <v>675</v>
      </c>
      <c r="H69" s="23" t="s">
        <v>508</v>
      </c>
      <c r="J69" s="19" t="s">
        <v>735</v>
      </c>
      <c r="K69" s="12" t="s">
        <v>543</v>
      </c>
      <c r="L69" s="12" t="s">
        <v>481</v>
      </c>
      <c r="N69">
        <f>VLOOKUP(J69,ItemData!$A$4:$B$394,2,FALSE)</f>
        <v>290</v>
      </c>
      <c r="O69" s="12">
        <f>VLOOKUP(K69,ItemData!$A$4:$B$394,2,FALSE)</f>
        <v>292</v>
      </c>
      <c r="P69" s="12">
        <f>VLOOKUP(L69,ItemData!$A$4:$B$394,2,FALSE)</f>
        <v>244</v>
      </c>
      <c r="R69" t="str">
        <f>N69&amp;","&amp;O69&amp;","&amp;P69</f>
        <v>290,292,244</v>
      </c>
      <c r="S69" s="12"/>
    </row>
    <row r="70" spans="4:19" x14ac:dyDescent="0.15">
      <c r="D70" s="20" t="s">
        <v>562</v>
      </c>
      <c r="F70" s="12" t="s">
        <v>675</v>
      </c>
      <c r="H70" s="23" t="s">
        <v>511</v>
      </c>
      <c r="J70" s="19" t="s">
        <v>528</v>
      </c>
      <c r="K70" t="s">
        <v>495</v>
      </c>
      <c r="L70" t="s">
        <v>459</v>
      </c>
      <c r="N70" s="12">
        <f>VLOOKUP(J70,ItemData!$A$4:$B$394,2,FALSE)</f>
        <v>294</v>
      </c>
      <c r="O70" s="12">
        <f>VLOOKUP(K70,ItemData!$A$4:$B$394,2,FALSE)</f>
        <v>265</v>
      </c>
      <c r="P70" s="12">
        <f>VLOOKUP(L70,ItemData!$A$4:$B$394,2,FALSE)</f>
        <v>207</v>
      </c>
      <c r="R70" s="12" t="str">
        <f t="shared" ref="R70:R79" si="1">N70&amp;","&amp;O70&amp;","&amp;P70</f>
        <v>294,265,207</v>
      </c>
      <c r="S70" s="12"/>
    </row>
    <row r="71" spans="4:19" x14ac:dyDescent="0.15">
      <c r="D71" s="22" t="s">
        <v>548</v>
      </c>
      <c r="F71" s="12" t="s">
        <v>675</v>
      </c>
      <c r="H71" s="23" t="s">
        <v>552</v>
      </c>
      <c r="J71" s="19" t="s">
        <v>603</v>
      </c>
      <c r="K71" t="s">
        <v>541</v>
      </c>
      <c r="L71" t="s">
        <v>490</v>
      </c>
      <c r="N71" s="12">
        <f>VLOOKUP(J71,ItemData!$A$4:$B$394,2,FALSE)</f>
        <v>251</v>
      </c>
      <c r="O71" s="12">
        <f>VLOOKUP(K71,ItemData!$A$4:$B$394,2,FALSE)</f>
        <v>287</v>
      </c>
      <c r="P71" s="12">
        <f>VLOOKUP(L71,ItemData!$A$4:$B$394,2,FALSE)</f>
        <v>257</v>
      </c>
      <c r="R71" s="12" t="str">
        <f t="shared" si="1"/>
        <v>251,287,257</v>
      </c>
      <c r="S71" s="12"/>
    </row>
    <row r="72" spans="4:19" x14ac:dyDescent="0.15">
      <c r="D72" s="22" t="s">
        <v>503</v>
      </c>
      <c r="F72" s="12" t="s">
        <v>675</v>
      </c>
      <c r="H72" s="23" t="s">
        <v>550</v>
      </c>
      <c r="J72" t="s">
        <v>578</v>
      </c>
      <c r="K72" t="s">
        <v>544</v>
      </c>
      <c r="L72" s="19" t="s">
        <v>503</v>
      </c>
      <c r="N72" s="12">
        <f>VLOOKUP(J72,ItemData!$A$4:$B$394,2,FALSE)</f>
        <v>290</v>
      </c>
      <c r="O72" s="12">
        <f>VLOOKUP(K72,ItemData!$A$4:$B$394,2,FALSE)</f>
        <v>225</v>
      </c>
      <c r="P72" s="12">
        <f>VLOOKUP(L72,ItemData!$A$4:$B$394,2,FALSE)</f>
        <v>286</v>
      </c>
      <c r="R72" s="12" t="str">
        <f t="shared" si="1"/>
        <v>290,225,286</v>
      </c>
      <c r="S72" s="12"/>
    </row>
    <row r="73" spans="4:19" x14ac:dyDescent="0.15">
      <c r="D73" s="22" t="s">
        <v>547</v>
      </c>
      <c r="F73" s="12" t="s">
        <v>675</v>
      </c>
      <c r="H73" s="23" t="s">
        <v>509</v>
      </c>
      <c r="J73" s="19" t="s">
        <v>497</v>
      </c>
      <c r="K73" t="s">
        <v>685</v>
      </c>
      <c r="L73" s="19" t="s">
        <v>503</v>
      </c>
      <c r="N73" s="12">
        <f>VLOOKUP(J73,ItemData!$A$4:$B$394,2,FALSE)</f>
        <v>267</v>
      </c>
      <c r="O73" s="12">
        <f>VLOOKUP(K73,ItemData!$A$4:$B$394,2,FALSE)</f>
        <v>261</v>
      </c>
      <c r="P73" s="12">
        <f>VLOOKUP(L73,ItemData!$A$4:$B$394,2,FALSE)</f>
        <v>286</v>
      </c>
      <c r="R73" s="12" t="str">
        <f t="shared" si="1"/>
        <v>267,261,286</v>
      </c>
      <c r="S73" s="12"/>
    </row>
    <row r="74" spans="4:19" x14ac:dyDescent="0.15">
      <c r="D74" s="22" t="s">
        <v>585</v>
      </c>
      <c r="F74" s="12" t="s">
        <v>675</v>
      </c>
      <c r="H74" s="23" t="s">
        <v>510</v>
      </c>
      <c r="J74" s="19" t="s">
        <v>593</v>
      </c>
      <c r="K74" s="12" t="s">
        <v>686</v>
      </c>
      <c r="L74" s="19" t="s">
        <v>503</v>
      </c>
      <c r="N74" s="12">
        <f>VLOOKUP(J74,ItemData!$A$4:$B$394,2,FALSE)</f>
        <v>284</v>
      </c>
      <c r="O74" s="12">
        <f>VLOOKUP(K74,ItemData!$A$4:$B$394,2,FALSE)</f>
        <v>291</v>
      </c>
      <c r="P74" s="12">
        <f>VLOOKUP(L74,ItemData!$A$4:$B$394,2,FALSE)</f>
        <v>286</v>
      </c>
      <c r="R74" s="12" t="str">
        <f t="shared" si="1"/>
        <v>284,291,286</v>
      </c>
      <c r="S74" s="12"/>
    </row>
    <row r="75" spans="4:19" x14ac:dyDescent="0.15">
      <c r="D75" s="20"/>
      <c r="F75" s="12" t="s">
        <v>675</v>
      </c>
      <c r="H75" s="23" t="s">
        <v>551</v>
      </c>
      <c r="J75" s="19" t="s">
        <v>381</v>
      </c>
      <c r="K75" t="s">
        <v>615</v>
      </c>
      <c r="L75" t="s">
        <v>461</v>
      </c>
      <c r="N75" s="12">
        <f>VLOOKUP(J75,ItemData!$A$4:$B$394,2,FALSE)</f>
        <v>263</v>
      </c>
      <c r="O75" s="12">
        <f>VLOOKUP(K75,ItemData!$A$4:$B$394,2,FALSE)</f>
        <v>255</v>
      </c>
      <c r="P75" s="12">
        <f>VLOOKUP(L75,ItemData!$A$4:$B$394,2,FALSE)</f>
        <v>210</v>
      </c>
      <c r="R75" s="12" t="str">
        <f t="shared" si="1"/>
        <v>263,255,210</v>
      </c>
      <c r="S75" s="12"/>
    </row>
    <row r="76" spans="4:19" x14ac:dyDescent="0.15">
      <c r="D76" s="22" t="s">
        <v>674</v>
      </c>
      <c r="F76" s="12" t="s">
        <v>675</v>
      </c>
      <c r="H76" s="23" t="s">
        <v>554</v>
      </c>
      <c r="J76" s="19" t="s">
        <v>478</v>
      </c>
      <c r="K76" t="s">
        <v>379</v>
      </c>
      <c r="L76" t="s">
        <v>485</v>
      </c>
      <c r="N76" s="12">
        <f>VLOOKUP(J76,ItemData!$A$4:$B$394,2,FALSE)</f>
        <v>236</v>
      </c>
      <c r="O76" s="12">
        <f>VLOOKUP(K76,ItemData!$A$4:$B$394,2,FALSE)</f>
        <v>259</v>
      </c>
      <c r="P76" s="12">
        <f>VLOOKUP(L76,ItemData!$A$4:$B$394,2,FALSE)</f>
        <v>250</v>
      </c>
      <c r="R76" s="12" t="str">
        <f t="shared" si="1"/>
        <v>236,259,250</v>
      </c>
      <c r="S76" s="12"/>
    </row>
    <row r="77" spans="4:19" x14ac:dyDescent="0.15">
      <c r="D77" s="22" t="s">
        <v>546</v>
      </c>
      <c r="F77" s="12" t="s">
        <v>675</v>
      </c>
      <c r="H77" s="23" t="s">
        <v>555</v>
      </c>
      <c r="J77" s="27" t="s">
        <v>460</v>
      </c>
      <c r="K77" t="s">
        <v>539</v>
      </c>
      <c r="L77" t="s">
        <v>519</v>
      </c>
      <c r="N77" s="12">
        <f>VLOOKUP(J77,ItemData!$A$4:$B$394,2,FALSE)</f>
        <v>208</v>
      </c>
      <c r="O77" s="12">
        <f>VLOOKUP(K77,ItemData!$A$4:$B$394,2,FALSE)</f>
        <v>278</v>
      </c>
      <c r="P77" s="12">
        <f>VLOOKUP(L77,ItemData!$A$4:$B$394,2,FALSE)</f>
        <v>281</v>
      </c>
      <c r="R77" s="12" t="str">
        <f t="shared" si="1"/>
        <v>208,278,281</v>
      </c>
      <c r="S77" s="12"/>
    </row>
    <row r="78" spans="4:19" x14ac:dyDescent="0.15">
      <c r="D78" s="22" t="s">
        <v>608</v>
      </c>
      <c r="F78" s="12" t="s">
        <v>675</v>
      </c>
      <c r="H78" s="23" t="s">
        <v>556</v>
      </c>
      <c r="J78" s="19" t="s">
        <v>526</v>
      </c>
      <c r="K78" t="s">
        <v>588</v>
      </c>
      <c r="L78" t="s">
        <v>480</v>
      </c>
      <c r="N78" s="12">
        <f>VLOOKUP(J78,ItemData!$A$4:$B$394,2,FALSE)</f>
        <v>288</v>
      </c>
      <c r="O78" s="12">
        <f>VLOOKUP(K78,ItemData!$A$4:$B$394,2,FALSE)</f>
        <v>256</v>
      </c>
      <c r="P78" s="12">
        <f>VLOOKUP(L78,ItemData!$A$4:$B$394,2,FALSE)</f>
        <v>240</v>
      </c>
      <c r="R78" s="12" t="str">
        <f t="shared" si="1"/>
        <v>288,256,240</v>
      </c>
      <c r="S78" s="12"/>
    </row>
    <row r="79" spans="4:19" x14ac:dyDescent="0.15">
      <c r="D79" s="22" t="s">
        <v>549</v>
      </c>
      <c r="F79" s="12" t="s">
        <v>675</v>
      </c>
      <c r="H79" s="23" t="s">
        <v>553</v>
      </c>
      <c r="J79" t="s">
        <v>525</v>
      </c>
      <c r="K79" t="s">
        <v>622</v>
      </c>
      <c r="L79" t="s">
        <v>487</v>
      </c>
      <c r="N79" s="12">
        <f>VLOOKUP(J79,ItemData!$A$4:$B$394,2,FALSE)</f>
        <v>293</v>
      </c>
      <c r="O79" s="12">
        <f>VLOOKUP(K79,ItemData!$A$4:$B$394,2,FALSE)</f>
        <v>289</v>
      </c>
      <c r="P79" s="12">
        <f>VLOOKUP(L79,ItemData!$A$4:$B$394,2,FALSE)</f>
        <v>254</v>
      </c>
      <c r="R79" s="12" t="str">
        <f t="shared" si="1"/>
        <v>293,289,254</v>
      </c>
      <c r="S79" s="12"/>
    </row>
    <row r="80" spans="4:19" x14ac:dyDescent="0.15">
      <c r="H80" s="23" t="s">
        <v>684</v>
      </c>
      <c r="J80" s="12" t="s">
        <v>382</v>
      </c>
      <c r="K80" t="s">
        <v>524</v>
      </c>
      <c r="L80" t="s">
        <v>504</v>
      </c>
      <c r="N80" s="12">
        <f>VLOOKUP(J80,ItemData!$A$4:$B$394,2,FALSE)</f>
        <v>224</v>
      </c>
      <c r="O80" s="12">
        <f>VLOOKUP(K80,ItemData!$A$4:$B$394,2,FALSE)</f>
        <v>269</v>
      </c>
      <c r="P80" s="12">
        <f>VLOOKUP(L80,ItemData!$A$4:$B$394,2,FALSE)</f>
        <v>291</v>
      </c>
      <c r="Q80" s="12"/>
      <c r="R80" s="12" t="str">
        <f t="shared" ref="R80" si="2">N80&amp;","&amp;O80&amp;","&amp;P80</f>
        <v>224,269,291</v>
      </c>
      <c r="S80" s="12"/>
    </row>
    <row r="81" spans="4:19" x14ac:dyDescent="0.15">
      <c r="D81" s="23" t="s">
        <v>512</v>
      </c>
      <c r="S81" s="12"/>
    </row>
    <row r="82" spans="4:19" x14ac:dyDescent="0.15">
      <c r="P82" s="12"/>
      <c r="S82" s="12"/>
    </row>
    <row r="83" spans="4:19" x14ac:dyDescent="0.15">
      <c r="F83" s="12" t="s">
        <v>538</v>
      </c>
      <c r="H83" s="23" t="s">
        <v>744</v>
      </c>
      <c r="J83" t="s">
        <v>732</v>
      </c>
      <c r="K83" t="s">
        <v>733</v>
      </c>
      <c r="N83" s="12">
        <f>VLOOKUP(J83,ItemData!$A$4:$B$394,2,FALSE)</f>
        <v>105</v>
      </c>
      <c r="O83" s="12">
        <f>VLOOKUP(K83,ItemData!$A$4:$B$394,2,FALSE)</f>
        <v>204</v>
      </c>
      <c r="P83" s="12"/>
      <c r="Q83" s="12"/>
      <c r="S83" s="12" t="str">
        <f t="shared" ref="S83:S91" si="3">N83&amp;","&amp;O83&amp;IF(P83&lt;&gt;"",","&amp;P83,"")&amp;IF(Q83&lt;&gt;"",","&amp;Q83,"")</f>
        <v>105,204</v>
      </c>
    </row>
    <row r="84" spans="4:19" x14ac:dyDescent="0.15">
      <c r="F84" s="12" t="s">
        <v>538</v>
      </c>
      <c r="H84" s="23" t="s">
        <v>752</v>
      </c>
      <c r="J84" t="s">
        <v>734</v>
      </c>
      <c r="K84" t="s">
        <v>736</v>
      </c>
      <c r="N84" s="12">
        <f>VLOOKUP(J84,ItemData!$A$4:$B$394,2,FALSE)</f>
        <v>1800</v>
      </c>
      <c r="O84" s="12">
        <f>VLOOKUP(K84,ItemData!$A$4:$B$394,2,FALSE)</f>
        <v>285</v>
      </c>
      <c r="P84" s="12"/>
      <c r="S84" s="12" t="str">
        <f t="shared" si="3"/>
        <v>1800,285</v>
      </c>
    </row>
    <row r="85" spans="4:19" x14ac:dyDescent="0.15">
      <c r="F85" s="12" t="s">
        <v>538</v>
      </c>
      <c r="H85" s="23" t="s">
        <v>745</v>
      </c>
      <c r="J85" s="12" t="s">
        <v>733</v>
      </c>
      <c r="K85" t="s">
        <v>570</v>
      </c>
      <c r="L85" t="s">
        <v>489</v>
      </c>
      <c r="N85" s="12">
        <f>VLOOKUP(J85,ItemData!$A$4:$B$394,2,FALSE)</f>
        <v>204</v>
      </c>
      <c r="O85" s="12">
        <f>VLOOKUP(K85,ItemData!$A$4:$B$394,2,FALSE)</f>
        <v>286</v>
      </c>
      <c r="P85" s="12">
        <f>VLOOKUP(L85,ItemData!$A$4:$B$394,2,FALSE)</f>
        <v>256</v>
      </c>
      <c r="S85" s="12" t="str">
        <f t="shared" si="3"/>
        <v>204,286,256</v>
      </c>
    </row>
    <row r="86" spans="4:19" x14ac:dyDescent="0.15">
      <c r="F86" s="12" t="s">
        <v>445</v>
      </c>
      <c r="H86" s="23" t="s">
        <v>740</v>
      </c>
      <c r="J86" t="s">
        <v>754</v>
      </c>
      <c r="K86" t="s">
        <v>755</v>
      </c>
      <c r="N86" s="12">
        <f>VLOOKUP(J86,ItemData!$A$4:$B$394,2,FALSE)</f>
        <v>298</v>
      </c>
      <c r="O86" s="12">
        <f>VLOOKUP(K86,ItemData!$A$4:$B$394,2,FALSE)</f>
        <v>271</v>
      </c>
      <c r="P86" s="12"/>
      <c r="S86" s="12" t="str">
        <f t="shared" si="3"/>
        <v>298,271</v>
      </c>
    </row>
    <row r="87" spans="4:19" x14ac:dyDescent="0.15">
      <c r="F87" s="12" t="s">
        <v>445</v>
      </c>
      <c r="H87" s="23" t="s">
        <v>759</v>
      </c>
      <c r="J87" t="s">
        <v>758</v>
      </c>
      <c r="K87" t="s">
        <v>376</v>
      </c>
      <c r="L87" t="s">
        <v>463</v>
      </c>
      <c r="N87" s="12">
        <f>VLOOKUP(J87,ItemData!$A$4:$B$394,2,FALSE)</f>
        <v>1803</v>
      </c>
      <c r="O87" s="12">
        <f>VLOOKUP(K87,ItemData!$A$4:$B$394,2,FALSE)</f>
        <v>241</v>
      </c>
      <c r="P87" s="12">
        <f>VLOOKUP(L87,ItemData!$A$4:$B$394,2,FALSE)</f>
        <v>213</v>
      </c>
      <c r="S87" s="12" t="str">
        <f t="shared" si="3"/>
        <v>1803,241,213</v>
      </c>
    </row>
    <row r="88" spans="4:19" x14ac:dyDescent="0.15">
      <c r="F88" s="12" t="s">
        <v>538</v>
      </c>
      <c r="H88" s="23" t="s">
        <v>748</v>
      </c>
      <c r="J88" t="s">
        <v>568</v>
      </c>
      <c r="K88" t="s">
        <v>483</v>
      </c>
      <c r="L88" t="s">
        <v>382</v>
      </c>
      <c r="N88" s="12">
        <f>VLOOKUP(J88,ItemData!$A$4:$B$394,2,FALSE)</f>
        <v>272</v>
      </c>
      <c r="O88" s="12">
        <f>VLOOKUP(K88,ItemData!$A$4:$B$394,2,FALSE)</f>
        <v>248</v>
      </c>
      <c r="P88" s="12">
        <f>VLOOKUP(L88,ItemData!$A$4:$B$394,2,FALSE)</f>
        <v>224</v>
      </c>
      <c r="S88" s="12" t="str">
        <f t="shared" si="3"/>
        <v>272,248,224</v>
      </c>
    </row>
    <row r="89" spans="4:19" x14ac:dyDescent="0.15">
      <c r="F89" s="12" t="s">
        <v>538</v>
      </c>
      <c r="H89" s="23" t="s">
        <v>749</v>
      </c>
      <c r="J89" s="12" t="s">
        <v>568</v>
      </c>
      <c r="K89" s="12" t="s">
        <v>374</v>
      </c>
      <c r="L89" t="s">
        <v>486</v>
      </c>
      <c r="N89" s="12">
        <f>VLOOKUP(J89,ItemData!$A$4:$B$394,2,FALSE)</f>
        <v>272</v>
      </c>
      <c r="O89" s="12">
        <f>VLOOKUP(K89,ItemData!$A$4:$B$394,2,FALSE)</f>
        <v>228</v>
      </c>
      <c r="P89" s="12">
        <f>VLOOKUP(L89,ItemData!$A$4:$B$394,2,FALSE)</f>
        <v>251</v>
      </c>
      <c r="S89" s="12" t="str">
        <f t="shared" si="3"/>
        <v>272,228,251</v>
      </c>
    </row>
    <row r="90" spans="4:19" x14ac:dyDescent="0.15">
      <c r="F90" s="12" t="s">
        <v>538</v>
      </c>
      <c r="H90" s="23" t="s">
        <v>751</v>
      </c>
      <c r="J90" t="s">
        <v>568</v>
      </c>
      <c r="K90" t="s">
        <v>515</v>
      </c>
      <c r="L90" t="s">
        <v>476</v>
      </c>
      <c r="N90" s="12">
        <f>VLOOKUP(J90,ItemData!$A$4:$B$394,2,FALSE)</f>
        <v>272</v>
      </c>
      <c r="O90" s="12">
        <f>VLOOKUP(K90,ItemData!$A$4:$B$394,2,FALSE)</f>
        <v>279</v>
      </c>
      <c r="P90" s="12">
        <f>VLOOKUP(L90,ItemData!$A$4:$B$394,2,FALSE)</f>
        <v>234</v>
      </c>
      <c r="S90" s="12" t="str">
        <f t="shared" si="3"/>
        <v>272,279,234</v>
      </c>
    </row>
    <row r="91" spans="4:19" x14ac:dyDescent="0.15">
      <c r="F91" s="12" t="s">
        <v>445</v>
      </c>
      <c r="H91" s="23" t="s">
        <v>747</v>
      </c>
      <c r="J91" t="s">
        <v>746</v>
      </c>
      <c r="K91" t="s">
        <v>526</v>
      </c>
      <c r="L91" t="s">
        <v>385</v>
      </c>
      <c r="N91" s="12">
        <f>VLOOKUP(J91,ItemData!$A$4:$B$394,2,FALSE)</f>
        <v>1804</v>
      </c>
      <c r="O91" s="12">
        <f>VLOOKUP(K91,ItemData!$A$4:$B$394,2,FALSE)</f>
        <v>288</v>
      </c>
      <c r="P91" s="12">
        <f>VLOOKUP(L91,ItemData!$A$4:$B$394,2,FALSE)</f>
        <v>247</v>
      </c>
      <c r="S91" s="12" t="str">
        <f t="shared" si="3"/>
        <v>1804,288,247</v>
      </c>
    </row>
    <row r="92" spans="4:19" x14ac:dyDescent="0.15">
      <c r="S92" s="12"/>
    </row>
    <row r="93" spans="4:19" x14ac:dyDescent="0.15">
      <c r="S93" s="12"/>
    </row>
    <row r="94" spans="4:19" x14ac:dyDescent="0.15">
      <c r="S94" s="12"/>
    </row>
    <row r="95" spans="4:19" x14ac:dyDescent="0.15">
      <c r="S95" s="12"/>
    </row>
    <row r="96" spans="4:19" x14ac:dyDescent="0.15">
      <c r="G96" t="s">
        <v>612</v>
      </c>
      <c r="S96" s="12"/>
    </row>
    <row r="97" spans="7:19" x14ac:dyDescent="0.15">
      <c r="G97" s="12" t="s">
        <v>538</v>
      </c>
      <c r="S97" s="12"/>
    </row>
    <row r="98" spans="7:19" x14ac:dyDescent="0.15">
      <c r="G98" s="12" t="s">
        <v>538</v>
      </c>
    </row>
    <row r="99" spans="7:19" x14ac:dyDescent="0.15">
      <c r="G99" s="12" t="s">
        <v>538</v>
      </c>
    </row>
    <row r="100" spans="7:19" x14ac:dyDescent="0.15">
      <c r="G100" s="12" t="s">
        <v>538</v>
      </c>
    </row>
    <row r="101" spans="7:19" x14ac:dyDescent="0.15">
      <c r="G101" s="12" t="s">
        <v>538</v>
      </c>
    </row>
    <row r="102" spans="7:19" x14ac:dyDescent="0.15">
      <c r="G102" s="12" t="s">
        <v>538</v>
      </c>
    </row>
    <row r="103" spans="7:19" x14ac:dyDescent="0.15">
      <c r="G103" s="12" t="s">
        <v>538</v>
      </c>
    </row>
    <row r="104" spans="7:19" x14ac:dyDescent="0.15">
      <c r="G104" s="12" t="s">
        <v>538</v>
      </c>
    </row>
    <row r="105" spans="7:19" x14ac:dyDescent="0.15">
      <c r="G105" s="12" t="s">
        <v>538</v>
      </c>
    </row>
    <row r="106" spans="7:19" x14ac:dyDescent="0.15">
      <c r="G106" s="12" t="s">
        <v>538</v>
      </c>
    </row>
    <row r="107" spans="7:19" x14ac:dyDescent="0.15">
      <c r="G107" s="12" t="s">
        <v>538</v>
      </c>
    </row>
    <row r="108" spans="7:19" x14ac:dyDescent="0.15">
      <c r="G108" s="12" t="s">
        <v>538</v>
      </c>
    </row>
    <row r="109" spans="7:19" x14ac:dyDescent="0.15">
      <c r="G109" s="12" t="s">
        <v>538</v>
      </c>
    </row>
    <row r="110" spans="7:19" x14ac:dyDescent="0.15">
      <c r="G110" s="12" t="s">
        <v>538</v>
      </c>
    </row>
    <row r="111" spans="7:19" x14ac:dyDescent="0.15">
      <c r="G111" s="12" t="s">
        <v>538</v>
      </c>
    </row>
    <row r="112" spans="7:19" x14ac:dyDescent="0.15">
      <c r="G112" s="12" t="s">
        <v>538</v>
      </c>
    </row>
    <row r="113" spans="7:7" x14ac:dyDescent="0.15">
      <c r="G113" s="12" t="s">
        <v>538</v>
      </c>
    </row>
    <row r="114" spans="7:7" x14ac:dyDescent="0.15">
      <c r="G114" s="12" t="s">
        <v>538</v>
      </c>
    </row>
    <row r="115" spans="7:7" x14ac:dyDescent="0.15">
      <c r="G115" s="12" t="s">
        <v>538</v>
      </c>
    </row>
    <row r="116" spans="7:7" x14ac:dyDescent="0.15">
      <c r="G116" s="12" t="s">
        <v>538</v>
      </c>
    </row>
    <row r="117" spans="7:7" x14ac:dyDescent="0.15">
      <c r="G117" s="12" t="s">
        <v>538</v>
      </c>
    </row>
    <row r="118" spans="7:7" x14ac:dyDescent="0.15">
      <c r="G118" s="12" t="s">
        <v>538</v>
      </c>
    </row>
    <row r="119" spans="7:7" x14ac:dyDescent="0.15">
      <c r="G119" s="12" t="s">
        <v>538</v>
      </c>
    </row>
    <row r="120" spans="7:7" x14ac:dyDescent="0.15">
      <c r="G120" s="12" t="s">
        <v>538</v>
      </c>
    </row>
    <row r="121" spans="7:7" x14ac:dyDescent="0.15">
      <c r="G121" s="12" t="s">
        <v>538</v>
      </c>
    </row>
    <row r="122" spans="7:7" x14ac:dyDescent="0.15">
      <c r="G122" s="12" t="s">
        <v>538</v>
      </c>
    </row>
    <row r="123" spans="7:7" x14ac:dyDescent="0.15">
      <c r="G123" s="12" t="s">
        <v>538</v>
      </c>
    </row>
    <row r="124" spans="7:7" x14ac:dyDescent="0.15">
      <c r="G124" s="12" t="s">
        <v>538</v>
      </c>
    </row>
    <row r="125" spans="7:7" x14ac:dyDescent="0.15">
      <c r="G125" s="12" t="s">
        <v>445</v>
      </c>
    </row>
    <row r="126" spans="7:7" x14ac:dyDescent="0.15">
      <c r="G126" s="12" t="s">
        <v>445</v>
      </c>
    </row>
    <row r="127" spans="7:7" x14ac:dyDescent="0.15">
      <c r="G127" s="12" t="s">
        <v>445</v>
      </c>
    </row>
    <row r="128" spans="7:7" x14ac:dyDescent="0.15">
      <c r="G128" s="12" t="s">
        <v>445</v>
      </c>
    </row>
    <row r="129" spans="7:7" x14ac:dyDescent="0.15">
      <c r="G129" s="12" t="s">
        <v>445</v>
      </c>
    </row>
    <row r="130" spans="7:7" x14ac:dyDescent="0.15">
      <c r="G130" s="12" t="s">
        <v>445</v>
      </c>
    </row>
    <row r="131" spans="7:7" x14ac:dyDescent="0.15">
      <c r="G131" s="12" t="s">
        <v>445</v>
      </c>
    </row>
    <row r="132" spans="7:7" x14ac:dyDescent="0.15">
      <c r="G132" s="12" t="s">
        <v>445</v>
      </c>
    </row>
    <row r="133" spans="7:7" x14ac:dyDescent="0.15">
      <c r="G133" s="12" t="s">
        <v>445</v>
      </c>
    </row>
    <row r="134" spans="7:7" x14ac:dyDescent="0.15">
      <c r="G134" s="12" t="s">
        <v>445</v>
      </c>
    </row>
    <row r="135" spans="7:7" x14ac:dyDescent="0.15">
      <c r="G135" s="12" t="s">
        <v>445</v>
      </c>
    </row>
    <row r="136" spans="7:7" x14ac:dyDescent="0.15">
      <c r="G136" s="12" t="s">
        <v>445</v>
      </c>
    </row>
    <row r="137" spans="7:7" x14ac:dyDescent="0.15">
      <c r="G137" s="12" t="s">
        <v>445</v>
      </c>
    </row>
    <row r="138" spans="7:7" x14ac:dyDescent="0.15">
      <c r="G138" s="12" t="s">
        <v>445</v>
      </c>
    </row>
    <row r="139" spans="7:7" x14ac:dyDescent="0.15">
      <c r="G139" s="12" t="s">
        <v>445</v>
      </c>
    </row>
    <row r="140" spans="7:7" x14ac:dyDescent="0.15">
      <c r="G140" s="12" t="s">
        <v>445</v>
      </c>
    </row>
    <row r="141" spans="7:7" x14ac:dyDescent="0.15">
      <c r="G141" s="12" t="s">
        <v>445</v>
      </c>
    </row>
    <row r="142" spans="7:7" x14ac:dyDescent="0.15">
      <c r="G142" s="12" t="s">
        <v>445</v>
      </c>
    </row>
    <row r="143" spans="7:7" x14ac:dyDescent="0.15">
      <c r="G143" s="12" t="s">
        <v>445</v>
      </c>
    </row>
    <row r="144" spans="7:7" x14ac:dyDescent="0.15">
      <c r="G144" s="12" t="s">
        <v>445</v>
      </c>
    </row>
    <row r="145" spans="7:7" x14ac:dyDescent="0.15">
      <c r="G145" s="12" t="s">
        <v>445</v>
      </c>
    </row>
  </sheetData>
  <autoFilter ref="B5:S54"/>
  <phoneticPr fontId="1" type="noConversion"/>
  <pageMargins left="0.7" right="0.7" top="0.75" bottom="0.75" header="0.3" footer="0.3"/>
  <pageSetup paperSize="9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Z73"/>
  <sheetViews>
    <sheetView topLeftCell="D4" workbookViewId="0">
      <selection activeCell="Z5" sqref="Z5:Z53"/>
    </sheetView>
  </sheetViews>
  <sheetFormatPr defaultRowHeight="13.5" x14ac:dyDescent="0.15"/>
  <cols>
    <col min="6" max="7" width="9" style="12"/>
    <col min="14" max="14" width="9" customWidth="1"/>
  </cols>
  <sheetData>
    <row r="4" spans="5:26" x14ac:dyDescent="0.15">
      <c r="P4" s="12"/>
    </row>
    <row r="5" spans="5:26" x14ac:dyDescent="0.15">
      <c r="E5" s="14" t="s">
        <v>397</v>
      </c>
      <c r="F5" s="14"/>
      <c r="G5" s="12" t="str">
        <f>$I5&amp;","&amp;$J5&amp;","&amp;$K5&amp;","&amp;$L5</f>
        <v>铁块,刀刃,,</v>
      </c>
      <c r="I5" s="12" t="s">
        <v>432</v>
      </c>
      <c r="J5" s="12" t="s">
        <v>501</v>
      </c>
      <c r="K5" s="12"/>
      <c r="L5" s="12"/>
      <c r="N5" t="s">
        <v>648</v>
      </c>
      <c r="O5" s="12"/>
      <c r="P5" s="12" t="s">
        <v>649</v>
      </c>
      <c r="Q5" s="12" t="s">
        <v>649</v>
      </c>
      <c r="T5" t="s">
        <v>648</v>
      </c>
      <c r="U5" s="12" t="s">
        <v>369</v>
      </c>
      <c r="V5" s="12"/>
      <c r="W5" s="12"/>
      <c r="Z5" s="12" t="str">
        <f>T5&amp;","&amp;U5&amp;","&amp;V5&amp;","&amp;W5</f>
        <v>铸造,废铁,焦炭,,刀刃,,</v>
      </c>
    </row>
    <row r="6" spans="5:26" x14ac:dyDescent="0.15">
      <c r="E6" s="14" t="s">
        <v>396</v>
      </c>
      <c r="F6" s="14"/>
      <c r="G6" s="12" t="str">
        <f t="shared" ref="G6:G69" si="0">$I6&amp;","&amp;$J6&amp;","&amp;$K6&amp;","&amp;$L6</f>
        <v>长剑,眼球,诅咒宝珠,</v>
      </c>
      <c r="I6" s="12" t="s">
        <v>343</v>
      </c>
      <c r="J6" s="12" t="s">
        <v>373</v>
      </c>
      <c r="K6" s="12" t="s">
        <v>490</v>
      </c>
      <c r="L6" s="12"/>
      <c r="N6" s="12" t="s">
        <v>650</v>
      </c>
      <c r="O6" s="12"/>
      <c r="P6" s="12"/>
      <c r="Q6" s="12" t="s">
        <v>649</v>
      </c>
      <c r="T6" s="12" t="s">
        <v>650</v>
      </c>
      <c r="U6" s="12" t="s">
        <v>373</v>
      </c>
      <c r="V6" s="12" t="s">
        <v>490</v>
      </c>
      <c r="W6" s="12"/>
      <c r="Z6" s="12" t="str">
        <f t="shared" ref="Z6:Z53" si="1">T6&amp;","&amp;U6&amp;","&amp;V6&amp;","&amp;W6</f>
        <v>铁块,刀刃,,,眼球,诅咒宝珠,</v>
      </c>
    </row>
    <row r="7" spans="5:26" x14ac:dyDescent="0.15">
      <c r="E7" s="17" t="s">
        <v>386</v>
      </c>
      <c r="F7" s="17"/>
      <c r="G7" s="12" t="str">
        <f t="shared" si="0"/>
        <v>长剑,火晶石,石英砂,白磷粉末</v>
      </c>
      <c r="I7" s="12" t="s">
        <v>397</v>
      </c>
      <c r="J7" s="7" t="s">
        <v>473</v>
      </c>
      <c r="K7" s="12" t="s">
        <v>458</v>
      </c>
      <c r="L7" s="12" t="s">
        <v>520</v>
      </c>
      <c r="N7" s="12" t="s">
        <v>650</v>
      </c>
      <c r="O7" s="12"/>
      <c r="P7" s="12"/>
      <c r="Q7" s="12"/>
      <c r="T7" s="12" t="s">
        <v>650</v>
      </c>
      <c r="U7" s="12" t="s">
        <v>473</v>
      </c>
      <c r="V7" s="12" t="s">
        <v>458</v>
      </c>
      <c r="W7" s="12" t="s">
        <v>520</v>
      </c>
      <c r="Z7" s="12" t="str">
        <f t="shared" si="1"/>
        <v>铁块,刀刃,,,火晶石,石英砂,白磷粉末</v>
      </c>
    </row>
    <row r="8" spans="5:26" x14ac:dyDescent="0.15">
      <c r="E8" s="14" t="s">
        <v>398</v>
      </c>
      <c r="F8" s="14"/>
      <c r="G8" s="12" t="str">
        <f t="shared" si="0"/>
        <v>长剑,土晶石,钢,粘土</v>
      </c>
      <c r="I8" s="12" t="s">
        <v>343</v>
      </c>
      <c r="J8" s="12" t="s">
        <v>467</v>
      </c>
      <c r="K8" s="12" t="s">
        <v>367</v>
      </c>
      <c r="L8" s="12" t="s">
        <v>462</v>
      </c>
      <c r="N8" s="12" t="s">
        <v>650</v>
      </c>
      <c r="O8" s="12"/>
      <c r="P8" s="12" t="s">
        <v>651</v>
      </c>
      <c r="Q8" s="12"/>
      <c r="T8" s="12" t="s">
        <v>650</v>
      </c>
      <c r="U8" s="12" t="s">
        <v>467</v>
      </c>
      <c r="V8" s="12" t="s">
        <v>651</v>
      </c>
      <c r="W8" s="12" t="s">
        <v>462</v>
      </c>
      <c r="Z8" s="12" t="str">
        <f t="shared" si="1"/>
        <v>铁块,刀刃,,,土晶石,铸造,铁块,焦炭,,粘土</v>
      </c>
    </row>
    <row r="9" spans="5:26" x14ac:dyDescent="0.15">
      <c r="E9" s="14" t="s">
        <v>395</v>
      </c>
      <c r="F9" s="14"/>
      <c r="G9" s="12" t="str">
        <f t="shared" si="0"/>
        <v>长剑,冰晶石,冰的结晶,雪球</v>
      </c>
      <c r="I9" s="12" t="s">
        <v>420</v>
      </c>
      <c r="J9" s="12" t="s">
        <v>492</v>
      </c>
      <c r="K9" s="12" t="s">
        <v>599</v>
      </c>
      <c r="L9" s="12" t="s">
        <v>421</v>
      </c>
      <c r="N9" s="12" t="s">
        <v>650</v>
      </c>
      <c r="O9" s="12"/>
      <c r="P9" s="12"/>
      <c r="Q9" s="12"/>
      <c r="T9" s="12" t="s">
        <v>650</v>
      </c>
      <c r="U9" s="12" t="s">
        <v>492</v>
      </c>
      <c r="V9" s="12" t="s">
        <v>493</v>
      </c>
      <c r="W9" s="12" t="s">
        <v>377</v>
      </c>
      <c r="Z9" s="12" t="str">
        <f t="shared" si="1"/>
        <v>铁块,刀刃,,,冰晶石,冰的结晶,雪球</v>
      </c>
    </row>
    <row r="10" spans="5:26" x14ac:dyDescent="0.15">
      <c r="E10" s="14" t="s">
        <v>402</v>
      </c>
      <c r="F10" s="14"/>
      <c r="G10" s="12" t="str">
        <f t="shared" si="0"/>
        <v>木棒,铁块,刀刃,</v>
      </c>
      <c r="I10" s="16" t="s">
        <v>360</v>
      </c>
      <c r="J10" s="16" t="s">
        <v>535</v>
      </c>
      <c r="K10" s="16" t="s">
        <v>369</v>
      </c>
      <c r="L10" s="12"/>
      <c r="N10" s="12"/>
      <c r="O10" s="12" t="s">
        <v>648</v>
      </c>
      <c r="P10" s="12"/>
      <c r="Q10" s="12" t="s">
        <v>649</v>
      </c>
      <c r="T10" s="12" t="s">
        <v>360</v>
      </c>
      <c r="U10" s="12" t="s">
        <v>648</v>
      </c>
      <c r="V10" s="12" t="s">
        <v>369</v>
      </c>
      <c r="W10" s="12"/>
      <c r="Z10" s="12" t="str">
        <f t="shared" si="1"/>
        <v>木棒,铸造,废铁,焦炭,,刀刃,</v>
      </c>
    </row>
    <row r="11" spans="5:26" x14ac:dyDescent="0.15">
      <c r="E11" s="14" t="s">
        <v>423</v>
      </c>
      <c r="F11" s="14"/>
      <c r="G11" s="12" t="str">
        <f t="shared" si="0"/>
        <v>铁枪,魔族之血,银块,蜂刺</v>
      </c>
      <c r="I11" s="1" t="s">
        <v>576</v>
      </c>
      <c r="J11" s="16" t="s">
        <v>379</v>
      </c>
      <c r="K11" s="16" t="s">
        <v>479</v>
      </c>
      <c r="L11" s="12" t="s">
        <v>380</v>
      </c>
      <c r="N11" s="12" t="s">
        <v>652</v>
      </c>
      <c r="O11" s="12"/>
      <c r="P11" s="12"/>
      <c r="Q11" s="12"/>
      <c r="T11" s="12" t="s">
        <v>652</v>
      </c>
      <c r="U11" s="12" t="s">
        <v>379</v>
      </c>
      <c r="V11" s="12" t="s">
        <v>479</v>
      </c>
      <c r="W11" s="12" t="s">
        <v>380</v>
      </c>
      <c r="Z11" s="12" t="str">
        <f t="shared" si="1"/>
        <v>木棒,铁块,刀刃,,魔族之血,银块,蜂刺</v>
      </c>
    </row>
    <row r="12" spans="5:26" x14ac:dyDescent="0.15">
      <c r="E12" s="14" t="s">
        <v>624</v>
      </c>
      <c r="F12" s="14"/>
      <c r="G12" s="12" t="str">
        <f t="shared" si="0"/>
        <v>铁枪,骑士之证,钢,</v>
      </c>
      <c r="I12" s="12" t="s">
        <v>346</v>
      </c>
      <c r="J12" s="12" t="s">
        <v>513</v>
      </c>
      <c r="K12" s="16" t="s">
        <v>586</v>
      </c>
      <c r="L12" s="12"/>
      <c r="N12" s="12" t="s">
        <v>652</v>
      </c>
      <c r="O12" s="12"/>
      <c r="P12" s="12" t="s">
        <v>651</v>
      </c>
      <c r="Q12" s="12" t="s">
        <v>649</v>
      </c>
      <c r="T12" s="12" t="s">
        <v>652</v>
      </c>
      <c r="U12" s="12" t="s">
        <v>513</v>
      </c>
      <c r="V12" s="12" t="s">
        <v>651</v>
      </c>
      <c r="W12" s="12"/>
      <c r="Z12" s="12" t="str">
        <f t="shared" si="1"/>
        <v>木棒,铁块,刀刃,,骑士之证,铸造,铁块,焦炭,,</v>
      </c>
    </row>
    <row r="13" spans="5:26" x14ac:dyDescent="0.15">
      <c r="E13" s="14" t="s">
        <v>348</v>
      </c>
      <c r="F13" s="14"/>
      <c r="G13" s="12" t="str">
        <f t="shared" si="0"/>
        <v>铁枪,珊瑚,象牙,水晶石</v>
      </c>
      <c r="I13" s="12" t="s">
        <v>346</v>
      </c>
      <c r="J13" s="12" t="s">
        <v>375</v>
      </c>
      <c r="K13" s="12" t="s">
        <v>480</v>
      </c>
      <c r="L13" s="12" t="s">
        <v>475</v>
      </c>
      <c r="N13" s="12" t="s">
        <v>652</v>
      </c>
      <c r="O13" s="12"/>
      <c r="P13" s="12"/>
      <c r="Q13" s="12"/>
      <c r="T13" s="12" t="s">
        <v>652</v>
      </c>
      <c r="U13" s="12" t="s">
        <v>375</v>
      </c>
      <c r="V13" s="12" t="s">
        <v>480</v>
      </c>
      <c r="W13" s="12" t="s">
        <v>475</v>
      </c>
      <c r="Z13" s="12" t="str">
        <f t="shared" si="1"/>
        <v>木棒,铁块,刀刃,,珊瑚,象牙,水晶石</v>
      </c>
    </row>
    <row r="14" spans="5:26" x14ac:dyDescent="0.15">
      <c r="E14" s="9" t="s">
        <v>557</v>
      </c>
      <c r="F14" s="9"/>
      <c r="G14" s="12" t="str">
        <f t="shared" si="0"/>
        <v>银块,刀刃,咒术药水,暮光结晶</v>
      </c>
      <c r="I14" s="12" t="s">
        <v>479</v>
      </c>
      <c r="J14" s="12" t="s">
        <v>501</v>
      </c>
      <c r="K14" s="12" t="s">
        <v>489</v>
      </c>
      <c r="L14" s="12" t="s">
        <v>572</v>
      </c>
      <c r="N14" s="12"/>
      <c r="O14" s="12"/>
      <c r="P14" s="12"/>
      <c r="Q14" s="12"/>
      <c r="T14" s="12" t="s">
        <v>479</v>
      </c>
      <c r="U14" s="12" t="s">
        <v>369</v>
      </c>
      <c r="V14" s="12" t="s">
        <v>489</v>
      </c>
      <c r="W14" s="12" t="s">
        <v>572</v>
      </c>
      <c r="Z14" s="12" t="str">
        <f t="shared" si="1"/>
        <v>银块,刀刃,咒术药水,暮光结晶</v>
      </c>
    </row>
    <row r="15" spans="5:26" x14ac:dyDescent="0.15">
      <c r="E15" s="9" t="s">
        <v>558</v>
      </c>
      <c r="F15" s="9"/>
      <c r="G15" s="12" t="str">
        <f t="shared" si="0"/>
        <v>幻影水晶,铁枪,夜之幕,风晶石</v>
      </c>
      <c r="I15" s="12" t="s">
        <v>524</v>
      </c>
      <c r="J15" s="12" t="s">
        <v>346</v>
      </c>
      <c r="K15" s="12" t="s">
        <v>609</v>
      </c>
      <c r="L15" s="12" t="s">
        <v>460</v>
      </c>
      <c r="N15" s="12"/>
      <c r="O15" s="12" t="s">
        <v>652</v>
      </c>
      <c r="P15" s="12"/>
      <c r="Q15" s="12"/>
      <c r="T15" s="12" t="s">
        <v>524</v>
      </c>
      <c r="U15" s="12" t="s">
        <v>652</v>
      </c>
      <c r="V15" s="12" t="s">
        <v>494</v>
      </c>
      <c r="W15" s="12" t="s">
        <v>460</v>
      </c>
      <c r="Z15" s="12" t="str">
        <f t="shared" si="1"/>
        <v>幻影水晶,木棒,铁块,刀刃,,夜之幕,风晶石</v>
      </c>
    </row>
    <row r="16" spans="5:26" x14ac:dyDescent="0.15">
      <c r="E16" s="14" t="s">
        <v>531</v>
      </c>
      <c r="F16" s="14"/>
      <c r="G16" s="12" t="str">
        <f t="shared" si="0"/>
        <v>钢,刀刃,兽角,</v>
      </c>
      <c r="I16" s="12" t="s">
        <v>367</v>
      </c>
      <c r="J16" s="12" t="s">
        <v>369</v>
      </c>
      <c r="K16" s="12" t="s">
        <v>589</v>
      </c>
      <c r="L16" s="12"/>
      <c r="N16" s="12" t="s">
        <v>651</v>
      </c>
      <c r="O16" s="12"/>
      <c r="P16" s="12"/>
      <c r="Q16" s="12" t="s">
        <v>649</v>
      </c>
      <c r="T16" s="12" t="s">
        <v>651</v>
      </c>
      <c r="U16" s="12" t="s">
        <v>369</v>
      </c>
      <c r="V16" s="12" t="s">
        <v>376</v>
      </c>
      <c r="W16" s="12"/>
      <c r="Z16" s="12" t="str">
        <f t="shared" si="1"/>
        <v>铸造,铁块,焦炭,,刀刃,兽角,</v>
      </c>
    </row>
    <row r="17" spans="5:26" x14ac:dyDescent="0.15">
      <c r="E17" s="14" t="s">
        <v>401</v>
      </c>
      <c r="F17" s="14"/>
      <c r="G17" s="12" t="str">
        <f t="shared" si="0"/>
        <v>战斧,毒淤泥,狼牙,</v>
      </c>
      <c r="I17" s="12" t="s">
        <v>531</v>
      </c>
      <c r="J17" s="12" t="s">
        <v>577</v>
      </c>
      <c r="K17" s="12" t="s">
        <v>383</v>
      </c>
      <c r="L17" s="12"/>
      <c r="N17" s="12" t="s">
        <v>653</v>
      </c>
      <c r="O17" s="12"/>
      <c r="P17" s="12"/>
      <c r="Q17" s="12" t="s">
        <v>649</v>
      </c>
      <c r="T17" s="12" t="s">
        <v>653</v>
      </c>
      <c r="U17" s="12" t="s">
        <v>487</v>
      </c>
      <c r="V17" s="12" t="s">
        <v>383</v>
      </c>
      <c r="W17" s="12"/>
      <c r="Z17" s="12" t="str">
        <f t="shared" si="1"/>
        <v>钢,刀刃,兽角,,毒淤泥,狼牙,</v>
      </c>
    </row>
    <row r="18" spans="5:26" x14ac:dyDescent="0.15">
      <c r="E18" s="14" t="s">
        <v>400</v>
      </c>
      <c r="F18" s="14"/>
      <c r="G18" s="12" t="str">
        <f t="shared" si="0"/>
        <v>战斧,魔族之血,人狼之证,石化之眼</v>
      </c>
      <c r="I18" s="12" t="s">
        <v>349</v>
      </c>
      <c r="J18" s="12" t="s">
        <v>379</v>
      </c>
      <c r="K18" s="12" t="s">
        <v>491</v>
      </c>
      <c r="L18" s="12" t="s">
        <v>381</v>
      </c>
      <c r="N18" s="12" t="s">
        <v>653</v>
      </c>
      <c r="O18" s="12"/>
      <c r="P18" s="12"/>
      <c r="Q18" s="12"/>
      <c r="T18" s="12" t="s">
        <v>653</v>
      </c>
      <c r="U18" s="12" t="s">
        <v>379</v>
      </c>
      <c r="V18" s="12" t="s">
        <v>491</v>
      </c>
      <c r="W18" s="12" t="s">
        <v>381</v>
      </c>
      <c r="Z18" s="12" t="str">
        <f t="shared" si="1"/>
        <v>钢,刀刃,兽角,,魔族之血,人狼之证,石化之眼</v>
      </c>
    </row>
    <row r="19" spans="5:26" x14ac:dyDescent="0.15">
      <c r="E19" s="14" t="s">
        <v>399</v>
      </c>
      <c r="F19" s="14"/>
      <c r="G19" s="12" t="str">
        <f t="shared" si="0"/>
        <v>战斧,雪球,冰晶石,寒冰气息</v>
      </c>
      <c r="I19" s="12" t="s">
        <v>349</v>
      </c>
      <c r="J19" s="12" t="s">
        <v>377</v>
      </c>
      <c r="K19" s="12" t="s">
        <v>492</v>
      </c>
      <c r="L19" s="12" t="s">
        <v>497</v>
      </c>
      <c r="N19" s="12" t="s">
        <v>653</v>
      </c>
      <c r="O19" s="12"/>
      <c r="P19" s="12"/>
      <c r="Q19" s="12"/>
      <c r="T19" s="12" t="s">
        <v>653</v>
      </c>
      <c r="U19" s="12" t="s">
        <v>377</v>
      </c>
      <c r="V19" s="12" t="s">
        <v>492</v>
      </c>
      <c r="W19" s="12" t="s">
        <v>497</v>
      </c>
      <c r="Z19" s="12" t="str">
        <f t="shared" si="1"/>
        <v>钢,刀刃,兽角,,雪球,冰晶石,寒冰气息</v>
      </c>
    </row>
    <row r="20" spans="5:26" x14ac:dyDescent="0.15">
      <c r="E20" s="14" t="s">
        <v>592</v>
      </c>
      <c r="F20" s="14"/>
      <c r="G20" s="12" t="str">
        <f t="shared" si="0"/>
        <v>蛇皮,马尾,蛛丝,</v>
      </c>
      <c r="I20" s="12" t="s">
        <v>363</v>
      </c>
      <c r="J20" s="12" t="s">
        <v>583</v>
      </c>
      <c r="K20" s="12" t="s">
        <v>596</v>
      </c>
      <c r="L20" s="12"/>
      <c r="N20" s="12"/>
      <c r="O20" s="12"/>
      <c r="P20" s="12"/>
      <c r="Q20" s="12" t="s">
        <v>649</v>
      </c>
      <c r="T20" s="12" t="s">
        <v>363</v>
      </c>
      <c r="U20" s="12" t="s">
        <v>372</v>
      </c>
      <c r="V20" s="12" t="s">
        <v>370</v>
      </c>
      <c r="W20" s="12"/>
      <c r="Z20" s="12" t="str">
        <f t="shared" si="1"/>
        <v>蛇皮,马尾,蛛丝,</v>
      </c>
    </row>
    <row r="21" spans="5:26" x14ac:dyDescent="0.15">
      <c r="E21" s="14" t="s">
        <v>584</v>
      </c>
      <c r="F21" s="14"/>
      <c r="G21" s="12" t="str">
        <f t="shared" si="0"/>
        <v>植物的藤,马尾,蛛丝,</v>
      </c>
      <c r="I21" s="12" t="s">
        <v>469</v>
      </c>
      <c r="J21" s="12" t="s">
        <v>372</v>
      </c>
      <c r="K21" s="12" t="s">
        <v>596</v>
      </c>
      <c r="L21" s="12"/>
      <c r="N21" s="12"/>
      <c r="O21" s="12"/>
      <c r="P21" s="12"/>
      <c r="Q21" s="12" t="s">
        <v>649</v>
      </c>
      <c r="T21" s="12" t="s">
        <v>469</v>
      </c>
      <c r="U21" s="12" t="s">
        <v>372</v>
      </c>
      <c r="V21" s="12" t="s">
        <v>370</v>
      </c>
      <c r="W21" s="12"/>
      <c r="Z21" s="12" t="str">
        <f t="shared" si="1"/>
        <v>植物的藤,马尾,蛛丝,</v>
      </c>
    </row>
    <row r="22" spans="5:26" x14ac:dyDescent="0.15">
      <c r="E22" s="14" t="s">
        <v>611</v>
      </c>
      <c r="F22" s="14"/>
      <c r="G22" s="12" t="str">
        <f t="shared" si="0"/>
        <v>藤鞭,尖刺,幽魂,</v>
      </c>
      <c r="I22" s="12" t="s">
        <v>353</v>
      </c>
      <c r="J22" s="12" t="s">
        <v>574</v>
      </c>
      <c r="K22" s="12" t="s">
        <v>384</v>
      </c>
      <c r="L22" s="12"/>
      <c r="N22" s="12" t="s">
        <v>654</v>
      </c>
      <c r="O22" s="12"/>
      <c r="P22" s="12"/>
      <c r="Q22" s="12" t="s">
        <v>649</v>
      </c>
      <c r="T22" s="12" t="s">
        <v>654</v>
      </c>
      <c r="U22" s="12" t="s">
        <v>463</v>
      </c>
      <c r="V22" s="12" t="s">
        <v>384</v>
      </c>
      <c r="W22" s="12"/>
      <c r="Z22" s="12" t="str">
        <f t="shared" si="1"/>
        <v>植物的藤,马尾,蛛丝,,尖刺,幽魂,</v>
      </c>
    </row>
    <row r="23" spans="5:26" x14ac:dyDescent="0.15">
      <c r="E23" s="14" t="s">
        <v>610</v>
      </c>
      <c r="F23" s="14"/>
      <c r="G23" s="12" t="str">
        <f t="shared" si="0"/>
        <v>蛇皮鞭,狼牙,,</v>
      </c>
      <c r="I23" s="12" t="s">
        <v>352</v>
      </c>
      <c r="J23" s="12" t="s">
        <v>418</v>
      </c>
      <c r="K23" s="12"/>
      <c r="L23" s="12"/>
      <c r="N23" s="12" t="s">
        <v>655</v>
      </c>
      <c r="O23" s="12"/>
      <c r="P23" s="12" t="s">
        <v>655</v>
      </c>
      <c r="Q23" s="12" t="s">
        <v>649</v>
      </c>
      <c r="T23" s="12" t="s">
        <v>655</v>
      </c>
      <c r="U23" s="12" t="s">
        <v>383</v>
      </c>
      <c r="V23" s="12" t="s">
        <v>655</v>
      </c>
      <c r="W23" s="12"/>
      <c r="Z23" s="12" t="str">
        <f t="shared" si="1"/>
        <v>蛇皮,马尾,蛛丝,,狼牙,蛇皮,马尾,蛛丝,,</v>
      </c>
    </row>
    <row r="24" spans="5:26" x14ac:dyDescent="0.15">
      <c r="E24" s="9" t="s">
        <v>561</v>
      </c>
      <c r="F24" s="9"/>
      <c r="G24" s="12" t="str">
        <f t="shared" si="0"/>
        <v>雷鸣宝珠,电偶瓶,蜂刺,女王鞭</v>
      </c>
      <c r="I24" s="12" t="s">
        <v>521</v>
      </c>
      <c r="J24" s="12" t="s">
        <v>471</v>
      </c>
      <c r="K24" s="12" t="s">
        <v>582</v>
      </c>
      <c r="L24" s="12" t="s">
        <v>406</v>
      </c>
      <c r="N24" s="12"/>
      <c r="O24" s="12"/>
      <c r="P24" s="12"/>
      <c r="Q24" s="12" t="s">
        <v>667</v>
      </c>
      <c r="T24" s="12" t="s">
        <v>521</v>
      </c>
      <c r="U24" s="12" t="s">
        <v>471</v>
      </c>
      <c r="V24" s="12" t="s">
        <v>380</v>
      </c>
      <c r="W24" s="12" t="s">
        <v>666</v>
      </c>
      <c r="Z24" s="12" t="str">
        <f t="shared" si="1"/>
        <v>雷鸣宝珠,电偶瓶,蜂刺,植物的藤,马尾,蛛丝,尖刺,幽魂,</v>
      </c>
    </row>
    <row r="25" spans="5:26" x14ac:dyDescent="0.15">
      <c r="E25" s="9" t="s">
        <v>560</v>
      </c>
      <c r="F25" s="9"/>
      <c r="G25" s="12" t="str">
        <f t="shared" si="0"/>
        <v>脏绷带,亡者之土,寒冰火种,蛇牙鞭</v>
      </c>
      <c r="I25" s="12" t="s">
        <v>482</v>
      </c>
      <c r="J25" s="12" t="s">
        <v>619</v>
      </c>
      <c r="K25" s="12" t="s">
        <v>498</v>
      </c>
      <c r="L25" s="12" t="s">
        <v>354</v>
      </c>
      <c r="N25" s="12"/>
      <c r="O25" s="12"/>
      <c r="P25" s="12"/>
      <c r="Q25" s="12" t="s">
        <v>669</v>
      </c>
      <c r="T25" s="12" t="s">
        <v>482</v>
      </c>
      <c r="U25" s="12" t="s">
        <v>488</v>
      </c>
      <c r="V25" s="12" t="s">
        <v>498</v>
      </c>
      <c r="W25" s="12" t="s">
        <v>668</v>
      </c>
      <c r="Z25" s="12" t="str">
        <f t="shared" si="1"/>
        <v>脏绷带,亡者之土,寒冰火种,蛇皮,马尾,蛛丝,,狼牙,</v>
      </c>
    </row>
    <row r="26" spans="5:26" x14ac:dyDescent="0.15">
      <c r="E26" s="17" t="s">
        <v>620</v>
      </c>
      <c r="F26" s="17"/>
      <c r="G26" s="12" t="str">
        <f t="shared" si="0"/>
        <v>布片,毛线,,</v>
      </c>
      <c r="I26" s="12" t="s">
        <v>417</v>
      </c>
      <c r="J26" s="12" t="s">
        <v>595</v>
      </c>
      <c r="K26" s="12"/>
      <c r="L26" s="12"/>
      <c r="N26" s="12" t="s">
        <v>656</v>
      </c>
      <c r="O26" s="12" t="s">
        <v>657</v>
      </c>
      <c r="P26" s="12" t="s">
        <v>649</v>
      </c>
      <c r="Q26" s="12" t="s">
        <v>649</v>
      </c>
      <c r="T26" s="12" t="s">
        <v>656</v>
      </c>
      <c r="U26" s="12" t="s">
        <v>657</v>
      </c>
      <c r="V26" s="12"/>
      <c r="W26" s="12"/>
      <c r="Z26" s="12" t="str">
        <f t="shared" si="1"/>
        <v>纺织,毛线,,,纺线,羊毛,,,,</v>
      </c>
    </row>
    <row r="27" spans="5:26" x14ac:dyDescent="0.15">
      <c r="E27" s="17" t="s">
        <v>613</v>
      </c>
      <c r="F27" s="17"/>
      <c r="G27" s="12" t="str">
        <f t="shared" si="0"/>
        <v>皮革,粘液,蛛丝,</v>
      </c>
      <c r="I27" s="12" t="s">
        <v>597</v>
      </c>
      <c r="J27" s="12" t="s">
        <v>587</v>
      </c>
      <c r="K27" s="12" t="s">
        <v>614</v>
      </c>
      <c r="L27" s="12"/>
      <c r="N27" s="12" t="s">
        <v>658</v>
      </c>
      <c r="O27" s="12"/>
      <c r="P27" s="12"/>
      <c r="Q27" s="12" t="s">
        <v>649</v>
      </c>
      <c r="T27" s="12" t="s">
        <v>658</v>
      </c>
      <c r="U27" s="12" t="s">
        <v>539</v>
      </c>
      <c r="V27" s="12" t="s">
        <v>370</v>
      </c>
      <c r="W27" s="12"/>
      <c r="Z27" s="12" t="str">
        <f t="shared" si="1"/>
        <v>鞣制,兽皮,,,粘液,蛛丝,</v>
      </c>
    </row>
    <row r="28" spans="5:26" x14ac:dyDescent="0.15">
      <c r="E28" s="17" t="s">
        <v>387</v>
      </c>
      <c r="F28" s="17"/>
      <c r="G28" s="12" t="str">
        <f t="shared" si="0"/>
        <v>皮铠,珊瑚,钢,</v>
      </c>
      <c r="I28" s="12" t="s">
        <v>362</v>
      </c>
      <c r="J28" s="12" t="s">
        <v>375</v>
      </c>
      <c r="K28" s="12" t="s">
        <v>367</v>
      </c>
      <c r="L28" s="12"/>
      <c r="N28" s="12" t="s">
        <v>659</v>
      </c>
      <c r="O28" s="12"/>
      <c r="P28" s="12" t="s">
        <v>651</v>
      </c>
      <c r="Q28" s="12" t="s">
        <v>649</v>
      </c>
      <c r="T28" s="12" t="s">
        <v>659</v>
      </c>
      <c r="U28" s="12" t="s">
        <v>375</v>
      </c>
      <c r="V28" s="12" t="s">
        <v>651</v>
      </c>
      <c r="W28" s="12"/>
      <c r="Z28" s="12" t="str">
        <f t="shared" si="1"/>
        <v>皮革,粘液,蛛丝,,珊瑚,铸造,铁块,焦炭,,</v>
      </c>
    </row>
    <row r="29" spans="5:26" x14ac:dyDescent="0.15">
      <c r="E29" s="17" t="s">
        <v>356</v>
      </c>
      <c r="F29" s="17"/>
      <c r="G29" s="12" t="str">
        <f t="shared" si="0"/>
        <v>皮铠,魔兽皮毛,羊毛,</v>
      </c>
      <c r="I29" s="12" t="s">
        <v>362</v>
      </c>
      <c r="J29" s="12" t="s">
        <v>361</v>
      </c>
      <c r="K29" s="12" t="s">
        <v>371</v>
      </c>
      <c r="L29" s="12"/>
      <c r="N29" s="12" t="s">
        <v>659</v>
      </c>
      <c r="O29" s="12"/>
      <c r="P29" s="12"/>
      <c r="Q29" s="12" t="s">
        <v>649</v>
      </c>
      <c r="T29" s="12" t="s">
        <v>659</v>
      </c>
      <c r="U29" s="12" t="s">
        <v>361</v>
      </c>
      <c r="V29" s="12" t="s">
        <v>371</v>
      </c>
      <c r="W29" s="12"/>
      <c r="Z29" s="12" t="str">
        <f t="shared" si="1"/>
        <v>皮革,粘液,蛛丝,,魔兽皮毛,羊毛,</v>
      </c>
    </row>
    <row r="30" spans="5:26" x14ac:dyDescent="0.15">
      <c r="E30" s="17" t="s">
        <v>616</v>
      </c>
      <c r="F30" s="17"/>
      <c r="G30" s="12" t="str">
        <f t="shared" si="0"/>
        <v>铁块,石英砂,,</v>
      </c>
      <c r="I30" s="12" t="s">
        <v>535</v>
      </c>
      <c r="J30" s="12" t="s">
        <v>458</v>
      </c>
      <c r="K30" s="12"/>
      <c r="L30" s="12"/>
      <c r="N30" s="12" t="s">
        <v>648</v>
      </c>
      <c r="O30" s="12"/>
      <c r="P30" s="12" t="s">
        <v>649</v>
      </c>
      <c r="Q30" s="12" t="s">
        <v>649</v>
      </c>
      <c r="T30" s="12" t="s">
        <v>648</v>
      </c>
      <c r="U30" s="12" t="s">
        <v>458</v>
      </c>
      <c r="V30" s="12"/>
      <c r="W30" s="12"/>
      <c r="Z30" s="12" t="str">
        <f t="shared" si="1"/>
        <v>铸造,废铁,焦炭,,石英砂,,</v>
      </c>
    </row>
    <row r="31" spans="5:26" x14ac:dyDescent="0.15">
      <c r="E31" s="17" t="s">
        <v>388</v>
      </c>
      <c r="F31" s="17"/>
      <c r="G31" s="12" t="str">
        <f t="shared" si="0"/>
        <v>铁铠甲,遗骨,火晶石,魔力之土</v>
      </c>
      <c r="I31" s="12" t="s">
        <v>366</v>
      </c>
      <c r="J31" s="12" t="s">
        <v>581</v>
      </c>
      <c r="K31" s="12" t="s">
        <v>473</v>
      </c>
      <c r="L31" s="12" t="s">
        <v>570</v>
      </c>
      <c r="N31" s="12" t="s">
        <v>660</v>
      </c>
      <c r="O31" s="12"/>
      <c r="P31" s="12"/>
      <c r="Q31" s="12"/>
      <c r="T31" s="12" t="s">
        <v>660</v>
      </c>
      <c r="U31" s="12" t="s">
        <v>485</v>
      </c>
      <c r="V31" s="12" t="s">
        <v>473</v>
      </c>
      <c r="W31" s="12" t="s">
        <v>570</v>
      </c>
      <c r="Z31" s="12" t="str">
        <f t="shared" si="1"/>
        <v>铁块,石英砂,,,遗骨,火晶石,魔力之土</v>
      </c>
    </row>
    <row r="32" spans="5:26" x14ac:dyDescent="0.15">
      <c r="E32" s="17" t="s">
        <v>573</v>
      </c>
      <c r="F32" s="17"/>
      <c r="G32" s="12" t="str">
        <f t="shared" si="0"/>
        <v>龟壳,铁铠甲,琥珀,</v>
      </c>
      <c r="I32" s="12" t="s">
        <v>457</v>
      </c>
      <c r="J32" s="12" t="s">
        <v>366</v>
      </c>
      <c r="K32" s="12" t="s">
        <v>461</v>
      </c>
      <c r="L32" s="12"/>
      <c r="N32" s="12"/>
      <c r="O32" s="12" t="s">
        <v>660</v>
      </c>
      <c r="P32" s="12"/>
      <c r="Q32" s="12" t="s">
        <v>649</v>
      </c>
      <c r="T32" s="12" t="s">
        <v>457</v>
      </c>
      <c r="U32" s="12" t="s">
        <v>660</v>
      </c>
      <c r="V32" s="12" t="s">
        <v>461</v>
      </c>
      <c r="W32" s="12"/>
      <c r="Z32" s="12" t="str">
        <f t="shared" si="1"/>
        <v>龟壳,铁块,石英砂,,,琥珀,</v>
      </c>
    </row>
    <row r="33" spans="5:26" x14ac:dyDescent="0.15">
      <c r="E33" s="17" t="s">
        <v>357</v>
      </c>
      <c r="F33" s="17"/>
      <c r="G33" s="12" t="str">
        <f t="shared" si="0"/>
        <v>彩色的布,彩色羽毛,毛线,</v>
      </c>
      <c r="I33" s="12" t="s">
        <v>575</v>
      </c>
      <c r="J33" s="12" t="s">
        <v>374</v>
      </c>
      <c r="K33" s="12" t="s">
        <v>595</v>
      </c>
      <c r="L33" s="12"/>
      <c r="N33" s="12"/>
      <c r="O33" s="12"/>
      <c r="P33" s="12" t="s">
        <v>657</v>
      </c>
      <c r="Q33" s="12" t="s">
        <v>649</v>
      </c>
      <c r="T33" s="12" t="s">
        <v>568</v>
      </c>
      <c r="U33" s="12" t="s">
        <v>374</v>
      </c>
      <c r="V33" s="12" t="s">
        <v>657</v>
      </c>
      <c r="W33" s="12"/>
      <c r="Z33" s="12" t="str">
        <f t="shared" si="1"/>
        <v>彩色的布,彩色羽毛,纺线,羊毛,,,</v>
      </c>
    </row>
    <row r="34" spans="5:26" x14ac:dyDescent="0.15">
      <c r="E34" s="17" t="s">
        <v>358</v>
      </c>
      <c r="F34" s="17"/>
      <c r="G34" s="12" t="str">
        <f t="shared" si="0"/>
        <v>鳞片,粘液,皮革,</v>
      </c>
      <c r="I34" s="12" t="s">
        <v>529</v>
      </c>
      <c r="J34" s="12" t="s">
        <v>587</v>
      </c>
      <c r="K34" s="12" t="s">
        <v>597</v>
      </c>
      <c r="L34" s="12"/>
      <c r="N34" s="12"/>
      <c r="O34" s="12"/>
      <c r="P34" s="12" t="s">
        <v>658</v>
      </c>
      <c r="Q34" s="12" t="s">
        <v>649</v>
      </c>
      <c r="T34" s="12" t="s">
        <v>529</v>
      </c>
      <c r="U34" s="12" t="s">
        <v>539</v>
      </c>
      <c r="V34" s="12" t="s">
        <v>658</v>
      </c>
      <c r="W34" s="12"/>
      <c r="Z34" s="12" t="str">
        <f t="shared" si="1"/>
        <v>鳞片,粘液,鞣制,兽皮,,,</v>
      </c>
    </row>
    <row r="35" spans="5:26" x14ac:dyDescent="0.15">
      <c r="E35" s="17" t="s">
        <v>393</v>
      </c>
      <c r="F35" s="17"/>
      <c r="G35" s="12" t="str">
        <f t="shared" si="0"/>
        <v>夜之幕,毛线,亡者之土,幽魂</v>
      </c>
      <c r="I35" s="12" t="s">
        <v>530</v>
      </c>
      <c r="J35" s="12" t="s">
        <v>595</v>
      </c>
      <c r="K35" s="12" t="s">
        <v>422</v>
      </c>
      <c r="L35" s="12" t="s">
        <v>384</v>
      </c>
      <c r="N35" s="12"/>
      <c r="O35" s="12" t="s">
        <v>657</v>
      </c>
      <c r="P35" s="12"/>
      <c r="Q35" s="12"/>
      <c r="T35" s="12" t="s">
        <v>494</v>
      </c>
      <c r="U35" s="12" t="s">
        <v>657</v>
      </c>
      <c r="V35" s="12" t="s">
        <v>488</v>
      </c>
      <c r="W35" s="12" t="s">
        <v>384</v>
      </c>
      <c r="Z35" s="12" t="str">
        <f t="shared" si="1"/>
        <v>夜之幕,纺线,羊毛,,,亡者之土,幽魂</v>
      </c>
    </row>
    <row r="36" spans="5:26" x14ac:dyDescent="0.15">
      <c r="E36" s="17" t="s">
        <v>394</v>
      </c>
      <c r="F36" s="17"/>
      <c r="G36" s="12" t="str">
        <f t="shared" si="0"/>
        <v>布衣,风晶石,奇美拉之翼,</v>
      </c>
      <c r="I36" s="12" t="s">
        <v>364</v>
      </c>
      <c r="J36" s="12" t="s">
        <v>460</v>
      </c>
      <c r="K36" s="12" t="s">
        <v>537</v>
      </c>
      <c r="L36" s="12"/>
      <c r="N36" s="12" t="s">
        <v>661</v>
      </c>
      <c r="O36" s="12"/>
      <c r="P36" s="12"/>
      <c r="Q36" s="12" t="s">
        <v>649</v>
      </c>
      <c r="T36" s="12" t="s">
        <v>661</v>
      </c>
      <c r="U36" s="12" t="s">
        <v>460</v>
      </c>
      <c r="V36" s="12" t="s">
        <v>382</v>
      </c>
      <c r="W36" s="12"/>
      <c r="Z36" s="12" t="str">
        <f t="shared" si="1"/>
        <v>布片,毛线,,,风晶石,奇美拉之翼,</v>
      </c>
    </row>
    <row r="37" spans="5:26" x14ac:dyDescent="0.15">
      <c r="E37" s="17" t="s">
        <v>390</v>
      </c>
      <c r="F37" s="17"/>
      <c r="G37" s="12" t="str">
        <f t="shared" si="0"/>
        <v>皮铠,水晶球,金块,兽角</v>
      </c>
      <c r="I37" s="12" t="s">
        <v>613</v>
      </c>
      <c r="J37" s="12" t="s">
        <v>378</v>
      </c>
      <c r="K37" s="12" t="s">
        <v>385</v>
      </c>
      <c r="L37" s="12" t="s">
        <v>376</v>
      </c>
      <c r="N37" s="12" t="s">
        <v>659</v>
      </c>
      <c r="O37" s="12"/>
      <c r="P37" s="12"/>
      <c r="Q37" s="12"/>
      <c r="T37" s="12" t="s">
        <v>659</v>
      </c>
      <c r="U37" s="12" t="s">
        <v>378</v>
      </c>
      <c r="V37" s="12" t="s">
        <v>385</v>
      </c>
      <c r="W37" s="12" t="s">
        <v>376</v>
      </c>
      <c r="Z37" s="12" t="str">
        <f t="shared" si="1"/>
        <v>皮革,粘液,蛛丝,,水晶球,金块,兽角</v>
      </c>
    </row>
    <row r="38" spans="5:26" x14ac:dyDescent="0.15">
      <c r="E38" s="17" t="s">
        <v>389</v>
      </c>
      <c r="F38" s="17"/>
      <c r="G38" s="12" t="str">
        <f t="shared" si="0"/>
        <v>铁铠甲,刀刃,钢,土晶石</v>
      </c>
      <c r="I38" s="12" t="s">
        <v>366</v>
      </c>
      <c r="J38" s="12" t="s">
        <v>369</v>
      </c>
      <c r="K38" s="12" t="s">
        <v>419</v>
      </c>
      <c r="L38" s="12" t="s">
        <v>467</v>
      </c>
      <c r="N38" s="12" t="s">
        <v>660</v>
      </c>
      <c r="O38" s="12"/>
      <c r="P38" s="12" t="s">
        <v>651</v>
      </c>
      <c r="Q38" s="12"/>
      <c r="T38" s="12" t="s">
        <v>660</v>
      </c>
      <c r="U38" s="12" t="s">
        <v>369</v>
      </c>
      <c r="V38" s="12" t="s">
        <v>651</v>
      </c>
      <c r="W38" s="12" t="s">
        <v>467</v>
      </c>
      <c r="Z38" s="12" t="str">
        <f t="shared" si="1"/>
        <v>铁块,石英砂,,,刀刃,铸造,铁块,焦炭,,土晶石</v>
      </c>
    </row>
    <row r="39" spans="5:26" x14ac:dyDescent="0.15">
      <c r="E39" s="17" t="s">
        <v>391</v>
      </c>
      <c r="F39" s="17"/>
      <c r="G39" s="12" t="str">
        <f t="shared" si="0"/>
        <v>布片,蛛丝,彩色羽毛,</v>
      </c>
      <c r="I39" s="12" t="s">
        <v>365</v>
      </c>
      <c r="J39" s="12" t="s">
        <v>370</v>
      </c>
      <c r="K39" s="12" t="s">
        <v>374</v>
      </c>
      <c r="L39" s="12"/>
      <c r="N39" s="12" t="s">
        <v>656</v>
      </c>
      <c r="O39" s="12"/>
      <c r="P39" s="12"/>
      <c r="Q39" s="12" t="s">
        <v>649</v>
      </c>
      <c r="T39" s="12" t="s">
        <v>656</v>
      </c>
      <c r="U39" s="12" t="s">
        <v>370</v>
      </c>
      <c r="V39" s="12" t="s">
        <v>374</v>
      </c>
      <c r="W39" s="12"/>
      <c r="Z39" s="12" t="str">
        <f t="shared" si="1"/>
        <v>纺织,毛线,,,蛛丝,彩色羽毛,</v>
      </c>
    </row>
    <row r="40" spans="5:26" x14ac:dyDescent="0.15">
      <c r="E40" s="17" t="s">
        <v>392</v>
      </c>
      <c r="F40" s="17"/>
      <c r="G40" s="12" t="str">
        <f t="shared" si="0"/>
        <v>布衣,水晶石,防水皮革,</v>
      </c>
      <c r="I40" s="12" t="s">
        <v>364</v>
      </c>
      <c r="J40" s="12" t="s">
        <v>540</v>
      </c>
      <c r="K40" s="7" t="s">
        <v>545</v>
      </c>
      <c r="L40" s="12"/>
      <c r="N40" s="12" t="s">
        <v>661</v>
      </c>
      <c r="O40" s="12"/>
      <c r="P40" s="12"/>
      <c r="Q40" s="12" t="s">
        <v>649</v>
      </c>
      <c r="T40" s="12" t="s">
        <v>661</v>
      </c>
      <c r="U40" s="12" t="s">
        <v>475</v>
      </c>
      <c r="V40" s="12" t="s">
        <v>567</v>
      </c>
      <c r="W40" s="12"/>
      <c r="Z40" s="12" t="str">
        <f t="shared" si="1"/>
        <v>布片,毛线,,,水晶石,防水皮革,</v>
      </c>
    </row>
    <row r="41" spans="5:26" x14ac:dyDescent="0.15">
      <c r="E41" s="17" t="s">
        <v>403</v>
      </c>
      <c r="F41" s="17"/>
      <c r="G41" s="12" t="str">
        <f t="shared" si="0"/>
        <v>华丽背心,贵族徽章,珍珠,金块</v>
      </c>
      <c r="I41" s="12" t="s">
        <v>368</v>
      </c>
      <c r="J41" s="12" t="s">
        <v>515</v>
      </c>
      <c r="K41" s="12" t="s">
        <v>476</v>
      </c>
      <c r="L41" s="12" t="s">
        <v>385</v>
      </c>
      <c r="N41" s="12" t="s">
        <v>662</v>
      </c>
      <c r="O41" s="12"/>
      <c r="P41" s="12"/>
      <c r="Q41" s="12"/>
      <c r="T41" s="12" t="s">
        <v>662</v>
      </c>
      <c r="U41" s="12" t="s">
        <v>515</v>
      </c>
      <c r="V41" s="12" t="s">
        <v>476</v>
      </c>
      <c r="W41" s="12" t="s">
        <v>385</v>
      </c>
      <c r="Z41" s="12" t="str">
        <f t="shared" si="1"/>
        <v>彩色的布,彩色羽毛,毛线,,贵族徽章,珍珠,金块</v>
      </c>
    </row>
    <row r="42" spans="5:26" x14ac:dyDescent="0.15">
      <c r="E42" s="18" t="s">
        <v>563</v>
      </c>
      <c r="F42" s="18"/>
      <c r="G42" s="12" t="str">
        <f t="shared" si="0"/>
        <v>远古的硬币,布衣,脏绷带,暮光结晶</v>
      </c>
      <c r="I42" s="12" t="s">
        <v>483</v>
      </c>
      <c r="J42" s="12" t="s">
        <v>364</v>
      </c>
      <c r="K42" s="12" t="s">
        <v>482</v>
      </c>
      <c r="L42" s="12" t="s">
        <v>572</v>
      </c>
      <c r="N42" s="12"/>
      <c r="O42" s="12" t="s">
        <v>661</v>
      </c>
      <c r="P42" s="12"/>
      <c r="Q42" s="12"/>
      <c r="T42" s="12" t="s">
        <v>483</v>
      </c>
      <c r="U42" s="12" t="s">
        <v>661</v>
      </c>
      <c r="V42" s="12" t="s">
        <v>482</v>
      </c>
      <c r="W42" s="12" t="s">
        <v>572</v>
      </c>
      <c r="Z42" s="12" t="str">
        <f t="shared" si="1"/>
        <v>远古的硬币,布片,毛线,,,脏绷带,暮光结晶</v>
      </c>
    </row>
    <row r="43" spans="5:26" x14ac:dyDescent="0.15">
      <c r="E43" s="18" t="s">
        <v>439</v>
      </c>
      <c r="F43" s="18"/>
      <c r="G43" s="12" t="str">
        <f>$I43&amp;","&amp;$J43&amp;","&amp;$K43&amp;","&amp;$L43</f>
        <v>布片,鹿角,粘液,</v>
      </c>
      <c r="I43" s="12" t="s">
        <v>447</v>
      </c>
      <c r="J43" s="12" t="s">
        <v>470</v>
      </c>
      <c r="K43" s="12" t="s">
        <v>539</v>
      </c>
      <c r="L43" s="12"/>
      <c r="N43" s="12" t="s">
        <v>656</v>
      </c>
      <c r="O43" s="12"/>
      <c r="P43" s="12"/>
      <c r="Q43" s="12" t="s">
        <v>649</v>
      </c>
      <c r="T43" s="12" t="s">
        <v>656</v>
      </c>
      <c r="U43" s="12" t="s">
        <v>470</v>
      </c>
      <c r="V43" s="12" t="s">
        <v>539</v>
      </c>
      <c r="W43" s="12"/>
      <c r="Z43" s="12" t="str">
        <f t="shared" si="1"/>
        <v>纺织,毛线,,,鹿角,粘液,</v>
      </c>
    </row>
    <row r="44" spans="5:26" x14ac:dyDescent="0.15">
      <c r="E44" s="18" t="s">
        <v>590</v>
      </c>
      <c r="F44" s="18"/>
      <c r="G44" s="12" t="str">
        <f t="shared" si="0"/>
        <v>皮革,鹿角,粘液,</v>
      </c>
      <c r="I44" s="12" t="s">
        <v>453</v>
      </c>
      <c r="J44" s="12" t="s">
        <v>470</v>
      </c>
      <c r="K44" s="12" t="s">
        <v>539</v>
      </c>
      <c r="L44" s="12"/>
      <c r="N44" s="12" t="s">
        <v>658</v>
      </c>
      <c r="O44" s="12"/>
      <c r="P44" s="12"/>
      <c r="Q44" s="12" t="s">
        <v>649</v>
      </c>
      <c r="T44" s="12" t="s">
        <v>658</v>
      </c>
      <c r="U44" s="12" t="s">
        <v>470</v>
      </c>
      <c r="V44" s="12" t="s">
        <v>539</v>
      </c>
      <c r="W44" s="12"/>
      <c r="Z44" s="12" t="str">
        <f t="shared" si="1"/>
        <v>鞣制,兽皮,,,鹿角,粘液,</v>
      </c>
    </row>
    <row r="45" spans="5:26" x14ac:dyDescent="0.15">
      <c r="E45" s="18" t="s">
        <v>448</v>
      </c>
      <c r="F45" s="18"/>
      <c r="G45" s="12" t="str">
        <f t="shared" si="0"/>
        <v>铁块,琥珀,龟壳,</v>
      </c>
      <c r="I45" s="12" t="s">
        <v>432</v>
      </c>
      <c r="J45" s="12" t="s">
        <v>579</v>
      </c>
      <c r="K45" s="12" t="s">
        <v>457</v>
      </c>
      <c r="L45" s="12"/>
      <c r="N45" s="12" t="s">
        <v>648</v>
      </c>
      <c r="O45" s="12"/>
      <c r="P45" s="12"/>
      <c r="Q45" s="12" t="s">
        <v>649</v>
      </c>
      <c r="T45" s="12" t="s">
        <v>648</v>
      </c>
      <c r="U45" s="12" t="s">
        <v>461</v>
      </c>
      <c r="V45" s="12" t="s">
        <v>457</v>
      </c>
      <c r="W45" s="12"/>
      <c r="Z45" s="12" t="str">
        <f t="shared" si="1"/>
        <v>铸造,废铁,焦炭,,琥珀,龟壳,</v>
      </c>
    </row>
    <row r="46" spans="5:26" x14ac:dyDescent="0.15">
      <c r="E46" s="18" t="s">
        <v>607</v>
      </c>
      <c r="F46" s="18"/>
      <c r="G46" s="12" t="str">
        <f t="shared" si="0"/>
        <v>皮鞋,鳞片,蛇皮,</v>
      </c>
      <c r="I46" s="12" t="s">
        <v>435</v>
      </c>
      <c r="J46" s="12" t="s">
        <v>529</v>
      </c>
      <c r="K46" s="12" t="s">
        <v>363</v>
      </c>
      <c r="L46" s="12"/>
      <c r="N46" s="12" t="s">
        <v>663</v>
      </c>
      <c r="O46" s="12"/>
      <c r="P46" s="12"/>
      <c r="Q46" s="12" t="s">
        <v>649</v>
      </c>
      <c r="T46" s="12" t="s">
        <v>663</v>
      </c>
      <c r="U46" s="12" t="s">
        <v>529</v>
      </c>
      <c r="V46" s="12" t="s">
        <v>363</v>
      </c>
      <c r="W46" s="12"/>
      <c r="Z46" s="12" t="str">
        <f t="shared" si="1"/>
        <v>皮革,鹿角,粘液,,鳞片,蛇皮,</v>
      </c>
    </row>
    <row r="47" spans="5:26" x14ac:dyDescent="0.15">
      <c r="E47" s="18" t="s">
        <v>604</v>
      </c>
      <c r="F47" s="18"/>
      <c r="G47" s="12" t="str">
        <f t="shared" si="0"/>
        <v>布鞋,风晶石,蛛丝,</v>
      </c>
      <c r="I47" s="12" t="s">
        <v>439</v>
      </c>
      <c r="J47" s="12" t="s">
        <v>460</v>
      </c>
      <c r="K47" s="12" t="s">
        <v>370</v>
      </c>
      <c r="L47" s="12"/>
      <c r="N47" s="12" t="s">
        <v>664</v>
      </c>
      <c r="O47" s="12"/>
      <c r="P47" s="12"/>
      <c r="Q47" s="12" t="s">
        <v>649</v>
      </c>
      <c r="T47" s="12" t="s">
        <v>664</v>
      </c>
      <c r="U47" s="12" t="s">
        <v>460</v>
      </c>
      <c r="V47" s="12" t="s">
        <v>370</v>
      </c>
      <c r="W47" s="12"/>
      <c r="Z47" s="12" t="str">
        <f t="shared" si="1"/>
        <v>布片,鹿角,粘液,,风晶石,蛛丝,</v>
      </c>
    </row>
    <row r="48" spans="5:26" x14ac:dyDescent="0.15">
      <c r="E48" s="18" t="s">
        <v>514</v>
      </c>
      <c r="F48" s="18"/>
      <c r="G48" s="12" t="str">
        <f t="shared" si="0"/>
        <v>皮鞋,珍珠,魔兽皮毛,贵族徽章</v>
      </c>
      <c r="I48" s="12" t="s">
        <v>435</v>
      </c>
      <c r="J48" s="12" t="s">
        <v>476</v>
      </c>
      <c r="K48" s="12" t="s">
        <v>361</v>
      </c>
      <c r="L48" s="12" t="s">
        <v>515</v>
      </c>
      <c r="N48" s="12" t="s">
        <v>663</v>
      </c>
      <c r="O48" s="12"/>
      <c r="P48" s="12"/>
      <c r="Q48" s="12"/>
      <c r="T48" s="12" t="s">
        <v>663</v>
      </c>
      <c r="U48" s="12" t="s">
        <v>476</v>
      </c>
      <c r="V48" s="12" t="s">
        <v>361</v>
      </c>
      <c r="W48" s="12" t="s">
        <v>515</v>
      </c>
      <c r="Z48" s="12" t="str">
        <f t="shared" si="1"/>
        <v>皮革,鹿角,粘液,,珍珠,魔兽皮毛,贵族徽章</v>
      </c>
    </row>
    <row r="49" spans="5:26" x14ac:dyDescent="0.15">
      <c r="E49" s="18" t="s">
        <v>449</v>
      </c>
      <c r="F49" s="18"/>
      <c r="G49" s="12" t="str">
        <f t="shared" si="0"/>
        <v>布鞋,武道精华,水晶石,彩色的布</v>
      </c>
      <c r="I49" s="12" t="s">
        <v>438</v>
      </c>
      <c r="J49" s="12" t="s">
        <v>502</v>
      </c>
      <c r="K49" s="12" t="s">
        <v>540</v>
      </c>
      <c r="L49" s="12" t="s">
        <v>575</v>
      </c>
      <c r="N49" s="12" t="s">
        <v>664</v>
      </c>
      <c r="O49" s="12"/>
      <c r="P49" s="12"/>
      <c r="Q49" s="12"/>
      <c r="T49" s="12" t="s">
        <v>664</v>
      </c>
      <c r="U49" s="12" t="s">
        <v>502</v>
      </c>
      <c r="V49" s="12" t="s">
        <v>475</v>
      </c>
      <c r="W49" s="12" t="s">
        <v>568</v>
      </c>
      <c r="Z49" s="12" t="str">
        <f t="shared" si="1"/>
        <v>布片,鹿角,粘液,,武道精华,水晶石,彩色的布</v>
      </c>
    </row>
    <row r="50" spans="5:26" x14ac:dyDescent="0.15">
      <c r="E50" s="18" t="s">
        <v>450</v>
      </c>
      <c r="F50" s="18"/>
      <c r="G50" s="12" t="str">
        <f t="shared" si="0"/>
        <v>士兵长靴,骑士之证,象牙,钢</v>
      </c>
      <c r="I50" s="18" t="s">
        <v>448</v>
      </c>
      <c r="J50" s="12" t="s">
        <v>513</v>
      </c>
      <c r="K50" s="12" t="s">
        <v>480</v>
      </c>
      <c r="L50" s="12" t="s">
        <v>586</v>
      </c>
      <c r="N50" s="12" t="s">
        <v>665</v>
      </c>
      <c r="O50" s="12"/>
      <c r="P50" s="12"/>
      <c r="Q50" s="12" t="s">
        <v>651</v>
      </c>
      <c r="T50" s="12" t="s">
        <v>665</v>
      </c>
      <c r="U50" s="12" t="s">
        <v>513</v>
      </c>
      <c r="V50" s="12" t="s">
        <v>480</v>
      </c>
      <c r="W50" s="12" t="s">
        <v>651</v>
      </c>
      <c r="Z50" s="12" t="str">
        <f t="shared" si="1"/>
        <v>铁块,琥珀,龟壳,,骑士之证,象牙,铸造,铁块,焦炭,</v>
      </c>
    </row>
    <row r="51" spans="5:26" x14ac:dyDescent="0.15">
      <c r="E51" s="18" t="s">
        <v>517</v>
      </c>
      <c r="F51" s="18"/>
      <c r="G51" s="12" t="str">
        <f t="shared" si="0"/>
        <v>布鞋,贤者晶石,妖精粉,防水皮革</v>
      </c>
      <c r="I51" s="12" t="s">
        <v>439</v>
      </c>
      <c r="J51" s="12" t="s">
        <v>602</v>
      </c>
      <c r="K51" s="12" t="s">
        <v>486</v>
      </c>
      <c r="L51" s="12" t="s">
        <v>567</v>
      </c>
      <c r="N51" s="12" t="s">
        <v>664</v>
      </c>
      <c r="O51" s="12"/>
      <c r="P51" s="12"/>
      <c r="Q51" s="12"/>
      <c r="T51" s="12" t="s">
        <v>664</v>
      </c>
      <c r="U51" s="12" t="s">
        <v>519</v>
      </c>
      <c r="V51" s="12" t="s">
        <v>486</v>
      </c>
      <c r="W51" s="12" t="s">
        <v>567</v>
      </c>
      <c r="Z51" s="12" t="str">
        <f t="shared" si="1"/>
        <v>布片,鹿角,粘液,,贤者晶石,妖精粉,防水皮革</v>
      </c>
    </row>
    <row r="52" spans="5:26" x14ac:dyDescent="0.15">
      <c r="E52" s="18" t="s">
        <v>518</v>
      </c>
      <c r="F52" s="18"/>
      <c r="G52" s="12" t="str">
        <f t="shared" si="0"/>
        <v>奇美拉之翼,运动鞋,夜之幕,人狼之证</v>
      </c>
      <c r="I52" s="12" t="s">
        <v>382</v>
      </c>
      <c r="J52" s="12" t="s">
        <v>440</v>
      </c>
      <c r="K52" s="12" t="s">
        <v>494</v>
      </c>
      <c r="L52" s="12" t="s">
        <v>491</v>
      </c>
      <c r="N52" s="12"/>
      <c r="O52" s="12" t="s">
        <v>671</v>
      </c>
      <c r="P52" s="12"/>
      <c r="Q52" s="12"/>
      <c r="S52" s="12"/>
      <c r="T52" s="12" t="s">
        <v>382</v>
      </c>
      <c r="U52" s="12" t="s">
        <v>670</v>
      </c>
      <c r="V52" s="12" t="s">
        <v>494</v>
      </c>
      <c r="W52" s="12" t="s">
        <v>491</v>
      </c>
      <c r="Z52" s="12" t="str">
        <f t="shared" si="1"/>
        <v>奇美拉之翼,布片,鹿角,粘液,,风晶石,蛛丝,,夜之幕,人狼之证</v>
      </c>
    </row>
    <row r="53" spans="5:26" x14ac:dyDescent="0.15">
      <c r="E53" s="18" t="s">
        <v>564</v>
      </c>
      <c r="F53" s="18"/>
      <c r="G53" s="12" t="str">
        <f t="shared" si="0"/>
        <v>登山者之靴,防水皮革,水晶石,寒冰气息</v>
      </c>
      <c r="I53" s="12" t="s">
        <v>437</v>
      </c>
      <c r="J53" s="12" t="s">
        <v>567</v>
      </c>
      <c r="K53" s="12" t="s">
        <v>475</v>
      </c>
      <c r="L53" s="12" t="s">
        <v>497</v>
      </c>
      <c r="N53" s="12" t="s">
        <v>673</v>
      </c>
      <c r="O53" s="12"/>
      <c r="P53" s="12"/>
      <c r="Q53" s="12"/>
      <c r="S53" s="12"/>
      <c r="T53" s="12" t="s">
        <v>672</v>
      </c>
      <c r="U53" s="12" t="s">
        <v>567</v>
      </c>
      <c r="V53" s="12" t="s">
        <v>475</v>
      </c>
      <c r="W53" s="12" t="s">
        <v>497</v>
      </c>
      <c r="Z53" s="12" t="str">
        <f t="shared" si="1"/>
        <v>皮革,鹿角,粘液,,鳞片,蛇皮,,防水皮革,水晶石,寒冰气息</v>
      </c>
    </row>
    <row r="54" spans="5:26" x14ac:dyDescent="0.15">
      <c r="E54" s="12"/>
      <c r="G54" s="12" t="str">
        <f t="shared" si="0"/>
        <v>,,,</v>
      </c>
      <c r="I54" s="12"/>
      <c r="J54" s="12"/>
      <c r="K54" s="12"/>
      <c r="L54" s="12"/>
      <c r="P54" s="12"/>
      <c r="S54" s="12"/>
    </row>
    <row r="55" spans="5:26" x14ac:dyDescent="0.15">
      <c r="E55" s="12"/>
      <c r="G55" s="12" t="str">
        <f t="shared" si="0"/>
        <v>,,,</v>
      </c>
      <c r="I55" s="12"/>
      <c r="J55" s="12"/>
      <c r="K55" s="12"/>
      <c r="L55" s="12"/>
      <c r="P55" s="12"/>
      <c r="S55" s="12"/>
    </row>
    <row r="56" spans="5:26" x14ac:dyDescent="0.15">
      <c r="E56" s="12" t="s">
        <v>427</v>
      </c>
      <c r="G56" s="12" t="str">
        <f t="shared" si="0"/>
        <v>纺线,羊毛,,</v>
      </c>
      <c r="I56" s="19" t="s">
        <v>428</v>
      </c>
      <c r="J56" s="12" t="s">
        <v>171</v>
      </c>
      <c r="K56" s="12"/>
      <c r="L56" s="12"/>
      <c r="P56" s="12"/>
    </row>
    <row r="57" spans="5:26" x14ac:dyDescent="0.15">
      <c r="E57" s="12" t="s">
        <v>424</v>
      </c>
      <c r="G57" s="12" t="str">
        <f t="shared" si="0"/>
        <v>纺织,毛线,,</v>
      </c>
      <c r="I57" s="19" t="s">
        <v>426</v>
      </c>
      <c r="J57" s="12" t="s">
        <v>425</v>
      </c>
      <c r="K57" s="12"/>
      <c r="L57" s="12"/>
      <c r="P57" s="12"/>
    </row>
    <row r="58" spans="5:26" x14ac:dyDescent="0.15">
      <c r="E58" s="12" t="s">
        <v>429</v>
      </c>
      <c r="G58" s="12" t="str">
        <f t="shared" si="0"/>
        <v>鞣制,兽皮,,</v>
      </c>
      <c r="I58" s="19" t="s">
        <v>430</v>
      </c>
      <c r="J58" s="12" t="s">
        <v>431</v>
      </c>
      <c r="K58" s="12"/>
      <c r="L58" s="12"/>
      <c r="P58" s="12"/>
    </row>
    <row r="59" spans="5:26" x14ac:dyDescent="0.15">
      <c r="E59" s="12" t="s">
        <v>452</v>
      </c>
      <c r="G59" s="12" t="str">
        <f t="shared" si="0"/>
        <v>铸造,废铁,焦炭,</v>
      </c>
      <c r="I59" s="19" t="s">
        <v>451</v>
      </c>
      <c r="J59" s="12" t="s">
        <v>433</v>
      </c>
      <c r="K59" s="12" t="s">
        <v>621</v>
      </c>
      <c r="L59" s="12"/>
      <c r="P59" s="12"/>
    </row>
    <row r="60" spans="5:26" x14ac:dyDescent="0.15">
      <c r="E60" s="12" t="s">
        <v>432</v>
      </c>
      <c r="G60" s="12" t="str">
        <f t="shared" si="0"/>
        <v>铸造,铁矿,焦炭,</v>
      </c>
      <c r="I60" s="19" t="s">
        <v>451</v>
      </c>
      <c r="J60" s="12" t="s">
        <v>534</v>
      </c>
      <c r="K60" s="12" t="s">
        <v>434</v>
      </c>
      <c r="L60" s="12"/>
      <c r="P60" s="12"/>
    </row>
    <row r="61" spans="5:26" x14ac:dyDescent="0.15">
      <c r="E61" s="12" t="s">
        <v>533</v>
      </c>
      <c r="G61" s="12" t="str">
        <f t="shared" si="0"/>
        <v>铸造,铁块,焦炭,</v>
      </c>
      <c r="I61" s="19" t="s">
        <v>445</v>
      </c>
      <c r="J61" s="12" t="s">
        <v>536</v>
      </c>
      <c r="K61" s="12" t="s">
        <v>434</v>
      </c>
      <c r="L61" s="12"/>
      <c r="P61" s="12"/>
    </row>
    <row r="62" spans="5:26" x14ac:dyDescent="0.15">
      <c r="E62" s="12"/>
      <c r="G62" s="12" t="str">
        <f t="shared" si="0"/>
        <v>,,,</v>
      </c>
      <c r="I62" s="19"/>
      <c r="J62" s="12"/>
      <c r="K62" s="12"/>
      <c r="L62" s="12"/>
      <c r="P62" s="12"/>
    </row>
    <row r="63" spans="5:26" x14ac:dyDescent="0.15">
      <c r="E63" s="23" t="s">
        <v>508</v>
      </c>
      <c r="F63" s="23"/>
      <c r="G63" s="12" t="str">
        <f t="shared" si="0"/>
        <v>月之光华,暗夜之露,仙人掌,</v>
      </c>
      <c r="I63" s="19" t="s">
        <v>569</v>
      </c>
      <c r="J63" s="12" t="s">
        <v>543</v>
      </c>
      <c r="K63" s="12" t="s">
        <v>481</v>
      </c>
      <c r="L63" s="12"/>
      <c r="P63" s="12"/>
    </row>
    <row r="64" spans="5:26" x14ac:dyDescent="0.15">
      <c r="E64" s="23" t="s">
        <v>511</v>
      </c>
      <c r="F64" s="23"/>
      <c r="G64" s="12" t="str">
        <f t="shared" si="0"/>
        <v>图腾号角,星的眼泪,草药茶,</v>
      </c>
      <c r="I64" s="19" t="s">
        <v>528</v>
      </c>
      <c r="J64" s="12" t="s">
        <v>495</v>
      </c>
      <c r="K64" s="12" t="s">
        <v>459</v>
      </c>
      <c r="L64" s="12"/>
      <c r="P64" s="12"/>
    </row>
    <row r="65" spans="5:16" x14ac:dyDescent="0.15">
      <c r="E65" s="23" t="s">
        <v>552</v>
      </c>
      <c r="F65" s="23"/>
      <c r="G65" s="12" t="str">
        <f t="shared" si="0"/>
        <v>妖精粉,迷幻孢子,诅咒宝珠,</v>
      </c>
      <c r="I65" s="19" t="s">
        <v>601</v>
      </c>
      <c r="J65" s="12" t="s">
        <v>541</v>
      </c>
      <c r="K65" s="12" t="s">
        <v>490</v>
      </c>
      <c r="L65" s="12"/>
      <c r="P65" s="12"/>
    </row>
    <row r="66" spans="5:16" x14ac:dyDescent="0.15">
      <c r="E66" s="23" t="s">
        <v>550</v>
      </c>
      <c r="F66" s="23"/>
      <c r="G66" s="12" t="str">
        <f t="shared" si="0"/>
        <v>月之光华,电偶瓶,魔力之土,</v>
      </c>
      <c r="I66" s="12" t="s">
        <v>578</v>
      </c>
      <c r="J66" s="12" t="s">
        <v>544</v>
      </c>
      <c r="K66" s="19" t="s">
        <v>503</v>
      </c>
      <c r="L66" s="12"/>
      <c r="P66" s="12"/>
    </row>
    <row r="67" spans="5:16" x14ac:dyDescent="0.15">
      <c r="E67" s="23" t="s">
        <v>509</v>
      </c>
      <c r="F67" s="23"/>
      <c r="G67" s="12" t="str">
        <f t="shared" si="0"/>
        <v>寒冰气息,冰的结晶,魔力之土,</v>
      </c>
      <c r="I67" s="19" t="s">
        <v>497</v>
      </c>
      <c r="J67" s="12" t="s">
        <v>493</v>
      </c>
      <c r="K67" s="19" t="s">
        <v>503</v>
      </c>
      <c r="L67" s="12"/>
      <c r="P67" s="12"/>
    </row>
    <row r="68" spans="5:16" x14ac:dyDescent="0.15">
      <c r="E68" s="23" t="s">
        <v>510</v>
      </c>
      <c r="F68" s="23"/>
      <c r="G68" s="12" t="str">
        <f t="shared" si="0"/>
        <v>白磷粉末,萤火树汁,魔力之土,</v>
      </c>
      <c r="I68" s="19" t="s">
        <v>593</v>
      </c>
      <c r="J68" s="12" t="s">
        <v>504</v>
      </c>
      <c r="K68" s="19" t="s">
        <v>503</v>
      </c>
      <c r="L68" s="12"/>
      <c r="P68" s="12"/>
    </row>
    <row r="69" spans="5:16" x14ac:dyDescent="0.15">
      <c r="E69" s="23" t="s">
        <v>551</v>
      </c>
      <c r="F69" s="23"/>
      <c r="G69" s="12" t="str">
        <f t="shared" si="0"/>
        <v>石化之眼,亡者之土,琥珀,</v>
      </c>
      <c r="I69" s="19" t="s">
        <v>381</v>
      </c>
      <c r="J69" s="12" t="s">
        <v>615</v>
      </c>
      <c r="K69" s="12" t="s">
        <v>461</v>
      </c>
      <c r="L69" s="12"/>
      <c r="P69" s="12"/>
    </row>
    <row r="70" spans="5:16" x14ac:dyDescent="0.15">
      <c r="E70" s="23" t="s">
        <v>554</v>
      </c>
      <c r="F70" s="23"/>
      <c r="G70" s="12" t="str">
        <f t="shared" ref="G70:G73" si="2">$I70&amp;","&amp;$J70&amp;","&amp;$K70&amp;","&amp;$L70</f>
        <v>神奇泥浆,魔族之血,遗骨,</v>
      </c>
      <c r="I70" s="19" t="s">
        <v>478</v>
      </c>
      <c r="J70" s="12" t="s">
        <v>379</v>
      </c>
      <c r="K70" s="12" t="s">
        <v>485</v>
      </c>
      <c r="L70" s="12"/>
      <c r="P70" s="12"/>
    </row>
    <row r="71" spans="5:16" x14ac:dyDescent="0.15">
      <c r="E71" s="23" t="s">
        <v>555</v>
      </c>
      <c r="F71" s="23"/>
      <c r="G71" s="12" t="str">
        <f t="shared" si="2"/>
        <v>暮光结晶,粘液,贤者晶石,</v>
      </c>
      <c r="I71" s="19" t="s">
        <v>542</v>
      </c>
      <c r="J71" s="12" t="s">
        <v>539</v>
      </c>
      <c r="K71" s="12" t="s">
        <v>519</v>
      </c>
      <c r="L71" s="12"/>
      <c r="P71" s="12"/>
    </row>
    <row r="72" spans="5:16" x14ac:dyDescent="0.15">
      <c r="E72" s="23" t="s">
        <v>556</v>
      </c>
      <c r="F72" s="23"/>
      <c r="G72" s="12" t="str">
        <f t="shared" si="2"/>
        <v>力量果实,咒术药水,象牙,</v>
      </c>
      <c r="I72" s="19" t="s">
        <v>526</v>
      </c>
      <c r="J72" s="12" t="s">
        <v>588</v>
      </c>
      <c r="K72" s="12" t="s">
        <v>480</v>
      </c>
      <c r="L72" s="12"/>
      <c r="P72" s="12"/>
    </row>
    <row r="73" spans="5:16" x14ac:dyDescent="0.15">
      <c r="E73" s="23" t="s">
        <v>553</v>
      </c>
      <c r="F73" s="23"/>
      <c r="G73" s="12" t="str">
        <f t="shared" si="2"/>
        <v>魅惑药水,恶魔花瓣,毒淤泥,</v>
      </c>
      <c r="I73" s="12" t="s">
        <v>525</v>
      </c>
      <c r="J73" s="12" t="s">
        <v>523</v>
      </c>
      <c r="K73" s="12" t="s">
        <v>487</v>
      </c>
      <c r="L73" s="12"/>
      <c r="P73" s="1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85"/>
  <sheetViews>
    <sheetView workbookViewId="0">
      <selection activeCell="K13" sqref="K13"/>
    </sheetView>
  </sheetViews>
  <sheetFormatPr defaultRowHeight="13.5" x14ac:dyDescent="0.15"/>
  <sheetData>
    <row r="3" spans="3:11" x14ac:dyDescent="0.15">
      <c r="C3">
        <v>1</v>
      </c>
      <c r="D3">
        <v>2</v>
      </c>
      <c r="E3" s="35">
        <v>3</v>
      </c>
      <c r="F3" s="35">
        <v>4</v>
      </c>
      <c r="G3" s="35">
        <v>5</v>
      </c>
      <c r="H3" s="35">
        <v>6</v>
      </c>
      <c r="I3" s="35">
        <v>7</v>
      </c>
      <c r="J3" s="35">
        <v>8</v>
      </c>
    </row>
    <row r="4" spans="3:11" x14ac:dyDescent="0.15">
      <c r="C4" s="35"/>
      <c r="D4" s="35" t="s">
        <v>804</v>
      </c>
      <c r="E4" s="35" t="s">
        <v>805</v>
      </c>
      <c r="F4" s="35" t="s">
        <v>806</v>
      </c>
      <c r="G4" s="35" t="s">
        <v>807</v>
      </c>
      <c r="H4" s="35" t="s">
        <v>808</v>
      </c>
      <c r="I4" s="35" t="s">
        <v>809</v>
      </c>
      <c r="J4" s="35" t="s">
        <v>810</v>
      </c>
      <c r="K4" s="35"/>
    </row>
    <row r="5" spans="3:11" x14ac:dyDescent="0.15">
      <c r="C5" s="35" t="s">
        <v>811</v>
      </c>
      <c r="D5" s="35">
        <v>15</v>
      </c>
      <c r="E5" s="35"/>
      <c r="F5" s="35"/>
      <c r="G5" s="35"/>
      <c r="H5" s="35"/>
      <c r="I5" s="35"/>
      <c r="J5" s="35"/>
    </row>
    <row r="6" spans="3:11" x14ac:dyDescent="0.15">
      <c r="C6" s="35" t="s">
        <v>174</v>
      </c>
      <c r="D6" s="35">
        <v>15</v>
      </c>
      <c r="E6" s="35"/>
      <c r="F6" s="35"/>
      <c r="G6" s="35"/>
      <c r="H6" s="35"/>
      <c r="I6" s="35"/>
      <c r="J6" s="35"/>
    </row>
    <row r="7" spans="3:11" x14ac:dyDescent="0.15">
      <c r="C7" s="35" t="s">
        <v>195</v>
      </c>
      <c r="D7" s="35"/>
      <c r="E7" s="35"/>
      <c r="F7" s="35">
        <v>10</v>
      </c>
      <c r="G7" s="35"/>
      <c r="H7" s="35"/>
      <c r="I7" s="35">
        <v>7</v>
      </c>
      <c r="J7" s="35"/>
    </row>
    <row r="8" spans="3:11" x14ac:dyDescent="0.15">
      <c r="C8" s="35" t="s">
        <v>177</v>
      </c>
      <c r="D8" s="35">
        <v>20</v>
      </c>
      <c r="E8" s="35"/>
      <c r="F8" s="35"/>
      <c r="G8" s="35"/>
      <c r="H8" s="35"/>
      <c r="I8" s="35"/>
      <c r="J8" s="35"/>
    </row>
    <row r="9" spans="3:11" x14ac:dyDescent="0.15">
      <c r="C9" s="35" t="s">
        <v>193</v>
      </c>
      <c r="D9" s="35"/>
      <c r="E9" s="35"/>
      <c r="F9" s="35">
        <v>20</v>
      </c>
      <c r="G9" s="35"/>
      <c r="H9" s="35"/>
      <c r="I9" s="35"/>
      <c r="J9" s="35"/>
    </row>
    <row r="10" spans="3:11" x14ac:dyDescent="0.15">
      <c r="C10" s="35" t="s">
        <v>205</v>
      </c>
      <c r="D10" s="35"/>
      <c r="E10" s="35"/>
      <c r="F10" s="35">
        <v>20</v>
      </c>
      <c r="G10" s="35"/>
      <c r="H10" s="35"/>
      <c r="I10" s="35"/>
      <c r="J10" s="35"/>
    </row>
    <row r="11" spans="3:11" x14ac:dyDescent="0.15">
      <c r="C11" s="35" t="s">
        <v>206</v>
      </c>
      <c r="D11" s="35"/>
      <c r="E11" s="35"/>
      <c r="F11" s="35">
        <v>30</v>
      </c>
      <c r="G11" s="35"/>
      <c r="H11" s="35"/>
      <c r="I11" s="35"/>
      <c r="J11" s="35"/>
    </row>
    <row r="12" spans="3:11" x14ac:dyDescent="0.15">
      <c r="C12" s="35" t="s">
        <v>176</v>
      </c>
      <c r="D12" s="35">
        <v>25</v>
      </c>
      <c r="E12" s="35"/>
      <c r="F12" s="35"/>
      <c r="G12" s="35"/>
      <c r="H12" s="35"/>
      <c r="I12" s="35"/>
      <c r="J12" s="35"/>
    </row>
    <row r="13" spans="3:11" x14ac:dyDescent="0.15">
      <c r="C13" s="35" t="s">
        <v>178</v>
      </c>
      <c r="D13" s="35">
        <v>35</v>
      </c>
      <c r="E13" s="35"/>
      <c r="F13" s="35"/>
      <c r="G13" s="35"/>
      <c r="H13" s="35"/>
      <c r="I13" s="35"/>
      <c r="J13" s="35"/>
    </row>
    <row r="14" spans="3:11" x14ac:dyDescent="0.15">
      <c r="C14" s="35" t="s">
        <v>207</v>
      </c>
      <c r="D14" s="35"/>
      <c r="E14" s="35">
        <v>10</v>
      </c>
      <c r="F14" s="35"/>
      <c r="G14" s="35"/>
      <c r="H14" s="35"/>
      <c r="I14" s="35"/>
      <c r="J14" s="35"/>
    </row>
    <row r="15" spans="3:11" x14ac:dyDescent="0.15">
      <c r="C15" s="35" t="s">
        <v>175</v>
      </c>
      <c r="D15" s="35"/>
      <c r="E15" s="35"/>
      <c r="F15" s="35"/>
      <c r="G15" s="35"/>
      <c r="H15" s="35">
        <v>10</v>
      </c>
      <c r="I15" s="35"/>
      <c r="J15" s="35"/>
    </row>
    <row r="16" spans="3:11" x14ac:dyDescent="0.15">
      <c r="C16" s="35" t="s">
        <v>208</v>
      </c>
      <c r="D16" s="35"/>
      <c r="E16" s="35"/>
      <c r="F16" s="35">
        <v>30</v>
      </c>
      <c r="G16" s="35"/>
      <c r="H16" s="35"/>
      <c r="I16" s="35"/>
      <c r="J16" s="35"/>
    </row>
    <row r="17" spans="3:10" x14ac:dyDescent="0.15">
      <c r="C17" s="35" t="s">
        <v>812</v>
      </c>
      <c r="D17" s="35"/>
      <c r="E17" s="35"/>
      <c r="F17" s="35">
        <v>40</v>
      </c>
      <c r="G17" s="35"/>
      <c r="H17" s="35"/>
      <c r="I17" s="35"/>
      <c r="J17" s="35"/>
    </row>
    <row r="18" spans="3:10" x14ac:dyDescent="0.15">
      <c r="C18" s="35" t="s">
        <v>209</v>
      </c>
      <c r="D18" s="35"/>
      <c r="E18" s="35"/>
      <c r="F18" s="35"/>
      <c r="G18" s="35"/>
      <c r="H18" s="35"/>
      <c r="I18" s="35">
        <v>10</v>
      </c>
      <c r="J18" s="35"/>
    </row>
    <row r="19" spans="3:10" x14ac:dyDescent="0.15">
      <c r="C19" s="35" t="s">
        <v>182</v>
      </c>
      <c r="D19" s="35"/>
      <c r="E19" s="35"/>
      <c r="F19" s="35"/>
      <c r="G19" s="35"/>
      <c r="H19" s="35">
        <v>15</v>
      </c>
      <c r="I19" s="35"/>
      <c r="J19" s="35"/>
    </row>
    <row r="20" spans="3:10" x14ac:dyDescent="0.15">
      <c r="C20" s="35" t="s">
        <v>210</v>
      </c>
      <c r="D20" s="35"/>
      <c r="E20" s="35"/>
      <c r="F20" s="35">
        <v>60</v>
      </c>
      <c r="G20" s="35"/>
      <c r="H20" s="35"/>
      <c r="I20" s="35"/>
      <c r="J20" s="35"/>
    </row>
    <row r="21" spans="3:10" x14ac:dyDescent="0.15">
      <c r="C21" s="35" t="s">
        <v>211</v>
      </c>
      <c r="D21" s="35"/>
      <c r="E21" s="35">
        <v>20</v>
      </c>
      <c r="F21" s="35"/>
      <c r="G21" s="35"/>
      <c r="H21" s="35"/>
      <c r="I21" s="35"/>
      <c r="J21" s="35"/>
    </row>
    <row r="22" spans="3:10" x14ac:dyDescent="0.15">
      <c r="C22" s="35" t="s">
        <v>181</v>
      </c>
      <c r="D22" s="35">
        <v>40</v>
      </c>
      <c r="E22" s="35"/>
      <c r="F22" s="35"/>
      <c r="G22" s="35"/>
      <c r="H22" s="35"/>
      <c r="I22" s="35"/>
      <c r="J22" s="35"/>
    </row>
    <row r="23" spans="3:10" x14ac:dyDescent="0.15">
      <c r="C23" s="35" t="s">
        <v>212</v>
      </c>
      <c r="D23" s="35"/>
      <c r="E23" s="35"/>
      <c r="F23" s="35">
        <v>80</v>
      </c>
      <c r="G23" s="35"/>
      <c r="H23" s="35"/>
      <c r="I23" s="35"/>
      <c r="J23" s="35"/>
    </row>
    <row r="24" spans="3:10" x14ac:dyDescent="0.15">
      <c r="C24" s="35" t="s">
        <v>183</v>
      </c>
      <c r="D24" s="35">
        <v>50</v>
      </c>
      <c r="E24" s="35"/>
      <c r="F24" s="35"/>
      <c r="G24" s="35"/>
      <c r="H24" s="35"/>
      <c r="I24" s="35"/>
      <c r="J24" s="35"/>
    </row>
    <row r="25" spans="3:10" x14ac:dyDescent="0.15">
      <c r="C25" s="35" t="s">
        <v>213</v>
      </c>
      <c r="D25" s="35"/>
      <c r="E25" s="35"/>
      <c r="F25" s="35"/>
      <c r="G25" s="35"/>
      <c r="H25" s="35"/>
      <c r="I25" s="35">
        <v>15</v>
      </c>
      <c r="J25" s="35"/>
    </row>
    <row r="26" spans="3:10" x14ac:dyDescent="0.15">
      <c r="C26" s="35" t="s">
        <v>196</v>
      </c>
      <c r="D26" s="35"/>
      <c r="E26" s="35"/>
      <c r="F26" s="35"/>
      <c r="G26" s="35"/>
      <c r="H26" s="35"/>
      <c r="I26" s="35"/>
      <c r="J26" s="35">
        <v>15</v>
      </c>
    </row>
    <row r="27" spans="3:10" x14ac:dyDescent="0.15">
      <c r="C27" s="35" t="s">
        <v>179</v>
      </c>
      <c r="D27" s="35"/>
      <c r="E27" s="35"/>
      <c r="F27" s="35"/>
      <c r="G27" s="35"/>
      <c r="H27" s="35"/>
      <c r="I27" s="35"/>
      <c r="J27" s="35">
        <v>15</v>
      </c>
    </row>
    <row r="28" spans="3:10" x14ac:dyDescent="0.15">
      <c r="C28" s="35" t="s">
        <v>186</v>
      </c>
      <c r="D28" s="35"/>
      <c r="E28" s="35"/>
      <c r="F28" s="35"/>
      <c r="G28" s="35"/>
      <c r="H28" s="35"/>
      <c r="I28" s="35"/>
      <c r="J28" s="35">
        <v>20</v>
      </c>
    </row>
    <row r="29" spans="3:10" x14ac:dyDescent="0.15">
      <c r="C29" s="35" t="s">
        <v>188</v>
      </c>
      <c r="D29" s="35"/>
      <c r="E29" s="35"/>
      <c r="F29" s="35"/>
      <c r="G29" s="35"/>
      <c r="H29" s="35"/>
      <c r="I29" s="35"/>
      <c r="J29" s="35">
        <v>20</v>
      </c>
    </row>
    <row r="30" spans="3:10" x14ac:dyDescent="0.15">
      <c r="C30" s="35" t="s">
        <v>190</v>
      </c>
      <c r="D30" s="35"/>
      <c r="E30" s="35"/>
      <c r="F30" s="35"/>
      <c r="G30" s="35"/>
      <c r="H30" s="35"/>
      <c r="I30" s="35"/>
      <c r="J30" s="35">
        <v>20</v>
      </c>
    </row>
    <row r="31" spans="3:10" x14ac:dyDescent="0.15">
      <c r="C31" s="35" t="s">
        <v>191</v>
      </c>
      <c r="D31" s="35"/>
      <c r="E31" s="35"/>
      <c r="F31" s="35"/>
      <c r="G31" s="35"/>
      <c r="H31" s="35"/>
      <c r="I31" s="35"/>
      <c r="J31" s="35">
        <v>20</v>
      </c>
    </row>
    <row r="32" spans="3:10" x14ac:dyDescent="0.15">
      <c r="C32" s="35" t="s">
        <v>214</v>
      </c>
      <c r="D32" s="35"/>
      <c r="E32" s="35"/>
      <c r="F32" s="35"/>
      <c r="G32" s="35"/>
      <c r="H32" s="35"/>
      <c r="I32" s="35">
        <v>15</v>
      </c>
      <c r="J32" s="35"/>
    </row>
    <row r="33" spans="3:10" x14ac:dyDescent="0.15">
      <c r="C33" s="35" t="s">
        <v>215</v>
      </c>
      <c r="D33" s="35">
        <v>60</v>
      </c>
      <c r="E33" s="35"/>
      <c r="F33" s="35"/>
      <c r="G33" s="35"/>
      <c r="H33" s="35"/>
      <c r="I33" s="35"/>
      <c r="J33" s="35"/>
    </row>
    <row r="34" spans="3:10" x14ac:dyDescent="0.15">
      <c r="C34" s="35" t="s">
        <v>192</v>
      </c>
      <c r="D34" s="35"/>
      <c r="E34" s="35"/>
      <c r="F34" s="35"/>
      <c r="G34" s="35"/>
      <c r="H34" s="35"/>
      <c r="I34" s="35">
        <v>20</v>
      </c>
      <c r="J34" s="35"/>
    </row>
    <row r="35" spans="3:10" x14ac:dyDescent="0.15">
      <c r="C35" s="36" t="s">
        <v>216</v>
      </c>
      <c r="D35" s="35"/>
      <c r="E35" s="35"/>
      <c r="F35" s="35"/>
      <c r="G35" s="35"/>
      <c r="H35" s="35"/>
      <c r="I35" s="35"/>
      <c r="J35" s="35"/>
    </row>
    <row r="36" spans="3:10" x14ac:dyDescent="0.15">
      <c r="C36" s="36" t="s">
        <v>217</v>
      </c>
      <c r="D36" s="35"/>
      <c r="E36" s="35"/>
      <c r="F36" s="35"/>
      <c r="G36" s="35"/>
      <c r="H36" s="35"/>
      <c r="I36" s="35"/>
      <c r="J36" s="35"/>
    </row>
    <row r="37" spans="3:10" x14ac:dyDescent="0.15">
      <c r="C37" s="35" t="s">
        <v>218</v>
      </c>
      <c r="D37" s="35">
        <v>70</v>
      </c>
      <c r="E37" s="35"/>
      <c r="F37" s="35"/>
      <c r="G37" s="35"/>
      <c r="H37" s="35"/>
      <c r="I37" s="35"/>
      <c r="J37" s="35"/>
    </row>
    <row r="38" spans="3:10" x14ac:dyDescent="0.15">
      <c r="C38" s="35" t="s">
        <v>194</v>
      </c>
      <c r="D38" s="35">
        <v>80</v>
      </c>
      <c r="E38" s="35">
        <v>30</v>
      </c>
      <c r="F38" s="35">
        <v>70</v>
      </c>
      <c r="G38" s="35"/>
      <c r="H38" s="35"/>
      <c r="I38" s="35"/>
      <c r="J38" s="35"/>
    </row>
    <row r="39" spans="3:10" x14ac:dyDescent="0.15">
      <c r="C39" s="35" t="s">
        <v>219</v>
      </c>
      <c r="D39" s="35">
        <v>100</v>
      </c>
      <c r="E39" s="35">
        <v>40</v>
      </c>
      <c r="F39" s="35"/>
      <c r="G39" s="35"/>
      <c r="H39" s="35"/>
      <c r="I39" s="35"/>
      <c r="J39" s="35"/>
    </row>
    <row r="40" spans="3:10" x14ac:dyDescent="0.15">
      <c r="C40" s="35" t="s">
        <v>220</v>
      </c>
      <c r="D40" s="35">
        <v>100</v>
      </c>
      <c r="E40" s="35"/>
      <c r="F40" s="35"/>
      <c r="G40" s="35"/>
      <c r="H40" s="35"/>
      <c r="I40" s="35"/>
      <c r="J40" s="35"/>
    </row>
    <row r="41" spans="3:10" x14ac:dyDescent="0.15">
      <c r="C41" s="35" t="s">
        <v>221</v>
      </c>
      <c r="D41" s="35"/>
      <c r="E41" s="35">
        <v>50</v>
      </c>
      <c r="F41" s="35"/>
      <c r="G41" s="35"/>
      <c r="H41" s="35"/>
      <c r="I41" s="35"/>
      <c r="J41" s="35"/>
    </row>
    <row r="42" spans="3:10" x14ac:dyDescent="0.15">
      <c r="C42" s="35" t="s">
        <v>180</v>
      </c>
      <c r="D42" s="35"/>
      <c r="E42" s="35">
        <v>60</v>
      </c>
      <c r="F42" s="35"/>
      <c r="G42" s="35"/>
      <c r="H42" s="35"/>
      <c r="I42" s="35"/>
      <c r="J42" s="35"/>
    </row>
    <row r="43" spans="3:10" x14ac:dyDescent="0.15">
      <c r="C43" s="35" t="s">
        <v>222</v>
      </c>
      <c r="D43" s="35"/>
      <c r="E43" s="35">
        <v>70</v>
      </c>
      <c r="F43" s="35"/>
      <c r="G43" s="35"/>
      <c r="H43" s="35"/>
      <c r="I43" s="35"/>
      <c r="J43" s="35">
        <v>30</v>
      </c>
    </row>
    <row r="44" spans="3:10" x14ac:dyDescent="0.15">
      <c r="C44" s="35" t="s">
        <v>223</v>
      </c>
      <c r="D44" s="35"/>
      <c r="E44" s="35"/>
      <c r="F44" s="35"/>
      <c r="G44" s="35"/>
      <c r="H44" s="35"/>
      <c r="I44" s="35">
        <v>20</v>
      </c>
      <c r="J44" s="35">
        <v>30</v>
      </c>
    </row>
    <row r="45" spans="3:10" x14ac:dyDescent="0.15">
      <c r="C45" s="35" t="s">
        <v>224</v>
      </c>
      <c r="D45" s="35"/>
      <c r="E45" s="35"/>
      <c r="F45" s="35">
        <v>100</v>
      </c>
      <c r="G45" s="35"/>
      <c r="H45" s="35"/>
      <c r="I45" s="35"/>
      <c r="J45" s="35"/>
    </row>
    <row r="46" spans="3:10" x14ac:dyDescent="0.15">
      <c r="C46" s="35" t="s">
        <v>225</v>
      </c>
      <c r="D46" s="35"/>
      <c r="E46" s="35">
        <v>80</v>
      </c>
      <c r="F46" s="35"/>
      <c r="G46" s="35"/>
      <c r="H46" s="35"/>
      <c r="I46" s="35"/>
      <c r="J46" s="35">
        <v>40</v>
      </c>
    </row>
    <row r="47" spans="3:10" x14ac:dyDescent="0.15">
      <c r="C47" s="35" t="s">
        <v>226</v>
      </c>
      <c r="D47" s="35"/>
      <c r="E47" s="35"/>
      <c r="F47" s="35"/>
      <c r="G47" s="35"/>
      <c r="H47" s="35"/>
      <c r="I47" s="35">
        <v>30</v>
      </c>
      <c r="J47" s="35"/>
    </row>
    <row r="48" spans="3:10" x14ac:dyDescent="0.15">
      <c r="C48" s="35" t="s">
        <v>187</v>
      </c>
      <c r="D48" s="35"/>
      <c r="E48" s="35"/>
      <c r="F48" s="35"/>
      <c r="G48" s="35">
        <v>10</v>
      </c>
      <c r="H48" s="35"/>
      <c r="I48" s="35"/>
      <c r="J48" s="35"/>
    </row>
    <row r="49" spans="3:10" x14ac:dyDescent="0.15">
      <c r="C49" s="35" t="s">
        <v>197</v>
      </c>
      <c r="D49" s="35"/>
      <c r="E49" s="35"/>
      <c r="F49" s="35"/>
      <c r="G49" s="35">
        <v>20</v>
      </c>
      <c r="H49" s="35"/>
      <c r="I49" s="35"/>
      <c r="J49" s="35"/>
    </row>
    <row r="50" spans="3:10" x14ac:dyDescent="0.15">
      <c r="C50" s="35" t="s">
        <v>184</v>
      </c>
      <c r="D50" s="35"/>
      <c r="E50" s="35"/>
      <c r="F50" s="35"/>
      <c r="G50" s="35">
        <v>15</v>
      </c>
      <c r="H50" s="35"/>
      <c r="I50" s="35"/>
      <c r="J50" s="35"/>
    </row>
    <row r="51" spans="3:10" x14ac:dyDescent="0.15">
      <c r="C51" s="35" t="s">
        <v>227</v>
      </c>
      <c r="D51" s="35"/>
      <c r="E51" s="35"/>
      <c r="F51" s="35"/>
      <c r="G51" s="35">
        <v>25</v>
      </c>
      <c r="H51" s="35"/>
    </row>
    <row r="52" spans="3:10" x14ac:dyDescent="0.15">
      <c r="C52" s="35" t="s">
        <v>228</v>
      </c>
      <c r="D52" s="35"/>
      <c r="E52" s="35"/>
      <c r="F52" s="35"/>
      <c r="G52" s="35">
        <v>30</v>
      </c>
      <c r="H52" s="35"/>
    </row>
    <row r="53" spans="3:10" x14ac:dyDescent="0.15">
      <c r="C53" s="35" t="s">
        <v>229</v>
      </c>
      <c r="D53" s="35"/>
      <c r="E53" s="35"/>
      <c r="F53" s="35"/>
      <c r="G53" s="35">
        <v>40</v>
      </c>
      <c r="H53" s="35"/>
    </row>
    <row r="54" spans="3:10" x14ac:dyDescent="0.15">
      <c r="C54" s="35" t="s">
        <v>230</v>
      </c>
      <c r="D54" s="35"/>
      <c r="E54" s="35"/>
      <c r="F54" s="35"/>
      <c r="G54" s="35">
        <v>40</v>
      </c>
      <c r="H54" s="35"/>
    </row>
    <row r="55" spans="3:10" x14ac:dyDescent="0.15">
      <c r="C55" s="35" t="s">
        <v>813</v>
      </c>
      <c r="D55" s="35"/>
      <c r="E55" s="35"/>
      <c r="F55" s="35"/>
      <c r="G55" s="35">
        <v>35</v>
      </c>
      <c r="H55" s="35"/>
    </row>
    <row r="56" spans="3:10" x14ac:dyDescent="0.15">
      <c r="C56" s="35" t="s">
        <v>231</v>
      </c>
      <c r="D56" s="35"/>
      <c r="E56" s="35"/>
      <c r="F56" s="35"/>
      <c r="G56" s="35"/>
      <c r="H56" s="35">
        <v>20</v>
      </c>
    </row>
    <row r="57" spans="3:10" x14ac:dyDescent="0.15">
      <c r="C57" s="35" t="s">
        <v>232</v>
      </c>
      <c r="D57" s="35"/>
      <c r="E57" s="35"/>
      <c r="F57" s="35"/>
      <c r="G57" s="35"/>
      <c r="H57" s="35">
        <v>25</v>
      </c>
    </row>
    <row r="58" spans="3:10" x14ac:dyDescent="0.15">
      <c r="C58" s="35" t="s">
        <v>233</v>
      </c>
      <c r="D58" s="35"/>
      <c r="E58" s="35"/>
      <c r="F58" s="35"/>
      <c r="G58" s="35"/>
      <c r="H58" s="35">
        <v>30</v>
      </c>
    </row>
    <row r="59" spans="3:10" x14ac:dyDescent="0.15">
      <c r="C59" s="35" t="s">
        <v>234</v>
      </c>
      <c r="D59" s="35"/>
      <c r="E59" s="35">
        <v>100</v>
      </c>
      <c r="F59" s="35"/>
      <c r="G59" s="35"/>
      <c r="H59" s="35"/>
    </row>
    <row r="60" spans="3:10" x14ac:dyDescent="0.15">
      <c r="C60" s="35" t="s">
        <v>235</v>
      </c>
      <c r="D60" s="35"/>
      <c r="E60" s="35"/>
      <c r="F60" s="35"/>
      <c r="G60" s="35"/>
      <c r="H60" s="35">
        <v>40</v>
      </c>
    </row>
    <row r="61" spans="3:10" x14ac:dyDescent="0.15">
      <c r="C61" s="35" t="s">
        <v>236</v>
      </c>
      <c r="D61" s="35"/>
      <c r="E61" s="35"/>
      <c r="F61" s="35"/>
      <c r="G61" s="35"/>
      <c r="H61" s="35">
        <v>40</v>
      </c>
    </row>
    <row r="62" spans="3:10" x14ac:dyDescent="0.15">
      <c r="C62" s="35" t="s">
        <v>237</v>
      </c>
      <c r="D62" s="35"/>
      <c r="E62" s="35"/>
      <c r="F62" s="35">
        <v>130</v>
      </c>
      <c r="G62" s="35"/>
      <c r="H62" s="35"/>
    </row>
    <row r="63" spans="3:10" x14ac:dyDescent="0.15">
      <c r="C63" s="35" t="s">
        <v>238</v>
      </c>
      <c r="D63" s="35"/>
      <c r="E63" s="35"/>
      <c r="F63" s="35">
        <v>140</v>
      </c>
      <c r="G63" s="35"/>
      <c r="H63" s="35"/>
    </row>
    <row r="64" spans="3:10" x14ac:dyDescent="0.15">
      <c r="C64" s="35" t="s">
        <v>239</v>
      </c>
      <c r="D64" s="35"/>
      <c r="E64" s="35">
        <v>120</v>
      </c>
      <c r="F64" s="35"/>
      <c r="G64" s="35"/>
      <c r="H64" s="35"/>
    </row>
    <row r="65" spans="3:9" x14ac:dyDescent="0.15">
      <c r="C65" s="35" t="s">
        <v>240</v>
      </c>
      <c r="D65" s="35">
        <v>160</v>
      </c>
      <c r="E65" s="35"/>
      <c r="F65" s="35"/>
      <c r="G65" s="35"/>
      <c r="H65" s="35"/>
    </row>
    <row r="66" spans="3:9" x14ac:dyDescent="0.15">
      <c r="C66" s="35" t="s">
        <v>241</v>
      </c>
      <c r="D66" s="35">
        <v>180</v>
      </c>
      <c r="E66" s="35"/>
      <c r="F66" s="35"/>
      <c r="G66" s="35"/>
      <c r="H66" s="35"/>
    </row>
    <row r="67" spans="3:9" x14ac:dyDescent="0.15">
      <c r="C67" s="35" t="s">
        <v>242</v>
      </c>
      <c r="D67" s="35">
        <v>180</v>
      </c>
      <c r="E67" s="35"/>
      <c r="F67" s="35"/>
      <c r="G67" s="35"/>
      <c r="H67" s="35"/>
      <c r="I67" s="35"/>
    </row>
    <row r="68" spans="3:9" x14ac:dyDescent="0.15">
      <c r="C68" s="35" t="s">
        <v>243</v>
      </c>
      <c r="D68" s="35">
        <v>200</v>
      </c>
      <c r="E68" s="35"/>
      <c r="F68" s="35"/>
      <c r="G68" s="35"/>
      <c r="H68" s="35"/>
      <c r="I68" s="35"/>
    </row>
    <row r="69" spans="3:9" x14ac:dyDescent="0.15">
      <c r="C69" s="35" t="s">
        <v>244</v>
      </c>
      <c r="D69" s="35"/>
      <c r="E69" s="35"/>
      <c r="F69" s="35"/>
      <c r="G69" s="35">
        <v>50</v>
      </c>
      <c r="H69" s="35"/>
      <c r="I69" s="35"/>
    </row>
    <row r="70" spans="3:9" x14ac:dyDescent="0.15">
      <c r="C70" s="35" t="s">
        <v>245</v>
      </c>
      <c r="D70" s="35"/>
      <c r="E70" s="35"/>
      <c r="F70" s="35"/>
      <c r="G70" s="35">
        <v>50</v>
      </c>
      <c r="H70" s="35"/>
      <c r="I70" s="35"/>
    </row>
    <row r="71" spans="3:9" x14ac:dyDescent="0.15">
      <c r="C71" s="35" t="s">
        <v>246</v>
      </c>
      <c r="D71" s="35"/>
      <c r="E71" s="35"/>
      <c r="F71" s="35"/>
      <c r="G71" s="35">
        <v>60</v>
      </c>
      <c r="H71" s="35"/>
      <c r="I71" s="35"/>
    </row>
    <row r="72" spans="3:9" x14ac:dyDescent="0.15">
      <c r="C72" s="35" t="s">
        <v>247</v>
      </c>
      <c r="D72" s="35"/>
      <c r="E72" s="35">
        <v>150</v>
      </c>
      <c r="F72" s="35"/>
      <c r="G72" s="35"/>
      <c r="H72" s="35">
        <v>45</v>
      </c>
      <c r="I72" s="35"/>
    </row>
    <row r="73" spans="3:9" x14ac:dyDescent="0.15">
      <c r="C73" s="35" t="s">
        <v>248</v>
      </c>
      <c r="D73" s="35"/>
      <c r="E73" s="35">
        <v>160</v>
      </c>
      <c r="F73" s="35"/>
      <c r="G73" s="35"/>
      <c r="H73" s="35"/>
      <c r="I73" s="35"/>
    </row>
    <row r="74" spans="3:9" x14ac:dyDescent="0.15">
      <c r="C74" s="35" t="s">
        <v>249</v>
      </c>
      <c r="D74" s="35"/>
      <c r="E74" s="35"/>
      <c r="F74" s="35">
        <v>150</v>
      </c>
      <c r="G74" s="35"/>
      <c r="H74" s="35">
        <v>45</v>
      </c>
      <c r="I74" s="35"/>
    </row>
    <row r="75" spans="3:9" x14ac:dyDescent="0.15">
      <c r="C75" s="35" t="s">
        <v>250</v>
      </c>
      <c r="D75" s="35">
        <v>140</v>
      </c>
      <c r="E75" s="35">
        <v>100</v>
      </c>
      <c r="F75" s="35"/>
      <c r="G75" s="35"/>
      <c r="H75" s="35"/>
      <c r="I75" s="35"/>
    </row>
    <row r="76" spans="3:9" x14ac:dyDescent="0.15">
      <c r="C76" s="35" t="s">
        <v>251</v>
      </c>
      <c r="D76" s="35"/>
      <c r="E76" s="35"/>
      <c r="F76" s="35"/>
      <c r="G76" s="35"/>
      <c r="H76" s="35">
        <v>50</v>
      </c>
      <c r="I76" s="35"/>
    </row>
    <row r="77" spans="3:9" x14ac:dyDescent="0.15">
      <c r="C77" s="35" t="s">
        <v>252</v>
      </c>
      <c r="D77" s="35"/>
      <c r="E77" s="35"/>
      <c r="F77" s="35"/>
      <c r="G77" s="35"/>
      <c r="H77" s="35"/>
      <c r="I77" s="35">
        <v>32</v>
      </c>
    </row>
    <row r="78" spans="3:9" x14ac:dyDescent="0.15">
      <c r="C78" s="35" t="s">
        <v>253</v>
      </c>
      <c r="D78" s="35"/>
      <c r="E78" s="35"/>
      <c r="F78" s="35"/>
      <c r="G78" s="35"/>
      <c r="H78" s="35">
        <v>55</v>
      </c>
      <c r="I78" s="35"/>
    </row>
    <row r="79" spans="3:9" x14ac:dyDescent="0.15">
      <c r="C79" s="35" t="s">
        <v>254</v>
      </c>
      <c r="D79" s="35"/>
      <c r="E79" s="35">
        <v>180</v>
      </c>
      <c r="F79" s="35"/>
      <c r="G79" s="35"/>
      <c r="H79" s="35"/>
      <c r="I79" s="35"/>
    </row>
    <row r="80" spans="3:9" x14ac:dyDescent="0.15">
      <c r="C80" s="35" t="s">
        <v>255</v>
      </c>
      <c r="D80" s="35"/>
      <c r="E80" s="35"/>
      <c r="F80" s="35"/>
      <c r="G80" s="35"/>
      <c r="H80" s="35"/>
      <c r="I80" s="35">
        <v>35</v>
      </c>
    </row>
    <row r="81" spans="3:10" x14ac:dyDescent="0.15">
      <c r="C81" s="35" t="s">
        <v>256</v>
      </c>
      <c r="D81" s="35"/>
      <c r="E81" s="35"/>
      <c r="F81" s="35"/>
      <c r="G81" s="35"/>
      <c r="H81" s="35"/>
      <c r="I81" s="35">
        <v>40</v>
      </c>
    </row>
    <row r="82" spans="3:10" x14ac:dyDescent="0.15">
      <c r="C82" s="35" t="s">
        <v>257</v>
      </c>
      <c r="D82" s="35">
        <v>170</v>
      </c>
      <c r="E82" s="35">
        <v>130</v>
      </c>
      <c r="F82" s="35"/>
      <c r="G82" s="35"/>
      <c r="H82" s="35"/>
      <c r="I82" s="35"/>
    </row>
    <row r="83" spans="3:10" x14ac:dyDescent="0.15">
      <c r="C83" s="35" t="s">
        <v>258</v>
      </c>
      <c r="D83" s="35"/>
      <c r="E83" s="35"/>
      <c r="F83" s="35"/>
      <c r="G83" s="35"/>
      <c r="H83" s="35"/>
      <c r="I83" s="35">
        <v>45</v>
      </c>
      <c r="J83" s="35"/>
    </row>
    <row r="84" spans="3:10" x14ac:dyDescent="0.15">
      <c r="C84" s="35" t="s">
        <v>259</v>
      </c>
      <c r="D84" s="35"/>
      <c r="E84" s="35">
        <v>200</v>
      </c>
      <c r="F84" s="35"/>
      <c r="G84" s="35"/>
      <c r="H84" s="35"/>
      <c r="I84" s="35"/>
      <c r="J84" s="35"/>
    </row>
    <row r="85" spans="3:10" x14ac:dyDescent="0.15">
      <c r="C85" s="35" t="s">
        <v>814</v>
      </c>
      <c r="D85" s="35"/>
      <c r="E85" s="35"/>
      <c r="F85" s="35"/>
      <c r="G85" s="35"/>
      <c r="H85" s="35"/>
      <c r="I85" s="35">
        <v>50</v>
      </c>
      <c r="J85" s="35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ItemData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flyer</cp:lastModifiedBy>
  <dcterms:created xsi:type="dcterms:W3CDTF">2018-01-26T12:49:06Z</dcterms:created>
  <dcterms:modified xsi:type="dcterms:W3CDTF">2024-12-09T14:43:22Z</dcterms:modified>
</cp:coreProperties>
</file>