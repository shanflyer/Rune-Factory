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ItemData!$A$3:$AG$412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N257" i="1" l="1"/>
  <c r="N256" i="1"/>
  <c r="M396" i="1" l="1"/>
  <c r="M397" i="1"/>
  <c r="M398" i="1"/>
  <c r="M399" i="1"/>
  <c r="M400" i="1"/>
  <c r="M401" i="1"/>
  <c r="M395" i="1"/>
  <c r="N267" i="1" l="1"/>
  <c r="N266" i="1"/>
  <c r="N265" i="1"/>
  <c r="N264" i="1"/>
  <c r="N263" i="1"/>
  <c r="N262" i="1"/>
  <c r="N261" i="1"/>
  <c r="N260" i="1"/>
  <c r="M20" i="1" l="1"/>
  <c r="M21" i="1"/>
  <c r="M23" i="1"/>
  <c r="M26" i="1"/>
  <c r="M39" i="1"/>
  <c r="M41" i="1"/>
  <c r="M43" i="1"/>
  <c r="M50" i="1"/>
  <c r="M57" i="1"/>
  <c r="M64" i="1"/>
  <c r="M65" i="1"/>
  <c r="M71" i="1"/>
  <c r="M86" i="1"/>
  <c r="M91" i="1"/>
  <c r="M96" i="1"/>
  <c r="M97" i="1"/>
  <c r="M103" i="1"/>
  <c r="M115" i="1"/>
  <c r="M118" i="1"/>
  <c r="M119" i="1"/>
  <c r="M120" i="1"/>
  <c r="M121" i="1"/>
  <c r="M122" i="1"/>
  <c r="N276" i="1" l="1"/>
  <c r="N272" i="1"/>
  <c r="N271" i="1"/>
  <c r="N274" i="1"/>
  <c r="N275" i="1"/>
  <c r="N278" i="1"/>
  <c r="N279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9" i="1"/>
  <c r="N255" i="1"/>
  <c r="N258" i="1"/>
  <c r="N237" i="1"/>
  <c r="N25" i="1"/>
  <c r="M25" i="1" s="1"/>
  <c r="N27" i="1"/>
  <c r="M27" i="1" s="1"/>
  <c r="N28" i="1"/>
  <c r="M28" i="1" s="1"/>
  <c r="N29" i="1"/>
  <c r="M29" i="1" s="1"/>
  <c r="N30" i="1"/>
  <c r="M30" i="1" s="1"/>
  <c r="N31" i="1"/>
  <c r="M31" i="1" s="1"/>
  <c r="N32" i="1"/>
  <c r="M32" i="1" s="1"/>
  <c r="N33" i="1"/>
  <c r="M33" i="1" s="1"/>
  <c r="N34" i="1"/>
  <c r="M34" i="1" s="1"/>
  <c r="N35" i="1"/>
  <c r="M35" i="1" s="1"/>
  <c r="N36" i="1"/>
  <c r="M36" i="1" s="1"/>
  <c r="N37" i="1"/>
  <c r="M37" i="1" s="1"/>
  <c r="N38" i="1"/>
  <c r="M38" i="1" s="1"/>
  <c r="N40" i="1"/>
  <c r="M40" i="1" s="1"/>
  <c r="N42" i="1"/>
  <c r="M42" i="1" s="1"/>
  <c r="N44" i="1"/>
  <c r="M44" i="1" s="1"/>
  <c r="N45" i="1"/>
  <c r="M45" i="1" s="1"/>
  <c r="N46" i="1"/>
  <c r="M46" i="1" s="1"/>
  <c r="N47" i="1"/>
  <c r="M47" i="1" s="1"/>
  <c r="N48" i="1"/>
  <c r="M48" i="1" s="1"/>
  <c r="N49" i="1"/>
  <c r="M49" i="1" s="1"/>
  <c r="N51" i="1"/>
  <c r="M51" i="1" s="1"/>
  <c r="N52" i="1"/>
  <c r="M52" i="1" s="1"/>
  <c r="N53" i="1"/>
  <c r="M53" i="1" s="1"/>
  <c r="N54" i="1"/>
  <c r="M54" i="1" s="1"/>
  <c r="N55" i="1"/>
  <c r="M55" i="1" s="1"/>
  <c r="N56" i="1"/>
  <c r="M56" i="1" s="1"/>
  <c r="N58" i="1"/>
  <c r="M58" i="1" s="1"/>
  <c r="N59" i="1"/>
  <c r="M59" i="1" s="1"/>
  <c r="N60" i="1"/>
  <c r="M60" i="1" s="1"/>
  <c r="N61" i="1"/>
  <c r="M61" i="1" s="1"/>
  <c r="N62" i="1"/>
  <c r="M62" i="1" s="1"/>
  <c r="N63" i="1"/>
  <c r="M63" i="1" s="1"/>
  <c r="N66" i="1"/>
  <c r="M66" i="1" s="1"/>
  <c r="N67" i="1"/>
  <c r="M67" i="1" s="1"/>
  <c r="N68" i="1"/>
  <c r="M68" i="1" s="1"/>
  <c r="N69" i="1"/>
  <c r="M69" i="1" s="1"/>
  <c r="N70" i="1"/>
  <c r="M70" i="1" s="1"/>
  <c r="N72" i="1"/>
  <c r="M72" i="1" s="1"/>
  <c r="N73" i="1"/>
  <c r="M73" i="1" s="1"/>
  <c r="N74" i="1"/>
  <c r="M74" i="1" s="1"/>
  <c r="N75" i="1"/>
  <c r="M75" i="1" s="1"/>
  <c r="N76" i="1"/>
  <c r="M76" i="1" s="1"/>
  <c r="N77" i="1"/>
  <c r="M77" i="1" s="1"/>
  <c r="N78" i="1"/>
  <c r="M78" i="1" s="1"/>
  <c r="N79" i="1"/>
  <c r="M79" i="1" s="1"/>
  <c r="N80" i="1"/>
  <c r="M80" i="1" s="1"/>
  <c r="N81" i="1"/>
  <c r="M81" i="1" s="1"/>
  <c r="N82" i="1"/>
  <c r="M82" i="1" s="1"/>
  <c r="N83" i="1"/>
  <c r="M83" i="1" s="1"/>
  <c r="N84" i="1"/>
  <c r="M84" i="1" s="1"/>
  <c r="N85" i="1"/>
  <c r="M85" i="1" s="1"/>
  <c r="N87" i="1"/>
  <c r="M87" i="1" s="1"/>
  <c r="N88" i="1"/>
  <c r="M88" i="1" s="1"/>
  <c r="N89" i="1"/>
  <c r="M89" i="1" s="1"/>
  <c r="N90" i="1"/>
  <c r="M90" i="1" s="1"/>
  <c r="N92" i="1"/>
  <c r="M92" i="1" s="1"/>
  <c r="N93" i="1"/>
  <c r="M93" i="1" s="1"/>
  <c r="N94" i="1"/>
  <c r="M94" i="1" s="1"/>
  <c r="N95" i="1"/>
  <c r="M95" i="1" s="1"/>
  <c r="N98" i="1"/>
  <c r="M98" i="1" s="1"/>
  <c r="N99" i="1"/>
  <c r="M99" i="1" s="1"/>
  <c r="N100" i="1"/>
  <c r="M100" i="1" s="1"/>
  <c r="N101" i="1"/>
  <c r="M101" i="1" s="1"/>
  <c r="N102" i="1"/>
  <c r="M102" i="1" s="1"/>
  <c r="N104" i="1"/>
  <c r="M104" i="1" s="1"/>
  <c r="N105" i="1"/>
  <c r="M105" i="1" s="1"/>
  <c r="N106" i="1"/>
  <c r="M106" i="1" s="1"/>
  <c r="N107" i="1"/>
  <c r="M107" i="1" s="1"/>
  <c r="N108" i="1"/>
  <c r="M108" i="1" s="1"/>
  <c r="N109" i="1"/>
  <c r="M109" i="1" s="1"/>
  <c r="N110" i="1"/>
  <c r="M110" i="1" s="1"/>
  <c r="N111" i="1"/>
  <c r="M111" i="1" s="1"/>
  <c r="N112" i="1"/>
  <c r="M112" i="1" s="1"/>
  <c r="N113" i="1"/>
  <c r="M113" i="1" s="1"/>
  <c r="N114" i="1"/>
  <c r="M114" i="1" s="1"/>
  <c r="N116" i="1"/>
  <c r="M116" i="1" s="1"/>
  <c r="N117" i="1"/>
  <c r="M117" i="1" s="1"/>
  <c r="N22" i="1"/>
  <c r="M22" i="1" s="1"/>
  <c r="N24" i="1"/>
  <c r="M24" i="1" s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15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5" i="1"/>
  <c r="N296" i="1"/>
  <c r="N297" i="1"/>
  <c r="N298" i="1"/>
  <c r="N299" i="1"/>
  <c r="N300" i="1"/>
  <c r="N301" i="1"/>
  <c r="N302" i="1"/>
  <c r="N268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AE394" i="1"/>
  <c r="AD394" i="1"/>
  <c r="AC394" i="1"/>
  <c r="AB394" i="1"/>
  <c r="X394" i="1"/>
  <c r="W394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16" i="1" l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15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Q90" i="3"/>
  <c r="Q91" i="3"/>
  <c r="S83" i="3"/>
  <c r="Q83" i="3"/>
  <c r="T44" i="3"/>
  <c r="U30" i="3"/>
  <c r="W89" i="3" l="1"/>
  <c r="W91" i="3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<sst xmlns="http://schemas.openxmlformats.org/spreadsheetml/2006/main" count="5792" uniqueCount="1653">
  <si>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</si>
  <si>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</si>
  <si>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</si>
  <si>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</si>
  <si>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</si>
  <si>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</si>
  <si>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</si>
  <si>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</si>
  <si>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</si>
  <si>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</si>
  <si>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</si>
  <si>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</si>
  <si>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</si>
  <si>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</si>
  <si>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</si>
  <si>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</si>
  <si>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</si>
  <si>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</si>
  <si>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</si>
  <si>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</si>
  <si>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</si>
  <si>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</si>
  <si>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</si>
  <si>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</si>
  <si>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</si>
  <si>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</si>
  <si>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</si>
  <si>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</si>
  <si>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镰刀</t>
    <phoneticPr fontId="1" type="noConversion"/>
  </si>
  <si>
    <t>平整田地使用的工具。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</si>
  <si>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</si>
  <si>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</si>
  <si>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</si>
  <si>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</si>
  <si>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</si>
  <si>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</si>
  <si>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</si>
  <si>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</si>
  <si>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</si>
  <si>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</si>
  <si>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</si>
  <si>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</si>
  <si>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</si>
  <si>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</si>
  <si>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</si>
  <si>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</si>
  <si>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</si>
  <si>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</si>
  <si>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</si>
  <si>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</si>
  <si>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</si>
  <si>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</si>
  <si>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</si>
  <si>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</si>
  <si>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</si>
  <si>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</si>
  <si>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</si>
  <si>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</si>
  <si>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</si>
  <si>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</si>
  <si>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</si>
  <si>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</si>
  <si>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</si>
  <si>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</si>
  <si>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</si>
  <si>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</si>
  <si>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</si>
  <si>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</si>
  <si>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</si>
  <si>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</si>
  <si>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</si>
  <si>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</si>
  <si>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</si>
  <si>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</si>
  <si>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</si>
  <si>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</si>
  <si>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</si>
  <si>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</si>
  <si>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</si>
  <si>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</si>
  <si>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</si>
  <si>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</si>
  <si>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</si>
  <si>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</si>
  <si>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</si>
  <si>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</si>
  <si>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</si>
  <si>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</si>
  <si>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</si>
  <si>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</si>
  <si>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</si>
  <si>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</si>
  <si>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</si>
  <si>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</si>
  <si>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</si>
  <si>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</si>
  <si>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</si>
  <si>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</si>
  <si>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</si>
  <si>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</si>
  <si>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</si>
  <si>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</si>
  <si>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</si>
  <si>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</si>
  <si>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</si>
  <si>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</si>
  <si>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</si>
  <si>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</si>
  <si>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</si>
  <si>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</si>
  <si>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</si>
  <si>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</si>
  <si>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</si>
  <si>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</si>
  <si>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</si>
  <si>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</si>
  <si>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</si>
  <si>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</si>
  <si>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</si>
  <si>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</si>
  <si>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</si>
  <si>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</si>
  <si>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</si>
  <si>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</si>
  <si>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</si>
  <si>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</si>
  <si>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</si>
  <si>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</si>
  <si>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</si>
  <si>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</si>
  <si>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</si>
  <si>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</si>
  <si>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</si>
  <si>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</si>
  <si>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</si>
  <si>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</si>
  <si>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</si>
  <si>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</si>
  <si>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</si>
  <si>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</si>
  <si>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</si>
  <si>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</si>
  <si>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</si>
  <si>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</si>
  <si>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</si>
  <si>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</si>
  <si>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</si>
  <si>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</si>
  <si>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</si>
  <si>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</si>
  <si>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</si>
  <si>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</si>
  <si>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</si>
  <si>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</si>
  <si>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</si>
  <si>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</si>
  <si>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</si>
  <si>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</si>
  <si>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</si>
  <si>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</si>
  <si>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</si>
  <si>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</si>
  <si>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</si>
  <si>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</si>
  <si>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</si>
  <si>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</si>
  <si>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</si>
  <si>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</si>
  <si>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</si>
  <si>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</si>
  <si>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</si>
  <si>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</si>
  <si>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</si>
  <si>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</si>
  <si>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</si>
  <si>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</si>
  <si>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</si>
  <si>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</si>
  <si>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</si>
  <si>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</si>
  <si>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</si>
  <si>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</si>
  <si>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</si>
  <si>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</si>
  <si>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</si>
  <si>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</si>
  <si>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</si>
  <si>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</si>
  <si>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</si>
  <si>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</si>
  <si>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</si>
  <si>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</si>
  <si>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</si>
  <si>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</si>
  <si>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</si>
  <si>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</si>
  <si>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</si>
  <si>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</si>
  <si>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</si>
  <si>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</si>
  <si>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</si>
  <si>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</si>
  <si>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</si>
  <si>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</si>
  <si>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</si>
  <si>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</si>
  <si>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</si>
  <si>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</si>
  <si>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</si>
  <si>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</si>
  <si>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</si>
  <si>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</si>
  <si>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</si>
  <si>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</si>
  <si>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</si>
  <si>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</si>
  <si>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</si>
  <si>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</si>
  <si>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</si>
  <si>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</si>
  <si>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</si>
  <si>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</si>
  <si>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</si>
  <si>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</si>
  <si>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</si>
  <si>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</si>
  <si>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</si>
  <si>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</si>
  <si>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</si>
  <si>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</si>
  <si>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</si>
  <si>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</si>
  <si>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</si>
  <si>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</si>
  <si>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</si>
  <si>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</si>
  <si>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</si>
  <si>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</si>
  <si>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</si>
  <si>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</si>
  <si>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</si>
  <si>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</si>
  <si>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</si>
  <si>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</si>
  <si>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</si>
  <si>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</si>
  <si>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</si>
  <si>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</si>
  <si>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</si>
  <si>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</si>
  <si>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</si>
  <si>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</si>
  <si>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</si>
  <si>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</si>
  <si>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</si>
  <si>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</si>
  <si>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</si>
  <si>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</si>
  <si>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</si>
  <si>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</si>
  <si>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</si>
  <si>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</si>
  <si>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</si>
  <si>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</si>
  <si>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</si>
  <si>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</si>
  <si>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</si>
  <si>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</si>
  <si>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</si>
  <si>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</si>
  <si>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</si>
  <si>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</si>
  <si>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</si>
  <si>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</si>
  <si>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</si>
  <si>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</si>
  <si>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</si>
  <si>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</si>
  <si>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</si>
  <si>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</si>
  <si>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</si>
  <si>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</si>
  <si>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</si>
  <si>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</si>
  <si>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</si>
  <si>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</si>
  <si>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</si>
  <si>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</si>
  <si>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</si>
  <si>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</si>
  <si>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</si>
  <si>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</si>
  <si>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</si>
  <si>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</si>
  <si>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</si>
  <si>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</si>
  <si>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</si>
  <si>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</si>
  <si>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</si>
  <si>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</si>
  <si>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</si>
  <si>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</si>
  <si>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</si>
  <si>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</si>
  <si>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</si>
  <si>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</si>
  <si>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</si>
  <si>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</si>
  <si>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</si>
  <si>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</si>
  <si>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</si>
  <si>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</si>
  <si>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</si>
  <si>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</si>
  <si>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</si>
  <si>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</si>
  <si>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</si>
  <si>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</si>
  <si>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</si>
  <si>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</si>
  <si>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</si>
  <si>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</si>
  <si>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</si>
  <si>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</si>
  <si>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</si>
  <si>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</si>
  <si>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</si>
  <si>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</si>
  <si>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</si>
  <si>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</si>
  <si>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</si>
  <si>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</si>
  <si>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</si>
  <si>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</si>
  <si>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</si>
  <si>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</si>
  <si>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</si>
  <si>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</si>
  <si>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</si>
  <si>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</si>
  <si>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</si>
  <si>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</si>
  <si>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</si>
  <si>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</si>
  <si>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</si>
  <si>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</si>
  <si>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</si>
  <si>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</si>
  <si>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</si>
  <si>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</si>
  <si>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</si>
  <si>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</si>
  <si>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</si>
  <si>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</si>
  <si>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</si>
  <si>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</si>
  <si>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</si>
  <si>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</si>
  <si>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</si>
  <si>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</si>
  <si>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</si>
  <si>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</si>
  <si>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</si>
  <si>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</si>
  <si>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</si>
  <si>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</si>
  <si>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</si>
  <si>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</si>
  <si>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</si>
  <si>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</si>
  <si>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</si>
  <si>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</si>
  <si>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</si>
  <si>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</si>
  <si>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</si>
  <si>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</si>
  <si>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</si>
  <si>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</si>
  <si>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</si>
  <si>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</si>
  <si>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</si>
  <si>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</si>
  <si>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</si>
  <si>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</si>
  <si>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</si>
  <si>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</si>
  <si>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</si>
  <si>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</si>
  <si>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</si>
  <si>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</si>
  <si>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</si>
  <si>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</si>
  <si>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</si>
  <si>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</si>
  <si>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</si>
  <si>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</si>
  <si>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</si>
  <si>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</si>
  <si>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</si>
  <si>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</si>
  <si>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</si>
  <si>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</si>
  <si>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</si>
  <si>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</si>
  <si>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</si>
  <si>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</si>
  <si>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</si>
  <si>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</si>
  <si>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</si>
  <si>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</si>
  <si>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</si>
  <si>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</si>
  <si>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</si>
  <si>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</si>
  <si>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</si>
  <si>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</si>
  <si>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</si>
  <si>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</si>
  <si>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</si>
  <si>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</si>
  <si>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</si>
  <si>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</si>
  <si>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</si>
  <si>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</si>
  <si>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</si>
  <si>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</si>
  <si>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</si>
  <si>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</si>
  <si>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</si>
  <si>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</si>
  <si>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</si>
  <si>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</si>
  <si>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</si>
  <si>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</si>
  <si>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</si>
  <si>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</si>
  <si>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</si>
  <si>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</si>
  <si>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</si>
  <si>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</si>
  <si>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</si>
  <si>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</si>
  <si>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</si>
  <si>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</si>
  <si>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</si>
  <si>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</si>
  <si>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</si>
  <si>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</si>
  <si>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</si>
  <si>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</si>
  <si>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</si>
  <si>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</si>
  <si>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</si>
  <si>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</si>
  <si>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</si>
  <si>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</si>
  <si>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</si>
  <si>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</si>
  <si>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</si>
  <si>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</si>
  <si>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</si>
  <si>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</si>
  <si>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</si>
  <si>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</si>
  <si>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</si>
  <si>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</si>
  <si>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</si>
  <si>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</si>
  <si>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</si>
  <si>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</si>
  <si>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</si>
  <si>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</si>
  <si>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</si>
  <si>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</si>
  <si>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</si>
  <si>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</si>
  <si>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</si>
  <si>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</si>
  <si>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</si>
  <si>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</si>
  <si>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</si>
  <si>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</si>
  <si>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</si>
  <si>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</si>
  <si>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</si>
  <si>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</si>
  <si>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</si>
  <si>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</si>
  <si>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</si>
  <si>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</si>
  <si>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</si>
  <si>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</si>
  <si>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</si>
  <si>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</si>
  <si>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</si>
  <si>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</si>
  <si>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</si>
  <si>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</si>
  <si>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</si>
  <si>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</si>
  <si>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</si>
  <si>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</si>
  <si>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</si>
  <si>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</si>
  <si>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</si>
  <si>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</si>
  <si>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</si>
  <si>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</si>
  <si>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</si>
  <si>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</si>
  <si>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</si>
  <si>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</si>
  <si>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</si>
  <si>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</si>
  <si>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</si>
  <si>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</si>
  <si>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</si>
  <si>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</si>
  <si>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</si>
  <si>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</si>
  <si>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</si>
  <si>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</si>
  <si>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</si>
  <si>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</si>
  <si>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</si>
  <si>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</si>
  <si>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</si>
  <si>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</si>
  <si>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</si>
  <si>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</si>
  <si>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</si>
  <si>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</si>
  <si>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</si>
  <si>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</si>
  <si>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</si>
  <si>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</si>
  <si>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</si>
  <si>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</si>
  <si>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</si>
  <si>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</si>
  <si>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</si>
  <si>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</si>
  <si>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</si>
  <si>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</si>
  <si>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</si>
  <si>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</si>
  <si>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</si>
  <si>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</si>
  <si>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</si>
  <si>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</si>
  <si>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</si>
  <si>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</si>
  <si>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</si>
  <si>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</si>
  <si>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</si>
  <si>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</si>
  <si>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</si>
  <si>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</si>
  <si>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</si>
  <si>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</si>
  <si>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</si>
  <si>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</si>
  <si>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</si>
  <si>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</si>
  <si>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</si>
  <si>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</si>
  <si>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</si>
  <si>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</si>
  <si>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</si>
  <si>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</si>
  <si>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</si>
  <si>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</si>
  <si>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</si>
  <si>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</si>
  <si>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</si>
  <si>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</si>
  <si>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</si>
  <si>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</si>
  <si>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</si>
  <si>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</si>
  <si>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</si>
  <si>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</si>
  <si>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</si>
  <si>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</si>
  <si>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</si>
  <si>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</si>
  <si>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</si>
  <si>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</si>
  <si>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</si>
  <si>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</si>
  <si>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</si>
  <si>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</si>
  <si>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</si>
  <si>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</si>
  <si>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</si>
  <si>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</si>
  <si>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</si>
  <si>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</si>
  <si>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</si>
  <si>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</si>
  <si>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</si>
  <si>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</si>
  <si>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</si>
  <si>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</si>
  <si>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</si>
  <si>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</si>
  <si>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</si>
  <si>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</si>
  <si>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</si>
  <si>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</si>
  <si>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</si>
  <si>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</si>
  <si>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</si>
  <si>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</si>
  <si>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</si>
  <si>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</si>
  <si>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</si>
  <si>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</si>
  <si>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</si>
  <si>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</si>
  <si>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</si>
  <si>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</si>
  <si>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</si>
  <si>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</si>
  <si>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</si>
  <si>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</si>
  <si>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</si>
  <si>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</si>
  <si>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</si>
  <si>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</si>
  <si>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</si>
  <si>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</si>
  <si>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</si>
  <si>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</si>
  <si>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</si>
  <si>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</si>
  <si>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</si>
  <si>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</si>
  <si>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</si>
  <si>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</si>
  <si>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</si>
  <si>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</si>
  <si>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</si>
  <si>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</si>
  <si>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</si>
  <si>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</si>
  <si>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</si>
  <si>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</si>
  <si>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</si>
  <si>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</si>
  <si>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</si>
  <si>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</si>
  <si>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</si>
  <si>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</si>
  <si>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</si>
  <si>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</si>
  <si>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</si>
  <si>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</si>
  <si>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</si>
  <si>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</si>
  <si>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</si>
  <si>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</si>
  <si>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</si>
  <si>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</si>
  <si>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</si>
  <si>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</si>
  <si>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</si>
  <si>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</si>
  <si>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</si>
  <si>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</si>
  <si>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</si>
  <si>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</si>
  <si>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</si>
  <si>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</si>
  <si>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</si>
  <si>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</si>
  <si>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</si>
  <si>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</si>
  <si>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</si>
  <si>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</si>
  <si>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</si>
  <si>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</si>
  <si>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</si>
  <si>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</si>
  <si>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</si>
  <si>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</si>
  <si>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</si>
  <si>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</si>
  <si>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</si>
  <si>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</si>
  <si>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</si>
  <si>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</si>
  <si>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</si>
  <si>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</si>
  <si>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</si>
  <si>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</si>
  <si>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</si>
  <si>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</si>
  <si>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</si>
  <si>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</si>
  <si>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</si>
  <si>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</si>
  <si>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</si>
  <si>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</si>
  <si>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</si>
  <si>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</si>
  <si>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</si>
  <si>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</si>
  <si>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</si>
  <si>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</si>
  <si>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</si>
  <si>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</si>
  <si>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</si>
  <si>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</si>
  <si>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</si>
  <si>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</si>
  <si>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</si>
  <si>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</si>
  <si>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</si>
  <si>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</si>
  <si>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</si>
  <si>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</si>
  <si>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</si>
  <si>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</si>
  <si>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</si>
  <si>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</si>
  <si>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</si>
  <si>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</si>
  <si>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</si>
  <si>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</si>
  <si>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</si>
  <si>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</si>
  <si>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</si>
  <si>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</si>
  <si>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</si>
  <si>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</si>
  <si>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</si>
  <si>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</si>
  <si>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</si>
  <si>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</si>
  <si>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</si>
  <si>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</si>
  <si>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</si>
  <si>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</si>
  <si>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</si>
  <si>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</si>
  <si>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</si>
  <si>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</si>
  <si>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</si>
  <si>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</si>
  <si>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</si>
  <si>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</si>
  <si>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</si>
  <si>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</si>
  <si>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</si>
  <si>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</si>
  <si>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</si>
  <si>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</si>
  <si>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</si>
  <si>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</si>
  <si>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</si>
  <si>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</si>
  <si>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</si>
  <si>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</si>
  <si>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</si>
  <si>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</si>
  <si>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</si>
  <si>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</si>
  <si>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</si>
  <si>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</si>
  <si>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</si>
  <si>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</si>
  <si>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</si>
  <si>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</si>
  <si>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</si>
  <si>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</si>
  <si>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</si>
  <si>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</si>
  <si>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</si>
  <si>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</si>
  <si>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</si>
  <si>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</si>
  <si>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</si>
  <si>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</si>
  <si>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</si>
  <si>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</si>
  <si>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</si>
  <si>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</si>
  <si>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</si>
  <si>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</si>
  <si>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</si>
  <si>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</si>
  <si>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</si>
  <si>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</si>
  <si>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</si>
  <si>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</si>
  <si>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</si>
  <si>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</si>
  <si>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</si>
  <si>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</si>
  <si>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</si>
  <si>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</si>
  <si>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</si>
  <si>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</si>
  <si>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</si>
  <si>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</si>
  <si>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</si>
  <si>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</si>
  <si>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</si>
  <si>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</si>
  <si>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</si>
  <si>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</si>
  <si>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</si>
  <si>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</si>
  <si>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</si>
  <si>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</si>
  <si>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</si>
  <si>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</si>
  <si>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</si>
  <si>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</si>
  <si>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</si>
  <si>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</si>
  <si>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</si>
  <si>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</si>
  <si>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</si>
  <si>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</si>
  <si>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</si>
  <si>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</si>
  <si>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</si>
  <si>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</si>
  <si>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</si>
  <si>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</si>
  <si>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</si>
  <si>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</si>
  <si>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</si>
  <si>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</si>
  <si>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</si>
  <si>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</si>
  <si>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</si>
  <si>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</si>
  <si>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</si>
  <si>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</si>
  <si>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</si>
  <si>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</si>
  <si>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</si>
  <si>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</si>
  <si>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</si>
  <si>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</si>
  <si>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</si>
  <si>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</si>
  <si>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</si>
  <si>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</si>
  <si>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</si>
  <si>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</si>
  <si>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</si>
  <si>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</si>
  <si>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</si>
  <si>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</si>
  <si>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</si>
  <si>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</si>
  <si>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</si>
  <si>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</si>
  <si>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</si>
  <si>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</si>
  <si>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</si>
  <si>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</si>
  <si>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</si>
  <si>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</si>
  <si>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</si>
  <si>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</si>
  <si>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</si>
  <si>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</si>
  <si>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</si>
  <si>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</si>
  <si>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</si>
  <si>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</si>
  <si>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</si>
  <si>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</si>
  <si>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</si>
  <si>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</si>
  <si>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</si>
  <si>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</si>
  <si>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</si>
  <si>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</si>
  <si>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</si>
  <si>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</si>
  <si>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</si>
  <si>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</si>
  <si>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</si>
  <si>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</si>
  <si>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</si>
  <si>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</si>
  <si>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</si>
  <si>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</si>
  <si>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</si>
  <si>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</si>
  <si>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</si>
  <si>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</si>
  <si>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</si>
  <si>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</si>
  <si>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</si>
  <si>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</si>
  <si>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</si>
  <si>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</si>
  <si>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</si>
  <si>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</si>
  <si>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</si>
  <si>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</si>
  <si>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</si>
  <si>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</si>
  <si>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</si>
  <si>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</si>
  <si>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</si>
  <si>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</si>
  <si>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</si>
  <si>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</si>
  <si>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</si>
  <si>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</si>
  <si>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</si>
  <si>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</si>
  <si>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</si>
  <si>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</si>
  <si>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</si>
  <si>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</si>
  <si>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</si>
  <si>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</si>
  <si>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</si>
  <si>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</si>
  <si>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</si>
  <si>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</si>
  <si>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</si>
  <si>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</si>
  <si>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</si>
  <si>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</si>
  <si>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</si>
  <si>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</si>
  <si>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</si>
  <si>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</si>
  <si>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</si>
  <si>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</si>
  <si>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</si>
  <si>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</si>
  <si>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</si>
  <si>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</si>
  <si>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</si>
  <si>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</si>
  <si>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</si>
  <si>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</si>
  <si>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</si>
  <si>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</si>
  <si>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</si>
  <si>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</si>
  <si>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</si>
  <si>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</si>
  <si>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</si>
  <si>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</si>
  <si>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</si>
  <si>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</si>
  <si>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</si>
  <si>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</si>
  <si>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</si>
  <si>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</si>
  <si>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</si>
  <si>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</si>
  <si>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</si>
  <si>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</si>
  <si>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</si>
  <si>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</si>
  <si>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</si>
  <si>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</si>
  <si>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</si>
  <si>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</si>
  <si>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</si>
  <si>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</si>
  <si>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</si>
  <si>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</si>
  <si>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</si>
  <si>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</si>
  <si>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</si>
  <si>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</si>
  <si>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</si>
  <si>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</si>
  <si>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</si>
  <si>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</si>
  <si>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</si>
  <si>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</si>
  <si>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</si>
  <si>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</si>
  <si>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</si>
  <si>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</si>
  <si>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</si>
  <si>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</si>
  <si>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</si>
  <si>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</si>
  <si>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</si>
  <si>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</si>
  <si>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</si>
  <si>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</si>
  <si>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</si>
  <si>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</si>
  <si>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</si>
  <si>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</si>
  <si>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</si>
  <si>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</si>
  <si>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</si>
  <si>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</si>
  <si>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</si>
  <si>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</si>
  <si>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</si>
  <si>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</si>
  <si>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</si>
  <si>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</si>
  <si>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</si>
  <si>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</si>
  <si>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</si>
  <si>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</si>
  <si>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</si>
  <si>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</si>
  <si>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</si>
  <si>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</si>
  <si>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</si>
  <si>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</si>
  <si>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</si>
  <si>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</si>
  <si>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</si>
  <si>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</si>
  <si>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</si>
  <si>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</si>
  <si>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</si>
  <si>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</si>
  <si>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</si>
  <si>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</si>
  <si>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</si>
  <si>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</si>
  <si>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</si>
  <si>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</si>
  <si>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</si>
  <si>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</si>
  <si>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</si>
  <si>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</si>
  <si>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</si>
  <si>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</si>
  <si>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</si>
  <si>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</si>
  <si>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</si>
  <si>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</si>
  <si>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</si>
  <si>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</si>
  <si>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</si>
  <si>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</si>
  <si>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</si>
  <si>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</si>
  <si>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</si>
  <si>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</si>
  <si>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</si>
  <si>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</si>
  <si>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</si>
  <si>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</si>
  <si>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</si>
  <si>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</si>
  <si>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</si>
  <si>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</si>
  <si>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</si>
  <si>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</si>
  <si>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</si>
  <si>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</si>
  <si>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</si>
  <si>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</si>
  <si>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</si>
  <si>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</si>
  <si>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</si>
  <si>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</si>
  <si>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</si>
  <si>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</si>
  <si>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</si>
  <si>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</si>
  <si>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</si>
  <si>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</si>
  <si>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</si>
  <si>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</si>
  <si>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</si>
  <si>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</si>
  <si>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</si>
  <si>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</si>
  <si>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</si>
  <si>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</si>
  <si>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</si>
  <si>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</si>
  <si>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</si>
  <si>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</si>
  <si>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</si>
  <si>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</si>
  <si>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</si>
  <si>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</si>
  <si>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</si>
  <si>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</si>
  <si>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</si>
  <si>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</si>
  <si>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</si>
  <si>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</si>
  <si>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</si>
  <si>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</si>
  <si>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</si>
  <si>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</si>
  <si>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</si>
  <si>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</si>
  <si>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</si>
  <si>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</si>
  <si>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</si>
  <si>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</si>
  <si>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</si>
  <si>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</si>
  <si>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</si>
  <si>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</si>
  <si>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</si>
  <si>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</si>
  <si>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</si>
  <si>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</si>
  <si>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</si>
  <si>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</si>
  <si>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</si>
  <si>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</si>
  <si>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</si>
  <si>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</si>
  <si>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</si>
  <si>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</si>
  <si>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</si>
  <si>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</si>
  <si>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</si>
  <si>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</si>
  <si>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</si>
  <si>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</si>
  <si>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</si>
  <si>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</si>
  <si>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</si>
  <si>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</si>
  <si>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</si>
  <si>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</si>
  <si>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</si>
  <si>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</si>
  <si>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</si>
  <si>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</si>
  <si>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</si>
  <si>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</si>
  <si>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</si>
  <si>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</si>
  <si>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</si>
  <si>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</si>
  <si>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</si>
  <si>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</si>
  <si>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</si>
  <si>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</si>
  <si>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</si>
  <si>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</si>
  <si>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</si>
  <si>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</si>
  <si>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</si>
  <si>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</si>
  <si>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</si>
  <si>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</si>
  <si>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</si>
  <si>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</si>
  <si>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</si>
  <si>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</si>
  <si>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</si>
  <si>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</si>
  <si>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</si>
  <si>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</si>
  <si>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</si>
  <si>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</si>
  <si>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</si>
  <si>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</si>
  <si>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</si>
  <si>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</si>
  <si>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</si>
  <si>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</si>
  <si>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</si>
  <si>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</si>
  <si>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</si>
  <si>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</si>
  <si>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</si>
  <si>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</si>
  <si>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</si>
  <si>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</si>
  <si>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</si>
  <si>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</si>
  <si>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</si>
  <si>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</si>
  <si>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</si>
  <si>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</si>
  <si>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</si>
  <si>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</si>
  <si>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</si>
  <si>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</si>
  <si>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</si>
  <si>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</si>
  <si>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</si>
  <si>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</si>
  <si>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</si>
  <si>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</si>
  <si>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</si>
  <si>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</si>
  <si>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</si>
  <si>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</si>
  <si>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</si>
  <si>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</si>
  <si>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</si>
  <si>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</si>
  <si>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</si>
  <si>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</si>
  <si>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</si>
  <si>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</si>
  <si>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</si>
  <si>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</si>
  <si>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</si>
  <si>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</si>
  <si>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</si>
  <si>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</si>
  <si>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</si>
  <si>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</si>
  <si>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</si>
  <si>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</si>
  <si>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</si>
  <si>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</si>
  <si>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</si>
  <si>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</si>
  <si>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</si>
  <si>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</si>
  <si>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</si>
  <si>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</si>
  <si>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</si>
  <si>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</si>
  <si>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</si>
  <si>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</si>
  <si>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</si>
  <si>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</si>
  <si>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</si>
  <si>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</si>
  <si>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</si>
  <si>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</si>
  <si>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</si>
  <si>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</si>
  <si>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</si>
  <si>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</si>
  <si>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</si>
  <si>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</si>
  <si>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</si>
  <si>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</si>
  <si>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</si>
  <si>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</si>
  <si>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</si>
  <si>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</si>
  <si>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</si>
  <si>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</si>
  <si>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</si>
  <si>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</si>
  <si>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</si>
  <si>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</si>
  <si>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</si>
  <si>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</si>
  <si>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</si>
  <si>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</si>
  <si>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</si>
  <si>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</si>
  <si>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</si>
  <si>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</si>
  <si>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</si>
  <si>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</si>
  <si>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</si>
  <si>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</si>
  <si>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</si>
  <si>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</si>
  <si>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</si>
  <si>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</si>
  <si>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</si>
  <si>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</si>
  <si>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</si>
  <si>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</si>
  <si>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</si>
  <si>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</si>
  <si>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</si>
  <si>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</si>
  <si>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</si>
  <si>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</si>
  <si>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</si>
  <si>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</si>
  <si>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</si>
  <si>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</si>
  <si>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</si>
  <si>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</si>
  <si>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</si>
  <si>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</si>
  <si>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</si>
  <si>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</si>
  <si>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</si>
  <si>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</si>
  <si>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</si>
  <si>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</si>
  <si>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</si>
  <si>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</si>
  <si>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</si>
  <si>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</si>
  <si>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</si>
  <si>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</si>
  <si>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</si>
  <si>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</si>
  <si>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</si>
  <si>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</si>
  <si>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</si>
  <si>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</si>
  <si>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</si>
  <si>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</si>
  <si>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</si>
  <si>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</si>
  <si>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</si>
  <si>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</si>
  <si>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</si>
  <si>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</si>
  <si>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</si>
  <si>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</si>
  <si>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</si>
  <si>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</si>
  <si>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</si>
  <si>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</si>
  <si>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</si>
  <si>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</si>
  <si>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</si>
  <si>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</si>
  <si>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</si>
  <si>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</si>
  <si>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</si>
  <si>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</si>
  <si>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</si>
  <si>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</si>
  <si>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</si>
  <si>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</si>
  <si>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</si>
  <si>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</si>
  <si>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</si>
  <si>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</si>
  <si>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</si>
  <si>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</si>
  <si>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</si>
  <si>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</si>
  <si>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</si>
  <si>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</si>
  <si>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</si>
  <si>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</si>
  <si>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</si>
  <si>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</si>
  <si>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</si>
  <si>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</si>
  <si>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</si>
  <si>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</si>
  <si>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</si>
  <si>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</si>
  <si>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</si>
  <si>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</si>
  <si>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</si>
  <si>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</si>
  <si>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</si>
  <si>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</si>
  <si>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</si>
  <si>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</si>
  <si>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</si>
  <si>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</si>
  <si>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</si>
  <si>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</si>
  <si>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</si>
  <si>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</si>
  <si>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</si>
  <si>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</si>
  <si>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</si>
  <si>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</si>
  <si>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</si>
  <si>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</si>
  <si>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</si>
  <si>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</si>
  <si>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</si>
  <si>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</si>
  <si>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</si>
  <si>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</si>
  <si>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</si>
  <si>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</si>
  <si>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</si>
  <si>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</si>
  <si>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</si>
  <si>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</si>
  <si>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</si>
  <si>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</si>
  <si>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</si>
  <si>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</si>
  <si>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</si>
  <si>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</si>
  <si>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</si>
  <si>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</si>
  <si>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</si>
  <si>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</si>
  <si>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</si>
  <si>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</si>
  <si>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</si>
  <si>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</si>
  <si>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</si>
  <si>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</si>
  <si>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</si>
  <si>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</si>
  <si>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</si>
  <si>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</si>
  <si>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</si>
  <si>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</si>
  <si>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</si>
  <si>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</si>
  <si>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</si>
  <si>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</si>
  <si>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</si>
  <si>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</si>
  <si>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</si>
  <si>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</si>
  <si>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</si>
  <si>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</si>
  <si>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</si>
  <si>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</si>
  <si>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</si>
  <si>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</si>
  <si>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</si>
  <si>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</si>
  <si>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</si>
  <si>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</si>
  <si>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</si>
  <si>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</si>
  <si>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</si>
  <si>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</si>
  <si>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</si>
  <si>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</si>
  <si>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</si>
  <si>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</si>
  <si>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</si>
  <si>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</si>
  <si>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</si>
  <si>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</si>
  <si>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</si>
  <si>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</si>
  <si>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</si>
  <si>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</si>
  <si>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</si>
  <si>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</si>
  <si>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</si>
  <si>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</si>
  <si>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</si>
  <si>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</si>
  <si>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</si>
  <si>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</si>
  <si>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</si>
  <si>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</si>
  <si>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</si>
  <si>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</si>
  <si>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</si>
  <si>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</si>
  <si>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</si>
  <si>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</si>
  <si>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</si>
  <si>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</si>
  <si>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</si>
  <si>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</si>
  <si>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</si>
  <si>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</si>
  <si>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</si>
  <si>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</si>
  <si>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</si>
  <si>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</si>
  <si>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</si>
  <si>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</si>
  <si>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</si>
  <si>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</si>
  <si>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</si>
  <si>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</si>
  <si>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</si>
  <si>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</si>
  <si>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</si>
  <si>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</si>
  <si>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</si>
  <si>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</si>
  <si>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</si>
  <si>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</si>
  <si>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</si>
  <si>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</si>
  <si>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</si>
  <si>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</si>
  <si>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</si>
  <si>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</si>
  <si>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</si>
  <si>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</si>
  <si>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</si>
  <si>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</si>
  <si>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</si>
  <si>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</si>
  <si>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</si>
  <si>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</si>
  <si>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</si>
  <si>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</si>
  <si>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</si>
  <si>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</si>
  <si>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</si>
  <si>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</si>
  <si>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</si>
  <si>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</si>
  <si>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</si>
  <si>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</si>
  <si>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</si>
  <si>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</si>
  <si>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</si>
  <si>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</si>
  <si>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</si>
  <si>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</si>
  <si>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</si>
  <si>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</si>
  <si>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</si>
  <si>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</si>
  <si>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</si>
  <si>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</si>
  <si>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</si>
  <si>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</si>
  <si>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</si>
  <si>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</si>
  <si>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</si>
  <si>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</si>
  <si>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</si>
  <si>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</si>
  <si>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</si>
  <si>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</si>
  <si>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</si>
  <si>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</si>
  <si>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</si>
  <si>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</si>
  <si>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</si>
  <si>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</si>
  <si>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</si>
  <si>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</si>
  <si>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缝纫配方</t>
    <phoneticPr fontId="1" type="noConversion"/>
  </si>
  <si>
    <t>皮革</t>
    <phoneticPr fontId="1" type="noConversion"/>
  </si>
  <si>
    <t>沙发(红)</t>
    <phoneticPr fontId="1" type="noConversion"/>
  </si>
  <si>
    <t>沙发(蓝)</t>
  </si>
  <si>
    <t>沙发(红)</t>
    <phoneticPr fontId="1" type="noConversion"/>
  </si>
  <si>
    <t>盆栽1</t>
    <phoneticPr fontId="5" type="noConversion"/>
  </si>
  <si>
    <t>盆栽2</t>
  </si>
  <si>
    <t>盆栽3</t>
  </si>
  <si>
    <t>盆栽4</t>
  </si>
  <si>
    <t>盆栽5</t>
  </si>
  <si>
    <t>盆栽6</t>
  </si>
  <si>
    <t>壁炉</t>
    <phoneticPr fontId="5" type="noConversion"/>
  </si>
  <si>
    <t>柔软的双人沙发</t>
    <phoneticPr fontId="1" type="noConversion"/>
  </si>
  <si>
    <t>柔软的双人沙发</t>
    <phoneticPr fontId="1" type="noConversion"/>
  </si>
  <si>
    <t>绿意盎然的装饰品</t>
    <phoneticPr fontId="5" type="noConversion"/>
  </si>
  <si>
    <t>绿意盎然的装饰品</t>
    <phoneticPr fontId="5" type="noConversion"/>
  </si>
  <si>
    <t>绿意盎然的装饰品</t>
    <phoneticPr fontId="5" type="noConversion"/>
  </si>
  <si>
    <t>在寒冷的季节里感受温暖</t>
    <phoneticPr fontId="5" type="noConversion"/>
  </si>
  <si>
    <t>线鱼</t>
    <phoneticPr fontId="1" type="noConversion"/>
  </si>
  <si>
    <t>母鸡</t>
    <phoneticPr fontId="1" type="noConversion"/>
  </si>
  <si>
    <t>鸡</t>
    <phoneticPr fontId="1" type="noConversion"/>
  </si>
  <si>
    <t>鸭</t>
    <phoneticPr fontId="1" type="noConversion"/>
  </si>
  <si>
    <t>家兔</t>
    <phoneticPr fontId="1" type="noConversion"/>
  </si>
  <si>
    <t>绵羊</t>
    <phoneticPr fontId="1" type="noConversion"/>
  </si>
  <si>
    <t>奶牛</t>
    <phoneticPr fontId="1" type="noConversion"/>
  </si>
  <si>
    <t>马</t>
    <phoneticPr fontId="1" type="noConversion"/>
  </si>
  <si>
    <t>猪</t>
    <phoneticPr fontId="1" type="noConversion"/>
  </si>
  <si>
    <t>鸭子</t>
    <phoneticPr fontId="1" type="noConversion"/>
  </si>
  <si>
    <t>家兔</t>
    <phoneticPr fontId="1" type="noConversion"/>
  </si>
  <si>
    <t>普通的禽类，可以产出[鸡蛋]</t>
    <phoneticPr fontId="1" type="noConversion"/>
  </si>
  <si>
    <t>普通的禽类，可以产出[鸭绒]</t>
    <phoneticPr fontId="1" type="noConversion"/>
  </si>
  <si>
    <t>普通的兽类，可以产出[兔子脚]</t>
    <phoneticPr fontId="1" type="noConversion"/>
  </si>
  <si>
    <t>普通的兽类，可以产出[羊毛]</t>
    <phoneticPr fontId="1" type="noConversion"/>
  </si>
  <si>
    <t>普通的兽类，可以产出[鸡蛋]</t>
    <phoneticPr fontId="1" type="noConversion"/>
  </si>
  <si>
    <t>普通的兽类，可以产出[牛奶]</t>
    <phoneticPr fontId="1" type="noConversion"/>
  </si>
  <si>
    <t>普通的兽类，可以产出[猪肉]</t>
    <phoneticPr fontId="1" type="noConversion"/>
  </si>
  <si>
    <t>铁皮壶</t>
    <phoneticPr fontId="1" type="noConversion"/>
  </si>
  <si>
    <t>银皮壶</t>
    <phoneticPr fontId="1" type="noConversion"/>
  </si>
  <si>
    <t>金皮壶</t>
    <phoneticPr fontId="1" type="noConversion"/>
  </si>
  <si>
    <t>铁制做的浇灌农作物的工具,可以浇10次。</t>
    <phoneticPr fontId="1" type="noConversion"/>
  </si>
  <si>
    <t>铁制做的浇灌农作物的工具,可以浇30次。</t>
    <phoneticPr fontId="1" type="noConversion"/>
  </si>
  <si>
    <t>铁制做的浇灌农作物的工具,可以浇60次。</t>
    <phoneticPr fontId="1" type="noConversion"/>
  </si>
  <si>
    <t>Waterpot1</t>
    <phoneticPr fontId="1" type="noConversion"/>
  </si>
  <si>
    <t>Waterpot2</t>
    <phoneticPr fontId="1" type="noConversion"/>
  </si>
  <si>
    <t>HP恢复15</t>
  </si>
  <si>
    <t>HP恢复50</t>
  </si>
  <si>
    <t>HP恢复20</t>
  </si>
  <si>
    <t>HP恢复25</t>
  </si>
  <si>
    <t>HP恢复35</t>
  </si>
  <si>
    <t>HP恢复80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</si>
  <si>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</si>
  <si>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</si>
  <si>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</si>
  <si>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</si>
  <si>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</si>
  <si>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</si>
  <si>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HP恢复70</t>
  </si>
  <si>
    <t>HP恢复60</t>
  </si>
  <si>
    <t>HP恢复120</t>
  </si>
  <si>
    <t>HP恢复180</t>
  </si>
  <si>
    <t>HP恢复120,MP恢复40</t>
  </si>
  <si>
    <t>HP恢复160,MP恢复100</t>
  </si>
  <si>
    <t>MP恢复200</t>
    <phoneticPr fontId="1" type="noConversion"/>
  </si>
  <si>
    <t>MP恢复60</t>
    <phoneticPr fontId="1" type="noConversion"/>
  </si>
  <si>
    <t>体力恢复50</t>
    <phoneticPr fontId="1" type="noConversion"/>
  </si>
  <si>
    <t>MP恢复160</t>
    <phoneticPr fontId="1" type="noConversion"/>
  </si>
  <si>
    <t>MP恢复20</t>
    <phoneticPr fontId="1" type="noConversion"/>
  </si>
  <si>
    <t>MP恢复40</t>
    <phoneticPr fontId="1" type="noConversion"/>
  </si>
  <si>
    <t>体力恢复40</t>
    <phoneticPr fontId="1" type="noConversion"/>
  </si>
  <si>
    <t>体力恢复30</t>
    <phoneticPr fontId="1" type="noConversion"/>
  </si>
  <si>
    <t>MP恢复70</t>
    <phoneticPr fontId="1" type="noConversion"/>
  </si>
  <si>
    <t>MP恢复80</t>
    <phoneticPr fontId="1" type="noConversion"/>
  </si>
  <si>
    <t>MP恢复100</t>
    <phoneticPr fontId="1" type="noConversion"/>
  </si>
  <si>
    <t>体力恢复170</t>
    <phoneticPr fontId="1" type="noConversion"/>
  </si>
  <si>
    <t>体力恢复180</t>
    <phoneticPr fontId="1" type="noConversion"/>
  </si>
  <si>
    <t>MP恢复50</t>
    <phoneticPr fontId="1" type="noConversion"/>
  </si>
  <si>
    <t>体力恢复160</t>
    <phoneticPr fontId="1" type="noConversion"/>
  </si>
  <si>
    <t>体力恢复60</t>
    <phoneticPr fontId="1" type="noConversion"/>
  </si>
  <si>
    <t>体力恢复20</t>
    <phoneticPr fontId="1" type="noConversion"/>
  </si>
  <si>
    <t>MP恢复10</t>
    <phoneticPr fontId="1" type="noConversion"/>
  </si>
  <si>
    <t>体力恢复140</t>
    <phoneticPr fontId="1" type="noConversion"/>
  </si>
  <si>
    <t>体力恢复120</t>
    <phoneticPr fontId="1" type="noConversion"/>
  </si>
  <si>
    <t>体力恢复80</t>
    <phoneticPr fontId="1" type="noConversion"/>
  </si>
  <si>
    <t>体力恢复100</t>
    <phoneticPr fontId="1" type="noConversion"/>
  </si>
  <si>
    <t>useInfo</t>
    <phoneticPr fontId="1" type="noConversion"/>
  </si>
  <si>
    <t>Hoe</t>
    <phoneticPr fontId="1" type="noConversion"/>
  </si>
  <si>
    <t>Waterpot</t>
    <phoneticPr fontId="1" type="noConversion"/>
  </si>
  <si>
    <t>斧头</t>
    <phoneticPr fontId="1" type="noConversion"/>
  </si>
  <si>
    <t>Sickle</t>
    <phoneticPr fontId="1" type="noConversion"/>
  </si>
  <si>
    <t>鲫鱼</t>
    <phoneticPr fontId="1" type="noConversion"/>
  </si>
  <si>
    <t>小龙虾</t>
    <phoneticPr fontId="1" type="noConversion"/>
  </si>
  <si>
    <t>鲤鱼</t>
    <phoneticPr fontId="1" type="noConversion"/>
  </si>
  <si>
    <t>鲮鱼</t>
    <phoneticPr fontId="1" type="noConversion"/>
  </si>
  <si>
    <t>河蟹</t>
    <phoneticPr fontId="1" type="noConversion"/>
  </si>
  <si>
    <t>鲶鱼</t>
    <phoneticPr fontId="1" type="noConversion"/>
  </si>
  <si>
    <t>锦鲤</t>
    <phoneticPr fontId="1" type="noConversion"/>
  </si>
  <si>
    <t>梭鲈</t>
    <phoneticPr fontId="1" type="noConversion"/>
  </si>
  <si>
    <t>兰寿金鱼</t>
    <phoneticPr fontId="1" type="noConversion"/>
  </si>
  <si>
    <t>樱桃鲑鱼</t>
    <phoneticPr fontId="1" type="noConversion"/>
  </si>
  <si>
    <t>虹鳟鱼</t>
    <phoneticPr fontId="1" type="noConversion"/>
  </si>
  <si>
    <t>金鳟鱼</t>
    <phoneticPr fontId="1" type="noConversion"/>
  </si>
  <si>
    <t>霓虹脂鲤</t>
    <phoneticPr fontId="1" type="noConversion"/>
  </si>
  <si>
    <t>鲑鱼</t>
    <phoneticPr fontId="1" type="noConversion"/>
  </si>
  <si>
    <t>沙丁鱼</t>
    <phoneticPr fontId="1" type="noConversion"/>
  </si>
  <si>
    <t>海鳗</t>
    <phoneticPr fontId="1" type="noConversion"/>
  </si>
  <si>
    <t>章鱼</t>
    <phoneticPr fontId="1" type="noConversion"/>
  </si>
  <si>
    <t>比目鱼</t>
    <phoneticPr fontId="1" type="noConversion"/>
  </si>
  <si>
    <t>河豚鱼</t>
    <phoneticPr fontId="1" type="noConversion"/>
  </si>
  <si>
    <t>水母</t>
    <phoneticPr fontId="5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</si>
  <si>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</si>
  <si>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</si>
  <si>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</si>
  <si>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龙虾</t>
    <phoneticPr fontId="1" type="noConversion"/>
  </si>
  <si>
    <t>金枪鱼</t>
    <phoneticPr fontId="1" type="noConversion"/>
  </si>
  <si>
    <t>MP恢复70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</si>
</sst>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H412"/>
  <sheetViews>
    <sheetView tabSelected="1" zoomScaleNormal="100" workbookViewId="0">
      <pane xSplit="1" ySplit="3" topLeftCell="B10" activePane="bottomRight" state="frozen"/>
      <selection pane="topRight" activeCell="B1" sqref="B1"/>
      <selection pane="bottomLeft" activeCell="A4" sqref="A4"/>
      <selection pane="bottomRight" activeCell="B27" sqref="B27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34" width="17.75" style="1" customWidth="1"/>
    <col min="35" max="16384" width="7.75" style="1"/>
  </cols>
  <sheetData>
    <row r="2" spans="1:34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712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782</v>
      </c>
      <c r="R2" s="36" t="s">
        <v>782</v>
      </c>
      <c r="S2" s="36" t="s">
        <v>0</v>
      </c>
      <c r="T2" s="2" t="s">
        <v>11</v>
      </c>
      <c r="U2" s="2" t="s">
        <v>784</v>
      </c>
      <c r="V2" s="1" t="s">
        <v>694</v>
      </c>
      <c r="W2" s="1" t="s">
        <v>694</v>
      </c>
      <c r="X2" s="1" t="s">
        <v>694</v>
      </c>
      <c r="Y2" s="1" t="s">
        <v>694</v>
      </c>
      <c r="Z2" s="1" t="s">
        <v>694</v>
      </c>
      <c r="AA2" s="1" t="s">
        <v>694</v>
      </c>
      <c r="AB2" s="1" t="s">
        <v>694</v>
      </c>
      <c r="AC2" s="1" t="s">
        <v>694</v>
      </c>
      <c r="AD2" s="1" t="s">
        <v>694</v>
      </c>
      <c r="AE2" s="1" t="s">
        <v>694</v>
      </c>
      <c r="AF2" s="1" t="s">
        <v>694</v>
      </c>
      <c r="AG2" s="1" t="s">
        <v>1</v>
      </c>
      <c r="AH2" s="1" t="s">
        <v>1</v>
      </c>
    </row>
    <row r="3" spans="1:34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695</v>
      </c>
      <c r="G3" s="1" t="s">
        <v>16</v>
      </c>
      <c r="H3" s="1" t="s">
        <v>32</v>
      </c>
      <c r="I3" s="1" t="s">
        <v>713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800</v>
      </c>
      <c r="R3" s="36" t="s">
        <v>10</v>
      </c>
      <c r="S3" s="36" t="s">
        <v>805</v>
      </c>
      <c r="T3" s="2" t="s">
        <v>9</v>
      </c>
      <c r="U3" s="2" t="s">
        <v>785</v>
      </c>
      <c r="V3" s="1" t="s">
        <v>683</v>
      </c>
      <c r="W3" s="1" t="s">
        <v>684</v>
      </c>
      <c r="X3" s="1" t="s">
        <v>685</v>
      </c>
      <c r="Y3" s="1" t="s">
        <v>686</v>
      </c>
      <c r="Z3" s="1" t="s">
        <v>687</v>
      </c>
      <c r="AA3" s="1" t="s">
        <v>688</v>
      </c>
      <c r="AB3" s="1" t="s">
        <v>689</v>
      </c>
      <c r="AC3" s="1" t="s">
        <v>690</v>
      </c>
      <c r="AD3" s="1" t="s">
        <v>691</v>
      </c>
      <c r="AE3" s="1" t="s">
        <v>692</v>
      </c>
      <c r="AF3" s="1" t="s">
        <v>693</v>
      </c>
      <c r="AG3" s="1" t="s">
        <v>6</v>
      </c>
      <c r="AH3" s="1" t="s">
        <v>1622</v>
      </c>
    </row>
    <row r="4" spans="1:34" x14ac:dyDescent="0.15">
      <c r="A4" s="1" t="s">
        <v>112</v>
      </c>
      <c r="B4" s="1">
        <v>1</v>
      </c>
      <c r="C4" s="1" t="s">
        <v>113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802</v>
      </c>
      <c r="R4" s="36" t="s">
        <v>803</v>
      </c>
      <c r="S4" s="36">
        <v>0</v>
      </c>
      <c r="U4" s="2" t="s">
        <v>786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114</v>
      </c>
    </row>
    <row r="5" spans="1:34" x14ac:dyDescent="0.15">
      <c r="A5" s="1" t="s">
        <v>318</v>
      </c>
      <c r="B5" s="1">
        <v>20</v>
      </c>
      <c r="C5" s="1" t="s">
        <v>318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802</v>
      </c>
      <c r="R5" s="36" t="s">
        <v>803</v>
      </c>
      <c r="S5" s="36">
        <v>0</v>
      </c>
      <c r="U5" s="2" t="s">
        <v>786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115</v>
      </c>
    </row>
    <row r="6" spans="1:34" x14ac:dyDescent="0.15">
      <c r="A6" s="1" t="s">
        <v>319</v>
      </c>
      <c r="B6" s="1">
        <v>21</v>
      </c>
      <c r="C6" s="1" t="s">
        <v>319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802</v>
      </c>
      <c r="R6" s="36" t="s">
        <v>803</v>
      </c>
      <c r="S6" s="36">
        <v>0</v>
      </c>
      <c r="U6" s="2" t="s">
        <v>786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115</v>
      </c>
    </row>
    <row r="7" spans="1:34" x14ac:dyDescent="0.15">
      <c r="A7" s="1" t="s">
        <v>320</v>
      </c>
      <c r="B7" s="1">
        <v>22</v>
      </c>
      <c r="C7" s="1" t="s">
        <v>320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802</v>
      </c>
      <c r="R7" s="36" t="s">
        <v>803</v>
      </c>
      <c r="S7" s="36">
        <v>0</v>
      </c>
      <c r="U7" s="2" t="s">
        <v>786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115</v>
      </c>
    </row>
    <row r="8" spans="1:34" x14ac:dyDescent="0.15">
      <c r="A8" s="1" t="s">
        <v>321</v>
      </c>
      <c r="B8" s="1">
        <v>23</v>
      </c>
      <c r="C8" s="1" t="s">
        <v>321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802</v>
      </c>
      <c r="R8" s="36" t="s">
        <v>803</v>
      </c>
      <c r="S8" s="36">
        <v>0</v>
      </c>
      <c r="U8" s="2" t="s">
        <v>786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115</v>
      </c>
    </row>
    <row r="9" spans="1:34" x14ac:dyDescent="0.15">
      <c r="A9" s="1" t="s">
        <v>322</v>
      </c>
      <c r="B9" s="1">
        <v>24</v>
      </c>
      <c r="C9" s="1" t="s">
        <v>322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802</v>
      </c>
      <c r="R9" s="36" t="s">
        <v>803</v>
      </c>
      <c r="S9" s="36">
        <v>0</v>
      </c>
      <c r="U9" s="2" t="s">
        <v>786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115</v>
      </c>
    </row>
    <row r="10" spans="1:34" x14ac:dyDescent="0.15">
      <c r="A10" s="1" t="s">
        <v>614</v>
      </c>
      <c r="B10" s="1">
        <v>25</v>
      </c>
      <c r="C10" s="1" t="s">
        <v>676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802</v>
      </c>
      <c r="R10" s="36" t="s">
        <v>803</v>
      </c>
      <c r="S10" s="36">
        <v>0</v>
      </c>
      <c r="U10" s="2" t="s">
        <v>786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613</v>
      </c>
    </row>
    <row r="11" spans="1:34" x14ac:dyDescent="0.15">
      <c r="A11" s="1" t="s">
        <v>612</v>
      </c>
      <c r="B11" s="1">
        <v>26</v>
      </c>
      <c r="C11" s="1" t="s">
        <v>678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802</v>
      </c>
      <c r="R11" s="36" t="s">
        <v>803</v>
      </c>
      <c r="S11" s="36">
        <v>0</v>
      </c>
      <c r="U11" s="2" t="s">
        <v>786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613</v>
      </c>
    </row>
    <row r="12" spans="1:34" x14ac:dyDescent="0.15">
      <c r="A12" s="1" t="s">
        <v>615</v>
      </c>
      <c r="B12" s="1">
        <v>27</v>
      </c>
      <c r="C12" s="1" t="s">
        <v>677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802</v>
      </c>
      <c r="R12" s="36" t="s">
        <v>803</v>
      </c>
      <c r="S12" s="36">
        <v>0</v>
      </c>
      <c r="U12" s="2" t="s">
        <v>786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613</v>
      </c>
    </row>
    <row r="13" spans="1:34" x14ac:dyDescent="0.15">
      <c r="A13" s="1" t="s">
        <v>771</v>
      </c>
      <c r="B13" s="1">
        <v>11</v>
      </c>
      <c r="C13" s="1" t="s">
        <v>118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801</v>
      </c>
      <c r="R13" s="36" t="s">
        <v>783</v>
      </c>
      <c r="S13" s="36">
        <v>0</v>
      </c>
      <c r="U13" s="2" t="s">
        <v>786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119</v>
      </c>
    </row>
    <row r="14" spans="1:34" x14ac:dyDescent="0.15">
      <c r="A14" s="1" t="s">
        <v>156</v>
      </c>
      <c r="B14" s="1">
        <v>12</v>
      </c>
      <c r="C14" s="1" t="s">
        <v>156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801</v>
      </c>
      <c r="R14" s="36" t="s">
        <v>803</v>
      </c>
      <c r="S14" s="36">
        <v>0</v>
      </c>
      <c r="U14" s="2" t="s">
        <v>786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157</v>
      </c>
    </row>
    <row r="15" spans="1:34" x14ac:dyDescent="0.15">
      <c r="A15" s="1" t="s">
        <v>768</v>
      </c>
      <c r="B15" s="1">
        <v>20</v>
      </c>
      <c r="C15" s="27" t="s">
        <v>767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801</v>
      </c>
      <c r="R15" s="36" t="s">
        <v>803</v>
      </c>
      <c r="S15" s="36">
        <v>0</v>
      </c>
      <c r="U15" s="2" t="s">
        <v>786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970</v>
      </c>
    </row>
    <row r="16" spans="1:34" x14ac:dyDescent="0.15">
      <c r="A16" s="1" t="s">
        <v>769</v>
      </c>
      <c r="B16" s="1">
        <v>21</v>
      </c>
      <c r="C16" s="27" t="s">
        <v>766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801</v>
      </c>
      <c r="R16" s="36" t="s">
        <v>803</v>
      </c>
      <c r="S16" s="36">
        <v>0</v>
      </c>
      <c r="U16" s="2" t="s">
        <v>786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971</v>
      </c>
    </row>
    <row r="17" spans="1:33" x14ac:dyDescent="0.15">
      <c r="A17" s="1" t="s">
        <v>770</v>
      </c>
      <c r="B17" s="1">
        <v>22</v>
      </c>
      <c r="C17" s="27" t="s">
        <v>762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801</v>
      </c>
      <c r="R17" s="36" t="s">
        <v>803</v>
      </c>
      <c r="S17" s="36">
        <v>0</v>
      </c>
      <c r="U17" s="2" t="s">
        <v>786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972</v>
      </c>
    </row>
    <row r="18" spans="1:33" x14ac:dyDescent="0.15">
      <c r="A18" s="1" t="s">
        <v>1538</v>
      </c>
      <c r="B18" s="1">
        <v>23</v>
      </c>
      <c r="C18" s="27" t="s">
        <v>763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801</v>
      </c>
      <c r="R18" s="36" t="s">
        <v>803</v>
      </c>
      <c r="S18" s="36">
        <v>0</v>
      </c>
      <c r="U18" s="2" t="s">
        <v>786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973</v>
      </c>
    </row>
    <row r="19" spans="1:33" x14ac:dyDescent="0.15">
      <c r="A19" s="1" t="s">
        <v>765</v>
      </c>
      <c r="B19" s="1">
        <v>24</v>
      </c>
      <c r="C19" s="27" t="s">
        <v>764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801</v>
      </c>
      <c r="R19" s="36" t="s">
        <v>803</v>
      </c>
      <c r="S19" s="36">
        <v>0</v>
      </c>
      <c r="U19" s="2" t="s">
        <v>786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974</v>
      </c>
    </row>
    <row r="20" spans="1:33" x14ac:dyDescent="0.15">
      <c r="A20" s="1" t="s">
        <v>116</v>
      </c>
      <c r="B20" s="1">
        <v>100</v>
      </c>
      <c r="C20" s="1" t="s">
        <v>116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804</v>
      </c>
      <c r="R20" s="36" t="s">
        <v>803</v>
      </c>
      <c r="S20" s="36">
        <v>0</v>
      </c>
      <c r="U20" s="2" t="s">
        <v>786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117</v>
      </c>
    </row>
    <row r="21" spans="1:33" x14ac:dyDescent="0.15">
      <c r="A21" s="12" t="s">
        <v>323</v>
      </c>
      <c r="B21" s="1">
        <v>101</v>
      </c>
      <c r="C21" s="12" t="s">
        <v>323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804</v>
      </c>
      <c r="R21" s="36" t="s">
        <v>803</v>
      </c>
      <c r="S21" s="36">
        <v>0</v>
      </c>
      <c r="U21" s="2" t="s">
        <v>786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975</v>
      </c>
    </row>
    <row r="22" spans="1:33" x14ac:dyDescent="0.15">
      <c r="A22" s="12" t="s">
        <v>324</v>
      </c>
      <c r="B22" s="1">
        <v>102</v>
      </c>
      <c r="C22" s="12" t="s">
        <v>324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804</v>
      </c>
      <c r="R22" s="36" t="s">
        <v>803</v>
      </c>
      <c r="S22" s="36">
        <v>0</v>
      </c>
      <c r="U22" s="2" t="s">
        <v>786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976</v>
      </c>
    </row>
    <row r="23" spans="1:33" x14ac:dyDescent="0.15">
      <c r="A23" s="12" t="s">
        <v>325</v>
      </c>
      <c r="B23" s="1">
        <v>103</v>
      </c>
      <c r="C23" s="12" t="s">
        <v>325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804</v>
      </c>
      <c r="R23" s="36" t="s">
        <v>803</v>
      </c>
      <c r="S23" s="36">
        <v>0</v>
      </c>
      <c r="U23" s="2" t="s">
        <v>786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977</v>
      </c>
    </row>
    <row r="24" spans="1:33" x14ac:dyDescent="0.15">
      <c r="A24" s="12" t="s">
        <v>326</v>
      </c>
      <c r="B24" s="1">
        <v>104</v>
      </c>
      <c r="C24" s="12" t="s">
        <v>326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804</v>
      </c>
      <c r="R24" s="36" t="s">
        <v>803</v>
      </c>
      <c r="S24" s="36">
        <v>0</v>
      </c>
      <c r="U24" s="2" t="s">
        <v>786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978</v>
      </c>
    </row>
    <row r="25" spans="1:33" x14ac:dyDescent="0.15">
      <c r="A25" s="12" t="s">
        <v>329</v>
      </c>
      <c r="B25" s="1">
        <v>105</v>
      </c>
      <c r="C25" s="12" t="s">
        <v>329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804</v>
      </c>
      <c r="R25" s="36" t="s">
        <v>803</v>
      </c>
      <c r="S25" s="36">
        <v>0</v>
      </c>
      <c r="U25" s="2" t="s">
        <v>786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979</v>
      </c>
    </row>
    <row r="26" spans="1:33" ht="14.25" customHeight="1" x14ac:dyDescent="0.15">
      <c r="A26" s="12" t="s">
        <v>675</v>
      </c>
      <c r="B26" s="1">
        <v>200</v>
      </c>
      <c r="C26" s="12" t="s">
        <v>675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804</v>
      </c>
      <c r="R26" s="36" t="s">
        <v>803</v>
      </c>
      <c r="S26" s="36">
        <v>0</v>
      </c>
      <c r="U26" s="2" t="s">
        <v>786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1231</v>
      </c>
    </row>
    <row r="27" spans="1:33" x14ac:dyDescent="0.15">
      <c r="A27" s="12" t="s">
        <v>443</v>
      </c>
      <c r="B27" s="1">
        <v>201</v>
      </c>
      <c r="C27" s="12" t="s">
        <v>443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804</v>
      </c>
      <c r="R27" s="36" t="s">
        <v>803</v>
      </c>
      <c r="S27" s="36">
        <v>0</v>
      </c>
      <c r="U27" s="2" t="s">
        <v>786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1232</v>
      </c>
    </row>
    <row r="28" spans="1:33" x14ac:dyDescent="0.15">
      <c r="A28" s="12" t="s">
        <v>444</v>
      </c>
      <c r="B28" s="1">
        <v>202</v>
      </c>
      <c r="C28" s="12" t="s">
        <v>444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804</v>
      </c>
      <c r="R28" s="36" t="s">
        <v>803</v>
      </c>
      <c r="S28" s="36">
        <v>0</v>
      </c>
      <c r="U28" s="2" t="s">
        <v>786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1233</v>
      </c>
    </row>
    <row r="29" spans="1:33" x14ac:dyDescent="0.15">
      <c r="A29" s="12" t="s">
        <v>346</v>
      </c>
      <c r="B29" s="1">
        <v>203</v>
      </c>
      <c r="C29" s="12" t="s">
        <v>346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804</v>
      </c>
      <c r="R29" s="36" t="s">
        <v>803</v>
      </c>
      <c r="S29" s="36">
        <v>0</v>
      </c>
      <c r="U29" s="2" t="s">
        <v>786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352</v>
      </c>
      <c r="B30" s="1">
        <v>204</v>
      </c>
      <c r="C30" s="12" t="s">
        <v>352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804</v>
      </c>
      <c r="R30" s="36" t="s">
        <v>803</v>
      </c>
      <c r="S30" s="36">
        <v>0</v>
      </c>
      <c r="U30" s="2" t="s">
        <v>786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445</v>
      </c>
      <c r="B31" s="1">
        <v>205</v>
      </c>
      <c r="C31" s="12" t="s">
        <v>445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804</v>
      </c>
      <c r="R31" s="36" t="s">
        <v>803</v>
      </c>
      <c r="S31" s="36">
        <v>0</v>
      </c>
      <c r="U31" s="2" t="s">
        <v>786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1234</v>
      </c>
    </row>
    <row r="32" spans="1:33" x14ac:dyDescent="0.15">
      <c r="A32" s="12" t="s">
        <v>446</v>
      </c>
      <c r="B32" s="1">
        <v>207</v>
      </c>
      <c r="C32" s="12" t="s">
        <v>446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804</v>
      </c>
      <c r="R32" s="36" t="s">
        <v>803</v>
      </c>
      <c r="S32" s="36">
        <v>0</v>
      </c>
      <c r="U32" s="2" t="s">
        <v>786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1235</v>
      </c>
    </row>
    <row r="33" spans="1:33" x14ac:dyDescent="0.15">
      <c r="A33" s="12" t="s">
        <v>447</v>
      </c>
      <c r="B33" s="1">
        <v>208</v>
      </c>
      <c r="C33" s="12" t="s">
        <v>447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804</v>
      </c>
      <c r="R33" s="36" t="s">
        <v>803</v>
      </c>
      <c r="S33" s="36">
        <v>0</v>
      </c>
      <c r="U33" s="2" t="s">
        <v>786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1236</v>
      </c>
    </row>
    <row r="34" spans="1:33" x14ac:dyDescent="0.15">
      <c r="A34" s="12" t="s">
        <v>448</v>
      </c>
      <c r="B34" s="1">
        <v>210</v>
      </c>
      <c r="C34" s="12" t="s">
        <v>448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804</v>
      </c>
      <c r="R34" s="36" t="s">
        <v>803</v>
      </c>
      <c r="S34" s="36">
        <v>0</v>
      </c>
      <c r="U34" s="2" t="s">
        <v>786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1237</v>
      </c>
    </row>
    <row r="35" spans="1:33" x14ac:dyDescent="0.15">
      <c r="A35" s="12" t="s">
        <v>370</v>
      </c>
      <c r="B35" s="1">
        <v>211</v>
      </c>
      <c r="C35" s="12" t="s">
        <v>370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804</v>
      </c>
      <c r="R35" s="36" t="s">
        <v>803</v>
      </c>
      <c r="S35" s="36">
        <v>0</v>
      </c>
      <c r="U35" s="2" t="s">
        <v>786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449</v>
      </c>
      <c r="B36" s="1">
        <v>212</v>
      </c>
      <c r="C36" s="12" t="s">
        <v>449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804</v>
      </c>
      <c r="R36" s="36" t="s">
        <v>803</v>
      </c>
      <c r="S36" s="36">
        <v>0</v>
      </c>
      <c r="U36" s="2" t="s">
        <v>786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1238</v>
      </c>
    </row>
    <row r="37" spans="1:33" x14ac:dyDescent="0.15">
      <c r="A37" s="12" t="s">
        <v>450</v>
      </c>
      <c r="B37" s="1">
        <v>213</v>
      </c>
      <c r="C37" s="12" t="s">
        <v>450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804</v>
      </c>
      <c r="R37" s="36" t="s">
        <v>803</v>
      </c>
      <c r="S37" s="36">
        <v>0</v>
      </c>
      <c r="U37" s="2" t="s">
        <v>786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1239</v>
      </c>
    </row>
    <row r="38" spans="1:33" x14ac:dyDescent="0.15">
      <c r="A38" s="12" t="s">
        <v>357</v>
      </c>
      <c r="B38" s="1">
        <v>214</v>
      </c>
      <c r="C38" s="12" t="s">
        <v>357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804</v>
      </c>
      <c r="R38" s="36" t="s">
        <v>803</v>
      </c>
      <c r="S38" s="36">
        <v>0</v>
      </c>
      <c r="U38" s="2" t="s">
        <v>786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664</v>
      </c>
      <c r="B39" s="1">
        <v>215</v>
      </c>
      <c r="C39" s="12" t="s">
        <v>451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804</v>
      </c>
      <c r="R39" s="36" t="s">
        <v>803</v>
      </c>
      <c r="S39" s="36">
        <v>0</v>
      </c>
      <c r="U39" s="2" t="s">
        <v>786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1240</v>
      </c>
    </row>
    <row r="40" spans="1:33" x14ac:dyDescent="0.15">
      <c r="A40" s="12" t="s">
        <v>665</v>
      </c>
      <c r="B40" s="1">
        <v>216</v>
      </c>
      <c r="C40" s="12" t="s">
        <v>452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804</v>
      </c>
      <c r="R40" s="36" t="s">
        <v>803</v>
      </c>
      <c r="S40" s="36">
        <v>0</v>
      </c>
      <c r="U40" s="2" t="s">
        <v>786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1241</v>
      </c>
    </row>
    <row r="41" spans="1:33" x14ac:dyDescent="0.15">
      <c r="A41" s="12" t="s">
        <v>453</v>
      </c>
      <c r="B41" s="1">
        <v>217</v>
      </c>
      <c r="C41" s="12" t="s">
        <v>453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804</v>
      </c>
      <c r="R41" s="36" t="s">
        <v>803</v>
      </c>
      <c r="S41" s="36">
        <v>0</v>
      </c>
      <c r="U41" s="2" t="s">
        <v>786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1242</v>
      </c>
    </row>
    <row r="42" spans="1:33" x14ac:dyDescent="0.15">
      <c r="A42" s="12" t="s">
        <v>454</v>
      </c>
      <c r="B42" s="1">
        <v>218</v>
      </c>
      <c r="C42" s="12" t="s">
        <v>454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804</v>
      </c>
      <c r="R42" s="36" t="s">
        <v>803</v>
      </c>
      <c r="S42" s="36">
        <v>0</v>
      </c>
      <c r="U42" s="2" t="s">
        <v>786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1243</v>
      </c>
    </row>
    <row r="43" spans="1:33" x14ac:dyDescent="0.15">
      <c r="A43" s="12" t="s">
        <v>455</v>
      </c>
      <c r="B43" s="1">
        <v>219</v>
      </c>
      <c r="C43" s="12" t="s">
        <v>455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804</v>
      </c>
      <c r="R43" s="36" t="s">
        <v>803</v>
      </c>
      <c r="S43" s="36">
        <v>0</v>
      </c>
      <c r="U43" s="2" t="s">
        <v>786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1244</v>
      </c>
    </row>
    <row r="44" spans="1:33" x14ac:dyDescent="0.15">
      <c r="A44" s="12" t="s">
        <v>360</v>
      </c>
      <c r="B44" s="1">
        <v>220</v>
      </c>
      <c r="C44" s="12" t="s">
        <v>360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804</v>
      </c>
      <c r="R44" s="36" t="s">
        <v>803</v>
      </c>
      <c r="S44" s="36">
        <v>0</v>
      </c>
      <c r="U44" s="2" t="s">
        <v>786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456</v>
      </c>
      <c r="B45" s="1">
        <v>221</v>
      </c>
      <c r="C45" s="12" t="s">
        <v>456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804</v>
      </c>
      <c r="R45" s="36" t="s">
        <v>803</v>
      </c>
      <c r="S45" s="36">
        <v>0</v>
      </c>
      <c r="U45" s="2" t="s">
        <v>786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1245</v>
      </c>
    </row>
    <row r="46" spans="1:33" x14ac:dyDescent="0.15">
      <c r="A46" s="12" t="s">
        <v>457</v>
      </c>
      <c r="B46" s="1">
        <v>222</v>
      </c>
      <c r="C46" s="12" t="s">
        <v>457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804</v>
      </c>
      <c r="R46" s="36" t="s">
        <v>803</v>
      </c>
      <c r="S46" s="36">
        <v>0</v>
      </c>
      <c r="U46" s="2" t="s">
        <v>786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1246</v>
      </c>
    </row>
    <row r="47" spans="1:33" x14ac:dyDescent="0.15">
      <c r="A47" s="12" t="s">
        <v>348</v>
      </c>
      <c r="B47" s="1">
        <v>223</v>
      </c>
      <c r="C47" s="12" t="s">
        <v>348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804</v>
      </c>
      <c r="R47" s="36" t="s">
        <v>803</v>
      </c>
      <c r="S47" s="36">
        <v>0</v>
      </c>
      <c r="U47" s="2" t="s">
        <v>786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369</v>
      </c>
      <c r="B48" s="1">
        <v>224</v>
      </c>
      <c r="C48" s="12" t="s">
        <v>369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804</v>
      </c>
      <c r="R48" s="36" t="s">
        <v>803</v>
      </c>
      <c r="S48" s="36">
        <v>0</v>
      </c>
      <c r="U48" s="2" t="s">
        <v>786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458</v>
      </c>
      <c r="B49" s="1">
        <v>225</v>
      </c>
      <c r="C49" s="12" t="s">
        <v>458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804</v>
      </c>
      <c r="R49" s="36" t="s">
        <v>803</v>
      </c>
      <c r="S49" s="36">
        <v>0</v>
      </c>
      <c r="U49" s="2" t="s">
        <v>786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1247</v>
      </c>
    </row>
    <row r="50" spans="1:33" x14ac:dyDescent="0.15">
      <c r="A50" s="12" t="s">
        <v>459</v>
      </c>
      <c r="B50" s="1">
        <v>226</v>
      </c>
      <c r="C50" s="12" t="s">
        <v>459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804</v>
      </c>
      <c r="R50" s="36" t="s">
        <v>803</v>
      </c>
      <c r="S50" s="36">
        <v>0</v>
      </c>
      <c r="U50" s="2" t="s">
        <v>786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1248</v>
      </c>
    </row>
    <row r="51" spans="1:33" x14ac:dyDescent="0.15">
      <c r="A51" s="12" t="s">
        <v>362</v>
      </c>
      <c r="B51" s="1">
        <v>227</v>
      </c>
      <c r="C51" s="12" t="s">
        <v>362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804</v>
      </c>
      <c r="R51" s="36" t="s">
        <v>803</v>
      </c>
      <c r="S51" s="36">
        <v>0</v>
      </c>
      <c r="U51" s="2" t="s">
        <v>786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361</v>
      </c>
      <c r="B52" s="1">
        <v>228</v>
      </c>
      <c r="C52" s="12" t="s">
        <v>361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804</v>
      </c>
      <c r="R52" s="36" t="s">
        <v>803</v>
      </c>
      <c r="S52" s="36">
        <v>0</v>
      </c>
      <c r="U52" s="2" t="s">
        <v>786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460</v>
      </c>
      <c r="B53" s="1">
        <v>229</v>
      </c>
      <c r="C53" s="12" t="s">
        <v>460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804</v>
      </c>
      <c r="R53" s="36" t="s">
        <v>803</v>
      </c>
      <c r="S53" s="36">
        <v>0</v>
      </c>
      <c r="U53" s="2" t="s">
        <v>786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1249</v>
      </c>
    </row>
    <row r="54" spans="1:33" x14ac:dyDescent="0.15">
      <c r="A54" s="12" t="s">
        <v>461</v>
      </c>
      <c r="B54" s="1">
        <v>230</v>
      </c>
      <c r="C54" s="12" t="s">
        <v>461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804</v>
      </c>
      <c r="R54" s="36" t="s">
        <v>803</v>
      </c>
      <c r="S54" s="36">
        <v>0</v>
      </c>
      <c r="U54" s="2" t="s">
        <v>786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1250</v>
      </c>
    </row>
    <row r="55" spans="1:33" x14ac:dyDescent="0.15">
      <c r="A55" s="12" t="s">
        <v>462</v>
      </c>
      <c r="B55" s="1">
        <v>232</v>
      </c>
      <c r="C55" s="12" t="s">
        <v>462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804</v>
      </c>
      <c r="R55" s="36" t="s">
        <v>803</v>
      </c>
      <c r="S55" s="36">
        <v>0</v>
      </c>
      <c r="U55" s="2" t="s">
        <v>786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1251</v>
      </c>
    </row>
    <row r="56" spans="1:33" x14ac:dyDescent="0.15">
      <c r="A56" s="12" t="s">
        <v>463</v>
      </c>
      <c r="B56" s="1">
        <v>234</v>
      </c>
      <c r="C56" s="12" t="s">
        <v>463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804</v>
      </c>
      <c r="R56" s="36" t="s">
        <v>803</v>
      </c>
      <c r="S56" s="36">
        <v>0</v>
      </c>
      <c r="U56" s="2" t="s">
        <v>786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1252</v>
      </c>
    </row>
    <row r="57" spans="1:33" x14ac:dyDescent="0.15">
      <c r="A57" s="12" t="s">
        <v>724</v>
      </c>
      <c r="B57" s="1">
        <v>235</v>
      </c>
      <c r="C57" s="12" t="s">
        <v>464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804</v>
      </c>
      <c r="R57" s="36" t="s">
        <v>803</v>
      </c>
      <c r="S57" s="36">
        <v>0</v>
      </c>
      <c r="U57" s="2" t="s">
        <v>786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1253</v>
      </c>
    </row>
    <row r="58" spans="1:33" x14ac:dyDescent="0.15">
      <c r="A58" s="12" t="s">
        <v>465</v>
      </c>
      <c r="B58" s="1">
        <v>236</v>
      </c>
      <c r="C58" s="12" t="s">
        <v>465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804</v>
      </c>
      <c r="R58" s="36" t="s">
        <v>803</v>
      </c>
      <c r="S58" s="36">
        <v>0</v>
      </c>
      <c r="U58" s="2" t="s">
        <v>786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1254</v>
      </c>
    </row>
    <row r="59" spans="1:33" x14ac:dyDescent="0.15">
      <c r="A59" s="12" t="s">
        <v>466</v>
      </c>
      <c r="B59" s="1">
        <v>237</v>
      </c>
      <c r="C59" s="12" t="s">
        <v>466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804</v>
      </c>
      <c r="R59" s="36" t="s">
        <v>803</v>
      </c>
      <c r="S59" s="36">
        <v>0</v>
      </c>
      <c r="U59" s="2" t="s">
        <v>786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350</v>
      </c>
      <c r="B60" s="1">
        <v>238</v>
      </c>
      <c r="C60" s="12" t="s">
        <v>350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804</v>
      </c>
      <c r="R60" s="36" t="s">
        <v>803</v>
      </c>
      <c r="S60" s="36">
        <v>0</v>
      </c>
      <c r="U60" s="2" t="s">
        <v>786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367</v>
      </c>
      <c r="B61" s="1">
        <v>239</v>
      </c>
      <c r="C61" s="12" t="s">
        <v>367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804</v>
      </c>
      <c r="R61" s="36" t="s">
        <v>803</v>
      </c>
      <c r="S61" s="36">
        <v>0</v>
      </c>
      <c r="U61" s="2" t="s">
        <v>786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467</v>
      </c>
      <c r="B62" s="1">
        <v>240</v>
      </c>
      <c r="C62" s="12" t="s">
        <v>467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804</v>
      </c>
      <c r="R62" s="36" t="s">
        <v>803</v>
      </c>
      <c r="S62" s="36">
        <v>0</v>
      </c>
      <c r="U62" s="2" t="s">
        <v>786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1255</v>
      </c>
    </row>
    <row r="63" spans="1:33" x14ac:dyDescent="0.15">
      <c r="A63" s="12" t="s">
        <v>363</v>
      </c>
      <c r="B63" s="1">
        <v>241</v>
      </c>
      <c r="C63" s="12" t="s">
        <v>363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804</v>
      </c>
      <c r="R63" s="36" t="s">
        <v>803</v>
      </c>
      <c r="S63" s="36">
        <v>0</v>
      </c>
      <c r="U63" s="2" t="s">
        <v>786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487</v>
      </c>
      <c r="B64" s="1">
        <v>242</v>
      </c>
      <c r="C64" s="12" t="s">
        <v>365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804</v>
      </c>
      <c r="R64" s="36" t="s">
        <v>803</v>
      </c>
      <c r="S64" s="36">
        <v>0</v>
      </c>
      <c r="U64" s="2" t="s">
        <v>786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486</v>
      </c>
      <c r="B65" s="1">
        <v>243</v>
      </c>
      <c r="C65" s="12" t="s">
        <v>486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804</v>
      </c>
      <c r="R65" s="36" t="s">
        <v>803</v>
      </c>
      <c r="S65" s="36">
        <v>0</v>
      </c>
      <c r="U65" s="2" t="s">
        <v>786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468</v>
      </c>
      <c r="B66" s="1">
        <v>244</v>
      </c>
      <c r="C66" s="12" t="s">
        <v>468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804</v>
      </c>
      <c r="R66" s="36" t="s">
        <v>803</v>
      </c>
      <c r="S66" s="36">
        <v>0</v>
      </c>
      <c r="U66" s="2" t="s">
        <v>786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1256</v>
      </c>
    </row>
    <row r="67" spans="1:33" x14ac:dyDescent="0.15">
      <c r="A67" s="12" t="s">
        <v>469</v>
      </c>
      <c r="B67" s="1">
        <v>245</v>
      </c>
      <c r="C67" s="12" t="s">
        <v>469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804</v>
      </c>
      <c r="R67" s="36" t="s">
        <v>803</v>
      </c>
      <c r="S67" s="36">
        <v>0</v>
      </c>
      <c r="U67" s="2" t="s">
        <v>786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1257</v>
      </c>
    </row>
    <row r="68" spans="1:33" ht="12.75" customHeight="1" x14ac:dyDescent="0.15">
      <c r="A68" s="12" t="s">
        <v>371</v>
      </c>
      <c r="B68" s="1">
        <v>246</v>
      </c>
      <c r="C68" s="12" t="s">
        <v>371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804</v>
      </c>
      <c r="R68" s="36" t="s">
        <v>803</v>
      </c>
      <c r="S68" s="36">
        <v>0</v>
      </c>
      <c r="U68" s="2" t="s">
        <v>786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372</v>
      </c>
      <c r="B69" s="1">
        <v>247</v>
      </c>
      <c r="C69" s="12" t="s">
        <v>372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804</v>
      </c>
      <c r="R69" s="36" t="s">
        <v>803</v>
      </c>
      <c r="S69" s="36">
        <v>0</v>
      </c>
      <c r="U69" s="2" t="s">
        <v>786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470</v>
      </c>
      <c r="B70" s="1">
        <v>248</v>
      </c>
      <c r="C70" s="12" t="s">
        <v>470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804</v>
      </c>
      <c r="R70" s="36" t="s">
        <v>803</v>
      </c>
      <c r="S70" s="36">
        <v>0</v>
      </c>
      <c r="U70" s="2" t="s">
        <v>786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1258</v>
      </c>
    </row>
    <row r="71" spans="1:33" x14ac:dyDescent="0.15">
      <c r="A71" s="12" t="s">
        <v>471</v>
      </c>
      <c r="B71" s="1">
        <v>249</v>
      </c>
      <c r="C71" s="12" t="s">
        <v>471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804</v>
      </c>
      <c r="R71" s="36" t="s">
        <v>803</v>
      </c>
      <c r="S71" s="36">
        <v>0</v>
      </c>
      <c r="U71" s="2" t="s">
        <v>786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1259</v>
      </c>
    </row>
    <row r="72" spans="1:33" x14ac:dyDescent="0.15">
      <c r="A72" s="12" t="s">
        <v>472</v>
      </c>
      <c r="B72" s="1">
        <v>250</v>
      </c>
      <c r="C72" s="12" t="s">
        <v>472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804</v>
      </c>
      <c r="R72" s="36" t="s">
        <v>803</v>
      </c>
      <c r="S72" s="36">
        <v>0</v>
      </c>
      <c r="U72" s="2" t="s">
        <v>786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1260</v>
      </c>
    </row>
    <row r="73" spans="1:33" x14ac:dyDescent="0.15">
      <c r="A73" s="12" t="s">
        <v>473</v>
      </c>
      <c r="B73" s="1">
        <v>251</v>
      </c>
      <c r="C73" s="12" t="s">
        <v>473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804</v>
      </c>
      <c r="R73" s="36" t="s">
        <v>803</v>
      </c>
      <c r="S73" s="36">
        <v>0</v>
      </c>
      <c r="U73" s="2" t="s">
        <v>786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1261</v>
      </c>
    </row>
    <row r="74" spans="1:33" x14ac:dyDescent="0.15">
      <c r="A74" s="12" t="s">
        <v>364</v>
      </c>
      <c r="B74" s="1">
        <v>253</v>
      </c>
      <c r="C74" s="12" t="s">
        <v>364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804</v>
      </c>
      <c r="R74" s="36" t="s">
        <v>803</v>
      </c>
      <c r="S74" s="36">
        <v>0</v>
      </c>
      <c r="U74" s="2" t="s">
        <v>786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474</v>
      </c>
      <c r="B75" s="1">
        <v>254</v>
      </c>
      <c r="C75" s="12" t="s">
        <v>474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804</v>
      </c>
      <c r="R75" s="36" t="s">
        <v>803</v>
      </c>
      <c r="S75" s="36">
        <v>0</v>
      </c>
      <c r="U75" s="2" t="s">
        <v>786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1262</v>
      </c>
    </row>
    <row r="76" spans="1:33" x14ac:dyDescent="0.15">
      <c r="A76" s="12" t="s">
        <v>475</v>
      </c>
      <c r="B76" s="1">
        <v>255</v>
      </c>
      <c r="C76" s="12" t="s">
        <v>475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804</v>
      </c>
      <c r="R76" s="36" t="s">
        <v>803</v>
      </c>
      <c r="S76" s="36">
        <v>0</v>
      </c>
      <c r="U76" s="2" t="s">
        <v>786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476</v>
      </c>
      <c r="B77" s="1">
        <v>256</v>
      </c>
      <c r="C77" s="12" t="s">
        <v>476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804</v>
      </c>
      <c r="R77" s="36" t="s">
        <v>803</v>
      </c>
      <c r="S77" s="36">
        <v>0</v>
      </c>
      <c r="U77" s="2" t="s">
        <v>786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1263</v>
      </c>
    </row>
    <row r="78" spans="1:33" x14ac:dyDescent="0.15">
      <c r="A78" s="12" t="s">
        <v>477</v>
      </c>
      <c r="B78" s="1">
        <v>257</v>
      </c>
      <c r="C78" s="12" t="s">
        <v>477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804</v>
      </c>
      <c r="R78" s="36" t="s">
        <v>803</v>
      </c>
      <c r="S78" s="36">
        <v>0</v>
      </c>
      <c r="U78" s="2" t="s">
        <v>786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1264</v>
      </c>
    </row>
    <row r="79" spans="1:33" x14ac:dyDescent="0.15">
      <c r="A79" s="12" t="s">
        <v>478</v>
      </c>
      <c r="B79" s="1">
        <v>258</v>
      </c>
      <c r="C79" s="12" t="s">
        <v>478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804</v>
      </c>
      <c r="R79" s="36" t="s">
        <v>803</v>
      </c>
      <c r="S79" s="36">
        <v>0</v>
      </c>
      <c r="U79" s="2" t="s">
        <v>786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1265</v>
      </c>
    </row>
    <row r="80" spans="1:33" x14ac:dyDescent="0.15">
      <c r="A80" s="12" t="s">
        <v>366</v>
      </c>
      <c r="B80" s="1">
        <v>259</v>
      </c>
      <c r="C80" s="12" t="s">
        <v>366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804</v>
      </c>
      <c r="R80" s="36" t="s">
        <v>803</v>
      </c>
      <c r="S80" s="36">
        <v>0</v>
      </c>
      <c r="U80" s="2" t="s">
        <v>786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479</v>
      </c>
      <c r="B81" s="1">
        <v>260</v>
      </c>
      <c r="C81" s="12" t="s">
        <v>479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804</v>
      </c>
      <c r="R81" s="36" t="s">
        <v>803</v>
      </c>
      <c r="S81" s="36">
        <v>0</v>
      </c>
      <c r="U81" s="2" t="s">
        <v>786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1266</v>
      </c>
    </row>
    <row r="82" spans="1:33" x14ac:dyDescent="0.15">
      <c r="A82" s="12" t="s">
        <v>480</v>
      </c>
      <c r="B82" s="1">
        <v>261</v>
      </c>
      <c r="C82" s="12" t="s">
        <v>480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804</v>
      </c>
      <c r="R82" s="36" t="s">
        <v>803</v>
      </c>
      <c r="S82" s="36">
        <v>0</v>
      </c>
      <c r="U82" s="2" t="s">
        <v>786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1267</v>
      </c>
    </row>
    <row r="83" spans="1:33" x14ac:dyDescent="0.15">
      <c r="A83" s="12" t="s">
        <v>368</v>
      </c>
      <c r="B83" s="1">
        <v>263</v>
      </c>
      <c r="C83" s="12" t="s">
        <v>368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804</v>
      </c>
      <c r="R83" s="36" t="s">
        <v>803</v>
      </c>
      <c r="S83" s="36">
        <v>0</v>
      </c>
      <c r="U83" s="2" t="s">
        <v>786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481</v>
      </c>
      <c r="B84" s="1">
        <v>264</v>
      </c>
      <c r="C84" s="12" t="s">
        <v>481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804</v>
      </c>
      <c r="R84" s="36" t="s">
        <v>803</v>
      </c>
      <c r="S84" s="36">
        <v>0</v>
      </c>
      <c r="U84" s="2" t="s">
        <v>786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1268</v>
      </c>
    </row>
    <row r="85" spans="1:33" x14ac:dyDescent="0.15">
      <c r="A85" s="12" t="s">
        <v>482</v>
      </c>
      <c r="B85" s="1">
        <v>265</v>
      </c>
      <c r="C85" s="12" t="s">
        <v>482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804</v>
      </c>
      <c r="R85" s="36" t="s">
        <v>803</v>
      </c>
      <c r="S85" s="36">
        <v>0</v>
      </c>
      <c r="U85" s="2" t="s">
        <v>786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1269</v>
      </c>
    </row>
    <row r="86" spans="1:33" x14ac:dyDescent="0.15">
      <c r="A86" s="12" t="s">
        <v>483</v>
      </c>
      <c r="B86" s="1">
        <v>266</v>
      </c>
      <c r="C86" s="12" t="s">
        <v>483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804</v>
      </c>
      <c r="R86" s="36" t="s">
        <v>803</v>
      </c>
      <c r="S86" s="36">
        <v>0</v>
      </c>
      <c r="U86" s="2" t="s">
        <v>786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1270</v>
      </c>
    </row>
    <row r="87" spans="1:33" x14ac:dyDescent="0.15">
      <c r="A87" s="12" t="s">
        <v>484</v>
      </c>
      <c r="B87" s="1">
        <v>267</v>
      </c>
      <c r="C87" s="12" t="s">
        <v>484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804</v>
      </c>
      <c r="R87" s="36" t="s">
        <v>803</v>
      </c>
      <c r="S87" s="36">
        <v>0</v>
      </c>
      <c r="U87" s="2" t="s">
        <v>786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1271</v>
      </c>
    </row>
    <row r="88" spans="1:33" x14ac:dyDescent="0.15">
      <c r="A88" s="12" t="s">
        <v>485</v>
      </c>
      <c r="B88" s="1">
        <v>268</v>
      </c>
      <c r="C88" s="12" t="s">
        <v>485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804</v>
      </c>
      <c r="R88" s="36" t="s">
        <v>803</v>
      </c>
      <c r="S88" s="36">
        <v>0</v>
      </c>
      <c r="U88" s="2" t="s">
        <v>786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1272</v>
      </c>
    </row>
    <row r="89" spans="1:33" x14ac:dyDescent="0.15">
      <c r="A89" s="12" t="s">
        <v>511</v>
      </c>
      <c r="B89" s="1">
        <v>269</v>
      </c>
      <c r="C89" s="12" t="s">
        <v>511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804</v>
      </c>
      <c r="R89" s="36" t="s">
        <v>803</v>
      </c>
      <c r="S89" s="36">
        <v>0</v>
      </c>
      <c r="U89" s="2" t="s">
        <v>786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1273</v>
      </c>
    </row>
    <row r="90" spans="1:33" x14ac:dyDescent="0.15">
      <c r="A90" s="12" t="s">
        <v>508</v>
      </c>
      <c r="B90" s="1">
        <v>270</v>
      </c>
      <c r="C90" s="12" t="s">
        <v>508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804</v>
      </c>
      <c r="R90" s="36" t="s">
        <v>803</v>
      </c>
      <c r="S90" s="36">
        <v>0</v>
      </c>
      <c r="U90" s="2" t="s">
        <v>786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1274</v>
      </c>
    </row>
    <row r="91" spans="1:33" x14ac:dyDescent="0.15">
      <c r="A91" s="12" t="s">
        <v>1539</v>
      </c>
      <c r="B91" s="1">
        <v>271</v>
      </c>
      <c r="C91" s="12" t="s">
        <v>440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804</v>
      </c>
      <c r="R91" s="36" t="s">
        <v>803</v>
      </c>
      <c r="S91" s="36">
        <v>0</v>
      </c>
      <c r="U91" s="2" t="s">
        <v>786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1275</v>
      </c>
    </row>
    <row r="92" spans="1:33" x14ac:dyDescent="0.15">
      <c r="A92" s="12" t="s">
        <v>555</v>
      </c>
      <c r="B92" s="1">
        <v>272</v>
      </c>
      <c r="C92" s="12" t="s">
        <v>555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804</v>
      </c>
      <c r="R92" s="36" t="s">
        <v>803</v>
      </c>
      <c r="S92" s="36">
        <v>0</v>
      </c>
      <c r="U92" s="2" t="s">
        <v>786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1276</v>
      </c>
    </row>
    <row r="93" spans="1:33" x14ac:dyDescent="0.15">
      <c r="A93" s="12" t="s">
        <v>516</v>
      </c>
      <c r="B93" s="1">
        <v>273</v>
      </c>
      <c r="C93" s="12" t="s">
        <v>516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804</v>
      </c>
      <c r="R93" s="36" t="s">
        <v>803</v>
      </c>
      <c r="S93" s="36">
        <v>0</v>
      </c>
      <c r="U93" s="2" t="s">
        <v>786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1277</v>
      </c>
    </row>
    <row r="94" spans="1:33" x14ac:dyDescent="0.15">
      <c r="A94" s="12" t="s">
        <v>356</v>
      </c>
      <c r="B94" s="1">
        <v>274</v>
      </c>
      <c r="C94" s="12" t="s">
        <v>356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804</v>
      </c>
      <c r="R94" s="36" t="s">
        <v>803</v>
      </c>
      <c r="S94" s="36">
        <v>0</v>
      </c>
      <c r="U94" s="2" t="s">
        <v>786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500</v>
      </c>
      <c r="B95" s="1">
        <v>275</v>
      </c>
      <c r="C95" s="12" t="s">
        <v>500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804</v>
      </c>
      <c r="R95" s="36" t="s">
        <v>803</v>
      </c>
      <c r="S95" s="36">
        <v>0</v>
      </c>
      <c r="U95" s="2" t="s">
        <v>786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1278</v>
      </c>
    </row>
    <row r="96" spans="1:33" x14ac:dyDescent="0.15">
      <c r="A96" s="12" t="s">
        <v>359</v>
      </c>
      <c r="B96" s="1">
        <v>276</v>
      </c>
      <c r="C96" s="12" t="s">
        <v>359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804</v>
      </c>
      <c r="R96" s="36" t="s">
        <v>803</v>
      </c>
      <c r="S96" s="36">
        <v>0</v>
      </c>
      <c r="U96" s="2" t="s">
        <v>786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581</v>
      </c>
      <c r="B97" s="1">
        <v>277</v>
      </c>
      <c r="C97" s="12" t="s">
        <v>581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804</v>
      </c>
      <c r="R97" s="36" t="s">
        <v>803</v>
      </c>
      <c r="S97" s="36">
        <v>0</v>
      </c>
      <c r="U97" s="2" t="s">
        <v>786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1279</v>
      </c>
    </row>
    <row r="98" spans="1:33" x14ac:dyDescent="0.15">
      <c r="A98" s="12" t="s">
        <v>526</v>
      </c>
      <c r="B98" s="1">
        <v>278</v>
      </c>
      <c r="C98" s="12" t="s">
        <v>526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804</v>
      </c>
      <c r="R98" s="36" t="s">
        <v>803</v>
      </c>
      <c r="S98" s="36">
        <v>0</v>
      </c>
      <c r="U98" s="2" t="s">
        <v>786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1280</v>
      </c>
    </row>
    <row r="99" spans="1:33" x14ac:dyDescent="0.15">
      <c r="A99" s="12" t="s">
        <v>502</v>
      </c>
      <c r="B99" s="1">
        <v>279</v>
      </c>
      <c r="C99" s="12" t="s">
        <v>502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804</v>
      </c>
      <c r="R99" s="36" t="s">
        <v>803</v>
      </c>
      <c r="S99" s="36">
        <v>0</v>
      </c>
      <c r="U99" s="2" t="s">
        <v>786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1281</v>
      </c>
    </row>
    <row r="100" spans="1:33" x14ac:dyDescent="0.15">
      <c r="A100" s="12" t="s">
        <v>489</v>
      </c>
      <c r="B100" s="1">
        <v>280</v>
      </c>
      <c r="C100" s="12" t="s">
        <v>489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804</v>
      </c>
      <c r="R100" s="36" t="s">
        <v>803</v>
      </c>
      <c r="S100" s="36">
        <v>0</v>
      </c>
      <c r="U100" s="2" t="s">
        <v>786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1282</v>
      </c>
    </row>
    <row r="101" spans="1:33" x14ac:dyDescent="0.15">
      <c r="A101" s="12" t="s">
        <v>506</v>
      </c>
      <c r="B101" s="1">
        <v>281</v>
      </c>
      <c r="C101" s="12" t="s">
        <v>506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804</v>
      </c>
      <c r="R101" s="36" t="s">
        <v>803</v>
      </c>
      <c r="S101" s="36">
        <v>0</v>
      </c>
      <c r="U101" s="2" t="s">
        <v>786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1283</v>
      </c>
    </row>
    <row r="102" spans="1:33" x14ac:dyDescent="0.15">
      <c r="A102" s="12" t="s">
        <v>554</v>
      </c>
      <c r="B102" s="1">
        <v>282</v>
      </c>
      <c r="C102" s="12" t="s">
        <v>554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804</v>
      </c>
      <c r="R102" s="36" t="s">
        <v>803</v>
      </c>
      <c r="S102" s="36">
        <v>0</v>
      </c>
      <c r="U102" s="2" t="s">
        <v>786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1284</v>
      </c>
    </row>
    <row r="103" spans="1:33" x14ac:dyDescent="0.15">
      <c r="A103" s="12" t="s">
        <v>358</v>
      </c>
      <c r="B103" s="1">
        <v>283</v>
      </c>
      <c r="C103" s="12" t="s">
        <v>358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804</v>
      </c>
      <c r="R103" s="36" t="s">
        <v>803</v>
      </c>
      <c r="S103" s="36">
        <v>0</v>
      </c>
      <c r="U103" s="2" t="s">
        <v>786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507</v>
      </c>
      <c r="B104" s="1">
        <v>284</v>
      </c>
      <c r="C104" s="12" t="s">
        <v>507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804</v>
      </c>
      <c r="R104" s="36" t="s">
        <v>803</v>
      </c>
      <c r="S104" s="36">
        <v>0</v>
      </c>
      <c r="U104" s="2" t="s">
        <v>786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1285</v>
      </c>
    </row>
    <row r="105" spans="1:33" x14ac:dyDescent="0.15">
      <c r="A105" s="12" t="s">
        <v>559</v>
      </c>
      <c r="B105" s="1">
        <v>285</v>
      </c>
      <c r="C105" s="12" t="s">
        <v>559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804</v>
      </c>
      <c r="R105" s="36" t="s">
        <v>803</v>
      </c>
      <c r="S105" s="36">
        <v>0</v>
      </c>
      <c r="U105" s="2" t="s">
        <v>786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1286</v>
      </c>
    </row>
    <row r="106" spans="1:33" x14ac:dyDescent="0.15">
      <c r="A106" s="12" t="s">
        <v>557</v>
      </c>
      <c r="B106" s="1">
        <v>286</v>
      </c>
      <c r="C106" s="12" t="s">
        <v>557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804</v>
      </c>
      <c r="R106" s="36" t="s">
        <v>803</v>
      </c>
      <c r="S106" s="36">
        <v>0</v>
      </c>
      <c r="U106" s="2" t="s">
        <v>786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1287</v>
      </c>
    </row>
    <row r="107" spans="1:33" x14ac:dyDescent="0.15">
      <c r="A107" s="12" t="s">
        <v>553</v>
      </c>
      <c r="B107" s="1">
        <v>287</v>
      </c>
      <c r="C107" s="12" t="s">
        <v>553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804</v>
      </c>
      <c r="R107" s="36" t="s">
        <v>803</v>
      </c>
      <c r="S107" s="36">
        <v>0</v>
      </c>
      <c r="U107" s="2" t="s">
        <v>786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1288</v>
      </c>
    </row>
    <row r="108" spans="1:33" x14ac:dyDescent="0.15">
      <c r="A108" s="12" t="s">
        <v>513</v>
      </c>
      <c r="B108" s="1">
        <v>288</v>
      </c>
      <c r="C108" s="12" t="s">
        <v>513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804</v>
      </c>
      <c r="R108" s="36" t="s">
        <v>803</v>
      </c>
      <c r="S108" s="36">
        <v>0</v>
      </c>
      <c r="U108" s="2" t="s">
        <v>786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1289</v>
      </c>
    </row>
    <row r="109" spans="1:33" x14ac:dyDescent="0.15">
      <c r="A109" s="12" t="s">
        <v>509</v>
      </c>
      <c r="B109" s="1">
        <v>289</v>
      </c>
      <c r="C109" s="12" t="s">
        <v>509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804</v>
      </c>
      <c r="R109" s="36" t="s">
        <v>803</v>
      </c>
      <c r="S109" s="36">
        <v>0</v>
      </c>
      <c r="U109" s="2" t="s">
        <v>786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1290</v>
      </c>
    </row>
    <row r="110" spans="1:33" x14ac:dyDescent="0.15">
      <c r="A110" s="12" t="s">
        <v>556</v>
      </c>
      <c r="B110" s="1">
        <v>290</v>
      </c>
      <c r="C110" s="12" t="s">
        <v>556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804</v>
      </c>
      <c r="R110" s="36" t="s">
        <v>803</v>
      </c>
      <c r="S110" s="36">
        <v>0</v>
      </c>
      <c r="U110" s="2" t="s">
        <v>786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1291</v>
      </c>
    </row>
    <row r="111" spans="1:33" x14ac:dyDescent="0.15">
      <c r="A111" s="12" t="s">
        <v>491</v>
      </c>
      <c r="B111" s="1">
        <v>291</v>
      </c>
      <c r="C111" s="12" t="s">
        <v>491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804</v>
      </c>
      <c r="R111" s="36" t="s">
        <v>803</v>
      </c>
      <c r="S111" s="36">
        <v>0</v>
      </c>
      <c r="U111" s="2" t="s">
        <v>786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1292</v>
      </c>
    </row>
    <row r="112" spans="1:33" x14ac:dyDescent="0.15">
      <c r="A112" s="12" t="s">
        <v>558</v>
      </c>
      <c r="B112" s="1">
        <v>292</v>
      </c>
      <c r="C112" s="12" t="s">
        <v>558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804</v>
      </c>
      <c r="R112" s="36" t="s">
        <v>803</v>
      </c>
      <c r="S112" s="36">
        <v>0</v>
      </c>
      <c r="U112" s="2" t="s">
        <v>786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1293</v>
      </c>
    </row>
    <row r="113" spans="1:33" x14ac:dyDescent="0.15">
      <c r="A113" s="12" t="s">
        <v>512</v>
      </c>
      <c r="B113" s="1">
        <v>293</v>
      </c>
      <c r="C113" s="12" t="s">
        <v>512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804</v>
      </c>
      <c r="R113" s="36" t="s">
        <v>803</v>
      </c>
      <c r="S113" s="36">
        <v>0</v>
      </c>
      <c r="U113" s="2" t="s">
        <v>786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1294</v>
      </c>
    </row>
    <row r="114" spans="1:33" x14ac:dyDescent="0.15">
      <c r="A114" s="12" t="s">
        <v>515</v>
      </c>
      <c r="B114" s="1">
        <v>294</v>
      </c>
      <c r="C114" s="12" t="s">
        <v>515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804</v>
      </c>
      <c r="R114" s="36" t="s">
        <v>803</v>
      </c>
      <c r="S114" s="36">
        <v>0</v>
      </c>
      <c r="U114" s="2" t="s">
        <v>786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1295</v>
      </c>
    </row>
    <row r="115" spans="1:33" x14ac:dyDescent="0.15">
      <c r="A115" s="12" t="s">
        <v>670</v>
      </c>
      <c r="B115" s="1">
        <v>295</v>
      </c>
      <c r="C115" s="12" t="s">
        <v>634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804</v>
      </c>
      <c r="R115" s="36" t="s">
        <v>803</v>
      </c>
      <c r="S115" s="36">
        <v>0</v>
      </c>
      <c r="U115" s="2" t="s">
        <v>786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1296</v>
      </c>
    </row>
    <row r="116" spans="1:33" x14ac:dyDescent="0.15">
      <c r="A116" s="12" t="s">
        <v>622</v>
      </c>
      <c r="B116" s="1">
        <v>296</v>
      </c>
      <c r="C116" s="12" t="s">
        <v>622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804</v>
      </c>
      <c r="R116" s="36" t="s">
        <v>803</v>
      </c>
      <c r="S116" s="36">
        <v>0</v>
      </c>
      <c r="U116" s="2" t="s">
        <v>786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421</v>
      </c>
      <c r="B117" s="1">
        <v>297</v>
      </c>
      <c r="C117" s="12" t="s">
        <v>552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804</v>
      </c>
      <c r="R117" s="36" t="s">
        <v>803</v>
      </c>
      <c r="S117" s="36">
        <v>0</v>
      </c>
      <c r="U117" s="2" t="s">
        <v>786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1297</v>
      </c>
    </row>
    <row r="118" spans="1:33" x14ac:dyDescent="0.15">
      <c r="A118" s="16" t="s">
        <v>522</v>
      </c>
      <c r="B118" s="1">
        <v>298</v>
      </c>
      <c r="C118" s="16" t="s">
        <v>522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804</v>
      </c>
      <c r="R118" s="36" t="s">
        <v>803</v>
      </c>
      <c r="S118" s="36">
        <v>0</v>
      </c>
      <c r="U118" s="2" t="s">
        <v>786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1298</v>
      </c>
    </row>
    <row r="119" spans="1:33" x14ac:dyDescent="0.15">
      <c r="A119" s="16" t="s">
        <v>354</v>
      </c>
      <c r="B119" s="1">
        <v>299</v>
      </c>
      <c r="C119" s="16" t="s">
        <v>354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804</v>
      </c>
      <c r="R119" s="36" t="s">
        <v>803</v>
      </c>
      <c r="S119" s="36">
        <v>0</v>
      </c>
      <c r="U119" s="2" t="s">
        <v>786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714</v>
      </c>
      <c r="B120" s="1">
        <v>300</v>
      </c>
      <c r="C120" s="16" t="s">
        <v>714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804</v>
      </c>
      <c r="R120" s="36" t="s">
        <v>803</v>
      </c>
      <c r="S120" s="36">
        <v>0</v>
      </c>
      <c r="U120" s="2" t="s">
        <v>786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1299</v>
      </c>
    </row>
    <row r="121" spans="1:33" x14ac:dyDescent="0.15">
      <c r="A121" s="16" t="s">
        <v>716</v>
      </c>
      <c r="B121" s="1">
        <v>301</v>
      </c>
      <c r="C121" s="16" t="s">
        <v>715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804</v>
      </c>
      <c r="R121" s="36" t="s">
        <v>803</v>
      </c>
      <c r="S121" s="36">
        <v>0</v>
      </c>
      <c r="U121" s="2" t="s">
        <v>786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1300</v>
      </c>
    </row>
    <row r="122" spans="1:33" x14ac:dyDescent="0.15">
      <c r="A122" s="16" t="s">
        <v>760</v>
      </c>
      <c r="B122" s="1">
        <v>302</v>
      </c>
      <c r="C122" s="16" t="s">
        <v>760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804</v>
      </c>
      <c r="R122" s="36" t="s">
        <v>803</v>
      </c>
      <c r="S122" s="36">
        <v>0</v>
      </c>
      <c r="U122" s="2" t="s">
        <v>786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1301</v>
      </c>
    </row>
    <row r="123" spans="1:33" s="3" customFormat="1" x14ac:dyDescent="0.15">
      <c r="A123" s="1" t="s">
        <v>33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804</v>
      </c>
      <c r="R123" s="36" t="s">
        <v>803</v>
      </c>
      <c r="S123" s="36">
        <v>0</v>
      </c>
      <c r="T123" s="4"/>
      <c r="U123" s="2" t="s">
        <v>786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34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804</v>
      </c>
      <c r="R124" s="36" t="s">
        <v>803</v>
      </c>
      <c r="S124" s="36">
        <v>0</v>
      </c>
      <c r="T124" s="4"/>
      <c r="U124" s="2" t="s">
        <v>786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154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804</v>
      </c>
      <c r="R125" s="36" t="s">
        <v>803</v>
      </c>
      <c r="S125" s="36">
        <v>0</v>
      </c>
      <c r="U125" s="2" t="s">
        <v>786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1303</v>
      </c>
    </row>
    <row r="126" spans="1:33" x14ac:dyDescent="0.15">
      <c r="A126" s="5" t="s">
        <v>35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804</v>
      </c>
      <c r="R126" s="36" t="s">
        <v>803</v>
      </c>
      <c r="S126" s="36">
        <v>0</v>
      </c>
      <c r="U126" s="2" t="s">
        <v>786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36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804</v>
      </c>
      <c r="R127" s="36" t="s">
        <v>803</v>
      </c>
      <c r="S127" s="36">
        <v>0</v>
      </c>
      <c r="U127" s="2" t="s">
        <v>786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37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804</v>
      </c>
      <c r="R128" s="36" t="s">
        <v>803</v>
      </c>
      <c r="S128" s="36">
        <v>0</v>
      </c>
      <c r="U128" s="2" t="s">
        <v>786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1304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804</v>
      </c>
      <c r="R129" s="36" t="s">
        <v>803</v>
      </c>
      <c r="S129" s="36">
        <v>0</v>
      </c>
      <c r="U129" s="2" t="s">
        <v>786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1306</v>
      </c>
    </row>
    <row r="130" spans="1:33" x14ac:dyDescent="0.15">
      <c r="A130" s="5" t="s">
        <v>39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804</v>
      </c>
      <c r="R130" s="36" t="s">
        <v>803</v>
      </c>
      <c r="S130" s="36">
        <v>0</v>
      </c>
      <c r="U130" s="2" t="s">
        <v>786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804</v>
      </c>
      <c r="R131" s="36" t="s">
        <v>803</v>
      </c>
      <c r="S131" s="36">
        <v>0</v>
      </c>
      <c r="U131" s="2" t="s">
        <v>786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40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804</v>
      </c>
      <c r="R132" s="36" t="s">
        <v>803</v>
      </c>
      <c r="S132" s="36">
        <v>0</v>
      </c>
      <c r="U132" s="2" t="s">
        <v>786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1308</v>
      </c>
    </row>
    <row r="133" spans="1:33" x14ac:dyDescent="0.15">
      <c r="A133" s="5" t="s">
        <v>41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804</v>
      </c>
      <c r="R133" s="36" t="s">
        <v>803</v>
      </c>
      <c r="S133" s="36">
        <v>0</v>
      </c>
      <c r="U133" s="2" t="s">
        <v>786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42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804</v>
      </c>
      <c r="R134" s="36" t="s">
        <v>803</v>
      </c>
      <c r="S134" s="36">
        <v>0</v>
      </c>
      <c r="U134" s="2" t="s">
        <v>786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1310</v>
      </c>
    </row>
    <row r="135" spans="1:33" x14ac:dyDescent="0.15">
      <c r="A135" s="5" t="s">
        <v>53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804</v>
      </c>
      <c r="R135" s="36" t="s">
        <v>803</v>
      </c>
      <c r="S135" s="36">
        <v>0</v>
      </c>
      <c r="U135" s="2" t="s">
        <v>786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54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804</v>
      </c>
      <c r="R136" s="36" t="s">
        <v>803</v>
      </c>
      <c r="S136" s="36">
        <v>0</v>
      </c>
      <c r="U136" s="2" t="s">
        <v>786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1312</v>
      </c>
    </row>
    <row r="137" spans="1:33" x14ac:dyDescent="0.15">
      <c r="A137" s="5" t="s">
        <v>44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804</v>
      </c>
      <c r="R137" s="36" t="s">
        <v>803</v>
      </c>
      <c r="S137" s="36">
        <v>0</v>
      </c>
      <c r="U137" s="2" t="s">
        <v>786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1061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804</v>
      </c>
      <c r="R138" s="36" t="s">
        <v>803</v>
      </c>
      <c r="S138" s="36">
        <v>0</v>
      </c>
      <c r="U138" s="2" t="s">
        <v>786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1313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804</v>
      </c>
      <c r="R139" s="36" t="s">
        <v>803</v>
      </c>
      <c r="S139" s="36">
        <v>0</v>
      </c>
      <c r="U139" s="2" t="s">
        <v>786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1315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804</v>
      </c>
      <c r="R140" s="36" t="s">
        <v>803</v>
      </c>
      <c r="S140" s="36">
        <v>0</v>
      </c>
      <c r="U140" s="2" t="s">
        <v>786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43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804</v>
      </c>
      <c r="R141" s="36" t="s">
        <v>803</v>
      </c>
      <c r="S141" s="36">
        <v>0</v>
      </c>
      <c r="U141" s="2" t="s">
        <v>786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1329</v>
      </c>
    </row>
    <row r="142" spans="1:33" x14ac:dyDescent="0.15">
      <c r="A142" s="5" t="s">
        <v>772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804</v>
      </c>
      <c r="R142" s="36" t="s">
        <v>803</v>
      </c>
      <c r="S142" s="36">
        <v>0</v>
      </c>
      <c r="U142" s="2" t="s">
        <v>786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1317</v>
      </c>
    </row>
    <row r="143" spans="1:33" x14ac:dyDescent="0.15">
      <c r="A143" s="5" t="s">
        <v>50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804</v>
      </c>
      <c r="R143" s="36" t="s">
        <v>803</v>
      </c>
      <c r="S143" s="36">
        <v>0</v>
      </c>
      <c r="U143" s="2" t="s">
        <v>786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1319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804</v>
      </c>
      <c r="R144" s="36" t="s">
        <v>803</v>
      </c>
      <c r="S144" s="36">
        <v>0</v>
      </c>
      <c r="U144" s="2" t="s">
        <v>786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51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804</v>
      </c>
      <c r="R145" s="36" t="s">
        <v>803</v>
      </c>
      <c r="S145" s="36">
        <v>0</v>
      </c>
      <c r="U145" s="2" t="s">
        <v>786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1321</v>
      </c>
    </row>
    <row r="146" spans="1:33" x14ac:dyDescent="0.15">
      <c r="A146" s="5" t="s">
        <v>52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804</v>
      </c>
      <c r="R146" s="36" t="s">
        <v>803</v>
      </c>
      <c r="S146" s="36">
        <v>0</v>
      </c>
      <c r="U146" s="2" t="s">
        <v>786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1323</v>
      </c>
    </row>
    <row r="147" spans="1:33" x14ac:dyDescent="0.15">
      <c r="A147" s="5" t="s">
        <v>46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804</v>
      </c>
      <c r="R147" s="36" t="s">
        <v>803</v>
      </c>
      <c r="S147" s="36">
        <v>0</v>
      </c>
      <c r="U147" s="2" t="s">
        <v>786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47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804</v>
      </c>
      <c r="R148" s="36" t="s">
        <v>803</v>
      </c>
      <c r="S148" s="36">
        <v>0</v>
      </c>
      <c r="U148" s="2" t="s">
        <v>786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48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804</v>
      </c>
      <c r="R149" s="36" t="s">
        <v>803</v>
      </c>
      <c r="S149" s="36">
        <v>0</v>
      </c>
      <c r="U149" s="2" t="s">
        <v>786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1325</v>
      </c>
    </row>
    <row r="150" spans="1:33" x14ac:dyDescent="0.15">
      <c r="A150" s="5" t="s">
        <v>49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804</v>
      </c>
      <c r="R150" s="36" t="s">
        <v>803</v>
      </c>
      <c r="S150" s="36">
        <v>0</v>
      </c>
      <c r="U150" s="2" t="s">
        <v>786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1327</v>
      </c>
    </row>
    <row r="151" spans="1:33" x14ac:dyDescent="0.15">
      <c r="A151" s="5" t="s">
        <v>55</v>
      </c>
      <c r="B151" s="3">
        <f>B123+100</f>
        <v>1101</v>
      </c>
      <c r="C151" s="3" t="s">
        <v>55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804</v>
      </c>
      <c r="R151" s="36" t="s">
        <v>803</v>
      </c>
      <c r="S151" s="36">
        <v>0</v>
      </c>
      <c r="U151" s="2" t="s">
        <v>786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1063</v>
      </c>
    </row>
    <row r="152" spans="1:33" x14ac:dyDescent="0.15">
      <c r="A152" s="9" t="s">
        <v>56</v>
      </c>
      <c r="B152" s="3">
        <f t="shared" ref="B152:B178" si="7">B124+100</f>
        <v>1102</v>
      </c>
      <c r="C152" s="3" t="s">
        <v>56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804</v>
      </c>
      <c r="R152" s="36" t="s">
        <v>803</v>
      </c>
      <c r="S152" s="36">
        <v>0</v>
      </c>
      <c r="U152" s="2" t="s">
        <v>786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1055</v>
      </c>
    </row>
    <row r="153" spans="1:33" x14ac:dyDescent="0.15">
      <c r="A153" s="5" t="s">
        <v>153</v>
      </c>
      <c r="B153" s="3">
        <f t="shared" si="7"/>
        <v>1103</v>
      </c>
      <c r="C153" s="3" t="s">
        <v>153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804</v>
      </c>
      <c r="R153" s="36" t="s">
        <v>803</v>
      </c>
      <c r="S153" s="36">
        <v>0</v>
      </c>
      <c r="U153" s="2" t="s">
        <v>786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1302</v>
      </c>
    </row>
    <row r="154" spans="1:33" x14ac:dyDescent="0.15">
      <c r="A154" s="9" t="s">
        <v>57</v>
      </c>
      <c r="B154" s="3">
        <f t="shared" si="7"/>
        <v>1104</v>
      </c>
      <c r="C154" s="3" t="s">
        <v>57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804</v>
      </c>
      <c r="R154" s="36" t="s">
        <v>803</v>
      </c>
      <c r="S154" s="36">
        <v>0</v>
      </c>
      <c r="U154" s="2" t="s">
        <v>786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1064</v>
      </c>
    </row>
    <row r="155" spans="1:33" x14ac:dyDescent="0.15">
      <c r="A155" s="5" t="s">
        <v>58</v>
      </c>
      <c r="B155" s="3">
        <f t="shared" si="7"/>
        <v>1105</v>
      </c>
      <c r="C155" s="3" t="s">
        <v>58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804</v>
      </c>
      <c r="R155" s="36" t="s">
        <v>803</v>
      </c>
      <c r="S155" s="36">
        <v>0</v>
      </c>
      <c r="U155" s="2" t="s">
        <v>786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1066</v>
      </c>
    </row>
    <row r="156" spans="1:33" x14ac:dyDescent="0.15">
      <c r="A156" s="9" t="s">
        <v>59</v>
      </c>
      <c r="B156" s="3">
        <f t="shared" si="7"/>
        <v>1106</v>
      </c>
      <c r="C156" s="3" t="s">
        <v>59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804</v>
      </c>
      <c r="R156" s="36" t="s">
        <v>803</v>
      </c>
      <c r="S156" s="36">
        <v>0</v>
      </c>
      <c r="U156" s="2" t="s">
        <v>786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1057</v>
      </c>
    </row>
    <row r="157" spans="1:33" x14ac:dyDescent="0.15">
      <c r="A157" s="9" t="s">
        <v>60</v>
      </c>
      <c r="B157" s="3">
        <f t="shared" si="7"/>
        <v>1107</v>
      </c>
      <c r="C157" s="3" t="s">
        <v>60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804</v>
      </c>
      <c r="R157" s="36" t="s">
        <v>803</v>
      </c>
      <c r="S157" s="36">
        <v>0</v>
      </c>
      <c r="U157" s="2" t="s">
        <v>786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1305</v>
      </c>
    </row>
    <row r="158" spans="1:33" x14ac:dyDescent="0.15">
      <c r="A158" s="9" t="s">
        <v>61</v>
      </c>
      <c r="B158" s="3">
        <f t="shared" si="7"/>
        <v>1108</v>
      </c>
      <c r="C158" s="3" t="s">
        <v>61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804</v>
      </c>
      <c r="R158" s="36" t="s">
        <v>803</v>
      </c>
      <c r="S158" s="36">
        <v>0</v>
      </c>
      <c r="U158" s="2" t="s">
        <v>786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1059</v>
      </c>
    </row>
    <row r="159" spans="1:33" x14ac:dyDescent="0.15">
      <c r="A159" s="9" t="s">
        <v>62</v>
      </c>
      <c r="B159" s="3">
        <f t="shared" si="7"/>
        <v>1109</v>
      </c>
      <c r="C159" s="3" t="s">
        <v>62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804</v>
      </c>
      <c r="R159" s="36" t="s">
        <v>803</v>
      </c>
      <c r="S159" s="36">
        <v>0</v>
      </c>
      <c r="U159" s="2" t="s">
        <v>786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1062</v>
      </c>
    </row>
    <row r="160" spans="1:33" x14ac:dyDescent="0.15">
      <c r="A160" s="9" t="s">
        <v>63</v>
      </c>
      <c r="B160" s="3">
        <f t="shared" si="7"/>
        <v>1110</v>
      </c>
      <c r="C160" s="3" t="s">
        <v>63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804</v>
      </c>
      <c r="R160" s="36" t="s">
        <v>803</v>
      </c>
      <c r="S160" s="36">
        <v>0</v>
      </c>
      <c r="U160" s="2" t="s">
        <v>786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1307</v>
      </c>
    </row>
    <row r="161" spans="1:33" x14ac:dyDescent="0.15">
      <c r="A161" s="9" t="s">
        <v>64</v>
      </c>
      <c r="B161" s="3">
        <f t="shared" si="7"/>
        <v>1111</v>
      </c>
      <c r="C161" s="3" t="s">
        <v>64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804</v>
      </c>
      <c r="R161" s="36" t="s">
        <v>803</v>
      </c>
      <c r="S161" s="36">
        <v>0</v>
      </c>
      <c r="U161" s="2" t="s">
        <v>786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1069</v>
      </c>
    </row>
    <row r="162" spans="1:33" x14ac:dyDescent="0.15">
      <c r="A162" s="5" t="s">
        <v>65</v>
      </c>
      <c r="B162" s="3">
        <f t="shared" si="7"/>
        <v>1112</v>
      </c>
      <c r="C162" s="3" t="s">
        <v>65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804</v>
      </c>
      <c r="R162" s="36" t="s">
        <v>803</v>
      </c>
      <c r="S162" s="36">
        <v>0</v>
      </c>
      <c r="U162" s="2" t="s">
        <v>786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1309</v>
      </c>
    </row>
    <row r="163" spans="1:33" x14ac:dyDescent="0.15">
      <c r="A163" s="9" t="s">
        <v>66</v>
      </c>
      <c r="B163" s="3">
        <f t="shared" si="7"/>
        <v>1113</v>
      </c>
      <c r="C163" s="3" t="s">
        <v>66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804</v>
      </c>
      <c r="R163" s="36" t="s">
        <v>803</v>
      </c>
      <c r="S163" s="36">
        <v>0</v>
      </c>
      <c r="U163" s="2" t="s">
        <v>786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1060</v>
      </c>
    </row>
    <row r="164" spans="1:33" x14ac:dyDescent="0.15">
      <c r="A164" s="5" t="s">
        <v>67</v>
      </c>
      <c r="B164" s="3">
        <f t="shared" si="7"/>
        <v>1114</v>
      </c>
      <c r="C164" s="3" t="s">
        <v>67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804</v>
      </c>
      <c r="R164" s="36" t="s">
        <v>803</v>
      </c>
      <c r="S164" s="36">
        <v>0</v>
      </c>
      <c r="U164" s="2" t="s">
        <v>786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1311</v>
      </c>
    </row>
    <row r="165" spans="1:33" x14ac:dyDescent="0.15">
      <c r="A165" s="9" t="s">
        <v>68</v>
      </c>
      <c r="B165" s="3">
        <f t="shared" si="7"/>
        <v>1115</v>
      </c>
      <c r="C165" s="3" t="s">
        <v>68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804</v>
      </c>
      <c r="R165" s="36" t="s">
        <v>803</v>
      </c>
      <c r="S165" s="36">
        <v>0</v>
      </c>
      <c r="U165" s="2" t="s">
        <v>786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1061</v>
      </c>
    </row>
    <row r="166" spans="1:33" x14ac:dyDescent="0.15">
      <c r="A166" s="9" t="s">
        <v>69</v>
      </c>
      <c r="B166" s="3">
        <f t="shared" si="7"/>
        <v>1116</v>
      </c>
      <c r="C166" s="3" t="s">
        <v>69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804</v>
      </c>
      <c r="R166" s="36" t="s">
        <v>803</v>
      </c>
      <c r="S166" s="36">
        <v>0</v>
      </c>
      <c r="U166" s="2" t="s">
        <v>786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1070</v>
      </c>
    </row>
    <row r="167" spans="1:33" x14ac:dyDescent="0.15">
      <c r="A167" s="5" t="s">
        <v>70</v>
      </c>
      <c r="B167" s="3">
        <f t="shared" si="7"/>
        <v>1117</v>
      </c>
      <c r="C167" s="3" t="s">
        <v>70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804</v>
      </c>
      <c r="R167" s="36" t="s">
        <v>803</v>
      </c>
      <c r="S167" s="36">
        <v>0</v>
      </c>
      <c r="U167" s="2" t="s">
        <v>786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1314</v>
      </c>
    </row>
    <row r="168" spans="1:33" x14ac:dyDescent="0.15">
      <c r="A168" s="9" t="s">
        <v>71</v>
      </c>
      <c r="B168" s="3">
        <f t="shared" si="7"/>
        <v>1118</v>
      </c>
      <c r="C168" s="3" t="s">
        <v>71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804</v>
      </c>
      <c r="R168" s="36" t="s">
        <v>803</v>
      </c>
      <c r="S168" s="36">
        <v>0</v>
      </c>
      <c r="U168" s="2" t="s">
        <v>786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1056</v>
      </c>
    </row>
    <row r="169" spans="1:33" x14ac:dyDescent="0.15">
      <c r="A169" s="9" t="s">
        <v>72</v>
      </c>
      <c r="B169" s="3">
        <f t="shared" si="7"/>
        <v>1119</v>
      </c>
      <c r="C169" s="3" t="s">
        <v>72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804</v>
      </c>
      <c r="R169" s="36" t="s">
        <v>803</v>
      </c>
      <c r="S169" s="36">
        <v>0</v>
      </c>
      <c r="U169" s="2" t="s">
        <v>786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1328</v>
      </c>
    </row>
    <row r="170" spans="1:33" x14ac:dyDescent="0.15">
      <c r="A170" s="9" t="s">
        <v>73</v>
      </c>
      <c r="B170" s="3">
        <f t="shared" si="7"/>
        <v>1120</v>
      </c>
      <c r="C170" s="3" t="s">
        <v>73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804</v>
      </c>
      <c r="R170" s="36" t="s">
        <v>803</v>
      </c>
      <c r="S170" s="36">
        <v>0</v>
      </c>
      <c r="U170" s="2" t="s">
        <v>786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1316</v>
      </c>
    </row>
    <row r="171" spans="1:33" x14ac:dyDescent="0.15">
      <c r="A171" s="5" t="s">
        <v>74</v>
      </c>
      <c r="B171" s="3">
        <f t="shared" si="7"/>
        <v>1121</v>
      </c>
      <c r="C171" s="3" t="s">
        <v>74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804</v>
      </c>
      <c r="R171" s="36" t="s">
        <v>803</v>
      </c>
      <c r="S171" s="36">
        <v>0</v>
      </c>
      <c r="U171" s="2" t="s">
        <v>786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1318</v>
      </c>
    </row>
    <row r="172" spans="1:33" x14ac:dyDescent="0.15">
      <c r="A172" s="9" t="s">
        <v>75</v>
      </c>
      <c r="B172" s="3">
        <f t="shared" si="7"/>
        <v>1122</v>
      </c>
      <c r="C172" s="3" t="s">
        <v>75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804</v>
      </c>
      <c r="R172" s="36" t="s">
        <v>803</v>
      </c>
      <c r="S172" s="36">
        <v>0</v>
      </c>
      <c r="U172" s="2" t="s">
        <v>786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1067</v>
      </c>
    </row>
    <row r="173" spans="1:33" x14ac:dyDescent="0.15">
      <c r="A173" s="5" t="s">
        <v>76</v>
      </c>
      <c r="B173" s="3">
        <f t="shared" si="7"/>
        <v>1123</v>
      </c>
      <c r="C173" s="3" t="s">
        <v>76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804</v>
      </c>
      <c r="R173" s="36" t="s">
        <v>803</v>
      </c>
      <c r="S173" s="36">
        <v>0</v>
      </c>
      <c r="U173" s="2" t="s">
        <v>786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1320</v>
      </c>
    </row>
    <row r="174" spans="1:33" x14ac:dyDescent="0.15">
      <c r="A174" s="5" t="s">
        <v>77</v>
      </c>
      <c r="B174" s="3">
        <f t="shared" si="7"/>
        <v>1124</v>
      </c>
      <c r="C174" s="3" t="s">
        <v>77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804</v>
      </c>
      <c r="R174" s="36" t="s">
        <v>803</v>
      </c>
      <c r="S174" s="36">
        <v>0</v>
      </c>
      <c r="U174" s="2" t="s">
        <v>786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1322</v>
      </c>
    </row>
    <row r="175" spans="1:33" x14ac:dyDescent="0.15">
      <c r="A175" s="9" t="s">
        <v>78</v>
      </c>
      <c r="B175" s="3">
        <f t="shared" si="7"/>
        <v>1125</v>
      </c>
      <c r="C175" s="3" t="s">
        <v>78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804</v>
      </c>
      <c r="R175" s="36" t="s">
        <v>803</v>
      </c>
      <c r="S175" s="36">
        <v>0</v>
      </c>
      <c r="U175" s="2" t="s">
        <v>786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1071</v>
      </c>
    </row>
    <row r="176" spans="1:33" x14ac:dyDescent="0.15">
      <c r="A176" s="9" t="s">
        <v>79</v>
      </c>
      <c r="B176" s="3">
        <f t="shared" si="7"/>
        <v>1126</v>
      </c>
      <c r="C176" s="3" t="s">
        <v>79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804</v>
      </c>
      <c r="R176" s="36" t="s">
        <v>803</v>
      </c>
      <c r="S176" s="36">
        <v>0</v>
      </c>
      <c r="U176" s="2" t="s">
        <v>786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1068</v>
      </c>
    </row>
    <row r="177" spans="1:33" x14ac:dyDescent="0.15">
      <c r="A177" s="9" t="s">
        <v>80</v>
      </c>
      <c r="B177" s="3">
        <f t="shared" si="7"/>
        <v>1127</v>
      </c>
      <c r="C177" s="3" t="s">
        <v>80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804</v>
      </c>
      <c r="R177" s="36" t="s">
        <v>803</v>
      </c>
      <c r="S177" s="36">
        <v>0</v>
      </c>
      <c r="U177" s="2" t="s">
        <v>786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1324</v>
      </c>
    </row>
    <row r="178" spans="1:33" x14ac:dyDescent="0.15">
      <c r="A178" s="9" t="s">
        <v>81</v>
      </c>
      <c r="B178" s="3">
        <f t="shared" si="7"/>
        <v>1128</v>
      </c>
      <c r="C178" s="3" t="s">
        <v>81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804</v>
      </c>
      <c r="R178" s="36" t="s">
        <v>803</v>
      </c>
      <c r="S178" s="36">
        <v>0</v>
      </c>
      <c r="U178" s="2" t="s">
        <v>786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1326</v>
      </c>
    </row>
    <row r="179" spans="1:33" x14ac:dyDescent="0.15">
      <c r="A179" s="1" t="s">
        <v>330</v>
      </c>
      <c r="B179" s="3">
        <v>1600</v>
      </c>
      <c r="C179" s="28" t="s">
        <v>330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804</v>
      </c>
      <c r="R179" s="36" t="s">
        <v>803</v>
      </c>
      <c r="S179" s="36">
        <v>0</v>
      </c>
      <c r="U179" s="2" t="s">
        <v>787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331</v>
      </c>
      <c r="B180" s="3">
        <v>1601</v>
      </c>
      <c r="C180" s="1" t="s">
        <v>331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804</v>
      </c>
      <c r="R180" s="36" t="s">
        <v>803</v>
      </c>
      <c r="S180" s="36">
        <v>0</v>
      </c>
      <c r="U180" s="2" t="s">
        <v>787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1330</v>
      </c>
    </row>
    <row r="181" spans="1:33" x14ac:dyDescent="0.15">
      <c r="A181" s="1" t="s">
        <v>391</v>
      </c>
      <c r="B181" s="3">
        <v>1602</v>
      </c>
      <c r="C181" s="30" t="s">
        <v>391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804</v>
      </c>
      <c r="R181" s="36" t="s">
        <v>803</v>
      </c>
      <c r="S181" s="36">
        <v>0</v>
      </c>
      <c r="U181" s="2" t="s">
        <v>787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1331</v>
      </c>
    </row>
    <row r="182" spans="1:33" x14ac:dyDescent="0.15">
      <c r="A182" s="1" t="s">
        <v>332</v>
      </c>
      <c r="B182" s="3">
        <v>1603</v>
      </c>
      <c r="C182" s="31" t="s">
        <v>332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804</v>
      </c>
      <c r="R182" s="36" t="s">
        <v>803</v>
      </c>
      <c r="S182" s="36">
        <v>0</v>
      </c>
      <c r="U182" s="2" t="s">
        <v>787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1332</v>
      </c>
    </row>
    <row r="183" spans="1:33" x14ac:dyDescent="0.15">
      <c r="A183" s="1" t="s">
        <v>392</v>
      </c>
      <c r="B183" s="3">
        <v>1604</v>
      </c>
      <c r="C183" s="29" t="s">
        <v>392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804</v>
      </c>
      <c r="R183" s="36" t="s">
        <v>803</v>
      </c>
      <c r="S183" s="36">
        <v>0</v>
      </c>
      <c r="U183" s="2" t="s">
        <v>787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1333</v>
      </c>
    </row>
    <row r="184" spans="1:33" x14ac:dyDescent="0.15">
      <c r="A184" s="1" t="s">
        <v>333</v>
      </c>
      <c r="B184" s="3">
        <v>1605</v>
      </c>
      <c r="C184" s="1" t="s">
        <v>333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804</v>
      </c>
      <c r="R184" s="36" t="s">
        <v>803</v>
      </c>
      <c r="S184" s="36">
        <v>0</v>
      </c>
      <c r="U184" s="2" t="s">
        <v>787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334</v>
      </c>
      <c r="B185" s="3">
        <v>1606</v>
      </c>
      <c r="C185" s="1" t="s">
        <v>334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804</v>
      </c>
      <c r="R185" s="36" t="s">
        <v>803</v>
      </c>
      <c r="S185" s="36">
        <v>0</v>
      </c>
      <c r="U185" s="2" t="s">
        <v>787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1335</v>
      </c>
    </row>
    <row r="186" spans="1:33" x14ac:dyDescent="0.15">
      <c r="A186" s="1" t="s">
        <v>776</v>
      </c>
      <c r="B186" s="3">
        <v>1607</v>
      </c>
      <c r="C186" s="31" t="s">
        <v>777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804</v>
      </c>
      <c r="R186" s="36" t="s">
        <v>803</v>
      </c>
      <c r="S186" s="36">
        <v>0</v>
      </c>
      <c r="U186" s="2" t="s">
        <v>787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1334</v>
      </c>
    </row>
    <row r="187" spans="1:33" x14ac:dyDescent="0.15">
      <c r="A187" s="1" t="s">
        <v>335</v>
      </c>
      <c r="B187" s="3">
        <v>1608</v>
      </c>
      <c r="C187" s="32" t="s">
        <v>335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804</v>
      </c>
      <c r="R187" s="36" t="s">
        <v>803</v>
      </c>
      <c r="S187" s="36">
        <v>0</v>
      </c>
      <c r="U187" s="2" t="s">
        <v>787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1336</v>
      </c>
    </row>
    <row r="188" spans="1:33" x14ac:dyDescent="0.15">
      <c r="A188" s="1" t="s">
        <v>336</v>
      </c>
      <c r="B188" s="3">
        <v>1609</v>
      </c>
      <c r="C188" s="1" t="s">
        <v>336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804</v>
      </c>
      <c r="R188" s="36" t="s">
        <v>803</v>
      </c>
      <c r="S188" s="36">
        <v>0</v>
      </c>
      <c r="U188" s="2" t="s">
        <v>787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1337</v>
      </c>
    </row>
    <row r="189" spans="1:33" x14ac:dyDescent="0.15">
      <c r="A189" s="1" t="s">
        <v>337</v>
      </c>
      <c r="B189" s="3">
        <v>1610</v>
      </c>
      <c r="C189" s="32" t="s">
        <v>337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804</v>
      </c>
      <c r="R189" s="36" t="s">
        <v>803</v>
      </c>
      <c r="S189" s="36">
        <v>0</v>
      </c>
      <c r="U189" s="2" t="s">
        <v>787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1338</v>
      </c>
    </row>
    <row r="190" spans="1:33" x14ac:dyDescent="0.15">
      <c r="A190" s="1" t="s">
        <v>338</v>
      </c>
      <c r="B190" s="3">
        <v>1611</v>
      </c>
      <c r="C190" s="31" t="s">
        <v>338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804</v>
      </c>
      <c r="R190" s="36" t="s">
        <v>803</v>
      </c>
      <c r="S190" s="36">
        <v>0</v>
      </c>
      <c r="U190" s="2" t="s">
        <v>787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1339</v>
      </c>
    </row>
    <row r="191" spans="1:33" x14ac:dyDescent="0.15">
      <c r="A191" s="1" t="s">
        <v>339</v>
      </c>
      <c r="B191" s="3">
        <v>1612</v>
      </c>
      <c r="C191" s="1" t="s">
        <v>339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804</v>
      </c>
      <c r="R191" s="36" t="s">
        <v>803</v>
      </c>
      <c r="S191" s="36">
        <v>0</v>
      </c>
      <c r="U191" s="2" t="s">
        <v>787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1083</v>
      </c>
    </row>
    <row r="192" spans="1:33" x14ac:dyDescent="0.15">
      <c r="A192" s="1" t="s">
        <v>774</v>
      </c>
      <c r="B192" s="3">
        <v>1613</v>
      </c>
      <c r="C192" s="1" t="s">
        <v>773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804</v>
      </c>
      <c r="R192" s="36" t="s">
        <v>803</v>
      </c>
      <c r="S192" s="36">
        <v>0</v>
      </c>
      <c r="U192" s="2" t="s">
        <v>787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1084</v>
      </c>
    </row>
    <row r="193" spans="1:33" x14ac:dyDescent="0.15">
      <c r="A193" s="1" t="s">
        <v>775</v>
      </c>
      <c r="B193" s="3">
        <v>1614</v>
      </c>
      <c r="C193" s="1" t="s">
        <v>775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804</v>
      </c>
      <c r="R193" s="36" t="s">
        <v>803</v>
      </c>
      <c r="S193" s="36">
        <v>0</v>
      </c>
      <c r="U193" s="2" t="s">
        <v>787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1340</v>
      </c>
    </row>
    <row r="194" spans="1:33" x14ac:dyDescent="0.15">
      <c r="A194" s="1" t="s">
        <v>341</v>
      </c>
      <c r="B194" s="3">
        <v>1615</v>
      </c>
      <c r="C194" s="30" t="s">
        <v>341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804</v>
      </c>
      <c r="R194" s="36" t="s">
        <v>803</v>
      </c>
      <c r="S194" s="36">
        <v>0</v>
      </c>
      <c r="U194" s="2" t="s">
        <v>787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1341</v>
      </c>
    </row>
    <row r="195" spans="1:33" x14ac:dyDescent="0.15">
      <c r="A195" s="1" t="s">
        <v>342</v>
      </c>
      <c r="B195" s="3">
        <v>1616</v>
      </c>
      <c r="C195" s="29" t="s">
        <v>342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804</v>
      </c>
      <c r="R195" s="36" t="s">
        <v>803</v>
      </c>
      <c r="S195" s="36">
        <v>0</v>
      </c>
      <c r="U195" s="2" t="s">
        <v>787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1342</v>
      </c>
    </row>
    <row r="196" spans="1:33" x14ac:dyDescent="0.15">
      <c r="A196" s="1" t="s">
        <v>616</v>
      </c>
      <c r="B196" s="3">
        <v>1617</v>
      </c>
      <c r="C196" s="1" t="s">
        <v>616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804</v>
      </c>
      <c r="R196" s="36" t="s">
        <v>803</v>
      </c>
      <c r="S196" s="36">
        <v>0</v>
      </c>
      <c r="U196" s="2" t="s">
        <v>787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1343</v>
      </c>
    </row>
    <row r="197" spans="1:33" x14ac:dyDescent="0.15">
      <c r="A197" s="1" t="s">
        <v>617</v>
      </c>
      <c r="B197" s="3">
        <v>1618</v>
      </c>
      <c r="C197" s="14" t="s">
        <v>617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804</v>
      </c>
      <c r="R197" s="36" t="s">
        <v>803</v>
      </c>
      <c r="S197" s="36">
        <v>0</v>
      </c>
      <c r="U197" s="2" t="s">
        <v>787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1344</v>
      </c>
    </row>
    <row r="198" spans="1:33" x14ac:dyDescent="0.15">
      <c r="A198" s="1" t="s">
        <v>618</v>
      </c>
      <c r="B198" s="3">
        <v>1619</v>
      </c>
      <c r="C198" s="14" t="s">
        <v>618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804</v>
      </c>
      <c r="R198" s="36" t="s">
        <v>803</v>
      </c>
      <c r="S198" s="36">
        <v>0</v>
      </c>
      <c r="U198" s="2" t="s">
        <v>787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1345</v>
      </c>
    </row>
    <row r="199" spans="1:33" x14ac:dyDescent="0.15">
      <c r="A199" s="1" t="s">
        <v>619</v>
      </c>
      <c r="B199" s="3">
        <v>1620</v>
      </c>
      <c r="C199" s="29" t="s">
        <v>619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804</v>
      </c>
      <c r="R199" s="36" t="s">
        <v>803</v>
      </c>
      <c r="S199" s="36">
        <v>0</v>
      </c>
      <c r="U199" s="2" t="s">
        <v>787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1346</v>
      </c>
    </row>
    <row r="200" spans="1:33" x14ac:dyDescent="0.15">
      <c r="A200" s="1" t="s">
        <v>351</v>
      </c>
      <c r="B200" s="3">
        <v>1650</v>
      </c>
      <c r="C200" s="1" t="s">
        <v>351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804</v>
      </c>
      <c r="R200" s="36" t="s">
        <v>803</v>
      </c>
      <c r="S200" s="36">
        <v>0</v>
      </c>
      <c r="U200" s="2" t="s">
        <v>787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1088</v>
      </c>
    </row>
    <row r="201" spans="1:33" x14ac:dyDescent="0.15">
      <c r="A201" s="1" t="s">
        <v>349</v>
      </c>
      <c r="B201" s="3">
        <v>1651</v>
      </c>
      <c r="C201" s="1" t="s">
        <v>349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804</v>
      </c>
      <c r="R201" s="36" t="s">
        <v>803</v>
      </c>
      <c r="S201" s="36">
        <v>0</v>
      </c>
      <c r="U201" s="2" t="s">
        <v>787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1089</v>
      </c>
    </row>
    <row r="202" spans="1:33" x14ac:dyDescent="0.15">
      <c r="A202" s="1" t="s">
        <v>394</v>
      </c>
      <c r="B202" s="3">
        <v>1652</v>
      </c>
      <c r="C202" s="1" t="s">
        <v>394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804</v>
      </c>
      <c r="R202" s="36" t="s">
        <v>803</v>
      </c>
      <c r="S202" s="36">
        <v>0</v>
      </c>
      <c r="U202" s="2" t="s">
        <v>787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1090</v>
      </c>
    </row>
    <row r="203" spans="1:33" x14ac:dyDescent="0.15">
      <c r="A203" s="1" t="s">
        <v>395</v>
      </c>
      <c r="B203" s="3">
        <v>1653</v>
      </c>
      <c r="C203" s="1" t="s">
        <v>395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804</v>
      </c>
      <c r="R203" s="36" t="s">
        <v>803</v>
      </c>
      <c r="S203" s="36">
        <v>0</v>
      </c>
      <c r="U203" s="2" t="s">
        <v>787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1091</v>
      </c>
    </row>
    <row r="204" spans="1:33" x14ac:dyDescent="0.15">
      <c r="A204" s="1" t="s">
        <v>353</v>
      </c>
      <c r="B204" s="3">
        <v>1654</v>
      </c>
      <c r="C204" s="1" t="s">
        <v>353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804</v>
      </c>
      <c r="R204" s="36" t="s">
        <v>803</v>
      </c>
      <c r="S204" s="36">
        <v>0</v>
      </c>
      <c r="U204" s="2" t="s">
        <v>787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1092</v>
      </c>
    </row>
    <row r="205" spans="1:33" x14ac:dyDescent="0.15">
      <c r="A205" s="1" t="s">
        <v>396</v>
      </c>
      <c r="B205" s="3">
        <v>1655</v>
      </c>
      <c r="C205" s="1" t="s">
        <v>396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804</v>
      </c>
      <c r="R205" s="36" t="s">
        <v>803</v>
      </c>
      <c r="S205" s="36">
        <v>0</v>
      </c>
      <c r="U205" s="2" t="s">
        <v>787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1093</v>
      </c>
    </row>
    <row r="206" spans="1:33" x14ac:dyDescent="0.15">
      <c r="A206" s="1" t="s">
        <v>667</v>
      </c>
      <c r="B206" s="3">
        <v>1656</v>
      </c>
      <c r="C206" s="1" t="s">
        <v>669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804</v>
      </c>
      <c r="R206" s="36" t="s">
        <v>803</v>
      </c>
      <c r="S206" s="36">
        <v>0</v>
      </c>
      <c r="U206" s="2" t="s">
        <v>787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1347</v>
      </c>
    </row>
    <row r="207" spans="1:33" x14ac:dyDescent="0.15">
      <c r="A207" s="1" t="s">
        <v>355</v>
      </c>
      <c r="B207" s="3">
        <v>1657</v>
      </c>
      <c r="C207" s="1" t="s">
        <v>355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804</v>
      </c>
      <c r="R207" s="36" t="s">
        <v>803</v>
      </c>
      <c r="S207" s="36">
        <v>0</v>
      </c>
      <c r="U207" s="2" t="s">
        <v>787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1094</v>
      </c>
    </row>
    <row r="208" spans="1:33" x14ac:dyDescent="0.15">
      <c r="A208" s="1" t="s">
        <v>397</v>
      </c>
      <c r="B208" s="3">
        <v>1658</v>
      </c>
      <c r="C208" s="1" t="s">
        <v>397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804</v>
      </c>
      <c r="R208" s="36" t="s">
        <v>803</v>
      </c>
      <c r="S208" s="36">
        <v>0</v>
      </c>
      <c r="U208" s="2" t="s">
        <v>787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1095</v>
      </c>
    </row>
    <row r="209" spans="1:33" x14ac:dyDescent="0.15">
      <c r="A209" s="1" t="s">
        <v>398</v>
      </c>
      <c r="B209" s="3">
        <v>1659</v>
      </c>
      <c r="C209" s="1" t="s">
        <v>398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804</v>
      </c>
      <c r="R209" s="36" t="s">
        <v>803</v>
      </c>
      <c r="S209" s="36">
        <v>0</v>
      </c>
      <c r="U209" s="2" t="s">
        <v>787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1096</v>
      </c>
    </row>
    <row r="210" spans="1:33" x14ac:dyDescent="0.15">
      <c r="A210" s="1" t="s">
        <v>399</v>
      </c>
      <c r="B210" s="3">
        <v>1660</v>
      </c>
      <c r="C210" s="1" t="s">
        <v>399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804</v>
      </c>
      <c r="R210" s="36" t="s">
        <v>803</v>
      </c>
      <c r="S210" s="36">
        <v>0</v>
      </c>
      <c r="U210" s="2" t="s">
        <v>787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1097</v>
      </c>
    </row>
    <row r="211" spans="1:33" x14ac:dyDescent="0.15">
      <c r="A211" s="1" t="s">
        <v>400</v>
      </c>
      <c r="B211" s="3">
        <v>1661</v>
      </c>
      <c r="C211" s="1" t="s">
        <v>400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804</v>
      </c>
      <c r="R211" s="36" t="s">
        <v>803</v>
      </c>
      <c r="S211" s="36">
        <v>0</v>
      </c>
      <c r="U211" s="2" t="s">
        <v>787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1098</v>
      </c>
    </row>
    <row r="212" spans="1:33" x14ac:dyDescent="0.15">
      <c r="A212" s="1" t="s">
        <v>401</v>
      </c>
      <c r="B212" s="3">
        <v>1662</v>
      </c>
      <c r="C212" s="1" t="s">
        <v>401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804</v>
      </c>
      <c r="R212" s="36" t="s">
        <v>803</v>
      </c>
      <c r="S212" s="36">
        <v>0</v>
      </c>
      <c r="U212" s="2" t="s">
        <v>787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1348</v>
      </c>
    </row>
    <row r="213" spans="1:33" x14ac:dyDescent="0.15">
      <c r="A213" s="1" t="s">
        <v>402</v>
      </c>
      <c r="B213" s="3">
        <v>1663</v>
      </c>
      <c r="C213" s="1" t="s">
        <v>402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804</v>
      </c>
      <c r="R213" s="36" t="s">
        <v>803</v>
      </c>
      <c r="S213" s="36">
        <v>0</v>
      </c>
      <c r="U213" s="2" t="s">
        <v>787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1100</v>
      </c>
    </row>
    <row r="214" spans="1:33" x14ac:dyDescent="0.15">
      <c r="A214" s="1" t="s">
        <v>403</v>
      </c>
      <c r="B214" s="3">
        <v>1664</v>
      </c>
      <c r="C214" s="1" t="s">
        <v>403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804</v>
      </c>
      <c r="R214" s="36" t="s">
        <v>803</v>
      </c>
      <c r="S214" s="36">
        <v>0</v>
      </c>
      <c r="U214" s="2" t="s">
        <v>787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1102</v>
      </c>
    </row>
    <row r="215" spans="1:33" x14ac:dyDescent="0.15">
      <c r="A215" s="1" t="s">
        <v>390</v>
      </c>
      <c r="B215" s="3">
        <v>1665</v>
      </c>
      <c r="C215" s="1" t="s">
        <v>390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804</v>
      </c>
      <c r="R215" s="36" t="s">
        <v>803</v>
      </c>
      <c r="S215" s="36">
        <v>0</v>
      </c>
      <c r="U215" s="2" t="s">
        <v>787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1349</v>
      </c>
    </row>
    <row r="216" spans="1:33" x14ac:dyDescent="0.15">
      <c r="A216" s="1" t="s">
        <v>620</v>
      </c>
      <c r="B216" s="3">
        <v>1666</v>
      </c>
      <c r="C216" s="1" t="s">
        <v>620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804</v>
      </c>
      <c r="R216" s="36" t="s">
        <v>803</v>
      </c>
      <c r="S216" s="36">
        <v>0</v>
      </c>
      <c r="U216" s="2" t="s">
        <v>787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1350</v>
      </c>
    </row>
    <row r="217" spans="1:33" s="9" customFormat="1" x14ac:dyDescent="0.15">
      <c r="A217" s="9" t="s">
        <v>425</v>
      </c>
      <c r="B217" s="24">
        <v>1700</v>
      </c>
      <c r="C217" s="9" t="s">
        <v>425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804</v>
      </c>
      <c r="R217" s="36" t="s">
        <v>803</v>
      </c>
      <c r="S217" s="36">
        <v>0</v>
      </c>
      <c r="T217" s="33"/>
      <c r="U217" s="2" t="s">
        <v>787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1351</v>
      </c>
    </row>
    <row r="218" spans="1:33" s="9" customFormat="1" x14ac:dyDescent="0.15">
      <c r="A218" s="9" t="s">
        <v>422</v>
      </c>
      <c r="B218" s="24">
        <v>1701</v>
      </c>
      <c r="C218" s="9" t="s">
        <v>422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804</v>
      </c>
      <c r="R218" s="36" t="s">
        <v>803</v>
      </c>
      <c r="S218" s="36">
        <v>0</v>
      </c>
      <c r="T218" s="33"/>
      <c r="U218" s="2" t="s">
        <v>787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1352</v>
      </c>
    </row>
    <row r="219" spans="1:33" s="9" customFormat="1" x14ac:dyDescent="0.15">
      <c r="A219" s="9" t="s">
        <v>423</v>
      </c>
      <c r="B219" s="24">
        <v>1702</v>
      </c>
      <c r="C219" s="9" t="s">
        <v>423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804</v>
      </c>
      <c r="R219" s="36" t="s">
        <v>803</v>
      </c>
      <c r="S219" s="36">
        <v>0</v>
      </c>
      <c r="T219" s="33"/>
      <c r="U219" s="2" t="s">
        <v>787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1353</v>
      </c>
    </row>
    <row r="220" spans="1:33" s="9" customFormat="1" x14ac:dyDescent="0.15">
      <c r="A220" s="9" t="s">
        <v>424</v>
      </c>
      <c r="B220" s="24">
        <v>1703</v>
      </c>
      <c r="C220" s="9" t="s">
        <v>424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804</v>
      </c>
      <c r="R220" s="36" t="s">
        <v>803</v>
      </c>
      <c r="S220" s="36">
        <v>0</v>
      </c>
      <c r="T220" s="33"/>
      <c r="U220" s="2" t="s">
        <v>787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1354</v>
      </c>
    </row>
    <row r="221" spans="1:33" s="9" customFormat="1" x14ac:dyDescent="0.15">
      <c r="A221" s="9" t="s">
        <v>427</v>
      </c>
      <c r="B221" s="24">
        <v>1704</v>
      </c>
      <c r="C221" s="9" t="s">
        <v>427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804</v>
      </c>
      <c r="R221" s="36" t="s">
        <v>803</v>
      </c>
      <c r="S221" s="36">
        <v>0</v>
      </c>
      <c r="T221" s="33"/>
      <c r="U221" s="2" t="s">
        <v>787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1355</v>
      </c>
    </row>
    <row r="222" spans="1:33" s="9" customFormat="1" x14ac:dyDescent="0.15">
      <c r="A222" s="9" t="s">
        <v>431</v>
      </c>
      <c r="B222" s="24">
        <v>1705</v>
      </c>
      <c r="C222" s="9" t="s">
        <v>431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804</v>
      </c>
      <c r="R222" s="36" t="s">
        <v>803</v>
      </c>
      <c r="S222" s="36">
        <v>0</v>
      </c>
      <c r="T222" s="33"/>
      <c r="U222" s="2" t="s">
        <v>787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1356</v>
      </c>
    </row>
    <row r="223" spans="1:33" s="9" customFormat="1" x14ac:dyDescent="0.15">
      <c r="A223" s="9" t="s">
        <v>430</v>
      </c>
      <c r="B223" s="24">
        <v>1706</v>
      </c>
      <c r="C223" s="9" t="s">
        <v>430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804</v>
      </c>
      <c r="R223" s="36" t="s">
        <v>803</v>
      </c>
      <c r="S223" s="36">
        <v>0</v>
      </c>
      <c r="T223" s="33"/>
      <c r="U223" s="2" t="s">
        <v>787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1357</v>
      </c>
    </row>
    <row r="224" spans="1:33" s="9" customFormat="1" x14ac:dyDescent="0.15">
      <c r="A224" s="9" t="s">
        <v>429</v>
      </c>
      <c r="B224" s="24">
        <v>1707</v>
      </c>
      <c r="C224" s="9" t="s">
        <v>429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804</v>
      </c>
      <c r="R224" s="36" t="s">
        <v>803</v>
      </c>
      <c r="S224" s="36">
        <v>0</v>
      </c>
      <c r="T224" s="33"/>
      <c r="U224" s="2" t="s">
        <v>787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1358</v>
      </c>
    </row>
    <row r="225" spans="1:33" s="9" customFormat="1" x14ac:dyDescent="0.15">
      <c r="A225" s="9" t="s">
        <v>433</v>
      </c>
      <c r="B225" s="24">
        <v>1708</v>
      </c>
      <c r="C225" s="9" t="s">
        <v>433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804</v>
      </c>
      <c r="R225" s="36" t="s">
        <v>803</v>
      </c>
      <c r="S225" s="36">
        <v>0</v>
      </c>
      <c r="T225" s="33"/>
      <c r="U225" s="2" t="s">
        <v>787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1359</v>
      </c>
    </row>
    <row r="226" spans="1:33" s="9" customFormat="1" x14ac:dyDescent="0.15">
      <c r="A226" s="9" t="s">
        <v>428</v>
      </c>
      <c r="B226" s="24">
        <v>1709</v>
      </c>
      <c r="C226" s="9" t="s">
        <v>428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804</v>
      </c>
      <c r="R226" s="36" t="s">
        <v>803</v>
      </c>
      <c r="S226" s="36">
        <v>0</v>
      </c>
      <c r="T226" s="33"/>
      <c r="U226" s="2" t="s">
        <v>787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1360</v>
      </c>
    </row>
    <row r="227" spans="1:33" s="9" customFormat="1" x14ac:dyDescent="0.15">
      <c r="A227" s="9" t="s">
        <v>621</v>
      </c>
      <c r="B227" s="24">
        <v>1710</v>
      </c>
      <c r="C227" s="9" t="s">
        <v>621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804</v>
      </c>
      <c r="R227" s="36" t="s">
        <v>803</v>
      </c>
      <c r="S227" s="36">
        <v>0</v>
      </c>
      <c r="T227" s="33"/>
      <c r="U227" s="2" t="s">
        <v>787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1361</v>
      </c>
    </row>
    <row r="228" spans="1:33" x14ac:dyDescent="0.15">
      <c r="A228" s="1" t="s">
        <v>718</v>
      </c>
      <c r="B228" s="3">
        <v>1800</v>
      </c>
      <c r="C228" s="1" t="s">
        <v>718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804</v>
      </c>
      <c r="R228" s="36" t="s">
        <v>803</v>
      </c>
      <c r="S228" s="36">
        <v>0</v>
      </c>
      <c r="U228" s="2" t="s">
        <v>787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1362</v>
      </c>
    </row>
    <row r="229" spans="1:33" x14ac:dyDescent="0.15">
      <c r="A229" s="1" t="s">
        <v>779</v>
      </c>
      <c r="B229" s="3">
        <v>1801</v>
      </c>
      <c r="C229" s="1" t="s">
        <v>778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804</v>
      </c>
      <c r="R229" s="36" t="s">
        <v>803</v>
      </c>
      <c r="S229" s="36">
        <v>0</v>
      </c>
      <c r="U229" s="2" t="s">
        <v>787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1363</v>
      </c>
    </row>
    <row r="230" spans="1:33" x14ac:dyDescent="0.15">
      <c r="A230" s="1" t="s">
        <v>725</v>
      </c>
      <c r="B230" s="3">
        <v>1802</v>
      </c>
      <c r="C230" s="1" t="s">
        <v>725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804</v>
      </c>
      <c r="R230" s="36" t="s">
        <v>803</v>
      </c>
      <c r="S230" s="36">
        <v>0</v>
      </c>
      <c r="U230" s="2" t="s">
        <v>787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1364</v>
      </c>
    </row>
    <row r="231" spans="1:33" x14ac:dyDescent="0.15">
      <c r="A231" s="1" t="s">
        <v>726</v>
      </c>
      <c r="B231" s="3">
        <v>1803</v>
      </c>
      <c r="C231" s="1" t="s">
        <v>726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804</v>
      </c>
      <c r="R231" s="36" t="s">
        <v>803</v>
      </c>
      <c r="S231" s="36">
        <v>0</v>
      </c>
      <c r="U231" s="2" t="s">
        <v>787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1365</v>
      </c>
    </row>
    <row r="232" spans="1:33" x14ac:dyDescent="0.15">
      <c r="A232" s="1" t="s">
        <v>733</v>
      </c>
      <c r="B232" s="3">
        <v>1804</v>
      </c>
      <c r="C232" s="1" t="s">
        <v>733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804</v>
      </c>
      <c r="R232" s="36" t="s">
        <v>803</v>
      </c>
      <c r="S232" s="36">
        <v>0</v>
      </c>
      <c r="U232" s="2" t="s">
        <v>787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1366</v>
      </c>
    </row>
    <row r="233" spans="1:33" x14ac:dyDescent="0.15">
      <c r="A233" s="1" t="s">
        <v>729</v>
      </c>
      <c r="B233" s="3">
        <v>1805</v>
      </c>
      <c r="C233" s="1" t="s">
        <v>729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804</v>
      </c>
      <c r="R233" s="36" t="s">
        <v>803</v>
      </c>
      <c r="S233" s="36">
        <v>0</v>
      </c>
      <c r="U233" s="2" t="s">
        <v>787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1367</v>
      </c>
    </row>
    <row r="234" spans="1:33" x14ac:dyDescent="0.15">
      <c r="A234" s="1" t="s">
        <v>728</v>
      </c>
      <c r="B234" s="3">
        <v>1806</v>
      </c>
      <c r="C234" s="1" t="s">
        <v>728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804</v>
      </c>
      <c r="R234" s="36" t="s">
        <v>803</v>
      </c>
      <c r="S234" s="36">
        <v>0</v>
      </c>
      <c r="U234" s="2" t="s">
        <v>787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1368</v>
      </c>
    </row>
    <row r="235" spans="1:33" x14ac:dyDescent="0.15">
      <c r="A235" s="1" t="s">
        <v>737</v>
      </c>
      <c r="B235" s="3">
        <v>1807</v>
      </c>
      <c r="C235" s="1" t="s">
        <v>737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804</v>
      </c>
      <c r="R235" s="36" t="s">
        <v>803</v>
      </c>
      <c r="S235" s="36">
        <v>0</v>
      </c>
      <c r="U235" s="2" t="s">
        <v>787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1369</v>
      </c>
    </row>
    <row r="236" spans="1:33" x14ac:dyDescent="0.15">
      <c r="A236" s="1" t="s">
        <v>730</v>
      </c>
      <c r="B236" s="3">
        <v>1808</v>
      </c>
      <c r="C236" s="1" t="s">
        <v>730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804</v>
      </c>
      <c r="R236" s="36" t="s">
        <v>803</v>
      </c>
      <c r="S236" s="36">
        <v>0</v>
      </c>
      <c r="U236" s="2" t="s">
        <v>787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1370</v>
      </c>
    </row>
    <row r="237" spans="1:33" x14ac:dyDescent="0.15">
      <c r="A237" s="1" t="s">
        <v>27</v>
      </c>
      <c r="B237" s="1">
        <v>2000</v>
      </c>
      <c r="C237" s="1" t="s">
        <v>1623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804</v>
      </c>
      <c r="R237" s="36" t="s">
        <v>803</v>
      </c>
      <c r="S237" s="36">
        <v>0</v>
      </c>
      <c r="U237" s="2" t="s">
        <v>786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29</v>
      </c>
    </row>
    <row r="238" spans="1:33" x14ac:dyDescent="0.15">
      <c r="A238" s="1" t="s">
        <v>1574</v>
      </c>
      <c r="B238" s="1">
        <v>2001</v>
      </c>
      <c r="C238" s="1" t="s">
        <v>1624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9" si="10">M238/2</f>
        <v>180</v>
      </c>
      <c r="Q238" s="36" t="s">
        <v>804</v>
      </c>
      <c r="R238" s="36" t="s">
        <v>803</v>
      </c>
      <c r="S238" s="36">
        <v>0</v>
      </c>
      <c r="U238" s="2" t="s">
        <v>786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100</v>
      </c>
      <c r="AG238" s="1" t="s">
        <v>1577</v>
      </c>
    </row>
    <row r="239" spans="1:33" x14ac:dyDescent="0.15">
      <c r="A239" s="1" t="s">
        <v>327</v>
      </c>
      <c r="B239" s="1">
        <v>2002</v>
      </c>
      <c r="C239" s="1" t="s">
        <v>1625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804</v>
      </c>
      <c r="R239" s="36" t="s">
        <v>803</v>
      </c>
      <c r="S239" s="36">
        <v>0</v>
      </c>
      <c r="U239" s="2" t="s">
        <v>786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30</v>
      </c>
    </row>
    <row r="240" spans="1:33" x14ac:dyDescent="0.15">
      <c r="A240" s="1" t="s">
        <v>28</v>
      </c>
      <c r="B240" s="1">
        <v>2003</v>
      </c>
      <c r="C240" s="1" t="s">
        <v>1626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804</v>
      </c>
      <c r="R240" s="36" t="s">
        <v>803</v>
      </c>
      <c r="S240" s="36">
        <v>0</v>
      </c>
      <c r="U240" s="2" t="s">
        <v>786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31</v>
      </c>
    </row>
    <row r="241" spans="1:33" x14ac:dyDescent="0.15">
      <c r="A241" s="1" t="s">
        <v>155</v>
      </c>
      <c r="B241" s="1">
        <v>2004</v>
      </c>
      <c r="C241" s="1" t="s">
        <v>155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804</v>
      </c>
      <c r="R241" s="36" t="s">
        <v>803</v>
      </c>
      <c r="S241" s="36">
        <v>0</v>
      </c>
      <c r="U241" s="2" t="s">
        <v>786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158</v>
      </c>
    </row>
    <row r="242" spans="1:33" x14ac:dyDescent="0.15">
      <c r="A242" s="1" t="s">
        <v>679</v>
      </c>
      <c r="B242" s="1">
        <v>2100</v>
      </c>
      <c r="C242" s="1" t="s">
        <v>679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20000</v>
      </c>
      <c r="N242" s="39">
        <f t="shared" si="10"/>
        <v>10000</v>
      </c>
      <c r="Q242" s="36" t="s">
        <v>804</v>
      </c>
      <c r="R242" s="36" t="s">
        <v>803</v>
      </c>
      <c r="S242" s="36">
        <v>0</v>
      </c>
      <c r="U242" s="2" t="s">
        <v>786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680</v>
      </c>
    </row>
    <row r="243" spans="1:33" x14ac:dyDescent="0.15">
      <c r="A243" s="1" t="s">
        <v>82</v>
      </c>
      <c r="B243" s="1">
        <v>2101</v>
      </c>
      <c r="C243" s="1" t="s">
        <v>82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20000</v>
      </c>
      <c r="N243" s="39">
        <f t="shared" si="10"/>
        <v>10000</v>
      </c>
      <c r="Q243" s="36" t="s">
        <v>804</v>
      </c>
      <c r="R243" s="36" t="s">
        <v>803</v>
      </c>
      <c r="S243" s="36">
        <v>0</v>
      </c>
      <c r="U243" s="2" t="s">
        <v>786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100</v>
      </c>
    </row>
    <row r="244" spans="1:33" x14ac:dyDescent="0.15">
      <c r="A244" s="1" t="s">
        <v>99</v>
      </c>
      <c r="B244" s="1">
        <v>2102</v>
      </c>
      <c r="C244" s="1" t="s">
        <v>98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16000</v>
      </c>
      <c r="N244" s="39">
        <f t="shared" si="10"/>
        <v>8000</v>
      </c>
      <c r="Q244" s="36" t="s">
        <v>804</v>
      </c>
      <c r="R244" s="36" t="s">
        <v>803</v>
      </c>
      <c r="S244" s="36">
        <v>0</v>
      </c>
      <c r="U244" s="2" t="s">
        <v>786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101</v>
      </c>
    </row>
    <row r="245" spans="1:33" x14ac:dyDescent="0.15">
      <c r="A245" s="1" t="s">
        <v>780</v>
      </c>
      <c r="B245" s="1">
        <v>2103</v>
      </c>
      <c r="C245" s="1" t="s">
        <v>781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12000</v>
      </c>
      <c r="N245" s="39">
        <f t="shared" si="10"/>
        <v>6000</v>
      </c>
      <c r="Q245" s="36" t="s">
        <v>804</v>
      </c>
      <c r="R245" s="36" t="s">
        <v>803</v>
      </c>
      <c r="S245" s="36">
        <v>0</v>
      </c>
      <c r="U245" s="2" t="s">
        <v>786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681</v>
      </c>
    </row>
    <row r="246" spans="1:33" x14ac:dyDescent="0.15">
      <c r="A246" s="1" t="s">
        <v>83</v>
      </c>
      <c r="B246" s="1">
        <v>2104</v>
      </c>
      <c r="C246" s="1" t="s">
        <v>83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8000</v>
      </c>
      <c r="N246" s="39">
        <f t="shared" si="10"/>
        <v>4000</v>
      </c>
      <c r="Q246" s="36" t="s">
        <v>804</v>
      </c>
      <c r="R246" s="36" t="s">
        <v>803</v>
      </c>
      <c r="S246" s="36">
        <v>0</v>
      </c>
      <c r="U246" s="2" t="s">
        <v>786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102</v>
      </c>
    </row>
    <row r="247" spans="1:33" x14ac:dyDescent="0.15">
      <c r="A247" s="1" t="s">
        <v>84</v>
      </c>
      <c r="B247" s="1">
        <v>2105</v>
      </c>
      <c r="C247" s="1" t="s">
        <v>84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20000</v>
      </c>
      <c r="N247" s="39">
        <f t="shared" si="10"/>
        <v>10000</v>
      </c>
      <c r="Q247" s="36" t="s">
        <v>804</v>
      </c>
      <c r="R247" s="36" t="s">
        <v>803</v>
      </c>
      <c r="S247" s="36">
        <v>0</v>
      </c>
      <c r="U247" s="2" t="s">
        <v>786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103</v>
      </c>
    </row>
    <row r="248" spans="1:33" x14ac:dyDescent="0.15">
      <c r="A248" s="1" t="s">
        <v>85</v>
      </c>
      <c r="B248" s="1">
        <v>2106</v>
      </c>
      <c r="C248" s="1" t="s">
        <v>85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20000</v>
      </c>
      <c r="N248" s="39">
        <f t="shared" si="10"/>
        <v>10000</v>
      </c>
      <c r="Q248" s="36" t="s">
        <v>804</v>
      </c>
      <c r="R248" s="36" t="s">
        <v>803</v>
      </c>
      <c r="S248" s="36">
        <v>0</v>
      </c>
      <c r="U248" s="2" t="s">
        <v>786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104</v>
      </c>
    </row>
    <row r="249" spans="1:33" x14ac:dyDescent="0.15">
      <c r="A249" s="1" t="s">
        <v>86</v>
      </c>
      <c r="B249" s="1">
        <v>2107</v>
      </c>
      <c r="C249" s="1" t="s">
        <v>86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12000</v>
      </c>
      <c r="N249" s="39">
        <f t="shared" si="10"/>
        <v>6000</v>
      </c>
      <c r="Q249" s="36" t="s">
        <v>804</v>
      </c>
      <c r="R249" s="36" t="s">
        <v>803</v>
      </c>
      <c r="S249" s="36">
        <v>0</v>
      </c>
      <c r="U249" s="2" t="s">
        <v>786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105</v>
      </c>
    </row>
    <row r="250" spans="1:33" x14ac:dyDescent="0.15">
      <c r="A250" s="1" t="s">
        <v>89</v>
      </c>
      <c r="B250" s="1">
        <v>2108</v>
      </c>
      <c r="C250" s="1" t="s">
        <v>92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5000</v>
      </c>
      <c r="N250" s="39">
        <f t="shared" si="10"/>
        <v>2500</v>
      </c>
      <c r="Q250" s="36" t="s">
        <v>804</v>
      </c>
      <c r="R250" s="36" t="s">
        <v>803</v>
      </c>
      <c r="S250" s="36">
        <v>0</v>
      </c>
      <c r="U250" s="2" t="s">
        <v>786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106</v>
      </c>
    </row>
    <row r="251" spans="1:33" x14ac:dyDescent="0.15">
      <c r="A251" s="1" t="s">
        <v>90</v>
      </c>
      <c r="B251" s="1">
        <v>2109</v>
      </c>
      <c r="C251" s="1" t="s">
        <v>93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10000</v>
      </c>
      <c r="N251" s="39">
        <f t="shared" si="10"/>
        <v>5000</v>
      </c>
      <c r="Q251" s="36" t="s">
        <v>804</v>
      </c>
      <c r="R251" s="36" t="s">
        <v>803</v>
      </c>
      <c r="S251" s="36">
        <v>0</v>
      </c>
      <c r="U251" s="2" t="s">
        <v>786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107</v>
      </c>
    </row>
    <row r="252" spans="1:33" x14ac:dyDescent="0.15">
      <c r="A252" s="1" t="s">
        <v>91</v>
      </c>
      <c r="B252" s="1">
        <v>2110</v>
      </c>
      <c r="C252" s="1" t="s">
        <v>94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20000</v>
      </c>
      <c r="N252" s="39">
        <f t="shared" si="10"/>
        <v>10000</v>
      </c>
      <c r="Q252" s="36" t="s">
        <v>804</v>
      </c>
      <c r="R252" s="36" t="s">
        <v>803</v>
      </c>
      <c r="S252" s="36">
        <v>0</v>
      </c>
      <c r="U252" s="2" t="s">
        <v>786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108</v>
      </c>
    </row>
    <row r="253" spans="1:33" x14ac:dyDescent="0.15">
      <c r="A253" s="1" t="s">
        <v>88</v>
      </c>
      <c r="B253" s="1">
        <v>2111</v>
      </c>
      <c r="C253" s="1" t="s">
        <v>95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5000</v>
      </c>
      <c r="N253" s="39">
        <f t="shared" si="10"/>
        <v>2500</v>
      </c>
      <c r="Q253" s="36" t="s">
        <v>804</v>
      </c>
      <c r="R253" s="36" t="s">
        <v>803</v>
      </c>
      <c r="S253" s="36">
        <v>0</v>
      </c>
      <c r="U253" s="2" t="s">
        <v>786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109</v>
      </c>
    </row>
    <row r="254" spans="1:33" x14ac:dyDescent="0.15">
      <c r="A254" s="1" t="s">
        <v>96</v>
      </c>
      <c r="B254" s="1">
        <v>2113</v>
      </c>
      <c r="C254" s="1" t="s">
        <v>97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5000</v>
      </c>
      <c r="N254" s="39">
        <f t="shared" si="10"/>
        <v>2500</v>
      </c>
      <c r="Q254" s="36" t="s">
        <v>804</v>
      </c>
      <c r="R254" s="36" t="s">
        <v>803</v>
      </c>
      <c r="S254" s="36">
        <v>0</v>
      </c>
      <c r="U254" s="2" t="s">
        <v>786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110</v>
      </c>
    </row>
    <row r="255" spans="1:33" x14ac:dyDescent="0.15">
      <c r="A255" s="1" t="s">
        <v>682</v>
      </c>
      <c r="B255" s="1">
        <v>2114</v>
      </c>
      <c r="C255" s="1" t="s">
        <v>682</v>
      </c>
      <c r="D255" s="1">
        <v>10</v>
      </c>
      <c r="E255" s="1">
        <v>2114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12000</v>
      </c>
      <c r="N255" s="39">
        <f>M255/2</f>
        <v>6000</v>
      </c>
      <c r="Q255" s="36" t="s">
        <v>804</v>
      </c>
      <c r="R255" s="36" t="s">
        <v>803</v>
      </c>
      <c r="S255" s="36">
        <v>0</v>
      </c>
      <c r="U255" s="2" t="s">
        <v>786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252</v>
      </c>
    </row>
    <row r="256" spans="1:33" x14ac:dyDescent="0.15">
      <c r="A256" s="1" t="s">
        <v>1575</v>
      </c>
      <c r="B256" s="1">
        <v>2115</v>
      </c>
      <c r="C256" s="1" t="s">
        <v>1580</v>
      </c>
      <c r="D256" s="1">
        <v>6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1</v>
      </c>
      <c r="L256" s="1">
        <v>1</v>
      </c>
      <c r="M256" s="39">
        <v>1800</v>
      </c>
      <c r="N256" s="39">
        <f t="shared" ref="N256" si="11">M256/2</f>
        <v>900</v>
      </c>
      <c r="Q256" s="36" t="s">
        <v>803</v>
      </c>
      <c r="R256" s="36" t="s">
        <v>803</v>
      </c>
      <c r="S256" s="36">
        <v>0</v>
      </c>
      <c r="U256" s="2" t="s">
        <v>786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300</v>
      </c>
      <c r="AG256" s="1" t="s">
        <v>1578</v>
      </c>
    </row>
    <row r="257" spans="1:33" x14ac:dyDescent="0.15">
      <c r="A257" s="1" t="s">
        <v>1576</v>
      </c>
      <c r="B257" s="1">
        <v>2116</v>
      </c>
      <c r="C257" s="1" t="s">
        <v>1581</v>
      </c>
      <c r="D257" s="1">
        <v>6</v>
      </c>
      <c r="E257" s="1">
        <v>1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1</v>
      </c>
      <c r="L257" s="1">
        <v>1</v>
      </c>
      <c r="M257" s="39">
        <v>5000</v>
      </c>
      <c r="N257" s="39">
        <f t="shared" ref="N257" si="12">M257/2</f>
        <v>2500</v>
      </c>
      <c r="Q257" s="36" t="s">
        <v>803</v>
      </c>
      <c r="R257" s="36" t="s">
        <v>803</v>
      </c>
      <c r="S257" s="36">
        <v>0</v>
      </c>
      <c r="U257" s="2" t="s">
        <v>786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600</v>
      </c>
      <c r="AG257" s="1" t="s">
        <v>1579</v>
      </c>
    </row>
    <row r="258" spans="1:33" x14ac:dyDescent="0.15">
      <c r="A258" s="1" t="s">
        <v>87</v>
      </c>
      <c r="B258" s="1">
        <v>2200</v>
      </c>
      <c r="C258" s="1" t="s">
        <v>87</v>
      </c>
      <c r="D258" s="1">
        <v>10</v>
      </c>
      <c r="E258" s="1">
        <v>2200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1</v>
      </c>
      <c r="L258" s="1">
        <v>1</v>
      </c>
      <c r="M258" s="39">
        <v>30000</v>
      </c>
      <c r="N258" s="39">
        <f>M258/2</f>
        <v>15000</v>
      </c>
      <c r="Q258" s="36" t="s">
        <v>804</v>
      </c>
      <c r="R258" s="36" t="s">
        <v>803</v>
      </c>
      <c r="S258" s="36">
        <v>0</v>
      </c>
      <c r="U258" s="2" t="s">
        <v>786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 t="s">
        <v>111</v>
      </c>
    </row>
    <row r="259" spans="1:33" ht="12.75" customHeight="1" x14ac:dyDescent="0.15">
      <c r="A259" s="1" t="s">
        <v>1540</v>
      </c>
      <c r="B259" s="1">
        <v>2201</v>
      </c>
      <c r="C259" s="1" t="s">
        <v>1542</v>
      </c>
      <c r="D259" s="1">
        <v>10</v>
      </c>
      <c r="E259" s="1">
        <v>2201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1</v>
      </c>
      <c r="M259" s="39">
        <v>16000</v>
      </c>
      <c r="N259" s="39">
        <f t="shared" si="10"/>
        <v>8000</v>
      </c>
      <c r="Q259" s="36" t="s">
        <v>804</v>
      </c>
      <c r="R259" s="36" t="s">
        <v>803</v>
      </c>
      <c r="S259" s="36">
        <v>0</v>
      </c>
      <c r="U259" s="2" t="s">
        <v>786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3" t="s">
        <v>1550</v>
      </c>
    </row>
    <row r="260" spans="1:33" x14ac:dyDescent="0.15">
      <c r="A260" s="1" t="s">
        <v>1541</v>
      </c>
      <c r="B260" s="1">
        <v>2202</v>
      </c>
      <c r="C260" s="1" t="s">
        <v>1541</v>
      </c>
      <c r="D260" s="1">
        <v>10</v>
      </c>
      <c r="E260" s="1">
        <v>2202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1</v>
      </c>
      <c r="L260" s="1">
        <v>1</v>
      </c>
      <c r="M260" s="39">
        <v>16000</v>
      </c>
      <c r="N260" s="39">
        <f t="shared" ref="N260:N267" si="13">M260/2</f>
        <v>8000</v>
      </c>
      <c r="Q260" s="36" t="s">
        <v>802</v>
      </c>
      <c r="R260" s="36" t="s">
        <v>802</v>
      </c>
      <c r="S260" s="36">
        <v>0</v>
      </c>
      <c r="U260" s="2" t="s">
        <v>786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3" t="s">
        <v>1551</v>
      </c>
    </row>
    <row r="261" spans="1:33" x14ac:dyDescent="0.15">
      <c r="A261" s="8" t="s">
        <v>1543</v>
      </c>
      <c r="B261" s="1">
        <v>2203</v>
      </c>
      <c r="C261" s="8" t="s">
        <v>1543</v>
      </c>
      <c r="D261" s="1">
        <v>10</v>
      </c>
      <c r="E261" s="1">
        <v>2203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1</v>
      </c>
      <c r="L261" s="1">
        <v>1</v>
      </c>
      <c r="M261" s="39">
        <v>8000</v>
      </c>
      <c r="N261" s="39">
        <f t="shared" si="13"/>
        <v>4000</v>
      </c>
      <c r="Q261" s="36" t="s">
        <v>802</v>
      </c>
      <c r="R261" s="36" t="s">
        <v>802</v>
      </c>
      <c r="S261" s="36">
        <v>0</v>
      </c>
      <c r="U261" s="2" t="s">
        <v>786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8" t="s">
        <v>1552</v>
      </c>
    </row>
    <row r="262" spans="1:33" x14ac:dyDescent="0.15">
      <c r="A262" s="8" t="s">
        <v>1544</v>
      </c>
      <c r="B262" s="1">
        <v>2204</v>
      </c>
      <c r="C262" s="8" t="s">
        <v>1544</v>
      </c>
      <c r="D262" s="1">
        <v>10</v>
      </c>
      <c r="E262" s="1">
        <v>2204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1</v>
      </c>
      <c r="L262" s="1">
        <v>1</v>
      </c>
      <c r="M262" s="39">
        <v>8000</v>
      </c>
      <c r="N262" s="39">
        <f t="shared" si="13"/>
        <v>4000</v>
      </c>
      <c r="Q262" s="36" t="s">
        <v>802</v>
      </c>
      <c r="R262" s="36" t="s">
        <v>802</v>
      </c>
      <c r="S262" s="36">
        <v>0</v>
      </c>
      <c r="U262" s="2" t="s">
        <v>786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8" t="s">
        <v>1552</v>
      </c>
    </row>
    <row r="263" spans="1:33" x14ac:dyDescent="0.15">
      <c r="A263" s="8" t="s">
        <v>1545</v>
      </c>
      <c r="B263" s="1">
        <v>2205</v>
      </c>
      <c r="C263" s="8" t="s">
        <v>1545</v>
      </c>
      <c r="D263" s="1">
        <v>10</v>
      </c>
      <c r="E263" s="1">
        <v>2205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1</v>
      </c>
      <c r="L263" s="1">
        <v>1</v>
      </c>
      <c r="M263" s="39">
        <v>8000</v>
      </c>
      <c r="N263" s="39">
        <f t="shared" si="13"/>
        <v>4000</v>
      </c>
      <c r="Q263" s="36" t="s">
        <v>802</v>
      </c>
      <c r="R263" s="36" t="s">
        <v>802</v>
      </c>
      <c r="S263" s="36">
        <v>0</v>
      </c>
      <c r="U263" s="2" t="s">
        <v>786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1553</v>
      </c>
    </row>
    <row r="264" spans="1:33" x14ac:dyDescent="0.15">
      <c r="A264" s="8" t="s">
        <v>1546</v>
      </c>
      <c r="B264" s="1">
        <v>2206</v>
      </c>
      <c r="C264" s="8" t="s">
        <v>1546</v>
      </c>
      <c r="D264" s="1">
        <v>10</v>
      </c>
      <c r="E264" s="1">
        <v>2206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1</v>
      </c>
      <c r="M264" s="39">
        <v>8000</v>
      </c>
      <c r="N264" s="39">
        <f t="shared" si="13"/>
        <v>4000</v>
      </c>
      <c r="Q264" s="36" t="s">
        <v>802</v>
      </c>
      <c r="R264" s="36" t="s">
        <v>802</v>
      </c>
      <c r="S264" s="36">
        <v>0</v>
      </c>
      <c r="U264" s="2" t="s">
        <v>786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8" t="s">
        <v>1554</v>
      </c>
    </row>
    <row r="265" spans="1:33" x14ac:dyDescent="0.15">
      <c r="A265" s="8" t="s">
        <v>1547</v>
      </c>
      <c r="B265" s="1">
        <v>2207</v>
      </c>
      <c r="C265" s="8" t="s">
        <v>1547</v>
      </c>
      <c r="D265" s="1">
        <v>10</v>
      </c>
      <c r="E265" s="1">
        <v>2207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1</v>
      </c>
      <c r="L265" s="1">
        <v>1</v>
      </c>
      <c r="M265" s="39">
        <v>8000</v>
      </c>
      <c r="N265" s="39">
        <f t="shared" si="13"/>
        <v>4000</v>
      </c>
      <c r="Q265" s="36" t="s">
        <v>802</v>
      </c>
      <c r="R265" s="36" t="s">
        <v>802</v>
      </c>
      <c r="S265" s="36">
        <v>0</v>
      </c>
      <c r="U265" s="2" t="s">
        <v>786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1552</v>
      </c>
    </row>
    <row r="266" spans="1:33" x14ac:dyDescent="0.15">
      <c r="A266" s="8" t="s">
        <v>1548</v>
      </c>
      <c r="B266" s="1">
        <v>2208</v>
      </c>
      <c r="C266" s="8" t="s">
        <v>1548</v>
      </c>
      <c r="D266" s="1">
        <v>10</v>
      </c>
      <c r="E266" s="1">
        <v>2208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1</v>
      </c>
      <c r="L266" s="1">
        <v>1</v>
      </c>
      <c r="M266" s="39">
        <v>8000</v>
      </c>
      <c r="N266" s="39">
        <f t="shared" si="13"/>
        <v>4000</v>
      </c>
      <c r="Q266" s="36" t="s">
        <v>802</v>
      </c>
      <c r="R266" s="36" t="s">
        <v>802</v>
      </c>
      <c r="S266" s="36">
        <v>0</v>
      </c>
      <c r="U266" s="2" t="s">
        <v>786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8" t="s">
        <v>1553</v>
      </c>
    </row>
    <row r="267" spans="1:33" x14ac:dyDescent="0.15">
      <c r="A267" s="8" t="s">
        <v>1549</v>
      </c>
      <c r="B267" s="1">
        <v>2209</v>
      </c>
      <c r="C267" s="8" t="s">
        <v>1549</v>
      </c>
      <c r="D267" s="1">
        <v>10</v>
      </c>
      <c r="E267" s="1">
        <v>2209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1</v>
      </c>
      <c r="L267" s="1">
        <v>1</v>
      </c>
      <c r="M267" s="39">
        <v>20000</v>
      </c>
      <c r="N267" s="39">
        <f t="shared" si="13"/>
        <v>10000</v>
      </c>
      <c r="Q267" s="36" t="s">
        <v>802</v>
      </c>
      <c r="R267" s="36" t="s">
        <v>802</v>
      </c>
      <c r="S267" s="36">
        <v>0</v>
      </c>
      <c r="U267" s="2" t="s">
        <v>786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8" t="s">
        <v>1555</v>
      </c>
    </row>
    <row r="268" spans="1:33" ht="14.25" x14ac:dyDescent="0.15">
      <c r="A268" s="10" t="s">
        <v>191</v>
      </c>
      <c r="B268" s="1">
        <v>4000</v>
      </c>
      <c r="C268" s="10" t="s">
        <v>1627</v>
      </c>
      <c r="D268" s="1">
        <v>3</v>
      </c>
      <c r="E268" s="7">
        <v>1000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203</v>
      </c>
      <c r="N268" s="39">
        <f>ROUND(VLOOKUP(A268,鱼!$J$2:$K$32,2,FALSE),0)</f>
        <v>203</v>
      </c>
      <c r="Q268" s="36" t="s">
        <v>804</v>
      </c>
      <c r="R268" s="36" t="s">
        <v>803</v>
      </c>
      <c r="S268" s="36">
        <v>0</v>
      </c>
      <c r="U268" s="2" t="s">
        <v>786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0" t="s">
        <v>1371</v>
      </c>
    </row>
    <row r="269" spans="1:33" x14ac:dyDescent="0.15">
      <c r="A269" s="7" t="s">
        <v>1373</v>
      </c>
      <c r="B269" s="1">
        <v>4003</v>
      </c>
      <c r="C269" s="7" t="s">
        <v>1628</v>
      </c>
      <c r="D269" s="1">
        <v>3</v>
      </c>
      <c r="E269" s="7">
        <v>1003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100</v>
      </c>
      <c r="N269" s="39">
        <v>100</v>
      </c>
      <c r="Q269" s="36" t="s">
        <v>804</v>
      </c>
      <c r="R269" s="36" t="s">
        <v>803</v>
      </c>
      <c r="S269" s="36">
        <v>0</v>
      </c>
      <c r="U269" s="2" t="s">
        <v>786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1374</v>
      </c>
    </row>
    <row r="270" spans="1:33" x14ac:dyDescent="0.15">
      <c r="A270" s="7" t="s">
        <v>121</v>
      </c>
      <c r="B270" s="1">
        <v>4004</v>
      </c>
      <c r="C270" s="7" t="s">
        <v>1629</v>
      </c>
      <c r="D270" s="1">
        <v>3</v>
      </c>
      <c r="E270" s="7">
        <v>1004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100</v>
      </c>
      <c r="N270" s="39">
        <v>100</v>
      </c>
      <c r="Q270" s="36" t="s">
        <v>804</v>
      </c>
      <c r="R270" s="36" t="s">
        <v>803</v>
      </c>
      <c r="S270" s="36">
        <v>0</v>
      </c>
      <c r="U270" s="2" t="s">
        <v>786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1375</v>
      </c>
    </row>
    <row r="271" spans="1:33" x14ac:dyDescent="0.15">
      <c r="A271" s="7" t="s">
        <v>1372</v>
      </c>
      <c r="B271" s="1">
        <v>4006</v>
      </c>
      <c r="C271" s="7" t="s">
        <v>1630</v>
      </c>
      <c r="D271" s="1">
        <v>3</v>
      </c>
      <c r="E271" s="7">
        <v>1006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209</v>
      </c>
      <c r="N271" s="39">
        <f>ROUND(VLOOKUP(A271,鱼!$J$2:$K$32,2,FALSE),0)</f>
        <v>209</v>
      </c>
      <c r="Q271" s="36" t="s">
        <v>804</v>
      </c>
      <c r="R271" s="36" t="s">
        <v>803</v>
      </c>
      <c r="S271" s="36">
        <v>0</v>
      </c>
      <c r="U271" s="2" t="s">
        <v>786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1376</v>
      </c>
    </row>
    <row r="272" spans="1:33" x14ac:dyDescent="0.15">
      <c r="A272" s="7" t="s">
        <v>1536</v>
      </c>
      <c r="B272" s="1">
        <v>4007</v>
      </c>
      <c r="C272" s="7" t="s">
        <v>1631</v>
      </c>
      <c r="D272" s="1">
        <v>3</v>
      </c>
      <c r="E272" s="7">
        <v>1007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230</v>
      </c>
      <c r="N272" s="39">
        <f>ROUND(VLOOKUP(A272,鱼!$J$2:$K$32,2,FALSE),0)</f>
        <v>230</v>
      </c>
      <c r="Q272" s="36" t="s">
        <v>804</v>
      </c>
      <c r="R272" s="36" t="s">
        <v>803</v>
      </c>
      <c r="S272" s="36">
        <v>0</v>
      </c>
      <c r="U272" s="2" t="s">
        <v>786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1377</v>
      </c>
    </row>
    <row r="273" spans="1:33" x14ac:dyDescent="0.15">
      <c r="A273" s="8" t="s">
        <v>124</v>
      </c>
      <c r="B273" s="1">
        <v>4008</v>
      </c>
      <c r="C273" s="8" t="s">
        <v>1632</v>
      </c>
      <c r="D273" s="1">
        <v>3</v>
      </c>
      <c r="E273" s="7">
        <v>1008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100</v>
      </c>
      <c r="N273" s="39">
        <v>100</v>
      </c>
      <c r="Q273" s="36" t="s">
        <v>804</v>
      </c>
      <c r="R273" s="36" t="s">
        <v>803</v>
      </c>
      <c r="S273" s="36">
        <v>0</v>
      </c>
      <c r="U273" s="2" t="s">
        <v>786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8" t="s">
        <v>1378</v>
      </c>
    </row>
    <row r="274" spans="1:33" x14ac:dyDescent="0.15">
      <c r="A274" s="7" t="s">
        <v>125</v>
      </c>
      <c r="B274" s="1">
        <v>4009</v>
      </c>
      <c r="C274" s="7" t="s">
        <v>125</v>
      </c>
      <c r="D274" s="1">
        <v>3</v>
      </c>
      <c r="E274" s="7">
        <v>1009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266</v>
      </c>
      <c r="N274" s="39">
        <f>ROUND(VLOOKUP(A274,鱼!$J$2:$K$32,2,FALSE),0)</f>
        <v>266</v>
      </c>
      <c r="Q274" s="36" t="s">
        <v>804</v>
      </c>
      <c r="R274" s="36" t="s">
        <v>803</v>
      </c>
      <c r="S274" s="36">
        <v>0</v>
      </c>
      <c r="U274" s="2" t="s">
        <v>786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7" t="s">
        <v>1379</v>
      </c>
    </row>
    <row r="275" spans="1:33" x14ac:dyDescent="0.15">
      <c r="A275" s="8" t="s">
        <v>126</v>
      </c>
      <c r="B275" s="1">
        <v>4010</v>
      </c>
      <c r="C275" s="8" t="s">
        <v>1633</v>
      </c>
      <c r="D275" s="1">
        <v>3</v>
      </c>
      <c r="E275" s="7">
        <v>1010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352</v>
      </c>
      <c r="N275" s="39">
        <f>ROUND(VLOOKUP(A275,鱼!$J$2:$K$32,2,FALSE),0)</f>
        <v>352</v>
      </c>
      <c r="Q275" s="36" t="s">
        <v>804</v>
      </c>
      <c r="R275" s="36" t="s">
        <v>803</v>
      </c>
      <c r="S275" s="36">
        <v>0</v>
      </c>
      <c r="U275" s="2" t="s">
        <v>786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8" t="s">
        <v>1380</v>
      </c>
    </row>
    <row r="276" spans="1:33" x14ac:dyDescent="0.15">
      <c r="A276" s="7" t="s">
        <v>1537</v>
      </c>
      <c r="B276" s="1">
        <v>4011</v>
      </c>
      <c r="C276" s="7" t="s">
        <v>1556</v>
      </c>
      <c r="D276" s="1">
        <v>3</v>
      </c>
      <c r="E276" s="7">
        <v>1011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390</v>
      </c>
      <c r="N276" s="39">
        <f>ROUND(VLOOKUP(A276,鱼!$J$2:$K$32,2,FALSE),0)</f>
        <v>390</v>
      </c>
      <c r="Q276" s="36" t="s">
        <v>804</v>
      </c>
      <c r="R276" s="36" t="s">
        <v>803</v>
      </c>
      <c r="S276" s="36">
        <v>0</v>
      </c>
      <c r="U276" s="2" t="s">
        <v>786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1381</v>
      </c>
    </row>
    <row r="277" spans="1:33" x14ac:dyDescent="0.15">
      <c r="A277" s="7" t="s">
        <v>128</v>
      </c>
      <c r="B277" s="1">
        <v>4012</v>
      </c>
      <c r="C277" s="7" t="s">
        <v>1634</v>
      </c>
      <c r="D277" s="1">
        <v>3</v>
      </c>
      <c r="E277" s="7">
        <v>1012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100</v>
      </c>
      <c r="N277" s="39">
        <v>100</v>
      </c>
      <c r="Q277" s="36" t="s">
        <v>804</v>
      </c>
      <c r="R277" s="36" t="s">
        <v>803</v>
      </c>
      <c r="S277" s="36">
        <v>0</v>
      </c>
      <c r="U277" s="2" t="s">
        <v>786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1382</v>
      </c>
    </row>
    <row r="278" spans="1:33" x14ac:dyDescent="0.15">
      <c r="A278" s="7" t="s">
        <v>129</v>
      </c>
      <c r="B278" s="1">
        <v>4013</v>
      </c>
      <c r="C278" s="7" t="s">
        <v>1635</v>
      </c>
      <c r="D278" s="1">
        <v>3</v>
      </c>
      <c r="E278" s="7">
        <v>1013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600</v>
      </c>
      <c r="N278" s="39">
        <f>ROUND(VLOOKUP(A278,鱼!$J$2:$K$32,2,FALSE),0)</f>
        <v>600</v>
      </c>
      <c r="Q278" s="36" t="s">
        <v>804</v>
      </c>
      <c r="R278" s="36" t="s">
        <v>803</v>
      </c>
      <c r="S278" s="36">
        <v>0</v>
      </c>
      <c r="U278" s="2" t="s">
        <v>786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1383</v>
      </c>
    </row>
    <row r="279" spans="1:33" x14ac:dyDescent="0.15">
      <c r="A279" s="7" t="s">
        <v>130</v>
      </c>
      <c r="B279" s="1">
        <v>4014</v>
      </c>
      <c r="C279" s="7" t="s">
        <v>1636</v>
      </c>
      <c r="D279" s="1">
        <v>3</v>
      </c>
      <c r="E279" s="7">
        <v>1014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744</v>
      </c>
      <c r="N279" s="39">
        <f>ROUND(VLOOKUP(A279,鱼!$J$2:$K$32,2,FALSE),0)</f>
        <v>744</v>
      </c>
      <c r="Q279" s="36" t="s">
        <v>804</v>
      </c>
      <c r="R279" s="36" t="s">
        <v>803</v>
      </c>
      <c r="S279" s="36">
        <v>0</v>
      </c>
      <c r="U279" s="2" t="s">
        <v>786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7" t="s">
        <v>1384</v>
      </c>
    </row>
    <row r="280" spans="1:33" x14ac:dyDescent="0.15">
      <c r="A280" s="7" t="s">
        <v>131</v>
      </c>
      <c r="B280" s="1">
        <v>4015</v>
      </c>
      <c r="C280" s="7" t="s">
        <v>1637</v>
      </c>
      <c r="D280" s="1">
        <v>3</v>
      </c>
      <c r="E280" s="7">
        <v>1015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539</v>
      </c>
      <c r="N280" s="39">
        <f>ROUND(VLOOKUP(A280,鱼!$J$2:$K$32,2,FALSE),0)</f>
        <v>539</v>
      </c>
      <c r="Q280" s="36" t="s">
        <v>804</v>
      </c>
      <c r="R280" s="36" t="s">
        <v>803</v>
      </c>
      <c r="S280" s="36">
        <v>0</v>
      </c>
      <c r="U280" s="2" t="s">
        <v>786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7" t="s">
        <v>1385</v>
      </c>
    </row>
    <row r="281" spans="1:33" x14ac:dyDescent="0.15">
      <c r="A281" s="7" t="s">
        <v>132</v>
      </c>
      <c r="B281" s="1">
        <v>4016</v>
      </c>
      <c r="C281" s="7" t="s">
        <v>132</v>
      </c>
      <c r="D281" s="1">
        <v>3</v>
      </c>
      <c r="E281" s="7">
        <v>1016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916</v>
      </c>
      <c r="N281" s="39">
        <f>ROUND(VLOOKUP(A281,鱼!$J$2:$K$32,2,FALSE),0)</f>
        <v>916</v>
      </c>
      <c r="Q281" s="36" t="s">
        <v>804</v>
      </c>
      <c r="R281" s="36" t="s">
        <v>803</v>
      </c>
      <c r="S281" s="36">
        <v>0</v>
      </c>
      <c r="U281" s="2" t="s">
        <v>786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7" t="s">
        <v>1386</v>
      </c>
    </row>
    <row r="282" spans="1:33" x14ac:dyDescent="0.15">
      <c r="A282" s="7" t="s">
        <v>133</v>
      </c>
      <c r="B282" s="1">
        <v>4017</v>
      </c>
      <c r="C282" s="7" t="s">
        <v>1638</v>
      </c>
      <c r="D282" s="1">
        <v>3</v>
      </c>
      <c r="E282" s="7">
        <v>1017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1120</v>
      </c>
      <c r="N282" s="39">
        <f>ROUND(VLOOKUP(A282,鱼!$J$2:$K$32,2,FALSE),0)</f>
        <v>1120</v>
      </c>
      <c r="Q282" s="36" t="s">
        <v>804</v>
      </c>
      <c r="R282" s="36" t="s">
        <v>803</v>
      </c>
      <c r="S282" s="36">
        <v>0</v>
      </c>
      <c r="U282" s="2" t="s">
        <v>786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7" t="s">
        <v>1387</v>
      </c>
    </row>
    <row r="283" spans="1:33" x14ac:dyDescent="0.15">
      <c r="A283" s="7" t="s">
        <v>134</v>
      </c>
      <c r="B283" s="1">
        <v>4018</v>
      </c>
      <c r="C283" s="7" t="s">
        <v>1639</v>
      </c>
      <c r="D283" s="1">
        <v>3</v>
      </c>
      <c r="E283" s="7">
        <v>1018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1234</v>
      </c>
      <c r="N283" s="39">
        <f>ROUND(VLOOKUP(A283,鱼!$J$2:$K$32,2,FALSE),0)</f>
        <v>1234</v>
      </c>
      <c r="Q283" s="36" t="s">
        <v>804</v>
      </c>
      <c r="R283" s="36" t="s">
        <v>803</v>
      </c>
      <c r="S283" s="36">
        <v>0</v>
      </c>
      <c r="U283" s="2" t="s">
        <v>786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7" t="s">
        <v>1388</v>
      </c>
    </row>
    <row r="284" spans="1:33" ht="27" x14ac:dyDescent="0.15">
      <c r="A284" s="8" t="s">
        <v>135</v>
      </c>
      <c r="B284" s="1">
        <v>4020</v>
      </c>
      <c r="C284" s="8" t="s">
        <v>135</v>
      </c>
      <c r="D284" s="1">
        <v>3</v>
      </c>
      <c r="E284" s="7">
        <v>1020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1630</v>
      </c>
      <c r="N284" s="39">
        <f>ROUND(VLOOKUP(A284,鱼!$J$2:$K$32,2,FALSE),0)</f>
        <v>1630</v>
      </c>
      <c r="Q284" s="36" t="s">
        <v>802</v>
      </c>
      <c r="R284" s="36" t="s">
        <v>803</v>
      </c>
      <c r="S284" s="36">
        <v>0</v>
      </c>
      <c r="U284" s="2" t="s">
        <v>786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1389</v>
      </c>
    </row>
    <row r="285" spans="1:33" x14ac:dyDescent="0.15">
      <c r="A285" s="7" t="s">
        <v>136</v>
      </c>
      <c r="B285" s="1">
        <v>4021</v>
      </c>
      <c r="C285" s="7" t="s">
        <v>1640</v>
      </c>
      <c r="D285" s="1">
        <v>3</v>
      </c>
      <c r="E285" s="7">
        <v>1021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1781</v>
      </c>
      <c r="N285" s="39">
        <f>ROUND(VLOOKUP(A285,鱼!$J$2:$K$32,2,FALSE),0)</f>
        <v>1781</v>
      </c>
      <c r="Q285" s="36" t="s">
        <v>802</v>
      </c>
      <c r="R285" s="36" t="s">
        <v>803</v>
      </c>
      <c r="S285" s="36">
        <v>0</v>
      </c>
      <c r="U285" s="2" t="s">
        <v>786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7" t="s">
        <v>1390</v>
      </c>
    </row>
    <row r="286" spans="1:33" x14ac:dyDescent="0.15">
      <c r="A286" s="7" t="s">
        <v>137</v>
      </c>
      <c r="B286" s="1">
        <v>4022</v>
      </c>
      <c r="C286" s="7" t="s">
        <v>137</v>
      </c>
      <c r="D286" s="1">
        <v>3</v>
      </c>
      <c r="E286" s="7">
        <v>1022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2113</v>
      </c>
      <c r="N286" s="39">
        <f>ROUND(VLOOKUP(A286,鱼!$J$2:$K$32,2,FALSE),0)</f>
        <v>2113</v>
      </c>
      <c r="Q286" s="36" t="s">
        <v>802</v>
      </c>
      <c r="R286" s="36" t="s">
        <v>803</v>
      </c>
      <c r="S286" s="36">
        <v>0</v>
      </c>
      <c r="U286" s="2" t="s">
        <v>786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7" t="s">
        <v>1391</v>
      </c>
    </row>
    <row r="287" spans="1:33" x14ac:dyDescent="0.15">
      <c r="A287" s="7" t="s">
        <v>138</v>
      </c>
      <c r="B287" s="1">
        <v>4023</v>
      </c>
      <c r="C287" s="7" t="s">
        <v>138</v>
      </c>
      <c r="D287" s="1">
        <v>3</v>
      </c>
      <c r="E287" s="7">
        <v>1023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2294</v>
      </c>
      <c r="N287" s="39">
        <f>ROUND(VLOOKUP(A287,鱼!$J$2:$K$32,2,FALSE),0)</f>
        <v>2294</v>
      </c>
      <c r="Q287" s="36" t="s">
        <v>802</v>
      </c>
      <c r="R287" s="36" t="s">
        <v>803</v>
      </c>
      <c r="S287" s="36">
        <v>0</v>
      </c>
      <c r="U287" s="2" t="s">
        <v>786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7" t="s">
        <v>1393</v>
      </c>
    </row>
    <row r="288" spans="1:33" x14ac:dyDescent="0.15">
      <c r="A288" s="7" t="s">
        <v>139</v>
      </c>
      <c r="B288" s="1">
        <v>4024</v>
      </c>
      <c r="C288" s="7" t="s">
        <v>139</v>
      </c>
      <c r="D288" s="1">
        <v>3</v>
      </c>
      <c r="E288" s="7">
        <v>1024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2905</v>
      </c>
      <c r="N288" s="39">
        <f>ROUND(VLOOKUP(A288,鱼!$J$2:$K$32,2,FALSE),0)</f>
        <v>2905</v>
      </c>
      <c r="Q288" s="36" t="s">
        <v>802</v>
      </c>
      <c r="R288" s="36" t="s">
        <v>803</v>
      </c>
      <c r="S288" s="36">
        <v>0</v>
      </c>
      <c r="U288" s="2" t="s">
        <v>786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7" t="s">
        <v>1392</v>
      </c>
    </row>
    <row r="289" spans="1:33" x14ac:dyDescent="0.15">
      <c r="A289" s="8" t="s">
        <v>140</v>
      </c>
      <c r="B289" s="1">
        <v>4100</v>
      </c>
      <c r="C289" s="8" t="s">
        <v>1641</v>
      </c>
      <c r="D289" s="1">
        <v>3</v>
      </c>
      <c r="E289" s="7">
        <v>1100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218</v>
      </c>
      <c r="N289" s="39">
        <f>ROUND(VLOOKUP(A289,鱼!$J$2:$K$32,2,FALSE),0)</f>
        <v>218</v>
      </c>
      <c r="Q289" s="36" t="s">
        <v>802</v>
      </c>
      <c r="R289" s="36" t="s">
        <v>803</v>
      </c>
      <c r="S289" s="36">
        <v>0</v>
      </c>
      <c r="U289" s="2" t="s">
        <v>786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1394</v>
      </c>
    </row>
    <row r="290" spans="1:33" x14ac:dyDescent="0.15">
      <c r="A290" s="8" t="s">
        <v>141</v>
      </c>
      <c r="B290" s="1">
        <v>4101</v>
      </c>
      <c r="C290" s="8" t="s">
        <v>141</v>
      </c>
      <c r="D290" s="1">
        <v>3</v>
      </c>
      <c r="E290" s="7">
        <v>1101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246</v>
      </c>
      <c r="N290" s="39">
        <f>ROUND(VLOOKUP(A290,鱼!$J$2:$K$32,2,FALSE),0)</f>
        <v>246</v>
      </c>
      <c r="Q290" s="36" t="s">
        <v>802</v>
      </c>
      <c r="R290" s="36" t="s">
        <v>803</v>
      </c>
      <c r="S290" s="36">
        <v>0</v>
      </c>
      <c r="U290" s="2" t="s">
        <v>786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1395</v>
      </c>
    </row>
    <row r="291" spans="1:33" x14ac:dyDescent="0.15">
      <c r="A291" s="8" t="s">
        <v>142</v>
      </c>
      <c r="B291" s="1">
        <v>4103</v>
      </c>
      <c r="C291" s="8" t="s">
        <v>1642</v>
      </c>
      <c r="D291" s="1">
        <v>3</v>
      </c>
      <c r="E291" s="7">
        <v>1103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290</v>
      </c>
      <c r="N291" s="39">
        <f>ROUND(VLOOKUP(A291,鱼!$J$2:$K$32,2,FALSE),0)</f>
        <v>290</v>
      </c>
      <c r="Q291" s="36" t="s">
        <v>802</v>
      </c>
      <c r="R291" s="36" t="s">
        <v>803</v>
      </c>
      <c r="S291" s="36">
        <v>0</v>
      </c>
      <c r="U291" s="2" t="s">
        <v>786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1396</v>
      </c>
    </row>
    <row r="292" spans="1:33" x14ac:dyDescent="0.15">
      <c r="A292" s="8" t="s">
        <v>192</v>
      </c>
      <c r="B292" s="1">
        <v>4105</v>
      </c>
      <c r="C292" s="8" t="s">
        <v>1643</v>
      </c>
      <c r="D292" s="1">
        <v>3</v>
      </c>
      <c r="E292" s="7">
        <v>1105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318</v>
      </c>
      <c r="N292" s="39">
        <f>ROUND(VLOOKUP(A292,鱼!$J$2:$K$32,2,FALSE),0)</f>
        <v>318</v>
      </c>
      <c r="Q292" s="36" t="s">
        <v>802</v>
      </c>
      <c r="R292" s="36" t="s">
        <v>803</v>
      </c>
      <c r="S292" s="36">
        <v>0</v>
      </c>
      <c r="U292" s="2" t="s">
        <v>786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1397</v>
      </c>
    </row>
    <row r="293" spans="1:33" x14ac:dyDescent="0.15">
      <c r="A293" s="8" t="s">
        <v>143</v>
      </c>
      <c r="B293" s="1">
        <v>4106</v>
      </c>
      <c r="C293" s="8" t="s">
        <v>1644</v>
      </c>
      <c r="D293" s="1">
        <v>3</v>
      </c>
      <c r="E293" s="7">
        <v>1106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9">
        <v>483</v>
      </c>
      <c r="N293" s="39">
        <f>ROUND(VLOOKUP(A293,鱼!$J$2:$K$32,2,FALSE),0)</f>
        <v>483</v>
      </c>
      <c r="Q293" s="36" t="s">
        <v>802</v>
      </c>
      <c r="R293" s="36" t="s">
        <v>803</v>
      </c>
      <c r="S293" s="36">
        <v>0</v>
      </c>
      <c r="U293" s="2" t="s">
        <v>786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8" t="s">
        <v>1398</v>
      </c>
    </row>
    <row r="294" spans="1:33" x14ac:dyDescent="0.15">
      <c r="A294" s="8" t="s">
        <v>251</v>
      </c>
      <c r="B294" s="1">
        <v>4109</v>
      </c>
      <c r="C294" s="8" t="s">
        <v>1645</v>
      </c>
      <c r="D294" s="1">
        <v>3</v>
      </c>
      <c r="E294" s="7">
        <v>1109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9</v>
      </c>
      <c r="L294" s="1">
        <v>1</v>
      </c>
      <c r="M294" s="39">
        <v>100</v>
      </c>
      <c r="N294" s="39">
        <v>100</v>
      </c>
      <c r="Q294" s="36" t="s">
        <v>802</v>
      </c>
      <c r="R294" s="36" t="s">
        <v>803</v>
      </c>
      <c r="S294" s="36">
        <v>0</v>
      </c>
      <c r="U294" s="2" t="s">
        <v>786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8" t="s">
        <v>1399</v>
      </c>
    </row>
    <row r="295" spans="1:33" x14ac:dyDescent="0.15">
      <c r="A295" s="8" t="s">
        <v>190</v>
      </c>
      <c r="B295" s="1">
        <v>4110</v>
      </c>
      <c r="C295" s="8" t="s">
        <v>1646</v>
      </c>
      <c r="D295" s="1">
        <v>3</v>
      </c>
      <c r="E295" s="7">
        <v>1110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9</v>
      </c>
      <c r="L295" s="1">
        <v>1</v>
      </c>
      <c r="M295" s="39">
        <v>669</v>
      </c>
      <c r="N295" s="39">
        <f>ROUND(VLOOKUP(A295,鱼!$J$2:$K$32,2,FALSE),0)</f>
        <v>669</v>
      </c>
      <c r="Q295" s="36" t="s">
        <v>802</v>
      </c>
      <c r="R295" s="36" t="s">
        <v>803</v>
      </c>
      <c r="S295" s="36">
        <v>0</v>
      </c>
      <c r="U295" s="2" t="s">
        <v>786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8" t="s">
        <v>1400</v>
      </c>
    </row>
    <row r="296" spans="1:33" x14ac:dyDescent="0.15">
      <c r="A296" s="8" t="s">
        <v>146</v>
      </c>
      <c r="B296" s="1">
        <v>4111</v>
      </c>
      <c r="C296" s="8" t="s">
        <v>1647</v>
      </c>
      <c r="D296" s="1">
        <v>3</v>
      </c>
      <c r="E296" s="7">
        <v>1111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9</v>
      </c>
      <c r="L296" s="1">
        <v>1</v>
      </c>
      <c r="M296" s="39">
        <v>826</v>
      </c>
      <c r="N296" s="39">
        <f>ROUND(VLOOKUP(A296,鱼!$J$2:$K$32,2,FALSE),0)</f>
        <v>826</v>
      </c>
      <c r="Q296" s="36" t="s">
        <v>802</v>
      </c>
      <c r="R296" s="36" t="s">
        <v>803</v>
      </c>
      <c r="S296" s="36">
        <v>0</v>
      </c>
      <c r="U296" s="2" t="s">
        <v>786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8" t="s">
        <v>1401</v>
      </c>
    </row>
    <row r="297" spans="1:33" x14ac:dyDescent="0.15">
      <c r="A297" s="8" t="s">
        <v>147</v>
      </c>
      <c r="B297" s="1">
        <v>4112</v>
      </c>
      <c r="C297" s="8" t="s">
        <v>1648</v>
      </c>
      <c r="D297" s="1">
        <v>3</v>
      </c>
      <c r="E297" s="7">
        <v>1112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9</v>
      </c>
      <c r="L297" s="1">
        <v>1</v>
      </c>
      <c r="M297" s="39">
        <v>1014</v>
      </c>
      <c r="N297" s="39">
        <f>ROUND(VLOOKUP(A297,鱼!$J$2:$K$32,2,FALSE),0)</f>
        <v>1014</v>
      </c>
      <c r="Q297" s="36" t="s">
        <v>802</v>
      </c>
      <c r="R297" s="36" t="s">
        <v>803</v>
      </c>
      <c r="S297" s="36">
        <v>0</v>
      </c>
      <c r="U297" s="2" t="s">
        <v>786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8" t="s">
        <v>1402</v>
      </c>
    </row>
    <row r="298" spans="1:33" x14ac:dyDescent="0.15">
      <c r="A298" s="8" t="s">
        <v>148</v>
      </c>
      <c r="B298" s="1">
        <v>4113</v>
      </c>
      <c r="C298" s="8" t="s">
        <v>1649</v>
      </c>
      <c r="D298" s="1">
        <v>3</v>
      </c>
      <c r="E298" s="7">
        <v>1113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9</v>
      </c>
      <c r="L298" s="1">
        <v>1</v>
      </c>
      <c r="M298" s="39">
        <v>1357</v>
      </c>
      <c r="N298" s="39">
        <f>ROUND(VLOOKUP(A298,鱼!$J$2:$K$32,2,FALSE),0)</f>
        <v>1357</v>
      </c>
      <c r="Q298" s="36" t="s">
        <v>802</v>
      </c>
      <c r="R298" s="36" t="s">
        <v>803</v>
      </c>
      <c r="S298" s="36">
        <v>0</v>
      </c>
      <c r="U298" s="2" t="s">
        <v>786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8" t="s">
        <v>1403</v>
      </c>
    </row>
    <row r="299" spans="1:33" x14ac:dyDescent="0.15">
      <c r="A299" s="8" t="s">
        <v>149</v>
      </c>
      <c r="B299" s="1">
        <v>4114</v>
      </c>
      <c r="C299" s="8" t="s">
        <v>149</v>
      </c>
      <c r="D299" s="1">
        <v>3</v>
      </c>
      <c r="E299" s="7">
        <v>1114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9">
        <v>1489</v>
      </c>
      <c r="N299" s="39">
        <f>ROUND(VLOOKUP(A299,鱼!$J$2:$K$32,2,FALSE),0)</f>
        <v>1489</v>
      </c>
      <c r="Q299" s="36" t="s">
        <v>802</v>
      </c>
      <c r="R299" s="36" t="s">
        <v>803</v>
      </c>
      <c r="S299" s="36">
        <v>0</v>
      </c>
      <c r="U299" s="2" t="s">
        <v>786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8" t="s">
        <v>1404</v>
      </c>
    </row>
    <row r="300" spans="1:33" x14ac:dyDescent="0.15">
      <c r="A300" s="8" t="s">
        <v>150</v>
      </c>
      <c r="B300" s="1">
        <v>4115</v>
      </c>
      <c r="C300" s="8" t="s">
        <v>1650</v>
      </c>
      <c r="D300" s="1">
        <v>3</v>
      </c>
      <c r="E300" s="7">
        <v>1115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9">
        <v>1942</v>
      </c>
      <c r="N300" s="39">
        <f>ROUND(VLOOKUP(A300,鱼!$J$2:$K$32,2,FALSE),0)</f>
        <v>1942</v>
      </c>
      <c r="Q300" s="36" t="s">
        <v>802</v>
      </c>
      <c r="R300" s="36" t="s">
        <v>803</v>
      </c>
      <c r="S300" s="36">
        <v>0</v>
      </c>
      <c r="U300" s="2" t="s">
        <v>786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8" t="s">
        <v>1405</v>
      </c>
    </row>
    <row r="301" spans="1:33" x14ac:dyDescent="0.15">
      <c r="A301" s="8" t="s">
        <v>151</v>
      </c>
      <c r="B301" s="1">
        <v>4116</v>
      </c>
      <c r="C301" s="8" t="s">
        <v>1651</v>
      </c>
      <c r="D301" s="1">
        <v>3</v>
      </c>
      <c r="E301" s="7">
        <v>1116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9</v>
      </c>
      <c r="L301" s="1">
        <v>1</v>
      </c>
      <c r="M301" s="39">
        <v>2487</v>
      </c>
      <c r="N301" s="39">
        <f>ROUND(VLOOKUP(A301,鱼!$J$2:$K$32,2,FALSE),0)</f>
        <v>2487</v>
      </c>
      <c r="Q301" s="36" t="s">
        <v>802</v>
      </c>
      <c r="R301" s="36" t="s">
        <v>803</v>
      </c>
      <c r="S301" s="36">
        <v>0</v>
      </c>
      <c r="U301" s="2" t="s">
        <v>786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8" t="s">
        <v>1406</v>
      </c>
    </row>
    <row r="302" spans="1:33" x14ac:dyDescent="0.15">
      <c r="A302" s="8" t="s">
        <v>152</v>
      </c>
      <c r="B302" s="1">
        <v>4117</v>
      </c>
      <c r="C302" s="8" t="s">
        <v>152</v>
      </c>
      <c r="D302" s="1">
        <v>3</v>
      </c>
      <c r="E302" s="7">
        <v>1117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9</v>
      </c>
      <c r="L302" s="1">
        <v>1</v>
      </c>
      <c r="M302" s="39">
        <v>2690</v>
      </c>
      <c r="N302" s="39">
        <f>ROUND(VLOOKUP(A302,鱼!$J$2:$K$32,2,FALSE),0)</f>
        <v>2690</v>
      </c>
      <c r="Q302" s="36" t="s">
        <v>802</v>
      </c>
      <c r="R302" s="36" t="s">
        <v>803</v>
      </c>
      <c r="S302" s="36">
        <v>0</v>
      </c>
      <c r="U302" s="2" t="s">
        <v>786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8" t="s">
        <v>1407</v>
      </c>
    </row>
    <row r="303" spans="1:33" x14ac:dyDescent="0.15">
      <c r="A303" s="11" t="s">
        <v>187</v>
      </c>
      <c r="B303" s="1">
        <v>3000</v>
      </c>
      <c r="C303" s="14" t="s">
        <v>187</v>
      </c>
      <c r="D303" s="1">
        <v>3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9</v>
      </c>
      <c r="L303" s="1">
        <v>1</v>
      </c>
      <c r="M303" s="38">
        <v>30</v>
      </c>
      <c r="N303" s="38">
        <v>30</v>
      </c>
      <c r="Q303" s="36" t="s">
        <v>802</v>
      </c>
      <c r="R303" s="36" t="s">
        <v>803</v>
      </c>
      <c r="S303" s="36">
        <v>0</v>
      </c>
      <c r="U303" s="2" t="s">
        <v>786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1408</v>
      </c>
    </row>
    <row r="304" spans="1:33" x14ac:dyDescent="0.15">
      <c r="A304" s="11" t="s">
        <v>188</v>
      </c>
      <c r="B304" s="1">
        <v>3001</v>
      </c>
      <c r="C304" s="14" t="s">
        <v>188</v>
      </c>
      <c r="D304" s="1">
        <v>3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86.5</v>
      </c>
      <c r="N304" s="38">
        <v>86.5</v>
      </c>
      <c r="Q304" s="36" t="s">
        <v>802</v>
      </c>
      <c r="R304" s="36" t="s">
        <v>803</v>
      </c>
      <c r="S304" s="36">
        <v>0</v>
      </c>
      <c r="U304" s="2" t="s">
        <v>786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1409</v>
      </c>
    </row>
    <row r="305" spans="1:34" x14ac:dyDescent="0.15">
      <c r="A305" s="11" t="s">
        <v>666</v>
      </c>
      <c r="B305" s="1">
        <v>3002</v>
      </c>
      <c r="C305" s="14" t="s">
        <v>189</v>
      </c>
      <c r="D305" s="1">
        <v>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29</v>
      </c>
      <c r="L305" s="1">
        <v>1</v>
      </c>
      <c r="M305" s="38">
        <v>25</v>
      </c>
      <c r="N305" s="38">
        <v>25</v>
      </c>
      <c r="Q305" s="36" t="s">
        <v>802</v>
      </c>
      <c r="R305" s="36" t="s">
        <v>803</v>
      </c>
      <c r="S305" s="36">
        <v>0</v>
      </c>
      <c r="U305" s="2" t="s">
        <v>786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34" t="s">
        <v>1410</v>
      </c>
    </row>
    <row r="306" spans="1:34" x14ac:dyDescent="0.15">
      <c r="A306" s="11" t="s">
        <v>441</v>
      </c>
      <c r="B306" s="1">
        <v>3003</v>
      </c>
      <c r="C306" s="14" t="s">
        <v>256</v>
      </c>
      <c r="D306" s="1">
        <v>3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29</v>
      </c>
      <c r="L306" s="1">
        <v>1</v>
      </c>
      <c r="M306" s="38">
        <v>51.9</v>
      </c>
      <c r="N306" s="38">
        <v>51.9</v>
      </c>
      <c r="Q306" s="36" t="s">
        <v>802</v>
      </c>
      <c r="R306" s="36" t="s">
        <v>803</v>
      </c>
      <c r="S306" s="36">
        <v>0</v>
      </c>
      <c r="U306" s="2" t="s">
        <v>786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34" t="s">
        <v>1411</v>
      </c>
    </row>
    <row r="307" spans="1:34" x14ac:dyDescent="0.15">
      <c r="A307" s="12" t="s">
        <v>442</v>
      </c>
      <c r="B307" s="1">
        <v>3005</v>
      </c>
      <c r="C307" s="14" t="s">
        <v>193</v>
      </c>
      <c r="D307" s="1">
        <v>3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29</v>
      </c>
      <c r="L307" s="1">
        <v>1</v>
      </c>
      <c r="M307" s="34">
        <v>179</v>
      </c>
      <c r="N307" s="34">
        <v>179</v>
      </c>
      <c r="Q307" s="36" t="s">
        <v>802</v>
      </c>
      <c r="R307" s="36" t="s">
        <v>803</v>
      </c>
      <c r="S307" s="36">
        <v>0</v>
      </c>
      <c r="U307" s="2" t="s">
        <v>786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34" t="s">
        <v>1412</v>
      </c>
    </row>
    <row r="308" spans="1:34" x14ac:dyDescent="0.15">
      <c r="A308" s="12" t="s">
        <v>162</v>
      </c>
      <c r="B308" s="1">
        <v>3006</v>
      </c>
      <c r="C308" s="14" t="s">
        <v>162</v>
      </c>
      <c r="D308" s="1">
        <v>3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29</v>
      </c>
      <c r="L308" s="1">
        <v>1</v>
      </c>
      <c r="M308" s="38">
        <v>360</v>
      </c>
      <c r="N308" s="38">
        <v>360</v>
      </c>
      <c r="Q308" s="36" t="s">
        <v>802</v>
      </c>
      <c r="R308" s="36" t="s">
        <v>803</v>
      </c>
      <c r="S308" s="36">
        <v>0</v>
      </c>
      <c r="U308" s="2" t="s">
        <v>786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34" t="s">
        <v>1413</v>
      </c>
    </row>
    <row r="309" spans="1:34" x14ac:dyDescent="0.15">
      <c r="A309" s="12" t="s">
        <v>159</v>
      </c>
      <c r="B309" s="1">
        <v>3007</v>
      </c>
      <c r="C309" s="14" t="s">
        <v>159</v>
      </c>
      <c r="D309" s="1">
        <v>3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9</v>
      </c>
      <c r="L309" s="1">
        <v>1</v>
      </c>
      <c r="M309" s="38">
        <v>180</v>
      </c>
      <c r="N309" s="38">
        <v>180</v>
      </c>
      <c r="Q309" s="36" t="s">
        <v>802</v>
      </c>
      <c r="R309" s="36" t="s">
        <v>803</v>
      </c>
      <c r="S309" s="36">
        <v>0</v>
      </c>
      <c r="U309" s="2" t="s">
        <v>786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34" t="s">
        <v>1414</v>
      </c>
    </row>
    <row r="310" spans="1:34" x14ac:dyDescent="0.15">
      <c r="A310" s="12" t="s">
        <v>161</v>
      </c>
      <c r="B310" s="1">
        <v>3008</v>
      </c>
      <c r="C310" s="14" t="s">
        <v>161</v>
      </c>
      <c r="D310" s="1">
        <v>3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9</v>
      </c>
      <c r="L310" s="1">
        <v>1</v>
      </c>
      <c r="M310" s="38">
        <v>405</v>
      </c>
      <c r="N310" s="38">
        <v>405</v>
      </c>
      <c r="Q310" s="36" t="s">
        <v>802</v>
      </c>
      <c r="R310" s="36" t="s">
        <v>803</v>
      </c>
      <c r="S310" s="36">
        <v>0</v>
      </c>
      <c r="U310" s="2" t="s">
        <v>786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34" t="s">
        <v>1415</v>
      </c>
    </row>
    <row r="311" spans="1:34" x14ac:dyDescent="0.15">
      <c r="A311" s="1" t="s">
        <v>174</v>
      </c>
      <c r="B311" s="1">
        <v>3009</v>
      </c>
      <c r="C311" s="14" t="s">
        <v>174</v>
      </c>
      <c r="D311" s="1">
        <v>3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29</v>
      </c>
      <c r="L311" s="1">
        <v>1</v>
      </c>
      <c r="M311" s="38">
        <v>319.45312499999994</v>
      </c>
      <c r="N311" s="38">
        <v>319.45312499999994</v>
      </c>
      <c r="Q311" s="36" t="s">
        <v>802</v>
      </c>
      <c r="R311" s="36" t="s">
        <v>803</v>
      </c>
      <c r="S311" s="36">
        <v>0</v>
      </c>
      <c r="U311" s="2" t="s">
        <v>786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34" t="s">
        <v>1416</v>
      </c>
    </row>
    <row r="312" spans="1:34" x14ac:dyDescent="0.15">
      <c r="A312" s="1" t="s">
        <v>178</v>
      </c>
      <c r="B312" s="1">
        <v>3010</v>
      </c>
      <c r="C312" s="14" t="s">
        <v>178</v>
      </c>
      <c r="D312" s="1">
        <v>3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29</v>
      </c>
      <c r="L312" s="1">
        <v>1</v>
      </c>
      <c r="M312" s="38">
        <v>660.09999999999991</v>
      </c>
      <c r="N312" s="38">
        <v>660.09999999999991</v>
      </c>
      <c r="Q312" s="36" t="s">
        <v>802</v>
      </c>
      <c r="R312" s="36" t="s">
        <v>803</v>
      </c>
      <c r="S312" s="36">
        <v>0</v>
      </c>
      <c r="U312" s="2" t="s">
        <v>786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34" t="s">
        <v>1417</v>
      </c>
    </row>
    <row r="313" spans="1:34" x14ac:dyDescent="0.15">
      <c r="A313" s="1" t="s">
        <v>253</v>
      </c>
      <c r="B313" s="1">
        <v>3011</v>
      </c>
      <c r="C313" s="14" t="s">
        <v>250</v>
      </c>
      <c r="D313" s="1">
        <v>3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29</v>
      </c>
      <c r="L313" s="1">
        <v>1</v>
      </c>
      <c r="M313" s="38">
        <v>121.94999999999997</v>
      </c>
      <c r="N313" s="38">
        <v>121.94999999999997</v>
      </c>
      <c r="Q313" s="36" t="s">
        <v>802</v>
      </c>
      <c r="R313" s="36" t="s">
        <v>803</v>
      </c>
      <c r="S313" s="36">
        <v>0</v>
      </c>
      <c r="U313" s="2" t="s">
        <v>786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34" t="s">
        <v>1418</v>
      </c>
    </row>
    <row r="314" spans="1:34" x14ac:dyDescent="0.15">
      <c r="A314" s="13" t="s">
        <v>966</v>
      </c>
      <c r="B314" s="1">
        <v>3011</v>
      </c>
      <c r="C314" s="14" t="s">
        <v>205</v>
      </c>
      <c r="D314" s="1">
        <v>3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29</v>
      </c>
      <c r="L314" s="1">
        <v>1</v>
      </c>
      <c r="M314" s="38">
        <v>360</v>
      </c>
      <c r="N314" s="38">
        <v>360</v>
      </c>
      <c r="Q314" s="36" t="s">
        <v>802</v>
      </c>
      <c r="R314" s="36" t="s">
        <v>803</v>
      </c>
      <c r="S314" s="36">
        <v>0</v>
      </c>
      <c r="U314" s="2" t="s">
        <v>786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34" t="s">
        <v>1419</v>
      </c>
    </row>
    <row r="315" spans="1:34" x14ac:dyDescent="0.15">
      <c r="A315" s="13" t="s">
        <v>254</v>
      </c>
      <c r="B315" s="1">
        <v>3100</v>
      </c>
      <c r="C315" s="14" t="s">
        <v>316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>N315*2</f>
        <v>306.76799999999997</v>
      </c>
      <c r="N315" s="39">
        <v>153.38399999999999</v>
      </c>
      <c r="Q315" s="36" t="s">
        <v>802</v>
      </c>
      <c r="R315" s="36" t="s">
        <v>799</v>
      </c>
      <c r="S315" s="36">
        <v>900</v>
      </c>
      <c r="U315" s="2" t="s">
        <v>786</v>
      </c>
      <c r="V315" s="1">
        <f>VLOOKUP($A315,Sheet1!$C$4:$M$91,2,FALSE)</f>
        <v>15</v>
      </c>
      <c r="W315" s="1">
        <f>VLOOKUP($A315,Sheet1!$C$4:$M$91,3,FALSE)</f>
        <v>0</v>
      </c>
      <c r="X315" s="1">
        <f>VLOOKUP($A315,Sheet1!$C$4:$M$91,4,FALSE)</f>
        <v>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0</v>
      </c>
      <c r="AD315" s="1">
        <f>VLOOKUP($A315,Sheet1!$C$4:$M$91,8,FALSE)</f>
        <v>0</v>
      </c>
      <c r="AE315" s="1">
        <f>VLOOKUP($A315,Sheet1!$C$4:$M$91,7,FALSE)</f>
        <v>0</v>
      </c>
      <c r="AF315" s="1">
        <v>0</v>
      </c>
      <c r="AG315" s="34" t="s">
        <v>1420</v>
      </c>
      <c r="AH315" s="1" t="s">
        <v>1582</v>
      </c>
    </row>
    <row r="316" spans="1:34" x14ac:dyDescent="0.15">
      <c r="A316" s="13" t="s">
        <v>255</v>
      </c>
      <c r="B316" s="1">
        <v>3101</v>
      </c>
      <c r="C316" s="14" t="s">
        <v>163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ref="M316:M379" si="14">N316*2</f>
        <v>1855.0486954999999</v>
      </c>
      <c r="N316" s="39">
        <v>927.52434774999995</v>
      </c>
      <c r="Q316" s="36" t="s">
        <v>802</v>
      </c>
      <c r="R316" s="36" t="s">
        <v>799</v>
      </c>
      <c r="S316" s="36">
        <v>900</v>
      </c>
      <c r="U316" s="2" t="s">
        <v>786</v>
      </c>
      <c r="V316" s="1">
        <f>VLOOKUP($A316,Sheet1!C5:M92,2,FALSE)</f>
        <v>50</v>
      </c>
      <c r="W316" s="1">
        <f>VLOOKUP($A316,Sheet1!$C$4:$M$91,3,FALSE)</f>
        <v>0</v>
      </c>
      <c r="X316" s="1">
        <f>VLOOKUP($A316,Sheet1!$C$4:$M$91,4,FALSE)</f>
        <v>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1421</v>
      </c>
      <c r="AH316" s="1" t="s">
        <v>1583</v>
      </c>
    </row>
    <row r="317" spans="1:34" x14ac:dyDescent="0.15">
      <c r="A317" s="13" t="s">
        <v>184</v>
      </c>
      <c r="B317" s="1">
        <v>3102</v>
      </c>
      <c r="C317" s="14" t="s">
        <v>184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4"/>
        <v>2568.2364576171872</v>
      </c>
      <c r="N317" s="39">
        <v>1284.1182288085936</v>
      </c>
      <c r="Q317" s="36" t="s">
        <v>802</v>
      </c>
      <c r="R317" s="36" t="s">
        <v>799</v>
      </c>
      <c r="S317" s="36">
        <v>902</v>
      </c>
      <c r="U317" s="2" t="s">
        <v>786</v>
      </c>
      <c r="V317" s="1">
        <f>VLOOKUP($A317,Sheet1!C6:M93,2,FALSE)</f>
        <v>0</v>
      </c>
      <c r="W317" s="1">
        <f>VLOOKUP($A317,Sheet1!$C$4:$M$91,3,FALSE)</f>
        <v>0</v>
      </c>
      <c r="X317" s="1">
        <f>VLOOKUP($A317,Sheet1!$C$4:$M$91,4,FALSE)</f>
        <v>80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25</v>
      </c>
      <c r="AF317" s="1">
        <v>8</v>
      </c>
      <c r="AG317" s="34" t="s">
        <v>1422</v>
      </c>
      <c r="AH317" s="1" t="s">
        <v>1620</v>
      </c>
    </row>
    <row r="318" spans="1:34" x14ac:dyDescent="0.15">
      <c r="A318" s="13" t="s">
        <v>166</v>
      </c>
      <c r="B318" s="1">
        <v>3103</v>
      </c>
      <c r="C318" s="14" t="s">
        <v>166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4"/>
        <v>514.19339999999988</v>
      </c>
      <c r="N318" s="39">
        <v>257.09669999999994</v>
      </c>
      <c r="Q318" s="36" t="s">
        <v>802</v>
      </c>
      <c r="R318" s="36" t="s">
        <v>799</v>
      </c>
      <c r="S318" s="36">
        <v>900</v>
      </c>
      <c r="U318" s="2" t="s">
        <v>786</v>
      </c>
      <c r="V318" s="1">
        <f>VLOOKUP($A318,Sheet1!C7:M94,2,FALSE)</f>
        <v>20</v>
      </c>
      <c r="W318" s="1">
        <f>VLOOKUP($A318,Sheet1!$C$4:$M$91,3,FALSE)</f>
        <v>0</v>
      </c>
      <c r="X318" s="1">
        <f>VLOOKUP($A318,Sheet1!$C$4:$M$91,4,FALSE)</f>
        <v>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0</v>
      </c>
      <c r="AF318" s="1">
        <v>0</v>
      </c>
      <c r="AG318" s="34" t="s">
        <v>1423</v>
      </c>
      <c r="AH318" s="1" t="s">
        <v>1584</v>
      </c>
    </row>
    <row r="319" spans="1:34" x14ac:dyDescent="0.15">
      <c r="A319" s="13" t="s">
        <v>182</v>
      </c>
      <c r="B319" s="1">
        <v>3104</v>
      </c>
      <c r="C319" s="14" t="s">
        <v>182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4"/>
        <v>3736.0518076171875</v>
      </c>
      <c r="N319" s="39">
        <v>1868.0259038085937</v>
      </c>
      <c r="Q319" s="36" t="s">
        <v>802</v>
      </c>
      <c r="R319" s="36" t="s">
        <v>799</v>
      </c>
      <c r="S319" s="36">
        <v>902</v>
      </c>
      <c r="U319" s="2" t="s">
        <v>786</v>
      </c>
      <c r="V319" s="1">
        <f>VLOOKUP($A319,Sheet1!C8:M95,2,FALSE)</f>
        <v>0</v>
      </c>
      <c r="W319" s="1">
        <f>VLOOKUP($A319,Sheet1!$C$4:$M$91,3,FALSE)</f>
        <v>0</v>
      </c>
      <c r="X319" s="1">
        <f>VLOOKUP($A319,Sheet1!$C$4:$M$91,4,FALSE)</f>
        <v>120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0</v>
      </c>
      <c r="AD319" s="1">
        <f>VLOOKUP($A319,Sheet1!$C$4:$M$91,8,FALSE)</f>
        <v>0</v>
      </c>
      <c r="AE319" s="1">
        <f>VLOOKUP($A319,Sheet1!$C$4:$M$91,7,FALSE)</f>
        <v>0</v>
      </c>
      <c r="AF319" s="1">
        <v>0</v>
      </c>
      <c r="AG319" s="34" t="s">
        <v>1424</v>
      </c>
      <c r="AH319" s="1" t="s">
        <v>1619</v>
      </c>
    </row>
    <row r="320" spans="1:34" x14ac:dyDescent="0.15">
      <c r="A320" s="13" t="s">
        <v>194</v>
      </c>
      <c r="B320" s="1">
        <v>3105</v>
      </c>
      <c r="C320" s="14" t="s">
        <v>194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4"/>
        <v>2821.0335357421873</v>
      </c>
      <c r="N320" s="39">
        <v>1410.5167678710936</v>
      </c>
      <c r="Q320" s="36" t="s">
        <v>802</v>
      </c>
      <c r="R320" s="36" t="s">
        <v>799</v>
      </c>
      <c r="S320" s="36">
        <v>902</v>
      </c>
      <c r="U320" s="2" t="s">
        <v>786</v>
      </c>
      <c r="V320" s="1">
        <f>VLOOKUP($A320,Sheet1!C9:M96,2,FALSE)</f>
        <v>0</v>
      </c>
      <c r="W320" s="1">
        <f>VLOOKUP($A320,Sheet1!$C$4:$M$91,3,FALSE)</f>
        <v>0</v>
      </c>
      <c r="X320" s="1">
        <f>VLOOKUP($A320,Sheet1!$C$4:$M$91,4,FALSE)</f>
        <v>100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1425</v>
      </c>
      <c r="AH320" s="1" t="s">
        <v>1621</v>
      </c>
    </row>
    <row r="321" spans="1:34" x14ac:dyDescent="0.15">
      <c r="A321" s="13" t="s">
        <v>195</v>
      </c>
      <c r="B321" s="1">
        <v>3106</v>
      </c>
      <c r="C321" s="14" t="s">
        <v>195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4"/>
        <v>4926.1457027421866</v>
      </c>
      <c r="N321" s="39">
        <v>2463.0728513710933</v>
      </c>
      <c r="Q321" s="36" t="s">
        <v>802</v>
      </c>
      <c r="R321" s="36" t="s">
        <v>799</v>
      </c>
      <c r="S321" s="36">
        <v>902</v>
      </c>
      <c r="U321" s="2" t="s">
        <v>786</v>
      </c>
      <c r="V321" s="1">
        <f>VLOOKUP($A321,Sheet1!C10:M97,2,FALSE)</f>
        <v>0</v>
      </c>
      <c r="W321" s="1">
        <f>VLOOKUP($A321,Sheet1!$C$4:$M$91,3,FALSE)</f>
        <v>0</v>
      </c>
      <c r="X321" s="1">
        <f>VLOOKUP($A321,Sheet1!$C$4:$M$91,4,FALSE)</f>
        <v>140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1426</v>
      </c>
      <c r="AH321" s="1" t="s">
        <v>1618</v>
      </c>
    </row>
    <row r="322" spans="1:34" x14ac:dyDescent="0.15">
      <c r="A322" s="13" t="s">
        <v>165</v>
      </c>
      <c r="B322" s="1">
        <v>3107</v>
      </c>
      <c r="C322" s="14" t="s">
        <v>165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4"/>
        <v>514.19339999999988</v>
      </c>
      <c r="N322" s="39">
        <v>257.09669999999994</v>
      </c>
      <c r="Q322" s="36" t="s">
        <v>802</v>
      </c>
      <c r="R322" s="36" t="s">
        <v>799</v>
      </c>
      <c r="S322" s="36">
        <v>900</v>
      </c>
      <c r="U322" s="2" t="s">
        <v>786</v>
      </c>
      <c r="V322" s="1">
        <f>VLOOKUP($A322,Sheet1!C11:M98,2,FALSE)</f>
        <v>25</v>
      </c>
      <c r="W322" s="1">
        <f>VLOOKUP($A322,Sheet1!$C$4:$M$91,3,FALSE)</f>
        <v>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1427</v>
      </c>
      <c r="AH322" s="1" t="s">
        <v>1585</v>
      </c>
    </row>
    <row r="323" spans="1:34" x14ac:dyDescent="0.15">
      <c r="A323" s="13" t="s">
        <v>167</v>
      </c>
      <c r="B323" s="1">
        <v>3108</v>
      </c>
      <c r="C323" s="14" t="s">
        <v>258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4"/>
        <v>561.36511799999982</v>
      </c>
      <c r="N323" s="39">
        <v>280.68255899999991</v>
      </c>
      <c r="Q323" s="36" t="s">
        <v>802</v>
      </c>
      <c r="R323" s="36" t="s">
        <v>799</v>
      </c>
      <c r="S323" s="36">
        <v>900</v>
      </c>
      <c r="U323" s="2" t="s">
        <v>786</v>
      </c>
      <c r="V323" s="1">
        <f>VLOOKUP($A323,Sheet1!C12:M99,2,FALSE)</f>
        <v>35</v>
      </c>
      <c r="W323" s="1">
        <f>VLOOKUP($A323,Sheet1!$C$4:$M$91,3,FALSE)</f>
        <v>0</v>
      </c>
      <c r="X323" s="1">
        <f>VLOOKUP($A323,Sheet1!$C$4:$M$91,4,FALSE)</f>
        <v>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0</v>
      </c>
      <c r="AD323" s="1">
        <f>VLOOKUP($A323,Sheet1!$C$4:$M$91,8,FALSE)</f>
        <v>0</v>
      </c>
      <c r="AE323" s="1">
        <f>VLOOKUP($A323,Sheet1!$C$4:$M$91,7,FALSE)</f>
        <v>0</v>
      </c>
      <c r="AF323" s="1">
        <v>0</v>
      </c>
      <c r="AG323" s="34" t="s">
        <v>1428</v>
      </c>
      <c r="AH323" s="1" t="s">
        <v>1586</v>
      </c>
    </row>
    <row r="324" spans="1:34" x14ac:dyDescent="0.15">
      <c r="A324" s="13" t="s">
        <v>196</v>
      </c>
      <c r="B324" s="1">
        <v>3109</v>
      </c>
      <c r="C324" s="14" t="s">
        <v>196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4"/>
        <v>820.22400000000005</v>
      </c>
      <c r="N324" s="39">
        <v>410.11200000000002</v>
      </c>
      <c r="Q324" s="36" t="s">
        <v>802</v>
      </c>
      <c r="R324" s="36" t="s">
        <v>799</v>
      </c>
      <c r="S324" s="36">
        <v>901</v>
      </c>
      <c r="U324" s="2" t="s">
        <v>786</v>
      </c>
      <c r="V324" s="1">
        <f>VLOOKUP($A324,Sheet1!C13:M100,2,FALSE)</f>
        <v>0</v>
      </c>
      <c r="W324" s="1">
        <f>VLOOKUP($A324,Sheet1!$C$4:$M$91,3,FALSE)</f>
        <v>10</v>
      </c>
      <c r="X324" s="1">
        <f>VLOOKUP($A324,Sheet1!$C$4:$M$91,4,FALSE)</f>
        <v>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1429</v>
      </c>
      <c r="AH324" s="1" t="s">
        <v>1617</v>
      </c>
    </row>
    <row r="325" spans="1:34" x14ac:dyDescent="0.15">
      <c r="A325" s="13" t="s">
        <v>164</v>
      </c>
      <c r="B325" s="1">
        <v>3110</v>
      </c>
      <c r="C325" s="14" t="s">
        <v>164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4"/>
        <v>2359.1871875000002</v>
      </c>
      <c r="N325" s="39">
        <v>1179.5935937500001</v>
      </c>
      <c r="Q325" s="36">
        <v>1</v>
      </c>
      <c r="R325" s="36" t="s">
        <v>799</v>
      </c>
      <c r="S325" s="36">
        <v>1000</v>
      </c>
      <c r="U325" s="2" t="s">
        <v>786</v>
      </c>
      <c r="V325" s="1">
        <f>VLOOKUP($A325,Sheet1!C14:M101,2,FALSE)</f>
        <v>0</v>
      </c>
      <c r="W325" s="1">
        <f>VLOOKUP($A325,Sheet1!$C$4:$M$91,3,FALSE)</f>
        <v>0</v>
      </c>
      <c r="X325" s="1">
        <f>VLOOKUP($A325,Sheet1!$C$4:$M$91,4,FALSE)</f>
        <v>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40</v>
      </c>
      <c r="AD325" s="1">
        <f>VLOOKUP($A325,Sheet1!$C$4:$M$91,8,FALSE)</f>
        <v>0</v>
      </c>
      <c r="AE325" s="1">
        <f>VLOOKUP($A325,Sheet1!$C$4:$M$91,7,FALSE)</f>
        <v>0</v>
      </c>
      <c r="AF325" s="1">
        <v>8</v>
      </c>
      <c r="AG325" s="34" t="s">
        <v>1430</v>
      </c>
      <c r="AH325" s="1" t="s">
        <v>636</v>
      </c>
    </row>
    <row r="326" spans="1:34" x14ac:dyDescent="0.15">
      <c r="A326" s="13" t="s">
        <v>197</v>
      </c>
      <c r="B326" s="1">
        <v>3111</v>
      </c>
      <c r="C326" s="14" t="s">
        <v>197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4"/>
        <v>695.815518</v>
      </c>
      <c r="N326" s="39">
        <v>347.907759</v>
      </c>
      <c r="Q326" s="36" t="s">
        <v>802</v>
      </c>
      <c r="R326" s="36" t="s">
        <v>799</v>
      </c>
      <c r="S326" s="36">
        <v>902</v>
      </c>
      <c r="U326" s="2" t="s">
        <v>786</v>
      </c>
      <c r="V326" s="1">
        <f>VLOOKUP($A326,Sheet1!C15:M102,2,FALSE)</f>
        <v>0</v>
      </c>
      <c r="W326" s="1">
        <f>VLOOKUP($A326,Sheet1!$C$4:$M$91,3,FALSE)</f>
        <v>0</v>
      </c>
      <c r="X326" s="1">
        <f>VLOOKUP($A326,Sheet1!$C$4:$M$91,4,FALSE)</f>
        <v>20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0</v>
      </c>
      <c r="AE326" s="1">
        <f>VLOOKUP($A326,Sheet1!$C$4:$M$91,7,FALSE)</f>
        <v>0</v>
      </c>
      <c r="AF326" s="1">
        <v>0</v>
      </c>
      <c r="AG326" s="34" t="s">
        <v>1431</v>
      </c>
      <c r="AH326" s="1" t="s">
        <v>1616</v>
      </c>
    </row>
    <row r="327" spans="1:34" x14ac:dyDescent="0.15">
      <c r="A327" s="13" t="s">
        <v>249</v>
      </c>
      <c r="B327" s="1">
        <v>3112</v>
      </c>
      <c r="C327" s="15" t="s">
        <v>249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4"/>
        <v>1524.2868857421872</v>
      </c>
      <c r="N327" s="39">
        <v>762.14344287109361</v>
      </c>
      <c r="Q327" s="36" t="s">
        <v>802</v>
      </c>
      <c r="R327" s="36" t="s">
        <v>799</v>
      </c>
      <c r="S327" s="36">
        <v>902</v>
      </c>
      <c r="U327" s="2" t="s">
        <v>786</v>
      </c>
      <c r="V327" s="1">
        <f>VLOOKUP($A327,Sheet1!C16:M103,2,FALSE)</f>
        <v>0</v>
      </c>
      <c r="W327" s="1">
        <f>VLOOKUP($A327,Sheet1!$C$4:$M$91,3,FALSE)</f>
        <v>0</v>
      </c>
      <c r="X327" s="1">
        <f>VLOOKUP($A327,Sheet1!$C$4:$M$91,4,FALSE)</f>
        <v>60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0</v>
      </c>
      <c r="AD327" s="1">
        <f>VLOOKUP($A327,Sheet1!$C$4:$M$91,8,FALSE)</f>
        <v>0</v>
      </c>
      <c r="AE327" s="1">
        <f>VLOOKUP($A327,Sheet1!$C$4:$M$91,7,FALSE)</f>
        <v>0</v>
      </c>
      <c r="AF327" s="1">
        <v>0</v>
      </c>
      <c r="AG327" s="34" t="s">
        <v>1432</v>
      </c>
      <c r="AH327" s="1" t="s">
        <v>1615</v>
      </c>
    </row>
    <row r="328" spans="1:34" x14ac:dyDescent="0.15">
      <c r="A328" s="13" t="s">
        <v>198</v>
      </c>
      <c r="B328" s="1">
        <v>3113</v>
      </c>
      <c r="C328" s="14" t="s">
        <v>259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4"/>
        <v>561.36511799999982</v>
      </c>
      <c r="N328" s="39">
        <v>280.68255899999991</v>
      </c>
      <c r="Q328" s="36">
        <v>1</v>
      </c>
      <c r="R328" s="36" t="s">
        <v>799</v>
      </c>
      <c r="S328" s="36">
        <v>1000</v>
      </c>
      <c r="U328" s="2" t="s">
        <v>786</v>
      </c>
      <c r="V328" s="1">
        <f>VLOOKUP($A328,Sheet1!C17:M104,2,FALSE)</f>
        <v>0</v>
      </c>
      <c r="W328" s="1">
        <f>VLOOKUP($A328,Sheet1!$C$4:$M$91,3,FALSE)</f>
        <v>0</v>
      </c>
      <c r="X328" s="1">
        <f>VLOOKUP($A328,Sheet1!$C$4:$M$91,4,FALSE)</f>
        <v>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0</v>
      </c>
      <c r="AE328" s="1">
        <f>VLOOKUP($A328,Sheet1!$C$4:$M$91,7,FALSE)</f>
        <v>7</v>
      </c>
      <c r="AF328" s="1">
        <v>8</v>
      </c>
      <c r="AG328" s="34" t="s">
        <v>1433</v>
      </c>
      <c r="AH328" s="1" t="s">
        <v>636</v>
      </c>
    </row>
    <row r="329" spans="1:34" x14ac:dyDescent="0.15">
      <c r="A329" s="13" t="s">
        <v>171</v>
      </c>
      <c r="B329" s="1">
        <v>3114</v>
      </c>
      <c r="C329" s="14" t="s">
        <v>260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4"/>
        <v>3450.1767500000001</v>
      </c>
      <c r="N329" s="39">
        <v>1725.088375</v>
      </c>
      <c r="Q329" s="36">
        <v>1</v>
      </c>
      <c r="R329" s="36" t="s">
        <v>799</v>
      </c>
      <c r="S329" s="36">
        <v>1000</v>
      </c>
      <c r="U329" s="2" t="s">
        <v>786</v>
      </c>
      <c r="V329" s="1">
        <f>VLOOKUP($A329,Sheet1!C18:M105,2,FALSE)</f>
        <v>0</v>
      </c>
      <c r="W329" s="1">
        <f>VLOOKUP($A329,Sheet1!$C$4:$M$91,3,FALSE)</f>
        <v>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55</v>
      </c>
      <c r="AD329" s="1">
        <f>VLOOKUP($A329,Sheet1!$C$4:$M$91,8,FALSE)</f>
        <v>0</v>
      </c>
      <c r="AE329" s="1">
        <f>VLOOKUP($A329,Sheet1!$C$4:$M$91,7,FALSE)</f>
        <v>0</v>
      </c>
      <c r="AF329" s="1">
        <v>8</v>
      </c>
      <c r="AG329" s="34" t="s">
        <v>1434</v>
      </c>
      <c r="AH329" s="1" t="s">
        <v>636</v>
      </c>
    </row>
    <row r="330" spans="1:34" x14ac:dyDescent="0.15">
      <c r="A330" s="13" t="s">
        <v>199</v>
      </c>
      <c r="B330" s="1">
        <v>3115</v>
      </c>
      <c r="C330" s="14" t="s">
        <v>199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4"/>
        <v>5844.1663669921872</v>
      </c>
      <c r="N330" s="39">
        <v>2922.0831834960936</v>
      </c>
      <c r="Q330" s="36" t="s">
        <v>802</v>
      </c>
      <c r="R330" s="36" t="s">
        <v>799</v>
      </c>
      <c r="S330" s="36">
        <v>902</v>
      </c>
      <c r="U330" s="2" t="s">
        <v>786</v>
      </c>
      <c r="V330" s="1">
        <f>VLOOKUP($A330,Sheet1!C19:M106,2,FALSE)</f>
        <v>0</v>
      </c>
      <c r="W330" s="1">
        <f>VLOOKUP($A330,Sheet1!$C$4:$M$91,3,FALSE)</f>
        <v>0</v>
      </c>
      <c r="X330" s="1">
        <f>VLOOKUP($A330,Sheet1!$C$4:$M$91,4,FALSE)</f>
        <v>160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0</v>
      </c>
      <c r="AE330" s="1">
        <f>VLOOKUP($A330,Sheet1!$C$4:$M$91,7,FALSE)</f>
        <v>0</v>
      </c>
      <c r="AF330" s="1">
        <v>0</v>
      </c>
      <c r="AG330" s="34" t="s">
        <v>1435</v>
      </c>
      <c r="AH330" s="1" t="s">
        <v>1614</v>
      </c>
    </row>
    <row r="331" spans="1:34" x14ac:dyDescent="0.15">
      <c r="A331" s="13" t="s">
        <v>200</v>
      </c>
      <c r="B331" s="1">
        <v>3116</v>
      </c>
      <c r="C331" s="14" t="s">
        <v>257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4"/>
        <v>3572.7773232421869</v>
      </c>
      <c r="N331" s="39">
        <v>1786.3886616210934</v>
      </c>
      <c r="Q331" s="36" t="s">
        <v>802</v>
      </c>
      <c r="R331" s="36" t="s">
        <v>799</v>
      </c>
      <c r="S331" s="36">
        <v>901</v>
      </c>
      <c r="U331" s="2" t="s">
        <v>786</v>
      </c>
      <c r="V331" s="1">
        <f>VLOOKUP($A331,Sheet1!C20:M107,2,FALSE)</f>
        <v>0</v>
      </c>
      <c r="W331" s="1">
        <f>VLOOKUP($A331,Sheet1!$C$4:$M$91,3,FALSE)</f>
        <v>50</v>
      </c>
      <c r="X331" s="1">
        <f>VLOOKUP($A331,Sheet1!$C$4:$M$91,4,FALSE)</f>
        <v>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0</v>
      </c>
      <c r="AE331" s="1">
        <f>VLOOKUP($A331,Sheet1!$C$4:$M$91,7,FALSE)</f>
        <v>0</v>
      </c>
      <c r="AF331" s="1">
        <v>0</v>
      </c>
      <c r="AG331" s="34" t="s">
        <v>1436</v>
      </c>
      <c r="AH331" s="1" t="s">
        <v>1613</v>
      </c>
    </row>
    <row r="332" spans="1:34" x14ac:dyDescent="0.15">
      <c r="A332" s="13" t="s">
        <v>170</v>
      </c>
      <c r="B332" s="1">
        <v>3117</v>
      </c>
      <c r="C332" s="14" t="s">
        <v>261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4"/>
        <v>2481.645278</v>
      </c>
      <c r="N332" s="39">
        <v>1240.822639</v>
      </c>
      <c r="Q332" s="36" t="s">
        <v>802</v>
      </c>
      <c r="R332" s="36" t="s">
        <v>799</v>
      </c>
      <c r="S332" s="36">
        <v>900</v>
      </c>
      <c r="U332" s="2" t="s">
        <v>786</v>
      </c>
      <c r="V332" s="1">
        <f>VLOOKUP($A332,Sheet1!C21:M108,2,FALSE)</f>
        <v>80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0</v>
      </c>
      <c r="AF332" s="1">
        <v>0</v>
      </c>
      <c r="AG332" s="34" t="s">
        <v>1437</v>
      </c>
      <c r="AH332" s="1" t="s">
        <v>1587</v>
      </c>
    </row>
    <row r="333" spans="1:34" x14ac:dyDescent="0.15">
      <c r="A333" s="13" t="s">
        <v>201</v>
      </c>
      <c r="B333" s="1">
        <v>3118</v>
      </c>
      <c r="C333" s="14" t="s">
        <v>262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4"/>
        <v>6839.3041919999996</v>
      </c>
      <c r="N333" s="39">
        <v>3419.6520959999998</v>
      </c>
      <c r="Q333" s="36" t="s">
        <v>802</v>
      </c>
      <c r="R333" s="36" t="s">
        <v>799</v>
      </c>
      <c r="S333" s="36">
        <v>902</v>
      </c>
      <c r="U333" s="2" t="s">
        <v>786</v>
      </c>
      <c r="V333" s="1">
        <f>VLOOKUP($A333,Sheet1!C22:M109,2,FALSE)</f>
        <v>0</v>
      </c>
      <c r="W333" s="1">
        <f>VLOOKUP($A333,Sheet1!$C$4:$M$91,3,FALSE)</f>
        <v>0</v>
      </c>
      <c r="X333" s="1">
        <f>VLOOKUP($A333,Sheet1!$C$4:$M$91,4,FALSE)</f>
        <v>180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0</v>
      </c>
      <c r="AF333" s="1">
        <v>0</v>
      </c>
      <c r="AG333" s="34" t="s">
        <v>1438</v>
      </c>
      <c r="AH333" s="1" t="s">
        <v>1612</v>
      </c>
    </row>
    <row r="334" spans="1:34" x14ac:dyDescent="0.15">
      <c r="A334" s="13" t="s">
        <v>172</v>
      </c>
      <c r="B334" s="1">
        <v>3119</v>
      </c>
      <c r="C334" s="14" t="s">
        <v>264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4"/>
        <v>3141.4793519999998</v>
      </c>
      <c r="N334" s="39">
        <v>1570.7396759999999</v>
      </c>
      <c r="Q334" s="36" t="s">
        <v>802</v>
      </c>
      <c r="R334" s="36" t="s">
        <v>799</v>
      </c>
      <c r="S334" s="36">
        <v>900</v>
      </c>
      <c r="U334" s="2" t="s">
        <v>786</v>
      </c>
      <c r="V334" s="1">
        <f>VLOOKUP($A334,Sheet1!C23:M110,2,FALSE)</f>
        <v>100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0</v>
      </c>
      <c r="AE334" s="1">
        <f>VLOOKUP($A334,Sheet1!$C$4:$M$91,7,FALSE)</f>
        <v>0</v>
      </c>
      <c r="AF334" s="1">
        <v>0</v>
      </c>
      <c r="AG334" s="34" t="s">
        <v>1439</v>
      </c>
      <c r="AH334" s="1" t="s">
        <v>1588</v>
      </c>
    </row>
    <row r="335" spans="1:34" x14ac:dyDescent="0.15">
      <c r="A335" s="13" t="s">
        <v>202</v>
      </c>
      <c r="B335" s="1">
        <v>3120</v>
      </c>
      <c r="C335" s="14" t="s">
        <v>265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4"/>
        <v>1193.3804719999998</v>
      </c>
      <c r="N335" s="39">
        <v>596.69023599999991</v>
      </c>
      <c r="Q335" s="36">
        <v>1</v>
      </c>
      <c r="R335" s="36" t="s">
        <v>799</v>
      </c>
      <c r="S335" s="36">
        <v>1000</v>
      </c>
      <c r="U335" s="2" t="s">
        <v>786</v>
      </c>
      <c r="V335" s="1">
        <f>VLOOKUP($A335,Sheet1!C24:M111,2,FALSE)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0</v>
      </c>
      <c r="AE335" s="1">
        <f>VLOOKUP($A335,Sheet1!$C$4:$M$91,7,FALSE)</f>
        <v>10</v>
      </c>
      <c r="AF335" s="1">
        <v>8</v>
      </c>
      <c r="AG335" s="34" t="s">
        <v>1440</v>
      </c>
      <c r="AH335" s="1" t="s">
        <v>636</v>
      </c>
    </row>
    <row r="336" spans="1:34" x14ac:dyDescent="0.15">
      <c r="A336" s="13" t="s">
        <v>185</v>
      </c>
      <c r="B336" s="1">
        <v>3121</v>
      </c>
      <c r="C336" s="14" t="s">
        <v>266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4"/>
        <v>584.9978880000001</v>
      </c>
      <c r="N336" s="39">
        <v>292.49894400000005</v>
      </c>
      <c r="Q336" s="36">
        <v>1</v>
      </c>
      <c r="R336" s="36" t="s">
        <v>799</v>
      </c>
      <c r="S336" s="36">
        <v>1000</v>
      </c>
      <c r="U336" s="2" t="s">
        <v>786</v>
      </c>
      <c r="V336" s="1">
        <f>VLOOKUP($A336,Sheet1!C25:M112,2,FALSE)</f>
        <v>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15</v>
      </c>
      <c r="AE336" s="1">
        <f>VLOOKUP($A336,Sheet1!$C$4:$M$91,7,FALSE)</f>
        <v>0</v>
      </c>
      <c r="AF336" s="1">
        <v>8</v>
      </c>
      <c r="AG336" s="34" t="s">
        <v>1441</v>
      </c>
      <c r="AH336" s="1" t="s">
        <v>636</v>
      </c>
    </row>
    <row r="337" spans="1:34" x14ac:dyDescent="0.15">
      <c r="A337" s="13" t="s">
        <v>168</v>
      </c>
      <c r="B337" s="1">
        <v>3122</v>
      </c>
      <c r="C337" s="14" t="s">
        <v>168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4"/>
        <v>1234.7761919999998</v>
      </c>
      <c r="N337" s="39">
        <v>617.3880959999999</v>
      </c>
      <c r="Q337" s="36">
        <v>1</v>
      </c>
      <c r="R337" s="36" t="s">
        <v>799</v>
      </c>
      <c r="S337" s="36">
        <v>1000</v>
      </c>
      <c r="U337" s="2" t="s">
        <v>786</v>
      </c>
      <c r="V337" s="1">
        <f>VLOOKUP($A337,Sheet1!C26:M113,2,FALSE)</f>
        <v>0</v>
      </c>
      <c r="W337" s="1">
        <f>VLOOKUP($A337,Sheet1!$C$4:$M$91,3,FALSE)</f>
        <v>0</v>
      </c>
      <c r="X337" s="1">
        <f>VLOOKUP($A337,Sheet1!$C$4:$M$91,4,FALSE)</f>
        <v>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20</v>
      </c>
      <c r="AE337" s="1">
        <f>VLOOKUP($A337,Sheet1!$C$4:$M$91,7,FALSE)</f>
        <v>0</v>
      </c>
      <c r="AF337" s="1">
        <v>8</v>
      </c>
      <c r="AG337" s="34" t="s">
        <v>1442</v>
      </c>
      <c r="AH337" s="1" t="s">
        <v>636</v>
      </c>
    </row>
    <row r="338" spans="1:34" x14ac:dyDescent="0.15">
      <c r="A338" s="13" t="s">
        <v>175</v>
      </c>
      <c r="B338" s="1">
        <v>3123</v>
      </c>
      <c r="C338" s="14" t="s">
        <v>175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4"/>
        <v>3090.9880319999997</v>
      </c>
      <c r="N338" s="39">
        <v>1545.4940159999999</v>
      </c>
      <c r="Q338" s="36">
        <v>1</v>
      </c>
      <c r="R338" s="36" t="s">
        <v>799</v>
      </c>
      <c r="S338" s="36">
        <v>1000</v>
      </c>
      <c r="U338" s="2" t="s">
        <v>786</v>
      </c>
      <c r="V338" s="1">
        <f>VLOOKUP($A338,Sheet1!C27:M114,2,FALSE)</f>
        <v>0</v>
      </c>
      <c r="W338" s="1">
        <f>VLOOKUP($A338,Sheet1!$C$4:$M$91,3,FALSE)</f>
        <v>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26</v>
      </c>
      <c r="AE338" s="1">
        <f>VLOOKUP($A338,Sheet1!$C$4:$M$91,7,FALSE)</f>
        <v>0</v>
      </c>
      <c r="AF338" s="1">
        <v>8</v>
      </c>
      <c r="AG338" s="34" t="s">
        <v>1443</v>
      </c>
      <c r="AH338" s="1" t="s">
        <v>636</v>
      </c>
    </row>
    <row r="339" spans="1:34" x14ac:dyDescent="0.15">
      <c r="A339" s="13" t="s">
        <v>177</v>
      </c>
      <c r="B339" s="1">
        <v>3124</v>
      </c>
      <c r="C339" s="14" t="s">
        <v>177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4"/>
        <v>2492.6436874999995</v>
      </c>
      <c r="N339" s="39">
        <v>1246.3218437499997</v>
      </c>
      <c r="Q339" s="36">
        <v>1</v>
      </c>
      <c r="R339" s="36" t="s">
        <v>799</v>
      </c>
      <c r="S339" s="36">
        <v>1000</v>
      </c>
      <c r="U339" s="2" t="s">
        <v>786</v>
      </c>
      <c r="V339" s="1">
        <f>VLOOKUP($A339,Sheet1!C28:M115,2,FALSE)</f>
        <v>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25</v>
      </c>
      <c r="AE339" s="1">
        <f>VLOOKUP($A339,Sheet1!$C$4:$M$91,7,FALSE)</f>
        <v>0</v>
      </c>
      <c r="AF339" s="1">
        <v>8</v>
      </c>
      <c r="AG339" s="34" t="s">
        <v>1444</v>
      </c>
      <c r="AH339" s="1" t="s">
        <v>636</v>
      </c>
    </row>
    <row r="340" spans="1:34" x14ac:dyDescent="0.15">
      <c r="A340" s="13" t="s">
        <v>179</v>
      </c>
      <c r="B340" s="1">
        <v>3125</v>
      </c>
      <c r="C340" s="14" t="s">
        <v>179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4"/>
        <v>3116.4498480000002</v>
      </c>
      <c r="N340" s="39">
        <v>1558.2249240000001</v>
      </c>
      <c r="Q340" s="36">
        <v>1</v>
      </c>
      <c r="R340" s="36" t="s">
        <v>799</v>
      </c>
      <c r="S340" s="36">
        <v>1000</v>
      </c>
      <c r="U340" s="2" t="s">
        <v>786</v>
      </c>
      <c r="V340" s="1">
        <f>VLOOKUP($A340,Sheet1!C29:M116,2,FALSE)</f>
        <v>0</v>
      </c>
      <c r="W340" s="1">
        <f>VLOOKUP($A340,Sheet1!$C$4:$M$91,3,FALSE)</f>
        <v>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28</v>
      </c>
      <c r="AE340" s="1">
        <f>VLOOKUP($A340,Sheet1!$C$4:$M$91,7,FALSE)</f>
        <v>0</v>
      </c>
      <c r="AF340" s="1">
        <v>8</v>
      </c>
      <c r="AG340" s="34" t="s">
        <v>1445</v>
      </c>
      <c r="AH340" s="1" t="s">
        <v>636</v>
      </c>
    </row>
    <row r="341" spans="1:34" x14ac:dyDescent="0.15">
      <c r="A341" s="13" t="s">
        <v>180</v>
      </c>
      <c r="B341" s="1">
        <v>3126</v>
      </c>
      <c r="C341" s="14" t="s">
        <v>180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4"/>
        <v>3116.4498480000007</v>
      </c>
      <c r="N341" s="39">
        <v>1558.2249240000003</v>
      </c>
      <c r="Q341" s="36">
        <v>1</v>
      </c>
      <c r="R341" s="36" t="s">
        <v>799</v>
      </c>
      <c r="S341" s="36">
        <v>1000</v>
      </c>
      <c r="U341" s="2" t="s">
        <v>786</v>
      </c>
      <c r="V341" s="1">
        <f>VLOOKUP($A341,Sheet1!C30:M117,2,FALSE)</f>
        <v>0</v>
      </c>
      <c r="W341" s="1">
        <f>VLOOKUP($A341,Sheet1!$C$4:$M$91,3,FALSE)</f>
        <v>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28</v>
      </c>
      <c r="AE341" s="1">
        <f>VLOOKUP($A341,Sheet1!$C$4:$M$91,7,FALSE)</f>
        <v>0</v>
      </c>
      <c r="AF341" s="1">
        <v>8</v>
      </c>
      <c r="AG341" s="34" t="s">
        <v>1446</v>
      </c>
      <c r="AH341" s="1" t="s">
        <v>636</v>
      </c>
    </row>
    <row r="342" spans="1:34" x14ac:dyDescent="0.15">
      <c r="A342" s="13" t="s">
        <v>203</v>
      </c>
      <c r="B342" s="1">
        <v>3127</v>
      </c>
      <c r="C342" s="14" t="s">
        <v>263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4"/>
        <v>1788.3977520000001</v>
      </c>
      <c r="N342" s="39">
        <v>894.19887600000004</v>
      </c>
      <c r="Q342" s="36">
        <v>1</v>
      </c>
      <c r="R342" s="36" t="s">
        <v>799</v>
      </c>
      <c r="S342" s="36">
        <v>1000</v>
      </c>
      <c r="U342" s="2" t="s">
        <v>786</v>
      </c>
      <c r="V342" s="1">
        <f>VLOOKUP($A342,Sheet1!C31:M118,2,FALSE)</f>
        <v>0</v>
      </c>
      <c r="W342" s="1">
        <f>VLOOKUP($A342,Sheet1!$C$4:$M$91,3,FALSE)</f>
        <v>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0</v>
      </c>
      <c r="AE342" s="1">
        <f>VLOOKUP($A342,Sheet1!$C$4:$M$91,7,FALSE)</f>
        <v>15</v>
      </c>
      <c r="AF342" s="1">
        <v>8</v>
      </c>
      <c r="AG342" s="34" t="s">
        <v>1447</v>
      </c>
      <c r="AH342" s="1" t="s">
        <v>636</v>
      </c>
    </row>
    <row r="343" spans="1:34" x14ac:dyDescent="0.15">
      <c r="A343" s="13" t="s">
        <v>204</v>
      </c>
      <c r="B343" s="1">
        <v>3128</v>
      </c>
      <c r="C343" s="14" t="s">
        <v>267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4"/>
        <v>3714.1093680000004</v>
      </c>
      <c r="N343" s="39">
        <v>1857.0546840000002</v>
      </c>
      <c r="Q343" s="36" t="s">
        <v>802</v>
      </c>
      <c r="R343" s="36" t="s">
        <v>799</v>
      </c>
      <c r="S343" s="36">
        <v>900</v>
      </c>
      <c r="U343" s="2" t="s">
        <v>786</v>
      </c>
      <c r="V343" s="1">
        <f>VLOOKUP($A343,Sheet1!C32:M119,2,FALSE)</f>
        <v>140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0</v>
      </c>
      <c r="AE343" s="1">
        <f>VLOOKUP($A343,Sheet1!$C$4:$M$91,7,FALSE)</f>
        <v>0</v>
      </c>
      <c r="AF343" s="1">
        <v>0</v>
      </c>
      <c r="AG343" s="34" t="s">
        <v>1448</v>
      </c>
      <c r="AH343" s="1" t="s">
        <v>1589</v>
      </c>
    </row>
    <row r="344" spans="1:34" x14ac:dyDescent="0.15">
      <c r="A344" s="13" t="s">
        <v>181</v>
      </c>
      <c r="B344" s="1">
        <v>3129</v>
      </c>
      <c r="C344" s="14" t="s">
        <v>181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4"/>
        <v>3116.4498480000007</v>
      </c>
      <c r="N344" s="39">
        <v>1558.2249240000003</v>
      </c>
      <c r="Q344" s="36">
        <v>1</v>
      </c>
      <c r="R344" s="36" t="s">
        <v>799</v>
      </c>
      <c r="S344" s="36">
        <v>1000</v>
      </c>
      <c r="U344" s="2" t="s">
        <v>786</v>
      </c>
      <c r="V344" s="1">
        <f>VLOOKUP($A344,Sheet1!C33:M120,2,FALSE)</f>
        <v>0</v>
      </c>
      <c r="W344" s="1">
        <f>VLOOKUP($A344,Sheet1!$C$4:$M$91,3,FALSE)</f>
        <v>0</v>
      </c>
      <c r="X344" s="1">
        <f>VLOOKUP($A344,Sheet1!$C$4:$M$91,4,FALSE)</f>
        <v>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35</v>
      </c>
      <c r="AF344" s="1">
        <v>8</v>
      </c>
      <c r="AG344" s="34" t="s">
        <v>1449</v>
      </c>
      <c r="AH344" s="1" t="s">
        <v>636</v>
      </c>
    </row>
    <row r="345" spans="1:34" x14ac:dyDescent="0.15">
      <c r="A345" s="13" t="s">
        <v>206</v>
      </c>
      <c r="B345" s="1">
        <v>3130</v>
      </c>
      <c r="C345" s="14" t="s">
        <v>206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4"/>
        <v>1939.4174</v>
      </c>
      <c r="N345" s="39">
        <v>969.70870000000002</v>
      </c>
      <c r="Q345" s="36">
        <v>1</v>
      </c>
      <c r="R345" s="36" t="s">
        <v>799</v>
      </c>
      <c r="S345" s="36">
        <v>1000</v>
      </c>
      <c r="U345" s="2" t="s">
        <v>786</v>
      </c>
      <c r="V345" s="1">
        <f>VLOOKUP($A345,Sheet1!C34:M121,2,FALSE)</f>
        <v>0</v>
      </c>
      <c r="W345" s="1">
        <f>VLOOKUP($A345,Sheet1!$C$4:$M$91,3,FALSE)</f>
        <v>0</v>
      </c>
      <c r="X345" s="1">
        <f>VLOOKUP($A345,Sheet1!$C$4:$M$91,4,FALSE)</f>
        <v>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0</v>
      </c>
      <c r="AE345" s="1">
        <f>VLOOKUP($A345,Sheet1!$C$4:$M$91,7,FALSE)</f>
        <v>0</v>
      </c>
      <c r="AF345" s="1">
        <v>0</v>
      </c>
      <c r="AG345" s="34" t="s">
        <v>1450</v>
      </c>
      <c r="AH345" s="1" t="s">
        <v>636</v>
      </c>
    </row>
    <row r="346" spans="1:34" x14ac:dyDescent="0.15">
      <c r="A346" s="13" t="s">
        <v>207</v>
      </c>
      <c r="B346" s="1">
        <v>3131</v>
      </c>
      <c r="C346" s="14" t="s">
        <v>268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4"/>
        <v>2869.7725595000002</v>
      </c>
      <c r="N346" s="39">
        <v>1434.8862797500001</v>
      </c>
      <c r="Q346" s="36" t="s">
        <v>802</v>
      </c>
      <c r="R346" s="36" t="s">
        <v>799</v>
      </c>
      <c r="S346" s="36">
        <v>900</v>
      </c>
      <c r="U346" s="2" t="s">
        <v>786</v>
      </c>
      <c r="V346" s="1">
        <f>VLOOKUP($A346,Sheet1!C35:M122,2,FALSE)</f>
        <v>90</v>
      </c>
      <c r="W346" s="1">
        <f>VLOOKUP($A346,Sheet1!$C$4:$M$91,3,FALSE)</f>
        <v>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0</v>
      </c>
      <c r="AF346" s="1">
        <v>0</v>
      </c>
      <c r="AG346" s="34" t="s">
        <v>1451</v>
      </c>
      <c r="AH346" s="1" t="s">
        <v>1590</v>
      </c>
    </row>
    <row r="347" spans="1:34" ht="27" x14ac:dyDescent="0.15">
      <c r="A347" s="13" t="s">
        <v>183</v>
      </c>
      <c r="B347" s="1">
        <v>3132</v>
      </c>
      <c r="C347" s="14" t="s">
        <v>269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4"/>
        <v>3285.1616044921871</v>
      </c>
      <c r="N347" s="39">
        <v>1642.5808022460935</v>
      </c>
      <c r="Q347" s="36" t="s">
        <v>802</v>
      </c>
      <c r="R347" s="36" t="s">
        <v>799</v>
      </c>
      <c r="S347" s="36">
        <v>904</v>
      </c>
      <c r="U347" s="2" t="s">
        <v>786</v>
      </c>
      <c r="V347" s="1">
        <f>VLOOKUP($A347,Sheet1!C35:M123,2,FALSE)</f>
        <v>80</v>
      </c>
      <c r="W347" s="1">
        <f>VLOOKUP($A347,Sheet1!$C$4:$M$91,3,FALSE)</f>
        <v>30</v>
      </c>
      <c r="X347" s="1">
        <f>VLOOKUP($A347,Sheet1!$C$4:$M$91,4,FALSE)</f>
        <v>80</v>
      </c>
      <c r="Y347" s="1">
        <v>0</v>
      </c>
      <c r="Z347" s="1">
        <v>0</v>
      </c>
      <c r="AA347" s="1">
        <v>0</v>
      </c>
      <c r="AB347" s="1">
        <f>VLOOKUP($A347,Sheet1!$C$4:$M$91,5,FALSE)</f>
        <v>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0</v>
      </c>
      <c r="AG347" s="34" t="s">
        <v>1452</v>
      </c>
      <c r="AH347" s="1" t="s">
        <v>1591</v>
      </c>
    </row>
    <row r="348" spans="1:34" ht="27" x14ac:dyDescent="0.15">
      <c r="A348" s="13" t="s">
        <v>208</v>
      </c>
      <c r="B348" s="1">
        <v>3133</v>
      </c>
      <c r="C348" s="14" t="s">
        <v>270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4"/>
        <v>5323.3876994999991</v>
      </c>
      <c r="N348" s="39">
        <v>2661.6938497499996</v>
      </c>
      <c r="Q348" s="36" t="s">
        <v>802</v>
      </c>
      <c r="R348" s="36" t="s">
        <v>799</v>
      </c>
      <c r="S348" s="36">
        <v>903</v>
      </c>
      <c r="U348" s="2" t="s">
        <v>786</v>
      </c>
      <c r="V348" s="1">
        <f>VLOOKUP($A348,Sheet1!C36:M124,2,FALSE)</f>
        <v>140</v>
      </c>
      <c r="W348" s="1">
        <f>VLOOKUP($A348,Sheet1!$C$4:$M$91,3,FALSE)</f>
        <v>80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0</v>
      </c>
      <c r="AG348" s="34" t="s">
        <v>1453</v>
      </c>
      <c r="AH348" s="1" t="s">
        <v>1592</v>
      </c>
    </row>
    <row r="349" spans="1:34" x14ac:dyDescent="0.15">
      <c r="A349" s="13" t="s">
        <v>209</v>
      </c>
      <c r="B349" s="1">
        <v>3134</v>
      </c>
      <c r="C349" s="14" t="s">
        <v>271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4"/>
        <v>1678.9663999999996</v>
      </c>
      <c r="N349" s="39">
        <v>839.48319999999978</v>
      </c>
      <c r="Q349" s="36" t="s">
        <v>802</v>
      </c>
      <c r="R349" s="36" t="s">
        <v>799</v>
      </c>
      <c r="S349" s="36">
        <v>900</v>
      </c>
      <c r="U349" s="2" t="s">
        <v>786</v>
      </c>
      <c r="V349" s="1">
        <f>VLOOKUP($A349,Sheet1!C37:M125,2,FALSE)</f>
        <v>40</v>
      </c>
      <c r="W349" s="1">
        <f>VLOOKUP($A349,Sheet1!$C$4:$M$91,3,FALSE)</f>
        <v>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0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0</v>
      </c>
      <c r="AG349" s="34" t="s">
        <v>1454</v>
      </c>
      <c r="AH349" s="1" t="s">
        <v>1593</v>
      </c>
    </row>
    <row r="350" spans="1:34" x14ac:dyDescent="0.15">
      <c r="A350" s="13" t="s">
        <v>210</v>
      </c>
      <c r="B350" s="1">
        <v>3135</v>
      </c>
      <c r="C350" s="14" t="s">
        <v>273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4"/>
        <v>3819.952632</v>
      </c>
      <c r="N350" s="39">
        <v>1909.976316</v>
      </c>
      <c r="Q350" s="36" t="s">
        <v>802</v>
      </c>
      <c r="R350" s="36" t="s">
        <v>799</v>
      </c>
      <c r="S350" s="36">
        <v>901</v>
      </c>
      <c r="U350" s="2" t="s">
        <v>786</v>
      </c>
      <c r="V350" s="1">
        <f>VLOOKUP($A350,Sheet1!C38:M126,2,FALSE)</f>
        <v>0</v>
      </c>
      <c r="W350" s="1">
        <f>VLOOKUP($A350,Sheet1!$C$4:$M$91,3,FALSE)</f>
        <v>70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0</v>
      </c>
      <c r="AC350" s="1">
        <f>VLOOKUP($A350,Sheet1!$C$4:$M$91,6,FALSE)</f>
        <v>0</v>
      </c>
      <c r="AD350" s="1">
        <f>VLOOKUP($A350,Sheet1!$C$4:$M$91,8,FALSE)</f>
        <v>0</v>
      </c>
      <c r="AE350" s="1">
        <f>VLOOKUP($A350,Sheet1!$C$4:$M$91,7,FALSE)</f>
        <v>0</v>
      </c>
      <c r="AF350" s="1">
        <v>0</v>
      </c>
      <c r="AG350" s="34" t="s">
        <v>1455</v>
      </c>
      <c r="AH350" s="1" t="s">
        <v>1608</v>
      </c>
    </row>
    <row r="351" spans="1:34" x14ac:dyDescent="0.15">
      <c r="A351" s="13" t="s">
        <v>169</v>
      </c>
      <c r="B351" s="1">
        <v>3136</v>
      </c>
      <c r="C351" s="14" t="s">
        <v>274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4"/>
        <v>3942.7459355000001</v>
      </c>
      <c r="N351" s="39">
        <v>1971.37296775</v>
      </c>
      <c r="Q351" s="36" t="s">
        <v>802</v>
      </c>
      <c r="R351" s="36" t="s">
        <v>799</v>
      </c>
      <c r="S351" s="36">
        <v>901</v>
      </c>
      <c r="U351" s="2" t="s">
        <v>786</v>
      </c>
      <c r="V351" s="1">
        <f>VLOOKUP($A351,Sheet1!C39:M127,2,FALSE)</f>
        <v>0</v>
      </c>
      <c r="W351" s="1">
        <f>VLOOKUP($A351,Sheet1!$C$4:$M$91,3,FALSE)</f>
        <v>80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0</v>
      </c>
      <c r="AC351" s="1">
        <f>VLOOKUP($A351,Sheet1!$C$4:$M$91,6,FALSE)</f>
        <v>0</v>
      </c>
      <c r="AD351" s="1">
        <f>VLOOKUP($A351,Sheet1!$C$4:$M$91,8,FALSE)</f>
        <v>0</v>
      </c>
      <c r="AE351" s="1">
        <f>VLOOKUP($A351,Sheet1!$C$4:$M$91,7,FALSE)</f>
        <v>0</v>
      </c>
      <c r="AF351" s="1">
        <v>0</v>
      </c>
      <c r="AG351" s="34" t="s">
        <v>1456</v>
      </c>
      <c r="AH351" s="1" t="s">
        <v>1609</v>
      </c>
    </row>
    <row r="352" spans="1:34" x14ac:dyDescent="0.15">
      <c r="A352" s="13" t="s">
        <v>211</v>
      </c>
      <c r="B352" s="1">
        <v>3137</v>
      </c>
      <c r="C352" s="14" t="s">
        <v>275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4"/>
        <v>4266.3186479999995</v>
      </c>
      <c r="N352" s="39">
        <v>2133.1593239999997</v>
      </c>
      <c r="Q352" s="36" t="s">
        <v>802</v>
      </c>
      <c r="R352" s="36" t="s">
        <v>799</v>
      </c>
      <c r="S352" s="36">
        <v>901</v>
      </c>
      <c r="U352" s="2" t="s">
        <v>786</v>
      </c>
      <c r="V352" s="1">
        <f>VLOOKUP($A352,Sheet1!C40:M128,2,FALSE)</f>
        <v>0</v>
      </c>
      <c r="W352" s="1">
        <f>VLOOKUP($A352,Sheet1!$C$4:$M$91,3,FALSE)</f>
        <v>100</v>
      </c>
      <c r="X352" s="1">
        <f>VLOOKUP($A352,Sheet1!$C$4:$M$91,4,FALSE)</f>
        <v>0</v>
      </c>
      <c r="Y352" s="1">
        <v>0</v>
      </c>
      <c r="Z352" s="1">
        <v>0</v>
      </c>
      <c r="AA352" s="1">
        <v>0</v>
      </c>
      <c r="AB352" s="1">
        <f>VLOOKUP($A352,Sheet1!$C$4:$M$91,5,FALSE)</f>
        <v>0</v>
      </c>
      <c r="AC352" s="1">
        <f>VLOOKUP($A352,Sheet1!$C$4:$M$91,6,FALSE)</f>
        <v>0</v>
      </c>
      <c r="AD352" s="1">
        <f>VLOOKUP($A352,Sheet1!$C$4:$M$91,8,FALSE)</f>
        <v>35</v>
      </c>
      <c r="AE352" s="1">
        <f>VLOOKUP($A352,Sheet1!$C$4:$M$91,7,FALSE)</f>
        <v>0</v>
      </c>
      <c r="AF352" s="1">
        <v>8</v>
      </c>
      <c r="AG352" s="34" t="s">
        <v>1457</v>
      </c>
      <c r="AH352" s="1" t="s">
        <v>1610</v>
      </c>
    </row>
    <row r="353" spans="1:34" x14ac:dyDescent="0.15">
      <c r="A353" s="13" t="s">
        <v>212</v>
      </c>
      <c r="B353" s="1">
        <v>3138</v>
      </c>
      <c r="C353" s="14" t="s">
        <v>272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4"/>
        <v>5684.1093119999996</v>
      </c>
      <c r="N353" s="39">
        <v>2842.0546559999998</v>
      </c>
      <c r="Q353" s="36">
        <v>1</v>
      </c>
      <c r="R353" s="36" t="s">
        <v>799</v>
      </c>
      <c r="S353" s="36">
        <v>1000</v>
      </c>
      <c r="U353" s="2" t="s">
        <v>786</v>
      </c>
      <c r="V353" s="1">
        <f>VLOOKUP($A353,Sheet1!C41:M129,2,FALSE)</f>
        <v>0</v>
      </c>
      <c r="W353" s="1">
        <f>VLOOKUP($A353,Sheet1!$C$4:$M$91,3,FALSE)</f>
        <v>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0</v>
      </c>
      <c r="AC353" s="1">
        <f>VLOOKUP($A353,Sheet1!$C$4:$M$91,6,FALSE)</f>
        <v>0</v>
      </c>
      <c r="AD353" s="1">
        <f>VLOOKUP($A353,Sheet1!$C$4:$M$91,8,FALSE)</f>
        <v>35</v>
      </c>
      <c r="AE353" s="1">
        <f>VLOOKUP($A353,Sheet1!$C$4:$M$91,7,FALSE)</f>
        <v>30</v>
      </c>
      <c r="AF353" s="1">
        <v>8</v>
      </c>
      <c r="AG353" s="34" t="s">
        <v>1458</v>
      </c>
      <c r="AH353" s="1" t="s">
        <v>636</v>
      </c>
    </row>
    <row r="354" spans="1:34" x14ac:dyDescent="0.15">
      <c r="A354" s="13" t="s">
        <v>213</v>
      </c>
      <c r="B354" s="1">
        <v>3139</v>
      </c>
      <c r="C354" s="14" t="s">
        <v>276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4"/>
        <v>6097.7767679999997</v>
      </c>
      <c r="N354" s="39">
        <v>3048.8883839999999</v>
      </c>
      <c r="Q354" s="36" t="s">
        <v>802</v>
      </c>
      <c r="R354" s="36" t="s">
        <v>799</v>
      </c>
      <c r="S354" s="36">
        <v>902</v>
      </c>
      <c r="U354" s="2" t="s">
        <v>786</v>
      </c>
      <c r="V354" s="1">
        <f>VLOOKUP($A354,Sheet1!C42:M130,2,FALSE)</f>
        <v>0</v>
      </c>
      <c r="W354" s="1">
        <f>VLOOKUP($A354,Sheet1!$C$4:$M$91,3,FALSE)</f>
        <v>0</v>
      </c>
      <c r="X354" s="1">
        <f>VLOOKUP($A354,Sheet1!$C$4:$M$91,4,FALSE)</f>
        <v>170</v>
      </c>
      <c r="Y354" s="1">
        <v>0</v>
      </c>
      <c r="Z354" s="1">
        <v>0</v>
      </c>
      <c r="AA354" s="1">
        <v>0</v>
      </c>
      <c r="AB354" s="1">
        <f>VLOOKUP($A354,Sheet1!$C$4:$M$91,5,FALSE)</f>
        <v>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0</v>
      </c>
      <c r="AF354" s="1">
        <v>0</v>
      </c>
      <c r="AG354" s="34" t="s">
        <v>1459</v>
      </c>
      <c r="AH354" s="1" t="s">
        <v>1611</v>
      </c>
    </row>
    <row r="355" spans="1:34" x14ac:dyDescent="0.15">
      <c r="A355" s="13" t="s">
        <v>214</v>
      </c>
      <c r="B355" s="1">
        <v>3140</v>
      </c>
      <c r="C355" s="14" t="s">
        <v>277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4"/>
        <v>4039.0188719999996</v>
      </c>
      <c r="N355" s="39">
        <v>2019.5094359999998</v>
      </c>
      <c r="Q355" s="36" t="s">
        <v>802</v>
      </c>
      <c r="R355" s="36" t="s">
        <v>799</v>
      </c>
      <c r="S355" s="36">
        <v>901</v>
      </c>
      <c r="U355" s="2" t="s">
        <v>786</v>
      </c>
      <c r="V355" s="1">
        <f>VLOOKUP($A355,Sheet1!C43:M131,2,FALSE)</f>
        <v>0</v>
      </c>
      <c r="W355" s="1">
        <f>VLOOKUP($A355,Sheet1!$C$4:$M$91,3,FALSE)</f>
        <v>80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0</v>
      </c>
      <c r="AC355" s="1">
        <f>VLOOKUP($A355,Sheet1!$C$4:$M$91,6,FALSE)</f>
        <v>0</v>
      </c>
      <c r="AD355" s="1">
        <f>VLOOKUP($A355,Sheet1!$C$4:$M$91,8,FALSE)</f>
        <v>30</v>
      </c>
      <c r="AE355" s="1">
        <f>VLOOKUP($A355,Sheet1!$C$4:$M$91,7,FALSE)</f>
        <v>0</v>
      </c>
      <c r="AF355" s="1">
        <v>8</v>
      </c>
      <c r="AG355" s="34" t="s">
        <v>1460</v>
      </c>
      <c r="AH355" s="1" t="s">
        <v>1609</v>
      </c>
    </row>
    <row r="356" spans="1:34" x14ac:dyDescent="0.15">
      <c r="A356" s="13" t="s">
        <v>215</v>
      </c>
      <c r="B356" s="1">
        <v>3141</v>
      </c>
      <c r="C356" s="14" t="s">
        <v>278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4"/>
        <v>2845.0284719999995</v>
      </c>
      <c r="N356" s="39">
        <v>1422.5142359999998</v>
      </c>
      <c r="Q356" s="36">
        <v>1</v>
      </c>
      <c r="R356" s="36" t="s">
        <v>799</v>
      </c>
      <c r="S356" s="36">
        <v>1000</v>
      </c>
      <c r="U356" s="2" t="s">
        <v>786</v>
      </c>
      <c r="V356" s="1">
        <f>VLOOKUP($A356,Sheet1!C44:M132,2,FALSE)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0</v>
      </c>
      <c r="AC356" s="1">
        <f>VLOOKUP($A356,Sheet1!$C$4:$M$91,6,FALSE)</f>
        <v>0</v>
      </c>
      <c r="AD356" s="1">
        <f>VLOOKUP($A356,Sheet1!$C$4:$M$91,8,FALSE)</f>
        <v>0</v>
      </c>
      <c r="AE356" s="1">
        <f>VLOOKUP($A356,Sheet1!$C$4:$M$91,7,FALSE)</f>
        <v>30</v>
      </c>
      <c r="AF356" s="1">
        <v>8</v>
      </c>
      <c r="AG356" s="34" t="s">
        <v>1461</v>
      </c>
      <c r="AH356" s="1" t="s">
        <v>636</v>
      </c>
    </row>
    <row r="357" spans="1:34" x14ac:dyDescent="0.15">
      <c r="A357" s="13" t="s">
        <v>176</v>
      </c>
      <c r="B357" s="1">
        <v>3142</v>
      </c>
      <c r="C357" s="14" t="s">
        <v>279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4"/>
        <v>3387.2124719999993</v>
      </c>
      <c r="N357" s="39">
        <v>1693.6062359999996</v>
      </c>
      <c r="Q357" s="36">
        <v>1</v>
      </c>
      <c r="R357" s="36" t="s">
        <v>799</v>
      </c>
      <c r="S357" s="36">
        <v>1000</v>
      </c>
      <c r="U357" s="2" t="s">
        <v>786</v>
      </c>
      <c r="V357" s="1">
        <f>VLOOKUP($A357,Sheet1!C45:M133,2,FALSE)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30</v>
      </c>
      <c r="AC357" s="1">
        <f>VLOOKUP($A357,Sheet1!$C$4:$M$91,6,FALSE)</f>
        <v>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1462</v>
      </c>
      <c r="AH357" s="1" t="s">
        <v>636</v>
      </c>
    </row>
    <row r="358" spans="1:34" x14ac:dyDescent="0.15">
      <c r="A358" s="13" t="s">
        <v>186</v>
      </c>
      <c r="B358" s="1">
        <v>3143</v>
      </c>
      <c r="C358" s="14" t="s">
        <v>280</v>
      </c>
      <c r="D358" s="1">
        <v>4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4"/>
        <v>1392.7651980000001</v>
      </c>
      <c r="N358" s="39">
        <v>696.38259900000003</v>
      </c>
      <c r="Q358" s="36">
        <v>1</v>
      </c>
      <c r="R358" s="36" t="s">
        <v>799</v>
      </c>
      <c r="S358" s="36">
        <v>1000</v>
      </c>
      <c r="U358" s="2" t="s">
        <v>786</v>
      </c>
      <c r="V358" s="1">
        <f>VLOOKUP($A358,Sheet1!C46:M134,2,FALSE)</f>
        <v>0</v>
      </c>
      <c r="W358" s="1">
        <f>VLOOKUP($A358,Sheet1!$C$4:$M$91,3,FALSE)</f>
        <v>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10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8</v>
      </c>
      <c r="AG358" s="34" t="s">
        <v>1463</v>
      </c>
      <c r="AH358" s="1" t="s">
        <v>636</v>
      </c>
    </row>
    <row r="359" spans="1:34" x14ac:dyDescent="0.15">
      <c r="A359" s="13" t="s">
        <v>173</v>
      </c>
      <c r="B359" s="1">
        <v>3144</v>
      </c>
      <c r="C359" s="14" t="s">
        <v>281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4"/>
        <v>3064.049604492187</v>
      </c>
      <c r="N359" s="39">
        <v>1532.0248022460935</v>
      </c>
      <c r="Q359" s="36">
        <v>1</v>
      </c>
      <c r="R359" s="36" t="s">
        <v>799</v>
      </c>
      <c r="S359" s="36">
        <v>1000</v>
      </c>
      <c r="U359" s="2" t="s">
        <v>786</v>
      </c>
      <c r="V359" s="1">
        <f>VLOOKUP($A359,Sheet1!C47:M135,2,FALSE)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25</v>
      </c>
      <c r="AC359" s="1">
        <f>VLOOKUP($A359,Sheet1!$C$4:$M$91,6,FALSE)</f>
        <v>0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1464</v>
      </c>
      <c r="AH359" s="1" t="s">
        <v>636</v>
      </c>
    </row>
    <row r="360" spans="1:34" x14ac:dyDescent="0.15">
      <c r="A360" s="13" t="s">
        <v>216</v>
      </c>
      <c r="B360" s="1">
        <v>3145</v>
      </c>
      <c r="C360" s="14" t="s">
        <v>282</v>
      </c>
      <c r="D360" s="1">
        <v>4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4"/>
        <v>3411.6639680000003</v>
      </c>
      <c r="N360" s="39">
        <v>1705.8319840000001</v>
      </c>
      <c r="Q360" s="36">
        <v>1</v>
      </c>
      <c r="R360" s="36" t="s">
        <v>799</v>
      </c>
      <c r="S360" s="36">
        <v>1000</v>
      </c>
      <c r="U360" s="2" t="s">
        <v>786</v>
      </c>
      <c r="V360" s="1">
        <f>VLOOKUP($A360,Sheet1!C48:M136,2,FALSE)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32</v>
      </c>
      <c r="AC360" s="1">
        <f>VLOOKUP($A360,Sheet1!$C$4:$M$91,6,FALSE)</f>
        <v>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1465</v>
      </c>
      <c r="AH360" s="1" t="s">
        <v>636</v>
      </c>
    </row>
    <row r="361" spans="1:34" x14ac:dyDescent="0.15">
      <c r="A361" s="13" t="s">
        <v>217</v>
      </c>
      <c r="B361" s="1">
        <v>3146</v>
      </c>
      <c r="C361" s="14" t="s">
        <v>283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4"/>
        <v>2555.8287499999997</v>
      </c>
      <c r="N361" s="39">
        <v>1277.9143749999998</v>
      </c>
      <c r="Q361" s="36">
        <v>1</v>
      </c>
      <c r="R361" s="36" t="s">
        <v>799</v>
      </c>
      <c r="S361" s="36">
        <v>1000</v>
      </c>
      <c r="U361" s="2" t="s">
        <v>786</v>
      </c>
      <c r="V361" s="1">
        <f>VLOOKUP($A361,Sheet1!C49:M137,2,FALSE)</f>
        <v>0</v>
      </c>
      <c r="W361" s="1">
        <f>VLOOKUP($A361,Sheet1!$C$4:$M$91,3,FALSE)</f>
        <v>0</v>
      </c>
      <c r="X361" s="1">
        <f>VLOOKUP($A361,Sheet1!$C$4:$M$91,4,FALSE)</f>
        <v>0</v>
      </c>
      <c r="Y361" s="1">
        <v>0</v>
      </c>
      <c r="Z361" s="1">
        <v>0</v>
      </c>
      <c r="AA361" s="1">
        <v>0</v>
      </c>
      <c r="AB361" s="1">
        <f>VLOOKUP($A361,Sheet1!$C$4:$M$91,5,FALSE)</f>
        <v>16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8</v>
      </c>
      <c r="AG361" s="34" t="s">
        <v>1466</v>
      </c>
      <c r="AH361" s="1" t="s">
        <v>636</v>
      </c>
    </row>
    <row r="362" spans="1:34" x14ac:dyDescent="0.15">
      <c r="A362" s="13" t="s">
        <v>218</v>
      </c>
      <c r="B362" s="1">
        <v>3147</v>
      </c>
      <c r="C362" s="14" t="s">
        <v>285</v>
      </c>
      <c r="D362" s="1">
        <v>4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4"/>
        <v>5494.3955119999991</v>
      </c>
      <c r="N362" s="39">
        <v>2747.1977559999996</v>
      </c>
      <c r="Q362" s="36">
        <v>1</v>
      </c>
      <c r="R362" s="36" t="s">
        <v>799</v>
      </c>
      <c r="S362" s="36">
        <v>1000</v>
      </c>
      <c r="U362" s="2" t="s">
        <v>786</v>
      </c>
      <c r="V362" s="1">
        <f>VLOOKUP($A362,Sheet1!C50:M138,2,FALSE)</f>
        <v>0</v>
      </c>
      <c r="W362" s="1">
        <f>VLOOKUP($A362,Sheet1!$C$4:$M$91,3,FALSE)</f>
        <v>0</v>
      </c>
      <c r="X362" s="1">
        <f>VLOOKUP($A362,Sheet1!$C$4:$M$91,4,FALSE)</f>
        <v>0</v>
      </c>
      <c r="Y362" s="1">
        <v>0</v>
      </c>
      <c r="Z362" s="1">
        <v>0</v>
      </c>
      <c r="AA362" s="1">
        <v>0</v>
      </c>
      <c r="AB362" s="1">
        <f>VLOOKUP($A362,Sheet1!$C$4:$M$91,5,FALSE)</f>
        <v>50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8</v>
      </c>
      <c r="AG362" s="34" t="s">
        <v>1467</v>
      </c>
      <c r="AH362" s="1" t="s">
        <v>636</v>
      </c>
    </row>
    <row r="363" spans="1:34" x14ac:dyDescent="0.15">
      <c r="A363" s="13" t="s">
        <v>219</v>
      </c>
      <c r="B363" s="1">
        <v>3148</v>
      </c>
      <c r="C363" s="14" t="s">
        <v>284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4"/>
        <v>5737.6774079999996</v>
      </c>
      <c r="N363" s="39">
        <v>2868.8387039999998</v>
      </c>
      <c r="Q363" s="36">
        <v>1</v>
      </c>
      <c r="R363" s="36" t="s">
        <v>799</v>
      </c>
      <c r="S363" s="36">
        <v>1000</v>
      </c>
      <c r="U363" s="2" t="s">
        <v>786</v>
      </c>
      <c r="V363" s="1">
        <f>VLOOKUP($A363,Sheet1!C51:M139,2,FALSE)</f>
        <v>0</v>
      </c>
      <c r="W363" s="1">
        <f>VLOOKUP($A363,Sheet1!$C$4:$M$91,3,FALSE)</f>
        <v>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55</v>
      </c>
      <c r="AC363" s="1">
        <f>VLOOKUP($A363,Sheet1!$C$4:$M$91,6,FALSE)</f>
        <v>0</v>
      </c>
      <c r="AD363" s="1">
        <f>VLOOKUP($A363,Sheet1!$C$4:$M$91,8,FALSE)</f>
        <v>0</v>
      </c>
      <c r="AE363" s="1">
        <f>VLOOKUP($A363,Sheet1!$C$4:$M$91,7,FALSE)</f>
        <v>0</v>
      </c>
      <c r="AF363" s="1">
        <v>8</v>
      </c>
      <c r="AG363" s="34" t="s">
        <v>1468</v>
      </c>
      <c r="AH363" s="1" t="s">
        <v>636</v>
      </c>
    </row>
    <row r="364" spans="1:34" x14ac:dyDescent="0.15">
      <c r="A364" s="13" t="s">
        <v>287</v>
      </c>
      <c r="B364" s="1">
        <v>3149</v>
      </c>
      <c r="C364" s="14" t="s">
        <v>286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4"/>
        <v>4914.3546875000002</v>
      </c>
      <c r="N364" s="39">
        <v>2457.1773437500001</v>
      </c>
      <c r="Q364" s="36">
        <v>1</v>
      </c>
      <c r="R364" s="36" t="s">
        <v>799</v>
      </c>
      <c r="S364" s="36">
        <v>1000</v>
      </c>
      <c r="U364" s="2" t="s">
        <v>786</v>
      </c>
      <c r="V364" s="1">
        <f>VLOOKUP($A364,Sheet1!C52:M140,2,FALSE)</f>
        <v>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40</v>
      </c>
      <c r="AC364" s="1">
        <f>VLOOKUP($A364,Sheet1!$C$4:$M$91,6,FALSE)</f>
        <v>0</v>
      </c>
      <c r="AD364" s="1">
        <f>VLOOKUP($A364,Sheet1!$C$4:$M$91,8,FALSE)</f>
        <v>0</v>
      </c>
      <c r="AE364" s="1">
        <f>VLOOKUP($A364,Sheet1!$C$4:$M$91,7,FALSE)</f>
        <v>0</v>
      </c>
      <c r="AF364" s="1">
        <v>8</v>
      </c>
      <c r="AG364" s="34" t="s">
        <v>1469</v>
      </c>
      <c r="AH364" s="1" t="s">
        <v>636</v>
      </c>
    </row>
    <row r="365" spans="1:34" x14ac:dyDescent="0.15">
      <c r="A365" s="13" t="s">
        <v>220</v>
      </c>
      <c r="B365" s="1">
        <v>3150</v>
      </c>
      <c r="C365" s="14" t="s">
        <v>288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4"/>
        <v>1057.0476479999998</v>
      </c>
      <c r="N365" s="39">
        <v>528.52382399999988</v>
      </c>
      <c r="Q365" s="36">
        <v>1</v>
      </c>
      <c r="R365" s="36" t="s">
        <v>799</v>
      </c>
      <c r="S365" s="36">
        <v>1000</v>
      </c>
      <c r="U365" s="2" t="s">
        <v>786</v>
      </c>
      <c r="V365" s="1">
        <f>VLOOKUP($A365,Sheet1!C53:M141,2,FALSE)</f>
        <v>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10</v>
      </c>
      <c r="AD365" s="1">
        <f>VLOOKUP($A365,Sheet1!$C$4:$M$91,8,FALSE)</f>
        <v>0</v>
      </c>
      <c r="AE365" s="1">
        <f>VLOOKUP($A365,Sheet1!$C$4:$M$91,7,FALSE)</f>
        <v>0</v>
      </c>
      <c r="AF365" s="1">
        <v>8</v>
      </c>
      <c r="AG365" s="34" t="s">
        <v>1470</v>
      </c>
      <c r="AH365" s="1" t="s">
        <v>636</v>
      </c>
    </row>
    <row r="366" spans="1:34" x14ac:dyDescent="0.15">
      <c r="A366" s="13" t="s">
        <v>221</v>
      </c>
      <c r="B366" s="1">
        <v>3151</v>
      </c>
      <c r="C366" s="14" t="s">
        <v>289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4"/>
        <v>1300.1880000000001</v>
      </c>
      <c r="N366" s="39">
        <v>650.09400000000005</v>
      </c>
      <c r="Q366" s="36">
        <v>1</v>
      </c>
      <c r="R366" s="36" t="s">
        <v>799</v>
      </c>
      <c r="S366" s="36">
        <v>1000</v>
      </c>
      <c r="U366" s="2" t="s">
        <v>786</v>
      </c>
      <c r="V366" s="1">
        <f>VLOOKUP($A366,Sheet1!C54:M142,2,FALSE)</f>
        <v>0</v>
      </c>
      <c r="W366" s="1">
        <f>VLOOKUP($A366,Sheet1!$C$4:$M$91,3,FALSE)</f>
        <v>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25</v>
      </c>
      <c r="AD366" s="1">
        <f>VLOOKUP($A366,Sheet1!$C$4:$M$91,8,FALSE)</f>
        <v>0</v>
      </c>
      <c r="AE366" s="1">
        <f>VLOOKUP($A366,Sheet1!$C$4:$M$91,7,FALSE)</f>
        <v>0</v>
      </c>
      <c r="AF366" s="1">
        <v>8</v>
      </c>
      <c r="AG366" s="34" t="s">
        <v>1471</v>
      </c>
      <c r="AH366" s="1" t="s">
        <v>636</v>
      </c>
    </row>
    <row r="367" spans="1:34" x14ac:dyDescent="0.15">
      <c r="A367" s="13" t="s">
        <v>222</v>
      </c>
      <c r="B367" s="1">
        <v>3152</v>
      </c>
      <c r="C367" s="14" t="s">
        <v>290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4"/>
        <v>2395.4448619999994</v>
      </c>
      <c r="N367" s="39">
        <v>1197.7224309999997</v>
      </c>
      <c r="Q367" s="36">
        <v>1</v>
      </c>
      <c r="R367" s="36" t="s">
        <v>799</v>
      </c>
      <c r="S367" s="36">
        <v>1000</v>
      </c>
      <c r="U367" s="2" t="s">
        <v>786</v>
      </c>
      <c r="V367" s="1">
        <f>VLOOKUP($A367,Sheet1!C55:M143,2,FALSE)</f>
        <v>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50</v>
      </c>
      <c r="AD367" s="1">
        <f>VLOOKUP($A367,Sheet1!$C$4:$M$91,8,FALSE)</f>
        <v>0</v>
      </c>
      <c r="AE367" s="1">
        <f>VLOOKUP($A367,Sheet1!$C$4:$M$91,7,FALSE)</f>
        <v>0</v>
      </c>
      <c r="AF367" s="1">
        <v>8</v>
      </c>
      <c r="AG367" s="34" t="s">
        <v>1472</v>
      </c>
      <c r="AH367" s="1" t="s">
        <v>636</v>
      </c>
    </row>
    <row r="368" spans="1:34" x14ac:dyDescent="0.15">
      <c r="A368" s="13" t="s">
        <v>223</v>
      </c>
      <c r="B368" s="1">
        <v>3153</v>
      </c>
      <c r="C368" s="14" t="s">
        <v>291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4"/>
        <v>3801.7007279999998</v>
      </c>
      <c r="N368" s="39">
        <v>1900.8503639999999</v>
      </c>
      <c r="Q368" s="36" t="s">
        <v>802</v>
      </c>
      <c r="R368" s="36" t="s">
        <v>799</v>
      </c>
      <c r="S368" s="36">
        <v>901</v>
      </c>
      <c r="U368" s="2" t="s">
        <v>786</v>
      </c>
      <c r="V368" s="1">
        <f>VLOOKUP($A368,Sheet1!C56:M144,2,FALSE)</f>
        <v>0</v>
      </c>
      <c r="W368" s="1">
        <f>VLOOKUP($A368,Sheet1!$C$4:$M$91,3,FALSE)</f>
        <v>70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0</v>
      </c>
      <c r="AC368" s="1">
        <f>VLOOKUP($A368,Sheet1!$C$4:$M$91,6,FALSE)</f>
        <v>0</v>
      </c>
      <c r="AD368" s="1">
        <f>VLOOKUP($A368,Sheet1!$C$4:$M$91,8,FALSE)</f>
        <v>0</v>
      </c>
      <c r="AE368" s="1">
        <f>VLOOKUP($A368,Sheet1!$C$4:$M$91,7,FALSE)</f>
        <v>0</v>
      </c>
      <c r="AF368" s="1">
        <v>0</v>
      </c>
      <c r="AG368" s="34" t="s">
        <v>1473</v>
      </c>
      <c r="AH368" s="1" t="s">
        <v>1652</v>
      </c>
    </row>
    <row r="369" spans="1:34" x14ac:dyDescent="0.15">
      <c r="A369" s="13" t="s">
        <v>224</v>
      </c>
      <c r="B369" s="1">
        <v>3154</v>
      </c>
      <c r="C369" s="14" t="s">
        <v>292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4"/>
        <v>4333.5959999999995</v>
      </c>
      <c r="N369" s="39">
        <v>2166.7979999999998</v>
      </c>
      <c r="Q369" s="36">
        <v>1</v>
      </c>
      <c r="R369" s="36" t="s">
        <v>799</v>
      </c>
      <c r="S369" s="36">
        <v>1000</v>
      </c>
      <c r="U369" s="2" t="s">
        <v>786</v>
      </c>
      <c r="V369" s="1">
        <f>VLOOKUP($A369,Sheet1!C57:M145,2,FALSE)</f>
        <v>0</v>
      </c>
      <c r="W369" s="1">
        <f>VLOOKUP($A369,Sheet1!$C$4:$M$91,3,FALSE)</f>
        <v>0</v>
      </c>
      <c r="X369" s="1">
        <f>VLOOKUP($A369,Sheet1!$C$4:$M$91,4,FALSE)</f>
        <v>0</v>
      </c>
      <c r="Y369" s="1">
        <v>0</v>
      </c>
      <c r="Z369" s="1">
        <v>0</v>
      </c>
      <c r="AA369" s="1">
        <v>0</v>
      </c>
      <c r="AB369" s="1">
        <f>VLOOKUP($A369,Sheet1!$C$4:$M$91,5,FALSE)</f>
        <v>0</v>
      </c>
      <c r="AC369" s="1">
        <f>VLOOKUP($A369,Sheet1!$C$4:$M$91,6,FALSE)</f>
        <v>65</v>
      </c>
      <c r="AD369" s="1">
        <f>VLOOKUP($A369,Sheet1!$C$4:$M$91,8,FALSE)</f>
        <v>0</v>
      </c>
      <c r="AE369" s="1">
        <f>VLOOKUP($A369,Sheet1!$C$4:$M$91,7,FALSE)</f>
        <v>0</v>
      </c>
      <c r="AF369" s="1">
        <v>8</v>
      </c>
      <c r="AG369" s="34" t="s">
        <v>1474</v>
      </c>
      <c r="AH369" s="1" t="s">
        <v>636</v>
      </c>
    </row>
    <row r="370" spans="1:34" x14ac:dyDescent="0.15">
      <c r="A370" s="13" t="s">
        <v>225</v>
      </c>
      <c r="B370" s="1">
        <v>3155</v>
      </c>
      <c r="C370" s="14" t="s">
        <v>293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si="14"/>
        <v>5880.7887499999997</v>
      </c>
      <c r="N370" s="39">
        <v>2940.3943749999999</v>
      </c>
      <c r="Q370" s="36">
        <v>1</v>
      </c>
      <c r="R370" s="36" t="s">
        <v>799</v>
      </c>
      <c r="S370" s="36">
        <v>1000</v>
      </c>
      <c r="U370" s="2" t="s">
        <v>786</v>
      </c>
      <c r="V370" s="1">
        <f>VLOOKUP($A370,Sheet1!C58:M146,2,FALSE)</f>
        <v>0</v>
      </c>
      <c r="W370" s="1">
        <f>VLOOKUP($A370,Sheet1!$C$4:$M$91,3,FALSE)</f>
        <v>0</v>
      </c>
      <c r="X370" s="1">
        <f>VLOOKUP($A370,Sheet1!$C$4:$M$91,4,FALSE)</f>
        <v>0</v>
      </c>
      <c r="Y370" s="1">
        <v>0</v>
      </c>
      <c r="Z370" s="1">
        <v>0</v>
      </c>
      <c r="AA370" s="1">
        <v>0</v>
      </c>
      <c r="AB370" s="1">
        <f>VLOOKUP($A370,Sheet1!$C$4:$M$91,5,FALSE)</f>
        <v>0</v>
      </c>
      <c r="AC370" s="1">
        <f>VLOOKUP($A370,Sheet1!$C$4:$M$91,6,FALSE)</f>
        <v>70</v>
      </c>
      <c r="AD370" s="1">
        <f>VLOOKUP($A370,Sheet1!$C$4:$M$91,8,FALSE)</f>
        <v>0</v>
      </c>
      <c r="AE370" s="1">
        <f>VLOOKUP($A370,Sheet1!$C$4:$M$91,7,FALSE)</f>
        <v>0</v>
      </c>
      <c r="AF370" s="1">
        <v>8</v>
      </c>
      <c r="AG370" s="34" t="s">
        <v>1475</v>
      </c>
      <c r="AH370" s="1" t="s">
        <v>636</v>
      </c>
    </row>
    <row r="371" spans="1:34" x14ac:dyDescent="0.15">
      <c r="A371" s="13" t="s">
        <v>226</v>
      </c>
      <c r="B371" s="1">
        <v>3156</v>
      </c>
      <c r="C371" s="14" t="s">
        <v>294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4"/>
        <v>1211.109438</v>
      </c>
      <c r="N371" s="39">
        <v>605.55471899999998</v>
      </c>
      <c r="Q371" s="36" t="s">
        <v>802</v>
      </c>
      <c r="R371" s="36" t="s">
        <v>799</v>
      </c>
      <c r="S371" s="36">
        <v>902</v>
      </c>
      <c r="U371" s="2" t="s">
        <v>786</v>
      </c>
      <c r="V371" s="1">
        <f>VLOOKUP($A371,Sheet1!C59:M147,2,FALSE)</f>
        <v>0</v>
      </c>
      <c r="W371" s="1">
        <f>VLOOKUP($A371,Sheet1!$C$4:$M$91,3,FALSE)</f>
        <v>0</v>
      </c>
      <c r="X371" s="1">
        <f>VLOOKUP($A371,Sheet1!$C$4:$M$91,4,FALSE)</f>
        <v>30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0</v>
      </c>
      <c r="AD371" s="1">
        <f>VLOOKUP($A371,Sheet1!$C$4:$M$91,8,FALSE)</f>
        <v>0</v>
      </c>
      <c r="AE371" s="1">
        <f>VLOOKUP($A371,Sheet1!$C$4:$M$91,7,FALSE)</f>
        <v>0</v>
      </c>
      <c r="AF371" s="1">
        <v>0</v>
      </c>
      <c r="AG371" s="34" t="s">
        <v>1476</v>
      </c>
      <c r="AH371" s="1" t="s">
        <v>1607</v>
      </c>
    </row>
    <row r="372" spans="1:34" x14ac:dyDescent="0.15">
      <c r="A372" s="13" t="s">
        <v>227</v>
      </c>
      <c r="B372" s="1">
        <v>3157</v>
      </c>
      <c r="C372" s="14" t="s">
        <v>295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4"/>
        <v>1330.4287819999997</v>
      </c>
      <c r="N372" s="39">
        <v>665.21439099999986</v>
      </c>
      <c r="Q372" s="36" t="s">
        <v>802</v>
      </c>
      <c r="R372" s="36" t="s">
        <v>799</v>
      </c>
      <c r="S372" s="36">
        <v>902</v>
      </c>
      <c r="U372" s="2" t="s">
        <v>786</v>
      </c>
      <c r="V372" s="1">
        <f>VLOOKUP($A372,Sheet1!C60:M148,2,FALSE)</f>
        <v>0</v>
      </c>
      <c r="W372" s="1">
        <f>VLOOKUP($A372,Sheet1!$C$4:$M$91,3,FALSE)</f>
        <v>0</v>
      </c>
      <c r="X372" s="1">
        <f>VLOOKUP($A372,Sheet1!$C$4:$M$91,4,FALSE)</f>
        <v>40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1477</v>
      </c>
      <c r="AH372" s="1" t="s">
        <v>1606</v>
      </c>
    </row>
    <row r="373" spans="1:34" x14ac:dyDescent="0.15">
      <c r="A373" s="13" t="s">
        <v>228</v>
      </c>
      <c r="B373" s="1">
        <v>3158</v>
      </c>
      <c r="C373" s="14" t="s">
        <v>296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4"/>
        <v>1513.4793419999999</v>
      </c>
      <c r="N373" s="39">
        <v>756.73967099999993</v>
      </c>
      <c r="Q373" s="36" t="s">
        <v>802</v>
      </c>
      <c r="R373" s="36" t="s">
        <v>799</v>
      </c>
      <c r="S373" s="36">
        <v>901</v>
      </c>
      <c r="U373" s="2" t="s">
        <v>786</v>
      </c>
      <c r="V373" s="1">
        <f>VLOOKUP($A373,Sheet1!C61:M149,2,FALSE)</f>
        <v>0</v>
      </c>
      <c r="W373" s="1">
        <f>VLOOKUP($A373,Sheet1!$C$4:$M$91,3,FALSE)</f>
        <v>40</v>
      </c>
      <c r="X373" s="1">
        <f>VLOOKUP($A373,Sheet1!$C$4:$M$91,4,FALSE)</f>
        <v>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0</v>
      </c>
      <c r="AD373" s="1">
        <f>VLOOKUP($A373,Sheet1!$C$4:$M$91,8,FALSE)</f>
        <v>0</v>
      </c>
      <c r="AE373" s="1">
        <f>VLOOKUP($A373,Sheet1!$C$4:$M$91,7,FALSE)</f>
        <v>0</v>
      </c>
      <c r="AF373" s="1">
        <v>0</v>
      </c>
      <c r="AG373" s="34" t="s">
        <v>1478</v>
      </c>
      <c r="AH373" s="1" t="s">
        <v>1605</v>
      </c>
    </row>
    <row r="374" spans="1:34" x14ac:dyDescent="0.15">
      <c r="A374" s="13" t="s">
        <v>229</v>
      </c>
      <c r="B374" s="1">
        <v>3159</v>
      </c>
      <c r="C374" s="14" t="s">
        <v>297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4"/>
        <v>2286.3324720000001</v>
      </c>
      <c r="N374" s="39">
        <v>1143.166236</v>
      </c>
      <c r="Q374" s="36" t="s">
        <v>802</v>
      </c>
      <c r="R374" s="36" t="s">
        <v>799</v>
      </c>
      <c r="S374" s="36">
        <v>900</v>
      </c>
      <c r="U374" s="2" t="s">
        <v>786</v>
      </c>
      <c r="V374" s="1">
        <f>VLOOKUP($A374,Sheet1!C62:M150,2,FALSE)</f>
        <v>70</v>
      </c>
      <c r="W374" s="1">
        <f>VLOOKUP($A374,Sheet1!$C$4:$M$91,3,FALSE)</f>
        <v>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1479</v>
      </c>
      <c r="AH374" s="1" t="s">
        <v>1594</v>
      </c>
    </row>
    <row r="375" spans="1:34" x14ac:dyDescent="0.15">
      <c r="A375" s="13" t="s">
        <v>230</v>
      </c>
      <c r="B375" s="1">
        <v>3160</v>
      </c>
      <c r="C375" s="14" t="s">
        <v>298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4"/>
        <v>2094.2587819999994</v>
      </c>
      <c r="N375" s="39">
        <v>1047.1293909999997</v>
      </c>
      <c r="Q375" s="36" t="s">
        <v>802</v>
      </c>
      <c r="R375" s="36" t="s">
        <v>799</v>
      </c>
      <c r="S375" s="36">
        <v>900</v>
      </c>
      <c r="U375" s="2" t="s">
        <v>786</v>
      </c>
      <c r="V375" s="1">
        <f>VLOOKUP($A375,Sheet1!C63:M151,2,FALSE)</f>
        <v>60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0</v>
      </c>
      <c r="AD375" s="1">
        <f>VLOOKUP($A375,Sheet1!$C$4:$M$91,8,FALSE)</f>
        <v>0</v>
      </c>
      <c r="AE375" s="1">
        <f>VLOOKUP($A375,Sheet1!$C$4:$M$91,7,FALSE)</f>
        <v>0</v>
      </c>
      <c r="AF375" s="1">
        <v>0</v>
      </c>
      <c r="AG375" s="34" t="s">
        <v>1480</v>
      </c>
      <c r="AH375" s="1" t="s">
        <v>1595</v>
      </c>
    </row>
    <row r="376" spans="1:34" x14ac:dyDescent="0.15">
      <c r="A376" s="13" t="s">
        <v>231</v>
      </c>
      <c r="B376" s="1">
        <v>3161</v>
      </c>
      <c r="C376" s="14" t="s">
        <v>299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4"/>
        <v>3511.7487020000003</v>
      </c>
      <c r="N376" s="39">
        <v>1755.8743510000002</v>
      </c>
      <c r="Q376" s="36" t="s">
        <v>802</v>
      </c>
      <c r="R376" s="36" t="s">
        <v>799</v>
      </c>
      <c r="S376" s="36">
        <v>900</v>
      </c>
      <c r="U376" s="2" t="s">
        <v>786</v>
      </c>
      <c r="V376" s="1">
        <f>VLOOKUP($A376,Sheet1!C64:M152,2,FALSE)</f>
        <v>120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0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0</v>
      </c>
      <c r="AF376" s="1">
        <v>0</v>
      </c>
      <c r="AG376" s="34" t="s">
        <v>1481</v>
      </c>
      <c r="AH376" s="1" t="s">
        <v>1596</v>
      </c>
    </row>
    <row r="377" spans="1:34" x14ac:dyDescent="0.15">
      <c r="A377" s="13" t="s">
        <v>232</v>
      </c>
      <c r="B377" s="1">
        <v>3162</v>
      </c>
      <c r="C377" s="14" t="s">
        <v>300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4"/>
        <v>4102.1177580000003</v>
      </c>
      <c r="N377" s="39">
        <v>2051.0588790000002</v>
      </c>
      <c r="Q377" s="36" t="s">
        <v>802</v>
      </c>
      <c r="R377" s="36" t="s">
        <v>799</v>
      </c>
      <c r="S377" s="36">
        <v>900</v>
      </c>
      <c r="U377" s="2" t="s">
        <v>786</v>
      </c>
      <c r="V377" s="1">
        <f>VLOOKUP($A377,Sheet1!C65:M153,2,FALSE)</f>
        <v>180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0</v>
      </c>
      <c r="AC377" s="1">
        <f>VLOOKUP($A377,Sheet1!$C$4:$M$91,6,FALSE)</f>
        <v>0</v>
      </c>
      <c r="AD377" s="1">
        <f>VLOOKUP($A377,Sheet1!$C$4:$M$91,8,FALSE)</f>
        <v>0</v>
      </c>
      <c r="AE377" s="1">
        <f>VLOOKUP($A377,Sheet1!$C$4:$M$91,7,FALSE)</f>
        <v>0</v>
      </c>
      <c r="AF377" s="1">
        <v>0</v>
      </c>
      <c r="AG377" s="34" t="s">
        <v>1482</v>
      </c>
      <c r="AH377" s="1" t="s">
        <v>1597</v>
      </c>
    </row>
    <row r="378" spans="1:34" x14ac:dyDescent="0.15">
      <c r="A378" s="13" t="s">
        <v>233</v>
      </c>
      <c r="B378" s="1">
        <v>3163</v>
      </c>
      <c r="C378" s="14" t="s">
        <v>301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si="14"/>
        <v>5035.4470319999991</v>
      </c>
      <c r="N378" s="39">
        <v>2517.7235159999996</v>
      </c>
      <c r="Q378" s="36">
        <v>1</v>
      </c>
      <c r="R378" s="36" t="s">
        <v>799</v>
      </c>
      <c r="S378" s="36">
        <v>1000</v>
      </c>
      <c r="U378" s="2" t="s">
        <v>786</v>
      </c>
      <c r="V378" s="1">
        <f>VLOOKUP($A378,Sheet1!C66:M154,2,FALSE)</f>
        <v>0</v>
      </c>
      <c r="W378" s="1">
        <f>VLOOKUP($A378,Sheet1!$C$4:$M$91,3,FALSE)</f>
        <v>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45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8</v>
      </c>
      <c r="AG378" s="34" t="s">
        <v>1483</v>
      </c>
      <c r="AH378" s="1" t="s">
        <v>636</v>
      </c>
    </row>
    <row r="379" spans="1:34" x14ac:dyDescent="0.15">
      <c r="A379" s="13" t="s">
        <v>234</v>
      </c>
      <c r="B379" s="1">
        <v>3164</v>
      </c>
      <c r="C379" s="14" t="s">
        <v>302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4"/>
        <v>6192.4153519999991</v>
      </c>
      <c r="N379" s="39">
        <v>3096.2076759999995</v>
      </c>
      <c r="Q379" s="36">
        <v>1</v>
      </c>
      <c r="R379" s="36" t="s">
        <v>799</v>
      </c>
      <c r="S379" s="36">
        <v>1000</v>
      </c>
      <c r="U379" s="2" t="s">
        <v>786</v>
      </c>
      <c r="V379" s="1">
        <f>VLOOKUP($A379,Sheet1!C67:M155,2,FALSE)</f>
        <v>0</v>
      </c>
      <c r="W379" s="1">
        <f>VLOOKUP($A379,Sheet1!$C$4:$M$91,3,FALSE)</f>
        <v>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60</v>
      </c>
      <c r="AC379" s="1">
        <f>VLOOKUP($A379,Sheet1!$C$4:$M$91,6,FALSE)</f>
        <v>0</v>
      </c>
      <c r="AD379" s="1">
        <f>VLOOKUP($A379,Sheet1!$C$4:$M$91,8,FALSE)</f>
        <v>0</v>
      </c>
      <c r="AE379" s="1">
        <f>VLOOKUP($A379,Sheet1!$C$4:$M$91,7,FALSE)</f>
        <v>0</v>
      </c>
      <c r="AF379" s="1">
        <v>8</v>
      </c>
      <c r="AG379" s="34" t="s">
        <v>1484</v>
      </c>
      <c r="AH379" s="1" t="s">
        <v>636</v>
      </c>
    </row>
    <row r="380" spans="1:34" x14ac:dyDescent="0.15">
      <c r="A380" s="13" t="s">
        <v>235</v>
      </c>
      <c r="B380" s="1">
        <v>3165</v>
      </c>
      <c r="C380" s="14" t="s">
        <v>303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ref="M380:M394" si="15">N380*2</f>
        <v>6777.8269579999996</v>
      </c>
      <c r="N380" s="39">
        <v>3388.9134789999998</v>
      </c>
      <c r="Q380" s="36">
        <v>1</v>
      </c>
      <c r="R380" s="36" t="s">
        <v>799</v>
      </c>
      <c r="S380" s="36">
        <v>1000</v>
      </c>
      <c r="U380" s="2" t="s">
        <v>786</v>
      </c>
      <c r="V380" s="1">
        <f>VLOOKUP($A380,Sheet1!C68:M156,2,FALSE)</f>
        <v>0</v>
      </c>
      <c r="W380" s="1">
        <f>VLOOKUP($A380,Sheet1!$C$4:$M$91,3,FALSE)</f>
        <v>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65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0</v>
      </c>
      <c r="AF380" s="1">
        <v>8</v>
      </c>
      <c r="AG380" s="34" t="s">
        <v>1485</v>
      </c>
      <c r="AH380" s="1" t="s">
        <v>636</v>
      </c>
    </row>
    <row r="381" spans="1:34" x14ac:dyDescent="0.15">
      <c r="A381" s="13" t="s">
        <v>236</v>
      </c>
      <c r="B381" s="1">
        <v>3166</v>
      </c>
      <c r="C381" s="14" t="s">
        <v>304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5"/>
        <v>1148.4009920000001</v>
      </c>
      <c r="N381" s="39">
        <v>574.20049600000004</v>
      </c>
      <c r="Q381" s="36" t="s">
        <v>802</v>
      </c>
      <c r="R381" s="36" t="s">
        <v>799</v>
      </c>
      <c r="S381" s="36">
        <v>901</v>
      </c>
      <c r="U381" s="2" t="s">
        <v>786</v>
      </c>
      <c r="V381" s="1">
        <f>VLOOKUP($A381,Sheet1!C69:M157,2,FALSE)</f>
        <v>0</v>
      </c>
      <c r="W381" s="1">
        <f>VLOOKUP($A381,Sheet1!$C$4:$M$91,3,FALSE)</f>
        <v>20</v>
      </c>
      <c r="X381" s="1">
        <f>VLOOKUP($A381,Sheet1!$C$4:$M$91,4,FALSE)</f>
        <v>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15</v>
      </c>
      <c r="AD381" s="1">
        <f>VLOOKUP($A381,Sheet1!$C$4:$M$91,8,FALSE)</f>
        <v>0</v>
      </c>
      <c r="AE381" s="1">
        <f>VLOOKUP($A381,Sheet1!$C$4:$M$91,7,FALSE)</f>
        <v>0</v>
      </c>
      <c r="AF381" s="1">
        <v>8</v>
      </c>
      <c r="AG381" s="34" t="s">
        <v>1486</v>
      </c>
      <c r="AH381" s="1" t="s">
        <v>1604</v>
      </c>
    </row>
    <row r="382" spans="1:34" x14ac:dyDescent="0.15">
      <c r="A382" s="13" t="s">
        <v>237</v>
      </c>
      <c r="B382" s="1">
        <v>3167</v>
      </c>
      <c r="C382" s="14" t="s">
        <v>305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5"/>
        <v>6137.8998194999995</v>
      </c>
      <c r="N382" s="39">
        <v>3068.9499097499997</v>
      </c>
      <c r="Q382" s="36" t="s">
        <v>802</v>
      </c>
      <c r="R382" s="36" t="s">
        <v>799</v>
      </c>
      <c r="S382" s="36">
        <v>901</v>
      </c>
      <c r="U382" s="2" t="s">
        <v>786</v>
      </c>
      <c r="V382" s="1">
        <f>VLOOKUP($A382,Sheet1!C70:M158,2,FALSE)</f>
        <v>0</v>
      </c>
      <c r="W382" s="1">
        <f>VLOOKUP($A382,Sheet1!$C$4:$M$91,3,FALSE)</f>
        <v>160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0</v>
      </c>
      <c r="AF382" s="1">
        <v>0</v>
      </c>
      <c r="AG382" s="34" t="s">
        <v>1487</v>
      </c>
      <c r="AH382" s="1" t="s">
        <v>1603</v>
      </c>
    </row>
    <row r="383" spans="1:34" x14ac:dyDescent="0.15">
      <c r="A383" s="13" t="s">
        <v>238</v>
      </c>
      <c r="B383" s="1">
        <v>3168</v>
      </c>
      <c r="C383" s="14" t="s">
        <v>306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5"/>
        <v>1637.3745419999998</v>
      </c>
      <c r="N383" s="39">
        <v>818.6872709999999</v>
      </c>
      <c r="Q383" s="36" t="s">
        <v>802</v>
      </c>
      <c r="R383" s="36" t="s">
        <v>799</v>
      </c>
      <c r="S383" s="36">
        <v>902</v>
      </c>
      <c r="U383" s="2" t="s">
        <v>786</v>
      </c>
      <c r="V383" s="1">
        <f>VLOOKUP($A383,Sheet1!C71:M159,2,FALSE)</f>
        <v>0</v>
      </c>
      <c r="W383" s="1">
        <f>VLOOKUP($A383,Sheet1!$C$4:$M$91,3,FALSE)</f>
        <v>0</v>
      </c>
      <c r="X383" s="1">
        <f>VLOOKUP($A383,Sheet1!$C$4:$M$91,4,FALSE)</f>
        <v>50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30</v>
      </c>
      <c r="AD383" s="1">
        <f>VLOOKUP($A383,Sheet1!$C$4:$M$91,8,FALSE)</f>
        <v>0</v>
      </c>
      <c r="AE383" s="1">
        <f>VLOOKUP($A383,Sheet1!$C$4:$M$91,7,FALSE)</f>
        <v>0</v>
      </c>
      <c r="AF383" s="1">
        <v>8</v>
      </c>
      <c r="AG383" s="34" t="s">
        <v>1488</v>
      </c>
      <c r="AH383" s="1" t="s">
        <v>1602</v>
      </c>
    </row>
    <row r="384" spans="1:34" ht="27" x14ac:dyDescent="0.15">
      <c r="A384" s="13" t="s">
        <v>239</v>
      </c>
      <c r="B384" s="1">
        <v>3169</v>
      </c>
      <c r="C384" s="14" t="s">
        <v>317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5"/>
        <v>3743.5214354999998</v>
      </c>
      <c r="N384" s="39">
        <v>1871.7607177499999</v>
      </c>
      <c r="Q384" s="36" t="s">
        <v>802</v>
      </c>
      <c r="R384" s="36" t="s">
        <v>799</v>
      </c>
      <c r="S384" s="36">
        <v>903</v>
      </c>
      <c r="U384" s="2" t="s">
        <v>786</v>
      </c>
      <c r="V384" s="1">
        <f>VLOOKUP($A384,Sheet1!C72:M160,2,FALSE)</f>
        <v>120</v>
      </c>
      <c r="W384" s="1">
        <f>VLOOKUP($A384,Sheet1!$C$4:$M$91,3,FALSE)</f>
        <v>40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0</v>
      </c>
      <c r="AE384" s="1">
        <f>VLOOKUP($A384,Sheet1!$C$4:$M$91,7,FALSE)</f>
        <v>0</v>
      </c>
      <c r="AF384" s="1">
        <v>0</v>
      </c>
      <c r="AG384" s="34" t="s">
        <v>1489</v>
      </c>
      <c r="AH384" s="1" t="s">
        <v>1598</v>
      </c>
    </row>
    <row r="385" spans="1:34" x14ac:dyDescent="0.15">
      <c r="A385" s="13" t="s">
        <v>240</v>
      </c>
      <c r="B385" s="1">
        <v>3170</v>
      </c>
      <c r="C385" s="14" t="s">
        <v>307</v>
      </c>
      <c r="D385" s="1">
        <v>4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f t="shared" si="15"/>
        <v>3809.8892720000003</v>
      </c>
      <c r="N385" s="39">
        <v>1904.9446360000002</v>
      </c>
      <c r="Q385" s="36">
        <v>1</v>
      </c>
      <c r="R385" s="36" t="s">
        <v>799</v>
      </c>
      <c r="S385" s="36">
        <v>1000</v>
      </c>
      <c r="U385" s="2" t="s">
        <v>786</v>
      </c>
      <c r="V385" s="1">
        <f>VLOOKUP($A385,Sheet1!C73:M161,2,FALSE)</f>
        <v>0</v>
      </c>
      <c r="W385" s="1">
        <f>VLOOKUP($A385,Sheet1!$C$4:$M$91,3,FALSE)</f>
        <v>0</v>
      </c>
      <c r="X385" s="1">
        <f>VLOOKUP($A385,Sheet1!$C$4:$M$91,4,FALSE)</f>
        <v>0</v>
      </c>
      <c r="Y385" s="1">
        <v>0</v>
      </c>
      <c r="Z385" s="1">
        <v>0</v>
      </c>
      <c r="AA385" s="1">
        <v>0</v>
      </c>
      <c r="AB385" s="1">
        <f>VLOOKUP($A385,Sheet1!$C$4:$M$91,5,FALSE)</f>
        <v>0</v>
      </c>
      <c r="AC385" s="1">
        <f>VLOOKUP($A385,Sheet1!$C$4:$M$91,6,FALSE)</f>
        <v>60</v>
      </c>
      <c r="AD385" s="1">
        <f>VLOOKUP($A385,Sheet1!$C$4:$M$91,8,FALSE)</f>
        <v>0</v>
      </c>
      <c r="AE385" s="1">
        <f>VLOOKUP($A385,Sheet1!$C$4:$M$91,7,FALSE)</f>
        <v>0</v>
      </c>
      <c r="AF385" s="1">
        <v>8</v>
      </c>
      <c r="AG385" s="34" t="s">
        <v>1490</v>
      </c>
      <c r="AH385" s="1" t="s">
        <v>636</v>
      </c>
    </row>
    <row r="386" spans="1:34" x14ac:dyDescent="0.15">
      <c r="A386" s="13" t="s">
        <v>309</v>
      </c>
      <c r="B386" s="1">
        <v>3171</v>
      </c>
      <c r="C386" s="14" t="s">
        <v>241</v>
      </c>
      <c r="D386" s="1">
        <v>4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f t="shared" si="15"/>
        <v>5835.0187499999993</v>
      </c>
      <c r="N386" s="39">
        <v>2917.5093749999996</v>
      </c>
      <c r="Q386" s="36">
        <v>1</v>
      </c>
      <c r="R386" s="36" t="s">
        <v>799</v>
      </c>
      <c r="S386" s="36">
        <v>1000</v>
      </c>
      <c r="U386" s="2" t="s">
        <v>786</v>
      </c>
      <c r="V386" s="1">
        <f>VLOOKUP($A386,Sheet1!C74:M162,2,FALSE)</f>
        <v>0</v>
      </c>
      <c r="W386" s="1">
        <f>VLOOKUP($A386,Sheet1!$C$4:$M$91,3,FALSE)</f>
        <v>0</v>
      </c>
      <c r="X386" s="1">
        <f>VLOOKUP($A386,Sheet1!$C$4:$M$91,4,FALSE)</f>
        <v>0</v>
      </c>
      <c r="Y386" s="1">
        <v>0</v>
      </c>
      <c r="Z386" s="1">
        <v>0</v>
      </c>
      <c r="AA386" s="1">
        <v>0</v>
      </c>
      <c r="AB386" s="1">
        <f>VLOOKUP($A386,Sheet1!$C$4:$M$91,5,FALSE)</f>
        <v>0</v>
      </c>
      <c r="AC386" s="1">
        <f>VLOOKUP($A386,Sheet1!$C$4:$M$91,6,FALSE)</f>
        <v>0</v>
      </c>
      <c r="AD386" s="1">
        <f>VLOOKUP($A386,Sheet1!$C$4:$M$91,8,FALSE)</f>
        <v>0</v>
      </c>
      <c r="AE386" s="1">
        <f>VLOOKUP($A386,Sheet1!$C$4:$M$91,7,FALSE)</f>
        <v>45</v>
      </c>
      <c r="AF386" s="1">
        <v>8</v>
      </c>
      <c r="AG386" s="34" t="s">
        <v>1491</v>
      </c>
      <c r="AH386" s="1" t="s">
        <v>636</v>
      </c>
    </row>
    <row r="387" spans="1:34" x14ac:dyDescent="0.15">
      <c r="A387" s="13" t="s">
        <v>308</v>
      </c>
      <c r="B387" s="1">
        <v>3172</v>
      </c>
      <c r="C387" s="14" t="s">
        <v>242</v>
      </c>
      <c r="D387" s="1">
        <v>4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f t="shared" si="15"/>
        <v>2608.2739819999993</v>
      </c>
      <c r="N387" s="39">
        <v>1304.1369909999996</v>
      </c>
      <c r="Q387" s="36">
        <v>1</v>
      </c>
      <c r="R387" s="36" t="s">
        <v>799</v>
      </c>
      <c r="S387" s="36">
        <v>1000</v>
      </c>
      <c r="U387" s="2" t="s">
        <v>786</v>
      </c>
      <c r="V387" s="1">
        <f>VLOOKUP($A387,Sheet1!C75:M163,2,FALSE)</f>
        <v>0</v>
      </c>
      <c r="W387" s="1">
        <f>VLOOKUP($A387,Sheet1!$C$4:$M$91,3,FALSE)</f>
        <v>0</v>
      </c>
      <c r="X387" s="1">
        <f>VLOOKUP($A387,Sheet1!$C$4:$M$91,4,FALSE)</f>
        <v>0</v>
      </c>
      <c r="Y387" s="1">
        <v>0</v>
      </c>
      <c r="Z387" s="1">
        <v>0</v>
      </c>
      <c r="AA387" s="1">
        <v>0</v>
      </c>
      <c r="AB387" s="1">
        <f>VLOOKUP($A387,Sheet1!$C$4:$M$91,5,FALSE)</f>
        <v>0</v>
      </c>
      <c r="AC387" s="1">
        <f>VLOOKUP($A387,Sheet1!$C$4:$M$91,6,FALSE)</f>
        <v>45</v>
      </c>
      <c r="AD387" s="1">
        <f>VLOOKUP($A387,Sheet1!$C$4:$M$91,8,FALSE)</f>
        <v>0</v>
      </c>
      <c r="AE387" s="1">
        <f>VLOOKUP($A387,Sheet1!$C$4:$M$91,7,FALSE)</f>
        <v>0</v>
      </c>
      <c r="AF387" s="1">
        <v>8</v>
      </c>
      <c r="AG387" s="34" t="s">
        <v>1492</v>
      </c>
      <c r="AH387" s="1" t="s">
        <v>636</v>
      </c>
    </row>
    <row r="388" spans="1:34" x14ac:dyDescent="0.15">
      <c r="A388" s="13" t="s">
        <v>310</v>
      </c>
      <c r="B388" s="1">
        <v>3173</v>
      </c>
      <c r="C388" s="14" t="s">
        <v>243</v>
      </c>
      <c r="D388" s="1">
        <v>4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f t="shared" si="15"/>
        <v>3624.8131980000003</v>
      </c>
      <c r="N388" s="39">
        <v>1812.4065990000001</v>
      </c>
      <c r="Q388" s="36" t="s">
        <v>802</v>
      </c>
      <c r="R388" s="36" t="s">
        <v>799</v>
      </c>
      <c r="S388" s="36">
        <v>901</v>
      </c>
      <c r="U388" s="2" t="s">
        <v>786</v>
      </c>
      <c r="V388" s="1">
        <f>VLOOKUP($A388,Sheet1!C76:M164,2,FALSE)</f>
        <v>0</v>
      </c>
      <c r="W388" s="1">
        <f>VLOOKUP($A388,Sheet1!$C$4:$M$91,3,FALSE)</f>
        <v>60</v>
      </c>
      <c r="X388" s="1">
        <f>VLOOKUP($A388,Sheet1!$C$4:$M$91,4,FALSE)</f>
        <v>0</v>
      </c>
      <c r="Y388" s="1">
        <v>0</v>
      </c>
      <c r="Z388" s="1">
        <v>0</v>
      </c>
      <c r="AA388" s="1">
        <v>0</v>
      </c>
      <c r="AB388" s="1">
        <f>VLOOKUP($A388,Sheet1!$C$4:$M$91,5,FALSE)</f>
        <v>0</v>
      </c>
      <c r="AC388" s="1">
        <f>VLOOKUP($A388,Sheet1!$C$4:$M$91,6,FALSE)</f>
        <v>0</v>
      </c>
      <c r="AD388" s="1">
        <f>VLOOKUP($A388,Sheet1!$C$4:$M$91,8,FALSE)</f>
        <v>0</v>
      </c>
      <c r="AE388" s="1">
        <f>VLOOKUP($A388,Sheet1!$C$4:$M$91,7,FALSE)</f>
        <v>0</v>
      </c>
      <c r="AF388" s="1">
        <v>0</v>
      </c>
      <c r="AG388" s="34" t="s">
        <v>1493</v>
      </c>
      <c r="AH388" s="1" t="s">
        <v>1601</v>
      </c>
    </row>
    <row r="389" spans="1:34" x14ac:dyDescent="0.15">
      <c r="A389" s="13" t="s">
        <v>244</v>
      </c>
      <c r="B389" s="1">
        <v>3174</v>
      </c>
      <c r="C389" s="14" t="s">
        <v>311</v>
      </c>
      <c r="D389" s="1">
        <v>4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f t="shared" si="15"/>
        <v>3944.5161420000004</v>
      </c>
      <c r="N389" s="39">
        <v>1972.2580710000002</v>
      </c>
      <c r="Q389" s="36">
        <v>1</v>
      </c>
      <c r="R389" s="36" t="s">
        <v>799</v>
      </c>
      <c r="S389" s="36">
        <v>1000</v>
      </c>
      <c r="U389" s="2" t="s">
        <v>786</v>
      </c>
      <c r="V389" s="1">
        <f>VLOOKUP($A389,Sheet1!C77:M165,2,FALSE)</f>
        <v>0</v>
      </c>
      <c r="W389" s="1">
        <f>VLOOKUP($A389,Sheet1!$C$4:$M$91,3,FALSE)</f>
        <v>0</v>
      </c>
      <c r="X389" s="1">
        <f>VLOOKUP($A389,Sheet1!$C$4:$M$91,4,FALSE)</f>
        <v>0</v>
      </c>
      <c r="Y389" s="1">
        <v>0</v>
      </c>
      <c r="Z389" s="1">
        <v>0</v>
      </c>
      <c r="AA389" s="1">
        <v>0</v>
      </c>
      <c r="AB389" s="1">
        <f>VLOOKUP($A389,Sheet1!$C$4:$M$91,5,FALSE)</f>
        <v>0</v>
      </c>
      <c r="AC389" s="1">
        <f>VLOOKUP($A389,Sheet1!$C$4:$M$91,6,FALSE)</f>
        <v>0</v>
      </c>
      <c r="AD389" s="1">
        <f>VLOOKUP($A389,Sheet1!$C$4:$M$91,8,FALSE)</f>
        <v>0</v>
      </c>
      <c r="AE389" s="1">
        <f>VLOOKUP($A389,Sheet1!$C$4:$M$91,7,FALSE)</f>
        <v>40</v>
      </c>
      <c r="AF389" s="1">
        <v>8</v>
      </c>
      <c r="AG389" s="34" t="s">
        <v>1494</v>
      </c>
      <c r="AH389" s="1" t="s">
        <v>636</v>
      </c>
    </row>
    <row r="390" spans="1:34" x14ac:dyDescent="0.15">
      <c r="A390" s="13" t="s">
        <v>312</v>
      </c>
      <c r="B390" s="1">
        <v>3175</v>
      </c>
      <c r="C390" s="14" t="s">
        <v>245</v>
      </c>
      <c r="D390" s="1">
        <v>4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f t="shared" si="15"/>
        <v>1888.46075</v>
      </c>
      <c r="N390" s="39">
        <v>944.23037499999998</v>
      </c>
      <c r="Q390" s="36">
        <v>1</v>
      </c>
      <c r="R390" s="36" t="s">
        <v>799</v>
      </c>
      <c r="S390" s="36">
        <v>1000</v>
      </c>
      <c r="U390" s="2" t="s">
        <v>786</v>
      </c>
      <c r="V390" s="1">
        <f>VLOOKUP($A390,Sheet1!C78:M166,2,FALSE)</f>
        <v>0</v>
      </c>
      <c r="W390" s="1">
        <f>VLOOKUP($A390,Sheet1!$C$4:$M$91,3,FALSE)</f>
        <v>0</v>
      </c>
      <c r="X390" s="1">
        <f>VLOOKUP($A390,Sheet1!$C$4:$M$91,4,FALSE)</f>
        <v>0</v>
      </c>
      <c r="Y390" s="1">
        <v>0</v>
      </c>
      <c r="Z390" s="1">
        <v>0</v>
      </c>
      <c r="AA390" s="1">
        <v>0</v>
      </c>
      <c r="AB390" s="1">
        <f>VLOOKUP($A390,Sheet1!$C$4:$M$91,5,FALSE)</f>
        <v>0</v>
      </c>
      <c r="AC390" s="1">
        <f>VLOOKUP($A390,Sheet1!$C$4:$M$91,6,FALSE)</f>
        <v>0</v>
      </c>
      <c r="AD390" s="1">
        <f>VLOOKUP($A390,Sheet1!$C$4:$M$91,8,FALSE)</f>
        <v>0</v>
      </c>
      <c r="AE390" s="1">
        <f>VLOOKUP($A390,Sheet1!$C$4:$M$91,7,FALSE)</f>
        <v>20</v>
      </c>
      <c r="AF390" s="1">
        <v>8</v>
      </c>
      <c r="AG390" s="34" t="s">
        <v>1495</v>
      </c>
      <c r="AH390" s="1" t="s">
        <v>636</v>
      </c>
    </row>
    <row r="391" spans="1:34" ht="27" x14ac:dyDescent="0.15">
      <c r="A391" s="13" t="s">
        <v>246</v>
      </c>
      <c r="B391" s="1">
        <v>3176</v>
      </c>
      <c r="C391" s="14" t="s">
        <v>313</v>
      </c>
      <c r="D391" s="1">
        <v>4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f t="shared" si="15"/>
        <v>5921.6591179999996</v>
      </c>
      <c r="N391" s="39">
        <v>2960.8295589999998</v>
      </c>
      <c r="Q391" s="36" t="s">
        <v>802</v>
      </c>
      <c r="R391" s="36" t="s">
        <v>799</v>
      </c>
      <c r="S391" s="36">
        <v>903</v>
      </c>
      <c r="U391" s="2" t="s">
        <v>786</v>
      </c>
      <c r="V391" s="1">
        <f>VLOOKUP($A391,Sheet1!C79:M167,2,FALSE)</f>
        <v>160</v>
      </c>
      <c r="W391" s="1">
        <f>VLOOKUP($A391,Sheet1!$C$4:$M$91,3,FALSE)</f>
        <v>100</v>
      </c>
      <c r="X391" s="1">
        <f>VLOOKUP($A391,Sheet1!$C$4:$M$91,4,FALSE)</f>
        <v>0</v>
      </c>
      <c r="Y391" s="1">
        <v>0</v>
      </c>
      <c r="Z391" s="1">
        <v>0</v>
      </c>
      <c r="AA391" s="1">
        <v>0</v>
      </c>
      <c r="AB391" s="1">
        <f>VLOOKUP($A391,Sheet1!$C$4:$M$91,5,FALSE)</f>
        <v>0</v>
      </c>
      <c r="AC391" s="1">
        <f>VLOOKUP($A391,Sheet1!$C$4:$M$91,6,FALSE)</f>
        <v>0</v>
      </c>
      <c r="AD391" s="1">
        <f>VLOOKUP($A391,Sheet1!$C$4:$M$91,8,FALSE)</f>
        <v>0</v>
      </c>
      <c r="AE391" s="1">
        <f>VLOOKUP($A391,Sheet1!$C$4:$M$91,7,FALSE)</f>
        <v>0</v>
      </c>
      <c r="AF391" s="1">
        <v>0</v>
      </c>
      <c r="AG391" s="34" t="s">
        <v>1496</v>
      </c>
      <c r="AH391" s="1" t="s">
        <v>1599</v>
      </c>
    </row>
    <row r="392" spans="1:34" x14ac:dyDescent="0.15">
      <c r="A392" s="13" t="s">
        <v>314</v>
      </c>
      <c r="B392" s="1">
        <v>3177</v>
      </c>
      <c r="C392" s="14" t="s">
        <v>247</v>
      </c>
      <c r="D392" s="1">
        <v>4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f t="shared" si="15"/>
        <v>6742.5017420000004</v>
      </c>
      <c r="N392" s="39">
        <v>3371.2508710000002</v>
      </c>
      <c r="Q392" s="36">
        <v>1</v>
      </c>
      <c r="R392" s="36" t="s">
        <v>799</v>
      </c>
      <c r="S392" s="36">
        <v>1000</v>
      </c>
      <c r="U392" s="2" t="s">
        <v>786</v>
      </c>
      <c r="V392" s="1">
        <f>VLOOKUP($A392,Sheet1!C80:M168,2,FALSE)</f>
        <v>0</v>
      </c>
      <c r="W392" s="1">
        <f>VLOOKUP($A392,Sheet1!$C$4:$M$91,3,FALSE)</f>
        <v>0</v>
      </c>
      <c r="X392" s="1">
        <f>VLOOKUP($A392,Sheet1!$C$4:$M$91,4,FALSE)</f>
        <v>0</v>
      </c>
      <c r="Y392" s="1">
        <v>0</v>
      </c>
      <c r="Z392" s="1">
        <v>0</v>
      </c>
      <c r="AA392" s="1">
        <v>0</v>
      </c>
      <c r="AB392" s="1">
        <f>VLOOKUP($A392,Sheet1!$C$4:$M$91,5,FALSE)</f>
        <v>0</v>
      </c>
      <c r="AC392" s="1">
        <f>VLOOKUP($A392,Sheet1!$C$4:$M$91,6,FALSE)</f>
        <v>0</v>
      </c>
      <c r="AD392" s="1">
        <f>VLOOKUP($A392,Sheet1!$C$4:$M$91,8,FALSE)</f>
        <v>0</v>
      </c>
      <c r="AE392" s="1">
        <f>VLOOKUP($A392,Sheet1!$C$4:$M$91,7,FALSE)</f>
        <v>50</v>
      </c>
      <c r="AF392" s="1">
        <v>8</v>
      </c>
      <c r="AG392" s="34" t="s">
        <v>1497</v>
      </c>
      <c r="AH392" s="1" t="s">
        <v>636</v>
      </c>
    </row>
    <row r="393" spans="1:34" x14ac:dyDescent="0.15">
      <c r="A393" s="13" t="s">
        <v>315</v>
      </c>
      <c r="B393" s="1">
        <v>3178</v>
      </c>
      <c r="C393" s="14" t="s">
        <v>248</v>
      </c>
      <c r="D393" s="1">
        <v>4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f t="shared" si="15"/>
        <v>6902.2949579999995</v>
      </c>
      <c r="N393" s="39">
        <v>3451.1474789999997</v>
      </c>
      <c r="Q393" s="36" t="s">
        <v>802</v>
      </c>
      <c r="R393" s="36" t="s">
        <v>799</v>
      </c>
      <c r="S393" s="36">
        <v>901</v>
      </c>
      <c r="U393" s="2" t="s">
        <v>786</v>
      </c>
      <c r="V393" s="1">
        <f>VLOOKUP($A393,Sheet1!C81:M169,2,FALSE)</f>
        <v>0</v>
      </c>
      <c r="W393" s="1">
        <f>VLOOKUP($A393,Sheet1!$C$4:$M$91,3,FALSE)</f>
        <v>200</v>
      </c>
      <c r="X393" s="1">
        <f>VLOOKUP($A393,Sheet1!$C$4:$M$91,4,FALSE)</f>
        <v>0</v>
      </c>
      <c r="Y393" s="1">
        <v>0</v>
      </c>
      <c r="Z393" s="1">
        <v>0</v>
      </c>
      <c r="AA393" s="1">
        <v>0</v>
      </c>
      <c r="AB393" s="1">
        <f>VLOOKUP($A393,Sheet1!$C$4:$M$91,5,FALSE)</f>
        <v>0</v>
      </c>
      <c r="AC393" s="1">
        <f>VLOOKUP($A393,Sheet1!$C$4:$M$91,6,FALSE)</f>
        <v>0</v>
      </c>
      <c r="AD393" s="1">
        <f>VLOOKUP($A393,Sheet1!$C$4:$M$91,8,FALSE)</f>
        <v>0</v>
      </c>
      <c r="AE393" s="1">
        <f>VLOOKUP($A393,Sheet1!$C$4:$M$91,7,FALSE)</f>
        <v>0</v>
      </c>
      <c r="AF393" s="1">
        <v>0</v>
      </c>
      <c r="AG393" s="34" t="s">
        <v>1498</v>
      </c>
      <c r="AH393" s="1" t="s">
        <v>1600</v>
      </c>
    </row>
    <row r="394" spans="1:34" x14ac:dyDescent="0.15">
      <c r="A394" s="48" t="s">
        <v>965</v>
      </c>
      <c r="B394" s="1">
        <v>3179</v>
      </c>
      <c r="C394" s="14" t="s">
        <v>798</v>
      </c>
      <c r="D394" s="1">
        <v>4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f t="shared" si="15"/>
        <v>925.67039999999986</v>
      </c>
      <c r="N394" s="39">
        <v>462.83519999999993</v>
      </c>
      <c r="Q394" s="36">
        <v>1</v>
      </c>
      <c r="R394" s="36" t="s">
        <v>799</v>
      </c>
      <c r="S394" s="36">
        <v>1000</v>
      </c>
      <c r="U394" s="2" t="s">
        <v>786</v>
      </c>
      <c r="V394" s="1">
        <f>VLOOKUP($A394,Sheet1!C82:M170,2,FALSE)</f>
        <v>0</v>
      </c>
      <c r="W394" s="1">
        <f>VLOOKUP($A394,Sheet1!$C$4:$M$91,3,FALSE)</f>
        <v>0</v>
      </c>
      <c r="X394" s="1">
        <f>VLOOKUP($A394,Sheet1!$C$4:$M$91,4,FALSE)</f>
        <v>0</v>
      </c>
      <c r="Y394" s="1">
        <v>0</v>
      </c>
      <c r="Z394" s="1">
        <v>0</v>
      </c>
      <c r="AA394" s="1">
        <v>0</v>
      </c>
      <c r="AB394" s="1">
        <f>VLOOKUP($A394,Sheet1!$C$4:$M$91,5,FALSE)</f>
        <v>0</v>
      </c>
      <c r="AC394" s="1">
        <f>VLOOKUP($A394,Sheet1!$C$4:$M$91,6,FALSE)</f>
        <v>0</v>
      </c>
      <c r="AD394" s="1">
        <f>VLOOKUP($A394,Sheet1!$C$4:$M$91,8,FALSE)</f>
        <v>15</v>
      </c>
      <c r="AE394" s="1">
        <f>VLOOKUP($A394,Sheet1!$C$4:$M$91,7,FALSE)</f>
        <v>8</v>
      </c>
      <c r="AF394" s="1">
        <v>8</v>
      </c>
      <c r="AG394" s="34" t="s">
        <v>1499</v>
      </c>
      <c r="AH394" s="1" t="s">
        <v>636</v>
      </c>
    </row>
    <row r="395" spans="1:34" x14ac:dyDescent="0.15">
      <c r="A395" s="1" t="s">
        <v>1558</v>
      </c>
      <c r="B395" s="1">
        <v>3500</v>
      </c>
      <c r="C395" s="1" t="s">
        <v>1557</v>
      </c>
      <c r="D395" s="1">
        <v>11</v>
      </c>
      <c r="E395" s="7">
        <v>3000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f>N395*2</f>
        <v>254</v>
      </c>
      <c r="N395" s="39">
        <v>127</v>
      </c>
      <c r="Q395" s="36">
        <v>0</v>
      </c>
      <c r="R395" s="36">
        <v>0</v>
      </c>
      <c r="S395" s="36">
        <v>0</v>
      </c>
      <c r="U395" s="2" t="s">
        <v>786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34" t="s">
        <v>1567</v>
      </c>
      <c r="AH395" s="1" t="s">
        <v>636</v>
      </c>
    </row>
    <row r="396" spans="1:34" x14ac:dyDescent="0.15">
      <c r="A396" s="1" t="s">
        <v>1559</v>
      </c>
      <c r="B396" s="1">
        <v>3501</v>
      </c>
      <c r="C396" s="1" t="s">
        <v>1565</v>
      </c>
      <c r="D396" s="1">
        <v>11</v>
      </c>
      <c r="E396" s="7">
        <v>3002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1</v>
      </c>
      <c r="M396" s="39">
        <f t="shared" ref="M396:M401" si="16">N396*2</f>
        <v>574</v>
      </c>
      <c r="N396" s="39">
        <v>287</v>
      </c>
      <c r="Q396" s="36">
        <v>0</v>
      </c>
      <c r="R396" s="36">
        <v>0</v>
      </c>
      <c r="S396" s="36">
        <v>0</v>
      </c>
      <c r="U396" s="2" t="s">
        <v>786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34" t="s">
        <v>1568</v>
      </c>
      <c r="AH396" s="1" t="s">
        <v>636</v>
      </c>
    </row>
    <row r="397" spans="1:34" x14ac:dyDescent="0.15">
      <c r="A397" s="1" t="s">
        <v>1560</v>
      </c>
      <c r="B397" s="1">
        <v>3502</v>
      </c>
      <c r="C397" s="1" t="s">
        <v>1566</v>
      </c>
      <c r="D397" s="1">
        <v>11</v>
      </c>
      <c r="E397" s="7">
        <v>3004</v>
      </c>
      <c r="F397" s="1">
        <v>0</v>
      </c>
      <c r="G397" s="1">
        <v>1</v>
      </c>
      <c r="H397" s="1">
        <v>0</v>
      </c>
      <c r="I397" s="1">
        <v>0</v>
      </c>
      <c r="J397" s="1">
        <v>0</v>
      </c>
      <c r="K397" s="1">
        <v>1</v>
      </c>
      <c r="L397" s="1">
        <v>1</v>
      </c>
      <c r="M397" s="39">
        <f t="shared" si="16"/>
        <v>818</v>
      </c>
      <c r="N397" s="39">
        <v>409</v>
      </c>
      <c r="Q397" s="36">
        <v>0</v>
      </c>
      <c r="R397" s="36">
        <v>0</v>
      </c>
      <c r="S397" s="36">
        <v>0</v>
      </c>
      <c r="U397" s="2" t="s">
        <v>786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34" t="s">
        <v>1569</v>
      </c>
      <c r="AH397" s="1" t="s">
        <v>636</v>
      </c>
    </row>
    <row r="398" spans="1:34" x14ac:dyDescent="0.15">
      <c r="A398" s="1" t="s">
        <v>1561</v>
      </c>
      <c r="B398" s="1">
        <v>3503</v>
      </c>
      <c r="C398" s="1" t="s">
        <v>1561</v>
      </c>
      <c r="D398" s="1">
        <v>11</v>
      </c>
      <c r="E398" s="7">
        <v>3006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1</v>
      </c>
      <c r="L398" s="1">
        <v>1</v>
      </c>
      <c r="M398" s="39">
        <f t="shared" si="16"/>
        <v>1132</v>
      </c>
      <c r="N398" s="39">
        <v>566</v>
      </c>
      <c r="Q398" s="36">
        <v>0</v>
      </c>
      <c r="R398" s="36">
        <v>0</v>
      </c>
      <c r="S398" s="36">
        <v>0</v>
      </c>
      <c r="U398" s="2" t="s">
        <v>786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34" t="s">
        <v>1570</v>
      </c>
      <c r="AH398" s="1" t="s">
        <v>636</v>
      </c>
    </row>
    <row r="399" spans="1:34" x14ac:dyDescent="0.15">
      <c r="A399" s="1" t="s">
        <v>1562</v>
      </c>
      <c r="B399" s="1">
        <v>3504</v>
      </c>
      <c r="C399" s="1" t="s">
        <v>1562</v>
      </c>
      <c r="D399" s="1">
        <v>11</v>
      </c>
      <c r="E399" s="7">
        <v>3010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1</v>
      </c>
      <c r="L399" s="1">
        <v>1</v>
      </c>
      <c r="M399" s="39">
        <f t="shared" si="16"/>
        <v>1524</v>
      </c>
      <c r="N399" s="39">
        <v>762</v>
      </c>
      <c r="Q399" s="36">
        <v>0</v>
      </c>
      <c r="R399" s="36">
        <v>0</v>
      </c>
      <c r="S399" s="36">
        <v>0</v>
      </c>
      <c r="U399" s="2" t="s">
        <v>786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34" t="s">
        <v>1572</v>
      </c>
      <c r="AH399" s="1" t="s">
        <v>636</v>
      </c>
    </row>
    <row r="400" spans="1:34" x14ac:dyDescent="0.15">
      <c r="A400" s="1" t="s">
        <v>1564</v>
      </c>
      <c r="B400" s="1">
        <v>3505</v>
      </c>
      <c r="C400" s="1" t="s">
        <v>1564</v>
      </c>
      <c r="D400" s="1">
        <v>11</v>
      </c>
      <c r="E400" s="7">
        <v>3008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1</v>
      </c>
      <c r="L400" s="1">
        <v>1</v>
      </c>
      <c r="M400" s="39">
        <f t="shared" si="16"/>
        <v>1970</v>
      </c>
      <c r="N400" s="39">
        <v>985</v>
      </c>
      <c r="Q400" s="36">
        <v>0</v>
      </c>
      <c r="R400" s="36">
        <v>0</v>
      </c>
      <c r="S400" s="36">
        <v>0</v>
      </c>
      <c r="U400" s="2" t="s">
        <v>786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34" t="s">
        <v>1573</v>
      </c>
      <c r="AH400" s="1" t="s">
        <v>636</v>
      </c>
    </row>
    <row r="401" spans="1:34" x14ac:dyDescent="0.15">
      <c r="A401" s="1" t="s">
        <v>1563</v>
      </c>
      <c r="B401" s="1">
        <v>3506</v>
      </c>
      <c r="C401" s="1" t="s">
        <v>1563</v>
      </c>
      <c r="D401" s="1">
        <v>11</v>
      </c>
      <c r="E401" s="7">
        <v>3012</v>
      </c>
      <c r="F401" s="1">
        <v>0</v>
      </c>
      <c r="G401" s="1">
        <v>1</v>
      </c>
      <c r="H401" s="1">
        <v>0</v>
      </c>
      <c r="I401" s="1">
        <v>0</v>
      </c>
      <c r="J401" s="1">
        <v>0</v>
      </c>
      <c r="K401" s="1">
        <v>1</v>
      </c>
      <c r="L401" s="1">
        <v>1</v>
      </c>
      <c r="M401" s="39">
        <f t="shared" si="16"/>
        <v>3040</v>
      </c>
      <c r="N401" s="39">
        <v>1520</v>
      </c>
      <c r="Q401" s="36">
        <v>0</v>
      </c>
      <c r="R401" s="36">
        <v>0</v>
      </c>
      <c r="S401" s="36">
        <v>0</v>
      </c>
      <c r="U401" s="2" t="s">
        <v>786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34" t="s">
        <v>1571</v>
      </c>
      <c r="AH401" s="1" t="s">
        <v>636</v>
      </c>
    </row>
    <row r="402" spans="1:34" x14ac:dyDescent="0.15">
      <c r="A402" s="12" t="s">
        <v>623</v>
      </c>
      <c r="B402" s="1">
        <v>4000</v>
      </c>
      <c r="C402" s="12" t="s">
        <v>623</v>
      </c>
      <c r="D402" s="1">
        <v>5</v>
      </c>
      <c r="E402" s="1">
        <v>0</v>
      </c>
      <c r="F402" s="1">
        <v>0</v>
      </c>
      <c r="G402" s="1">
        <v>1</v>
      </c>
      <c r="H402" s="1">
        <v>0</v>
      </c>
      <c r="I402" s="1">
        <v>0</v>
      </c>
      <c r="J402" s="1">
        <v>0</v>
      </c>
      <c r="K402" s="1">
        <v>1</v>
      </c>
      <c r="L402" s="1">
        <v>1</v>
      </c>
      <c r="M402" s="39">
        <v>100</v>
      </c>
      <c r="N402" s="39">
        <v>100</v>
      </c>
      <c r="Q402" s="36">
        <v>1</v>
      </c>
      <c r="R402" s="36">
        <v>0</v>
      </c>
      <c r="S402" s="36">
        <v>0</v>
      </c>
      <c r="U402" s="2" t="s">
        <v>786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 t="s">
        <v>1511</v>
      </c>
      <c r="AH402" s="1" t="s">
        <v>636</v>
      </c>
    </row>
    <row r="403" spans="1:34" x14ac:dyDescent="0.15">
      <c r="A403" s="12" t="s">
        <v>624</v>
      </c>
      <c r="B403" s="1">
        <v>4001</v>
      </c>
      <c r="C403" s="12" t="s">
        <v>624</v>
      </c>
      <c r="D403" s="1">
        <v>5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1</v>
      </c>
      <c r="L403" s="1">
        <v>1</v>
      </c>
      <c r="M403" s="39">
        <v>100</v>
      </c>
      <c r="N403" s="39">
        <v>100</v>
      </c>
      <c r="Q403" s="36">
        <v>1</v>
      </c>
      <c r="R403" s="36">
        <v>0</v>
      </c>
      <c r="S403" s="36">
        <v>0</v>
      </c>
      <c r="U403" s="2" t="s">
        <v>786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 t="s">
        <v>1513</v>
      </c>
      <c r="AH403" s="1" t="s">
        <v>636</v>
      </c>
    </row>
    <row r="404" spans="1:34" x14ac:dyDescent="0.15">
      <c r="A404" s="12" t="s">
        <v>625</v>
      </c>
      <c r="B404" s="1">
        <v>4002</v>
      </c>
      <c r="C404" s="12" t="s">
        <v>625</v>
      </c>
      <c r="D404" s="1">
        <v>5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>
        <v>0</v>
      </c>
      <c r="K404" s="1">
        <v>1</v>
      </c>
      <c r="L404" s="1">
        <v>1</v>
      </c>
      <c r="M404" s="39">
        <v>100</v>
      </c>
      <c r="N404" s="39">
        <v>100</v>
      </c>
      <c r="Q404" s="36">
        <v>1</v>
      </c>
      <c r="R404" s="36">
        <v>0</v>
      </c>
      <c r="S404" s="36">
        <v>0</v>
      </c>
      <c r="U404" s="2" t="s">
        <v>786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 t="s">
        <v>1515</v>
      </c>
      <c r="AH404" s="1" t="s">
        <v>636</v>
      </c>
    </row>
    <row r="405" spans="1:34" x14ac:dyDescent="0.15">
      <c r="A405" s="12" t="s">
        <v>626</v>
      </c>
      <c r="B405" s="1">
        <v>4003</v>
      </c>
      <c r="C405" s="12" t="s">
        <v>626</v>
      </c>
      <c r="D405" s="1">
        <v>5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1</v>
      </c>
      <c r="L405" s="1">
        <v>1</v>
      </c>
      <c r="M405" s="39">
        <v>100</v>
      </c>
      <c r="N405" s="39">
        <v>100</v>
      </c>
      <c r="Q405" s="36">
        <v>1</v>
      </c>
      <c r="R405" s="36">
        <v>0</v>
      </c>
      <c r="S405" s="36">
        <v>0</v>
      </c>
      <c r="U405" s="2" t="s">
        <v>786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 t="s">
        <v>1517</v>
      </c>
      <c r="AH405" s="1" t="s">
        <v>636</v>
      </c>
    </row>
    <row r="406" spans="1:34" x14ac:dyDescent="0.15">
      <c r="A406" s="12" t="s">
        <v>627</v>
      </c>
      <c r="B406" s="1">
        <v>4004</v>
      </c>
      <c r="C406" s="12" t="s">
        <v>627</v>
      </c>
      <c r="D406" s="1">
        <v>5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1</v>
      </c>
      <c r="L406" s="1">
        <v>1</v>
      </c>
      <c r="M406" s="39">
        <v>100</v>
      </c>
      <c r="N406" s="39">
        <v>100</v>
      </c>
      <c r="Q406" s="36">
        <v>1</v>
      </c>
      <c r="R406" s="36">
        <v>0</v>
      </c>
      <c r="S406" s="36">
        <v>0</v>
      </c>
      <c r="U406" s="2" t="s">
        <v>786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 t="s">
        <v>1519</v>
      </c>
      <c r="AH406" s="1" t="s">
        <v>636</v>
      </c>
    </row>
    <row r="407" spans="1:34" x14ac:dyDescent="0.15">
      <c r="A407" s="12" t="s">
        <v>628</v>
      </c>
      <c r="B407" s="1">
        <v>4005</v>
      </c>
      <c r="C407" s="12" t="s">
        <v>628</v>
      </c>
      <c r="D407" s="1">
        <v>5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39">
        <v>100</v>
      </c>
      <c r="N407" s="39">
        <v>100</v>
      </c>
      <c r="Q407" s="36">
        <v>1</v>
      </c>
      <c r="R407" s="36">
        <v>0</v>
      </c>
      <c r="S407" s="36">
        <v>0</v>
      </c>
      <c r="U407" s="2" t="s">
        <v>786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 t="s">
        <v>1521</v>
      </c>
      <c r="AH407" s="1" t="s">
        <v>636</v>
      </c>
    </row>
    <row r="408" spans="1:34" x14ac:dyDescent="0.15">
      <c r="A408" s="12" t="s">
        <v>629</v>
      </c>
      <c r="B408" s="1">
        <v>4006</v>
      </c>
      <c r="C408" s="12" t="s">
        <v>629</v>
      </c>
      <c r="D408" s="1">
        <v>5</v>
      </c>
      <c r="E408" s="1">
        <v>0</v>
      </c>
      <c r="F408" s="1">
        <v>0</v>
      </c>
      <c r="G408" s="1">
        <v>1</v>
      </c>
      <c r="H408" s="1">
        <v>0</v>
      </c>
      <c r="I408" s="1">
        <v>0</v>
      </c>
      <c r="J408" s="1">
        <v>0</v>
      </c>
      <c r="K408" s="1">
        <v>1</v>
      </c>
      <c r="L408" s="1">
        <v>1</v>
      </c>
      <c r="M408" s="39">
        <v>100</v>
      </c>
      <c r="N408" s="39">
        <v>100</v>
      </c>
      <c r="Q408" s="36">
        <v>1</v>
      </c>
      <c r="R408" s="36">
        <v>0</v>
      </c>
      <c r="S408" s="36">
        <v>0</v>
      </c>
      <c r="U408" s="2" t="s">
        <v>786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 t="s">
        <v>1523</v>
      </c>
      <c r="AH408" s="1" t="s">
        <v>636</v>
      </c>
    </row>
    <row r="409" spans="1:34" x14ac:dyDescent="0.15">
      <c r="A409" s="12" t="s">
        <v>630</v>
      </c>
      <c r="B409" s="1">
        <v>4007</v>
      </c>
      <c r="C409" s="12" t="s">
        <v>630</v>
      </c>
      <c r="D409" s="1">
        <v>5</v>
      </c>
      <c r="E409" s="1">
        <v>0</v>
      </c>
      <c r="F409" s="1">
        <v>0</v>
      </c>
      <c r="G409" s="1">
        <v>1</v>
      </c>
      <c r="H409" s="1">
        <v>0</v>
      </c>
      <c r="I409" s="1">
        <v>0</v>
      </c>
      <c r="J409" s="1">
        <v>0</v>
      </c>
      <c r="K409" s="1">
        <v>1</v>
      </c>
      <c r="L409" s="1">
        <v>1</v>
      </c>
      <c r="M409" s="39">
        <v>100</v>
      </c>
      <c r="N409" s="39">
        <v>100</v>
      </c>
      <c r="Q409" s="36">
        <v>1</v>
      </c>
      <c r="R409" s="36">
        <v>0</v>
      </c>
      <c r="S409" s="36">
        <v>0</v>
      </c>
      <c r="U409" s="2" t="s">
        <v>786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 t="s">
        <v>1525</v>
      </c>
      <c r="AH409" s="1" t="s">
        <v>636</v>
      </c>
    </row>
    <row r="410" spans="1:34" x14ac:dyDescent="0.15">
      <c r="A410" s="12" t="s">
        <v>631</v>
      </c>
      <c r="B410" s="1">
        <v>4008</v>
      </c>
      <c r="C410" s="12" t="s">
        <v>631</v>
      </c>
      <c r="D410" s="1">
        <v>5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1</v>
      </c>
      <c r="L410" s="1">
        <v>1</v>
      </c>
      <c r="M410" s="39">
        <v>100</v>
      </c>
      <c r="N410" s="39">
        <v>100</v>
      </c>
      <c r="Q410" s="36">
        <v>1</v>
      </c>
      <c r="R410" s="36">
        <v>0</v>
      </c>
      <c r="S410" s="36">
        <v>0</v>
      </c>
      <c r="U410" s="2" t="s">
        <v>786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 t="s">
        <v>1527</v>
      </c>
      <c r="AH410" s="1" t="s">
        <v>636</v>
      </c>
    </row>
    <row r="411" spans="1:34" x14ac:dyDescent="0.15">
      <c r="A411" s="12" t="s">
        <v>632</v>
      </c>
      <c r="B411" s="1">
        <v>4009</v>
      </c>
      <c r="C411" s="12" t="s">
        <v>632</v>
      </c>
      <c r="D411" s="1">
        <v>5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0</v>
      </c>
      <c r="K411" s="1">
        <v>1</v>
      </c>
      <c r="L411" s="1">
        <v>1</v>
      </c>
      <c r="M411" s="39">
        <v>100</v>
      </c>
      <c r="N411" s="39">
        <v>100</v>
      </c>
      <c r="Q411" s="36">
        <v>1</v>
      </c>
      <c r="R411" s="36">
        <v>0</v>
      </c>
      <c r="S411" s="36">
        <v>0</v>
      </c>
      <c r="U411" s="2" t="s">
        <v>786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 t="s">
        <v>1529</v>
      </c>
      <c r="AH411" s="1" t="s">
        <v>636</v>
      </c>
    </row>
    <row r="412" spans="1:34" x14ac:dyDescent="0.15">
      <c r="A412" s="12" t="s">
        <v>633</v>
      </c>
      <c r="B412" s="1">
        <v>4010</v>
      </c>
      <c r="C412" s="12" t="s">
        <v>633</v>
      </c>
      <c r="D412" s="1">
        <v>5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1</v>
      </c>
      <c r="L412" s="1">
        <v>1</v>
      </c>
      <c r="M412" s="39">
        <v>100</v>
      </c>
      <c r="N412" s="39">
        <v>100</v>
      </c>
      <c r="Q412" s="36">
        <v>1</v>
      </c>
      <c r="R412" s="36">
        <v>0</v>
      </c>
      <c r="S412" s="36">
        <v>0</v>
      </c>
      <c r="U412" s="2" t="s">
        <v>786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 t="s">
        <v>1531</v>
      </c>
      <c r="AH412" s="1" t="s">
        <v>636</v>
      </c>
    </row>
  </sheetData>
  <autoFilter ref="A3:AG412"/>
  <phoneticPr fontId="1" type="noConversion"/>
  <conditionalFormatting sqref="A402:A1048576 A1:A64 A66:A255 A258:A394">
    <cfRule type="duplicateValues" dxfId="34" priority="12"/>
  </conditionalFormatting>
  <conditionalFormatting sqref="A65">
    <cfRule type="duplicateValues" dxfId="33" priority="10"/>
  </conditionalFormatting>
  <conditionalFormatting sqref="C10:C12">
    <cfRule type="duplicateValues" dxfId="32" priority="9"/>
  </conditionalFormatting>
  <conditionalFormatting sqref="C402:C412">
    <cfRule type="duplicateValues" dxfId="31" priority="8"/>
  </conditionalFormatting>
  <conditionalFormatting sqref="C88:C121">
    <cfRule type="duplicateValues" dxfId="30" priority="7"/>
  </conditionalFormatting>
  <conditionalFormatting sqref="C26:C87">
    <cfRule type="duplicateValues" dxfId="29" priority="36"/>
  </conditionalFormatting>
  <conditionalFormatting sqref="C122">
    <cfRule type="duplicateValues" dxfId="28" priority="5"/>
  </conditionalFormatting>
  <conditionalFormatting sqref="C193">
    <cfRule type="duplicateValues" dxfId="27" priority="4"/>
  </conditionalFormatting>
  <conditionalFormatting sqref="C272">
    <cfRule type="duplicateValues" dxfId="26" priority="3"/>
  </conditionalFormatting>
  <conditionalFormatting sqref="A256">
    <cfRule type="duplicateValues" dxfId="25" priority="2"/>
  </conditionalFormatting>
  <conditionalFormatting sqref="A257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122</v>
      </c>
    </row>
    <row r="2" spans="9:9" x14ac:dyDescent="0.15">
      <c r="I2" s="34" t="s">
        <v>121</v>
      </c>
    </row>
    <row r="3" spans="9:9" x14ac:dyDescent="0.15">
      <c r="I3" s="34" t="s">
        <v>123</v>
      </c>
    </row>
    <row r="4" spans="9:9" x14ac:dyDescent="0.15">
      <c r="I4" s="34" t="s">
        <v>923</v>
      </c>
    </row>
    <row r="5" spans="9:9" x14ac:dyDescent="0.15">
      <c r="I5" s="34" t="s">
        <v>124</v>
      </c>
    </row>
    <row r="6" spans="9:9" x14ac:dyDescent="0.15">
      <c r="I6" s="34" t="s">
        <v>125</v>
      </c>
    </row>
    <row r="7" spans="9:9" x14ac:dyDescent="0.15">
      <c r="I7" s="34" t="s">
        <v>126</v>
      </c>
    </row>
    <row r="8" spans="9:9" x14ac:dyDescent="0.15">
      <c r="I8" s="34" t="s">
        <v>127</v>
      </c>
    </row>
    <row r="9" spans="9:9" x14ac:dyDescent="0.15">
      <c r="I9" s="34" t="s">
        <v>128</v>
      </c>
    </row>
    <row r="10" spans="9:9" x14ac:dyDescent="0.15">
      <c r="I10" s="34" t="s">
        <v>129</v>
      </c>
    </row>
    <row r="11" spans="9:9" x14ac:dyDescent="0.15">
      <c r="I11" s="34" t="s">
        <v>130</v>
      </c>
    </row>
    <row r="12" spans="9:9" x14ac:dyDescent="0.15">
      <c r="I12" s="34" t="s">
        <v>131</v>
      </c>
    </row>
    <row r="13" spans="9:9" x14ac:dyDescent="0.15">
      <c r="I13" s="34" t="s">
        <v>132</v>
      </c>
    </row>
    <row r="14" spans="9:9" x14ac:dyDescent="0.15">
      <c r="I14" s="34" t="s">
        <v>133</v>
      </c>
    </row>
    <row r="15" spans="9:9" x14ac:dyDescent="0.15">
      <c r="I15" s="34" t="s">
        <v>134</v>
      </c>
    </row>
    <row r="16" spans="9:9" x14ac:dyDescent="0.15">
      <c r="I16" s="34" t="s">
        <v>957</v>
      </c>
    </row>
    <row r="17" spans="9:19" x14ac:dyDescent="0.15">
      <c r="I17" s="34" t="s">
        <v>136</v>
      </c>
    </row>
    <row r="18" spans="9:19" x14ac:dyDescent="0.15">
      <c r="I18" s="34" t="s">
        <v>137</v>
      </c>
    </row>
    <row r="19" spans="9:19" x14ac:dyDescent="0.15">
      <c r="I19" s="34" t="s">
        <v>138</v>
      </c>
    </row>
    <row r="20" spans="9:19" x14ac:dyDescent="0.15">
      <c r="I20" s="34" t="s">
        <v>139</v>
      </c>
    </row>
    <row r="21" spans="9:19" x14ac:dyDescent="0.15">
      <c r="I21" s="34" t="s">
        <v>140</v>
      </c>
    </row>
    <row r="22" spans="9:19" x14ac:dyDescent="0.15">
      <c r="I22" s="34" t="s">
        <v>141</v>
      </c>
    </row>
    <row r="23" spans="9:19" x14ac:dyDescent="0.15">
      <c r="I23" s="34" t="s">
        <v>142</v>
      </c>
    </row>
    <row r="24" spans="9:19" x14ac:dyDescent="0.15">
      <c r="I24" s="34" t="s">
        <v>192</v>
      </c>
    </row>
    <row r="25" spans="9:19" x14ac:dyDescent="0.15">
      <c r="I25" s="34" t="s">
        <v>143</v>
      </c>
    </row>
    <row r="26" spans="9:19" x14ac:dyDescent="0.15">
      <c r="I26" s="34" t="s">
        <v>922</v>
      </c>
    </row>
    <row r="27" spans="9:19" x14ac:dyDescent="0.15">
      <c r="I27" s="34" t="s">
        <v>958</v>
      </c>
    </row>
    <row r="28" spans="9:19" x14ac:dyDescent="0.15">
      <c r="I28" s="34" t="s">
        <v>146</v>
      </c>
    </row>
    <row r="29" spans="9:19" x14ac:dyDescent="0.15">
      <c r="I29" s="34" t="s">
        <v>147</v>
      </c>
    </row>
    <row r="30" spans="9:19" x14ac:dyDescent="0.15">
      <c r="I30" s="34" t="s">
        <v>148</v>
      </c>
    </row>
    <row r="31" spans="9:19" x14ac:dyDescent="0.15">
      <c r="I31" s="34" t="s">
        <v>149</v>
      </c>
    </row>
    <row r="32" spans="9:19" x14ac:dyDescent="0.15">
      <c r="I32" s="34" t="s">
        <v>150</v>
      </c>
      <c r="R32" t="s">
        <v>623</v>
      </c>
      <c r="S32" t="s">
        <v>1508</v>
      </c>
    </row>
    <row r="33" spans="9:19" x14ac:dyDescent="0.15">
      <c r="I33" s="34" t="s">
        <v>151</v>
      </c>
      <c r="R33" t="s">
        <v>624</v>
      </c>
      <c r="S33" t="s">
        <v>1509</v>
      </c>
    </row>
    <row r="34" spans="9:19" x14ac:dyDescent="0.15">
      <c r="I34" s="34" t="s">
        <v>152</v>
      </c>
      <c r="R34" t="s">
        <v>625</v>
      </c>
      <c r="S34" t="s">
        <v>1510</v>
      </c>
    </row>
    <row r="35" spans="9:19" x14ac:dyDescent="0.15">
      <c r="R35" t="s">
        <v>626</v>
      </c>
      <c r="S35" t="s">
        <v>1500</v>
      </c>
    </row>
    <row r="36" spans="9:19" x14ac:dyDescent="0.15">
      <c r="R36" t="s">
        <v>627</v>
      </c>
      <c r="S36" t="s">
        <v>1501</v>
      </c>
    </row>
    <row r="37" spans="9:19" x14ac:dyDescent="0.15">
      <c r="R37" t="s">
        <v>628</v>
      </c>
      <c r="S37" t="s">
        <v>1502</v>
      </c>
    </row>
    <row r="38" spans="9:19" x14ac:dyDescent="0.15">
      <c r="R38" t="s">
        <v>629</v>
      </c>
      <c r="S38" t="s">
        <v>1503</v>
      </c>
    </row>
    <row r="39" spans="9:19" x14ac:dyDescent="0.15">
      <c r="R39" t="s">
        <v>630</v>
      </c>
      <c r="S39" t="s">
        <v>1504</v>
      </c>
    </row>
    <row r="40" spans="9:19" x14ac:dyDescent="0.15">
      <c r="R40" t="s">
        <v>631</v>
      </c>
      <c r="S40" t="s">
        <v>1505</v>
      </c>
    </row>
    <row r="41" spans="9:19" x14ac:dyDescent="0.15">
      <c r="R41" t="s">
        <v>632</v>
      </c>
      <c r="S41" t="s">
        <v>1506</v>
      </c>
    </row>
    <row r="42" spans="9:19" x14ac:dyDescent="0.15">
      <c r="R42" t="s">
        <v>633</v>
      </c>
      <c r="S42" t="s">
        <v>1507</v>
      </c>
    </row>
    <row r="47" spans="9:19" x14ac:dyDescent="0.15">
      <c r="Q47" t="s">
        <v>623</v>
      </c>
      <c r="R47" t="s">
        <v>1512</v>
      </c>
    </row>
    <row r="48" spans="9:19" ht="17.25" x14ac:dyDescent="0.15">
      <c r="I48" s="49" t="s">
        <v>187</v>
      </c>
      <c r="J48" t="s">
        <v>1408</v>
      </c>
      <c r="Q48" t="s">
        <v>624</v>
      </c>
      <c r="R48" t="s">
        <v>1514</v>
      </c>
    </row>
    <row r="49" spans="9:18" ht="17.25" x14ac:dyDescent="0.15">
      <c r="I49" s="49" t="s">
        <v>188</v>
      </c>
      <c r="J49" t="s">
        <v>1409</v>
      </c>
      <c r="Q49" t="s">
        <v>625</v>
      </c>
      <c r="R49" t="s">
        <v>1516</v>
      </c>
    </row>
    <row r="50" spans="9:18" ht="17.25" x14ac:dyDescent="0.15">
      <c r="I50" s="49" t="s">
        <v>189</v>
      </c>
      <c r="J50" t="s">
        <v>1410</v>
      </c>
      <c r="Q50" t="s">
        <v>626</v>
      </c>
      <c r="R50" t="s">
        <v>1518</v>
      </c>
    </row>
    <row r="51" spans="9:18" ht="17.25" x14ac:dyDescent="0.15">
      <c r="I51" s="49" t="s">
        <v>858</v>
      </c>
      <c r="J51" t="s">
        <v>1411</v>
      </c>
      <c r="Q51" t="s">
        <v>627</v>
      </c>
      <c r="R51" t="s">
        <v>1520</v>
      </c>
    </row>
    <row r="52" spans="9:18" ht="17.25" x14ac:dyDescent="0.15">
      <c r="I52" s="49" t="s">
        <v>193</v>
      </c>
      <c r="J52" t="s">
        <v>1412</v>
      </c>
      <c r="Q52" t="s">
        <v>628</v>
      </c>
      <c r="R52" t="s">
        <v>1522</v>
      </c>
    </row>
    <row r="53" spans="9:18" ht="17.25" x14ac:dyDescent="0.15">
      <c r="I53" s="49" t="s">
        <v>162</v>
      </c>
      <c r="J53" t="s">
        <v>1413</v>
      </c>
      <c r="Q53" t="s">
        <v>629</v>
      </c>
      <c r="R53" t="s">
        <v>1524</v>
      </c>
    </row>
    <row r="54" spans="9:18" ht="17.25" x14ac:dyDescent="0.15">
      <c r="I54" s="49" t="s">
        <v>159</v>
      </c>
      <c r="J54" t="s">
        <v>1414</v>
      </c>
      <c r="Q54" t="s">
        <v>630</v>
      </c>
      <c r="R54" t="s">
        <v>1526</v>
      </c>
    </row>
    <row r="55" spans="9:18" ht="17.25" x14ac:dyDescent="0.15">
      <c r="I55" s="49" t="s">
        <v>161</v>
      </c>
      <c r="J55" t="s">
        <v>1415</v>
      </c>
      <c r="Q55" t="s">
        <v>631</v>
      </c>
      <c r="R55" t="s">
        <v>1528</v>
      </c>
    </row>
    <row r="56" spans="9:18" ht="17.25" x14ac:dyDescent="0.15">
      <c r="I56" s="49" t="s">
        <v>174</v>
      </c>
      <c r="J56" t="s">
        <v>1416</v>
      </c>
      <c r="Q56" t="s">
        <v>632</v>
      </c>
      <c r="R56" t="s">
        <v>1530</v>
      </c>
    </row>
    <row r="57" spans="9:18" ht="17.25" x14ac:dyDescent="0.15">
      <c r="I57" s="49" t="s">
        <v>178</v>
      </c>
      <c r="J57" t="s">
        <v>1417</v>
      </c>
      <c r="Q57" t="s">
        <v>633</v>
      </c>
      <c r="R57" t="s">
        <v>1532</v>
      </c>
    </row>
    <row r="58" spans="9:18" ht="17.25" x14ac:dyDescent="0.15">
      <c r="I58" s="49" t="s">
        <v>250</v>
      </c>
      <c r="J58" t="s">
        <v>1418</v>
      </c>
    </row>
    <row r="59" spans="9:18" ht="17.25" x14ac:dyDescent="0.15">
      <c r="I59" s="49" t="s">
        <v>205</v>
      </c>
      <c r="J59" t="s">
        <v>1419</v>
      </c>
    </row>
    <row r="60" spans="9:18" ht="17.25" x14ac:dyDescent="0.15">
      <c r="I60" s="49" t="s">
        <v>795</v>
      </c>
      <c r="J60" t="s">
        <v>1420</v>
      </c>
    </row>
    <row r="61" spans="9:18" ht="17.25" x14ac:dyDescent="0.15">
      <c r="I61" s="49" t="s">
        <v>163</v>
      </c>
      <c r="J61" t="s">
        <v>1421</v>
      </c>
    </row>
    <row r="62" spans="9:18" ht="17.25" x14ac:dyDescent="0.15">
      <c r="I62" s="49" t="s">
        <v>184</v>
      </c>
      <c r="J62" t="s">
        <v>1422</v>
      </c>
    </row>
    <row r="63" spans="9:18" ht="17.25" x14ac:dyDescent="0.15">
      <c r="I63" s="49" t="s">
        <v>166</v>
      </c>
      <c r="J63" t="s">
        <v>1423</v>
      </c>
    </row>
    <row r="64" spans="9:18" ht="17.25" x14ac:dyDescent="0.15">
      <c r="I64" s="49" t="s">
        <v>182</v>
      </c>
      <c r="J64" t="s">
        <v>1424</v>
      </c>
    </row>
    <row r="65" spans="9:10" ht="17.25" x14ac:dyDescent="0.15">
      <c r="I65" s="49" t="s">
        <v>194</v>
      </c>
      <c r="J65" t="s">
        <v>1425</v>
      </c>
    </row>
    <row r="66" spans="9:10" ht="17.25" x14ac:dyDescent="0.15">
      <c r="I66" s="49" t="s">
        <v>195</v>
      </c>
      <c r="J66" t="s">
        <v>1426</v>
      </c>
    </row>
    <row r="67" spans="9:10" ht="17.25" x14ac:dyDescent="0.15">
      <c r="I67" s="49" t="s">
        <v>165</v>
      </c>
      <c r="J67" t="s">
        <v>1427</v>
      </c>
    </row>
    <row r="68" spans="9:10" ht="17.25" x14ac:dyDescent="0.15">
      <c r="I68" s="49" t="s">
        <v>167</v>
      </c>
      <c r="J68" t="s">
        <v>1428</v>
      </c>
    </row>
    <row r="69" spans="9:10" ht="17.25" x14ac:dyDescent="0.15">
      <c r="I69" s="49" t="s">
        <v>196</v>
      </c>
      <c r="J69" t="s">
        <v>1429</v>
      </c>
    </row>
    <row r="70" spans="9:10" ht="17.25" x14ac:dyDescent="0.15">
      <c r="I70" s="49" t="s">
        <v>164</v>
      </c>
      <c r="J70" t="s">
        <v>1430</v>
      </c>
    </row>
    <row r="71" spans="9:10" ht="17.25" x14ac:dyDescent="0.15">
      <c r="I71" s="49" t="s">
        <v>197</v>
      </c>
      <c r="J71" t="s">
        <v>1431</v>
      </c>
    </row>
    <row r="72" spans="9:10" ht="17.25" x14ac:dyDescent="0.15">
      <c r="I72" s="49" t="s">
        <v>796</v>
      </c>
      <c r="J72" t="s">
        <v>1432</v>
      </c>
    </row>
    <row r="73" spans="9:10" ht="17.25" x14ac:dyDescent="0.15">
      <c r="I73" s="49" t="s">
        <v>198</v>
      </c>
      <c r="J73" t="s">
        <v>1433</v>
      </c>
    </row>
    <row r="74" spans="9:10" ht="17.25" x14ac:dyDescent="0.15">
      <c r="I74" s="49" t="s">
        <v>171</v>
      </c>
      <c r="J74" t="s">
        <v>1434</v>
      </c>
    </row>
    <row r="75" spans="9:10" ht="17.25" x14ac:dyDescent="0.15">
      <c r="I75" s="49" t="s">
        <v>199</v>
      </c>
      <c r="J75" t="s">
        <v>1435</v>
      </c>
    </row>
    <row r="76" spans="9:10" ht="17.25" x14ac:dyDescent="0.15">
      <c r="I76" s="49" t="s">
        <v>200</v>
      </c>
      <c r="J76" t="s">
        <v>1436</v>
      </c>
    </row>
    <row r="77" spans="9:10" ht="17.25" x14ac:dyDescent="0.15">
      <c r="I77" s="49" t="s">
        <v>170</v>
      </c>
      <c r="J77" t="s">
        <v>1437</v>
      </c>
    </row>
    <row r="78" spans="9:10" ht="17.25" x14ac:dyDescent="0.15">
      <c r="I78" s="49" t="s">
        <v>201</v>
      </c>
      <c r="J78" t="s">
        <v>1438</v>
      </c>
    </row>
    <row r="79" spans="9:10" ht="17.25" x14ac:dyDescent="0.15">
      <c r="I79" s="49" t="s">
        <v>172</v>
      </c>
      <c r="J79" t="s">
        <v>1439</v>
      </c>
    </row>
    <row r="80" spans="9:10" ht="17.25" x14ac:dyDescent="0.15">
      <c r="I80" s="49" t="s">
        <v>202</v>
      </c>
      <c r="J80" t="s">
        <v>1440</v>
      </c>
    </row>
    <row r="81" spans="9:10" ht="17.25" x14ac:dyDescent="0.15">
      <c r="I81" s="49" t="s">
        <v>185</v>
      </c>
      <c r="J81" t="s">
        <v>1441</v>
      </c>
    </row>
    <row r="82" spans="9:10" ht="17.25" x14ac:dyDescent="0.15">
      <c r="I82" s="49" t="s">
        <v>168</v>
      </c>
      <c r="J82" t="s">
        <v>1442</v>
      </c>
    </row>
    <row r="83" spans="9:10" ht="17.25" x14ac:dyDescent="0.15">
      <c r="I83" s="49" t="s">
        <v>175</v>
      </c>
      <c r="J83" t="s">
        <v>1443</v>
      </c>
    </row>
    <row r="84" spans="9:10" ht="17.25" x14ac:dyDescent="0.15">
      <c r="I84" s="49" t="s">
        <v>177</v>
      </c>
      <c r="J84" t="s">
        <v>1444</v>
      </c>
    </row>
    <row r="85" spans="9:10" ht="17.25" x14ac:dyDescent="0.15">
      <c r="I85" s="49" t="s">
        <v>179</v>
      </c>
      <c r="J85" t="s">
        <v>1445</v>
      </c>
    </row>
    <row r="86" spans="9:10" ht="17.25" x14ac:dyDescent="0.15">
      <c r="I86" s="49" t="s">
        <v>180</v>
      </c>
      <c r="J86" t="s">
        <v>1446</v>
      </c>
    </row>
    <row r="87" spans="9:10" ht="17.25" x14ac:dyDescent="0.15">
      <c r="I87" s="49" t="s">
        <v>203</v>
      </c>
      <c r="J87" t="s">
        <v>1447</v>
      </c>
    </row>
    <row r="88" spans="9:10" ht="17.25" x14ac:dyDescent="0.15">
      <c r="I88" s="49" t="s">
        <v>204</v>
      </c>
      <c r="J88" t="s">
        <v>1448</v>
      </c>
    </row>
    <row r="89" spans="9:10" ht="17.25" x14ac:dyDescent="0.15">
      <c r="I89" s="49" t="s">
        <v>181</v>
      </c>
      <c r="J89" t="s">
        <v>1449</v>
      </c>
    </row>
    <row r="90" spans="9:10" ht="17.25" x14ac:dyDescent="0.15">
      <c r="I90" s="49" t="s">
        <v>206</v>
      </c>
      <c r="J90" t="s">
        <v>1450</v>
      </c>
    </row>
    <row r="91" spans="9:10" ht="17.25" x14ac:dyDescent="0.15">
      <c r="I91" s="49" t="s">
        <v>207</v>
      </c>
      <c r="J91" t="s">
        <v>1451</v>
      </c>
    </row>
    <row r="92" spans="9:10" ht="17.25" x14ac:dyDescent="0.15">
      <c r="I92" s="49" t="s">
        <v>183</v>
      </c>
      <c r="J92" t="s">
        <v>1452</v>
      </c>
    </row>
    <row r="93" spans="9:10" ht="17.25" x14ac:dyDescent="0.15">
      <c r="I93" s="49" t="s">
        <v>208</v>
      </c>
      <c r="J93" t="s">
        <v>1453</v>
      </c>
    </row>
    <row r="94" spans="9:10" ht="17.25" x14ac:dyDescent="0.15">
      <c r="I94" s="49" t="s">
        <v>209</v>
      </c>
      <c r="J94" t="s">
        <v>1454</v>
      </c>
    </row>
    <row r="95" spans="9:10" ht="17.25" x14ac:dyDescent="0.15">
      <c r="I95" s="49" t="s">
        <v>210</v>
      </c>
      <c r="J95" t="s">
        <v>1455</v>
      </c>
    </row>
    <row r="96" spans="9:10" ht="17.25" x14ac:dyDescent="0.15">
      <c r="I96" s="49" t="s">
        <v>169</v>
      </c>
      <c r="J96" t="s">
        <v>1456</v>
      </c>
    </row>
    <row r="97" spans="9:10" ht="17.25" x14ac:dyDescent="0.15">
      <c r="I97" s="49" t="s">
        <v>211</v>
      </c>
      <c r="J97" t="s">
        <v>1457</v>
      </c>
    </row>
    <row r="98" spans="9:10" ht="17.25" x14ac:dyDescent="0.15">
      <c r="I98" s="49" t="s">
        <v>212</v>
      </c>
      <c r="J98" t="s">
        <v>1458</v>
      </c>
    </row>
    <row r="99" spans="9:10" ht="17.25" x14ac:dyDescent="0.15">
      <c r="I99" s="49" t="s">
        <v>213</v>
      </c>
      <c r="J99" t="s">
        <v>1459</v>
      </c>
    </row>
    <row r="100" spans="9:10" ht="17.25" x14ac:dyDescent="0.15">
      <c r="I100" s="49" t="s">
        <v>214</v>
      </c>
      <c r="J100" t="s">
        <v>1460</v>
      </c>
    </row>
    <row r="101" spans="9:10" ht="17.25" x14ac:dyDescent="0.15">
      <c r="I101" s="49" t="s">
        <v>215</v>
      </c>
      <c r="J101" t="s">
        <v>1461</v>
      </c>
    </row>
    <row r="102" spans="9:10" ht="17.25" x14ac:dyDescent="0.15">
      <c r="I102" s="49" t="s">
        <v>176</v>
      </c>
      <c r="J102" t="s">
        <v>1462</v>
      </c>
    </row>
    <row r="103" spans="9:10" ht="17.25" x14ac:dyDescent="0.15">
      <c r="I103" s="49" t="s">
        <v>186</v>
      </c>
      <c r="J103" t="s">
        <v>1463</v>
      </c>
    </row>
    <row r="104" spans="9:10" ht="17.25" x14ac:dyDescent="0.15">
      <c r="I104" s="49" t="s">
        <v>173</v>
      </c>
      <c r="J104" t="s">
        <v>1464</v>
      </c>
    </row>
    <row r="105" spans="9:10" ht="17.25" x14ac:dyDescent="0.15">
      <c r="I105" s="49" t="s">
        <v>216</v>
      </c>
      <c r="J105" t="s">
        <v>1465</v>
      </c>
    </row>
    <row r="106" spans="9:10" ht="17.25" x14ac:dyDescent="0.15">
      <c r="I106" s="49" t="s">
        <v>217</v>
      </c>
      <c r="J106" t="s">
        <v>1466</v>
      </c>
    </row>
    <row r="107" spans="9:10" ht="17.25" x14ac:dyDescent="0.15">
      <c r="I107" s="49" t="s">
        <v>218</v>
      </c>
      <c r="J107" t="s">
        <v>1467</v>
      </c>
    </row>
    <row r="108" spans="9:10" ht="17.25" x14ac:dyDescent="0.15">
      <c r="I108" s="49" t="s">
        <v>219</v>
      </c>
      <c r="J108" t="s">
        <v>1468</v>
      </c>
    </row>
    <row r="109" spans="9:10" ht="17.25" x14ac:dyDescent="0.15">
      <c r="I109" s="49" t="s">
        <v>797</v>
      </c>
      <c r="J109" t="s">
        <v>1469</v>
      </c>
    </row>
    <row r="110" spans="9:10" ht="17.25" x14ac:dyDescent="0.15">
      <c r="I110" s="49" t="s">
        <v>220</v>
      </c>
      <c r="J110" t="s">
        <v>1470</v>
      </c>
    </row>
    <row r="111" spans="9:10" ht="17.25" x14ac:dyDescent="0.15">
      <c r="I111" s="49" t="s">
        <v>221</v>
      </c>
      <c r="J111" t="s">
        <v>1471</v>
      </c>
    </row>
    <row r="112" spans="9:10" ht="17.25" x14ac:dyDescent="0.15">
      <c r="I112" s="49" t="s">
        <v>222</v>
      </c>
      <c r="J112" t="s">
        <v>1472</v>
      </c>
    </row>
    <row r="113" spans="9:10" ht="17.25" x14ac:dyDescent="0.15">
      <c r="I113" s="49" t="s">
        <v>223</v>
      </c>
      <c r="J113" t="s">
        <v>1473</v>
      </c>
    </row>
    <row r="114" spans="9:10" ht="17.25" x14ac:dyDescent="0.15">
      <c r="I114" s="49" t="s">
        <v>224</v>
      </c>
      <c r="J114" t="s">
        <v>1474</v>
      </c>
    </row>
    <row r="115" spans="9:10" ht="17.25" x14ac:dyDescent="0.15">
      <c r="I115" s="49" t="s">
        <v>225</v>
      </c>
      <c r="J115" t="s">
        <v>1475</v>
      </c>
    </row>
    <row r="116" spans="9:10" ht="17.25" x14ac:dyDescent="0.15">
      <c r="I116" s="49" t="s">
        <v>226</v>
      </c>
      <c r="J116" t="s">
        <v>1476</v>
      </c>
    </row>
    <row r="117" spans="9:10" ht="17.25" x14ac:dyDescent="0.15">
      <c r="I117" s="49" t="s">
        <v>227</v>
      </c>
      <c r="J117" t="s">
        <v>1477</v>
      </c>
    </row>
    <row r="118" spans="9:10" ht="17.25" x14ac:dyDescent="0.15">
      <c r="I118" s="49" t="s">
        <v>228</v>
      </c>
      <c r="J118" t="s">
        <v>1478</v>
      </c>
    </row>
    <row r="119" spans="9:10" ht="17.25" x14ac:dyDescent="0.15">
      <c r="I119" s="49" t="s">
        <v>229</v>
      </c>
      <c r="J119" t="s">
        <v>1479</v>
      </c>
    </row>
    <row r="120" spans="9:10" ht="17.25" x14ac:dyDescent="0.15">
      <c r="I120" s="49" t="s">
        <v>230</v>
      </c>
      <c r="J120" t="s">
        <v>1480</v>
      </c>
    </row>
    <row r="121" spans="9:10" ht="17.25" x14ac:dyDescent="0.15">
      <c r="I121" s="49" t="s">
        <v>231</v>
      </c>
      <c r="J121" t="s">
        <v>1481</v>
      </c>
    </row>
    <row r="122" spans="9:10" ht="17.25" x14ac:dyDescent="0.15">
      <c r="I122" s="49" t="s">
        <v>232</v>
      </c>
      <c r="J122" t="s">
        <v>1482</v>
      </c>
    </row>
    <row r="123" spans="9:10" ht="17.25" x14ac:dyDescent="0.15">
      <c r="I123" s="49" t="s">
        <v>233</v>
      </c>
      <c r="J123" t="s">
        <v>1483</v>
      </c>
    </row>
    <row r="124" spans="9:10" ht="17.25" x14ac:dyDescent="0.15">
      <c r="I124" s="49" t="s">
        <v>234</v>
      </c>
      <c r="J124" t="s">
        <v>1484</v>
      </c>
    </row>
    <row r="125" spans="9:10" ht="17.25" x14ac:dyDescent="0.15">
      <c r="I125" s="49" t="s">
        <v>235</v>
      </c>
      <c r="J125" t="s">
        <v>1485</v>
      </c>
    </row>
    <row r="126" spans="9:10" ht="17.25" x14ac:dyDescent="0.15">
      <c r="I126" s="49" t="s">
        <v>236</v>
      </c>
      <c r="J126" t="s">
        <v>1486</v>
      </c>
    </row>
    <row r="127" spans="9:10" ht="17.25" x14ac:dyDescent="0.15">
      <c r="I127" s="49" t="s">
        <v>237</v>
      </c>
      <c r="J127" t="s">
        <v>1487</v>
      </c>
    </row>
    <row r="128" spans="9:10" ht="17.25" x14ac:dyDescent="0.15">
      <c r="I128" s="49" t="s">
        <v>238</v>
      </c>
      <c r="J128" t="s">
        <v>1488</v>
      </c>
    </row>
    <row r="129" spans="9:10" ht="17.25" x14ac:dyDescent="0.15">
      <c r="I129" s="49" t="s">
        <v>239</v>
      </c>
      <c r="J129" t="s">
        <v>1489</v>
      </c>
    </row>
    <row r="130" spans="9:10" ht="17.25" x14ac:dyDescent="0.15">
      <c r="I130" s="49" t="s">
        <v>240</v>
      </c>
      <c r="J130" t="s">
        <v>1490</v>
      </c>
    </row>
    <row r="131" spans="9:10" ht="17.25" x14ac:dyDescent="0.15">
      <c r="I131" s="49" t="s">
        <v>241</v>
      </c>
      <c r="J131" t="s">
        <v>1491</v>
      </c>
    </row>
    <row r="132" spans="9:10" ht="17.25" x14ac:dyDescent="0.15">
      <c r="I132" s="49" t="s">
        <v>242</v>
      </c>
      <c r="J132" t="s">
        <v>1492</v>
      </c>
    </row>
    <row r="133" spans="9:10" ht="17.25" x14ac:dyDescent="0.15">
      <c r="I133" s="49" t="s">
        <v>243</v>
      </c>
      <c r="J133" t="s">
        <v>1493</v>
      </c>
    </row>
    <row r="134" spans="9:10" ht="17.25" x14ac:dyDescent="0.15">
      <c r="I134" s="49" t="s">
        <v>244</v>
      </c>
      <c r="J134" t="s">
        <v>1494</v>
      </c>
    </row>
    <row r="135" spans="9:10" ht="17.25" x14ac:dyDescent="0.15">
      <c r="I135" s="49" t="s">
        <v>245</v>
      </c>
      <c r="J135" t="s">
        <v>1495</v>
      </c>
    </row>
    <row r="136" spans="9:10" ht="17.25" x14ac:dyDescent="0.15">
      <c r="I136" s="49" t="s">
        <v>246</v>
      </c>
      <c r="J136" t="s">
        <v>1496</v>
      </c>
    </row>
    <row r="137" spans="9:10" ht="17.25" x14ac:dyDescent="0.15">
      <c r="I137" s="49" t="s">
        <v>247</v>
      </c>
      <c r="J137" t="s">
        <v>1497</v>
      </c>
    </row>
    <row r="138" spans="9:10" ht="17.25" x14ac:dyDescent="0.15">
      <c r="I138" s="49" t="s">
        <v>248</v>
      </c>
      <c r="J138" t="s">
        <v>1498</v>
      </c>
    </row>
    <row r="139" spans="9:10" ht="17.25" x14ac:dyDescent="0.15">
      <c r="I139" s="49" t="s">
        <v>798</v>
      </c>
      <c r="J139" t="s">
        <v>1499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825</v>
      </c>
      <c r="E5">
        <v>322</v>
      </c>
      <c r="X5" s="12"/>
    </row>
    <row r="6" spans="2:24" x14ac:dyDescent="0.15">
      <c r="B6" s="3">
        <v>1600</v>
      </c>
      <c r="C6" s="1" t="s">
        <v>330</v>
      </c>
      <c r="D6" s="1">
        <f>VLOOKUP(C6,装备!$B$2:$J$60,9,FALSE)*0.75</f>
        <v>7.5</v>
      </c>
      <c r="E6">
        <v>1</v>
      </c>
      <c r="F6" t="s">
        <v>323</v>
      </c>
      <c r="G6" t="s">
        <v>432</v>
      </c>
      <c r="H6" s="3"/>
      <c r="I6" s="14" t="s">
        <v>384</v>
      </c>
      <c r="K6" s="12" t="s">
        <v>830</v>
      </c>
      <c r="L6" s="34">
        <f>VLOOKUP(K6,Sheet8!$A$1:$B$165,2,FALSE)</f>
        <v>3.75</v>
      </c>
      <c r="M6" s="16" t="s">
        <v>488</v>
      </c>
      <c r="N6" s="16">
        <f>VLOOKUP(M6,Sheet8!$A$1:$B$155,2,FALSE)</f>
        <v>3.75</v>
      </c>
      <c r="S6" s="12">
        <f>VLOOKUP(K6,ItemData!$A$4:$B$412,2,FALSE)</f>
        <v>298</v>
      </c>
      <c r="T6" s="12">
        <f>VLOOKUP(M6,ItemData!$A$4:$B$412,2,FALSE)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331</v>
      </c>
      <c r="D7" s="1">
        <f>VLOOKUP(C7,装备!$B$2:$J$60,9,FALSE)*0.75</f>
        <v>20.25</v>
      </c>
      <c r="E7">
        <v>2</v>
      </c>
      <c r="F7" t="s">
        <v>324</v>
      </c>
      <c r="G7" s="12" t="s">
        <v>432</v>
      </c>
      <c r="H7" s="3" t="s">
        <v>709</v>
      </c>
      <c r="I7" s="14" t="s">
        <v>383</v>
      </c>
      <c r="K7" s="12" t="s">
        <v>330</v>
      </c>
      <c r="L7" s="34">
        <f>VLOOKUP(K7,Sheet8!$A$1:$B$155,2,FALSE)</f>
        <v>7.5</v>
      </c>
      <c r="M7" s="16" t="s">
        <v>833</v>
      </c>
      <c r="N7" s="16">
        <f>VLOOKUP(M7,Sheet8!$A$1:$B$155,2,FALSE)</f>
        <v>5</v>
      </c>
      <c r="O7" s="16" t="s">
        <v>834</v>
      </c>
      <c r="P7" s="16">
        <f>VLOOKUP(O7,Sheet8!$A$1:$B$155,2,FALSE)</f>
        <v>8</v>
      </c>
      <c r="S7" s="12">
        <f>VLOOKUP(K7,ItemData!$A$4:$B$412,2,FALSE)</f>
        <v>1600</v>
      </c>
      <c r="T7" s="12">
        <f>VLOOKUP(M7,ItemData!$A$4:$B$412,2,FALSE)</f>
        <v>220</v>
      </c>
      <c r="U7" s="12">
        <f>VLOOKUP(O7,ItemData!$A$4:$B$412,2,FALSE)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391</v>
      </c>
      <c r="D8" s="1">
        <f>VLOOKUP(C8,装备!$B$2:$J$60,9,FALSE)*0.75</f>
        <v>52.5</v>
      </c>
      <c r="E8">
        <v>3</v>
      </c>
      <c r="F8" t="s">
        <v>325</v>
      </c>
      <c r="G8" s="12" t="s">
        <v>432</v>
      </c>
      <c r="H8" s="24" t="s">
        <v>696</v>
      </c>
      <c r="I8" s="17" t="s">
        <v>373</v>
      </c>
      <c r="K8" s="12" t="s">
        <v>384</v>
      </c>
      <c r="L8" s="34">
        <f>VLOOKUP(K8,Sheet8!$A$1:$B$155,2,FALSE)</f>
        <v>7.5</v>
      </c>
      <c r="M8" s="43" t="s">
        <v>460</v>
      </c>
      <c r="N8" s="16">
        <f>VLOOKUP(M8,Sheet8!$A$1:$B$155,2,FALSE)</f>
        <v>0</v>
      </c>
      <c r="O8" s="16" t="s">
        <v>445</v>
      </c>
      <c r="P8" s="16">
        <f>VLOOKUP(O8,Sheet8!$A$1:$B$155,2,FALSE)</f>
        <v>0</v>
      </c>
      <c r="Q8" s="16" t="s">
        <v>507</v>
      </c>
      <c r="R8" s="34">
        <f>VLOOKUP(Q8,Sheet8!$A$1:$B$155,2,FALSE)</f>
        <v>0</v>
      </c>
      <c r="S8" s="12">
        <f>VLOOKUP(K8,ItemData!$A$4:$B$412,2,FALSE)</f>
        <v>1600</v>
      </c>
      <c r="T8" s="12">
        <f>VLOOKUP(M8,ItemData!$A$4:$B$412,2,FALSE)</f>
        <v>229</v>
      </c>
      <c r="U8" s="12">
        <f>VLOOKUP(O8,ItemData!$A$4:$B$412,2,FALSE)</f>
        <v>205</v>
      </c>
      <c r="V8" s="12">
        <f>VLOOKUP(Q8,ItemData!$A$4:$B$412,2,FALSE)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332</v>
      </c>
      <c r="D9" s="1">
        <f>VLOOKUP(C9,装备!$B$2:$J$60,9,FALSE)*0.75</f>
        <v>47.25</v>
      </c>
      <c r="E9">
        <v>3</v>
      </c>
      <c r="F9" t="s">
        <v>326</v>
      </c>
      <c r="G9" s="12" t="s">
        <v>432</v>
      </c>
      <c r="H9" s="3" t="s">
        <v>711</v>
      </c>
      <c r="I9" s="14" t="s">
        <v>761</v>
      </c>
      <c r="K9" s="12" t="s">
        <v>330</v>
      </c>
      <c r="L9" s="34">
        <f>VLOOKUP(K9,Sheet8!$A$1:$B$155,2,FALSE)</f>
        <v>7.5</v>
      </c>
      <c r="M9" s="16" t="s">
        <v>835</v>
      </c>
      <c r="N9" s="16">
        <f>VLOOKUP(M9,Sheet8!$A$1:$B$155,2,FALSE)</f>
        <v>0</v>
      </c>
      <c r="O9" s="16" t="s">
        <v>354</v>
      </c>
      <c r="P9" s="16">
        <f>VLOOKUP(O9,Sheet8!$A$1:$B$155,2,FALSE)</f>
        <v>5</v>
      </c>
      <c r="Q9" s="16" t="s">
        <v>836</v>
      </c>
      <c r="R9" s="34">
        <f>VLOOKUP(Q9,Sheet8!$A$1:$B$155,2,FALSE)</f>
        <v>0</v>
      </c>
      <c r="S9" s="12">
        <f>VLOOKUP(K9,ItemData!$A$4:$B$412,2,FALSE)</f>
        <v>1600</v>
      </c>
      <c r="T9" s="12">
        <f>VLOOKUP(M9,ItemData!$A$4:$B$412,2,FALSE)</f>
        <v>218</v>
      </c>
      <c r="U9" s="12">
        <f>VLOOKUP(O9,ItemData!$A$4:$B$412,2,FALSE)</f>
        <v>299</v>
      </c>
      <c r="V9" s="12">
        <f>VLOOKUP(Q9,ItemData!$A$4:$B$412,2,FALSE)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392</v>
      </c>
      <c r="D10" s="1">
        <f>VLOOKUP(C10,装备!$B$2:$J$60,9,FALSE)*0.75</f>
        <v>54</v>
      </c>
      <c r="E10">
        <v>3</v>
      </c>
      <c r="G10" s="12" t="s">
        <v>432</v>
      </c>
      <c r="H10" s="24" t="s">
        <v>697</v>
      </c>
      <c r="I10" s="14" t="s">
        <v>382</v>
      </c>
      <c r="K10" s="12" t="s">
        <v>407</v>
      </c>
      <c r="L10" s="34">
        <f>VLOOKUP(K10,Sheet8!$A$1:$B$155,2,FALSE)</f>
        <v>7.5</v>
      </c>
      <c r="M10" s="16" t="s">
        <v>479</v>
      </c>
      <c r="N10" s="16">
        <f>VLOOKUP(M10,Sheet8!$A$1:$B$155,2,FALSE)</f>
        <v>0</v>
      </c>
      <c r="O10" s="16" t="s">
        <v>593</v>
      </c>
      <c r="P10" s="16">
        <f>VLOOKUP(O10,Sheet8!$A$1:$B$155,2,FALSE)</f>
        <v>0</v>
      </c>
      <c r="Q10" s="16" t="s">
        <v>408</v>
      </c>
      <c r="R10" s="34">
        <f>VLOOKUP(Q10,Sheet8!$A$1:$B$155,2,FALSE)</f>
        <v>0</v>
      </c>
      <c r="S10" s="12">
        <f>VLOOKUP(K10,ItemData!$A$4:$B$412,2,FALSE)</f>
        <v>1600</v>
      </c>
      <c r="T10" s="12">
        <f>VLOOKUP(M10,ItemData!$A$4:$B$412,2,FALSE)</f>
        <v>260</v>
      </c>
      <c r="U10" s="12">
        <f>VLOOKUP(O10,ItemData!$A$4:$B$412,2,FALSE)</f>
        <v>261</v>
      </c>
      <c r="V10" s="12">
        <f>VLOOKUP(Q10,ItemData!$A$4:$B$412,2,FALSE)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333</v>
      </c>
      <c r="D11" s="1">
        <f>VLOOKUP(C11,装备!$B$2:$J$60,9,FALSE)*0.75</f>
        <v>8.25</v>
      </c>
      <c r="E11">
        <v>1</v>
      </c>
      <c r="G11" s="12" t="s">
        <v>432</v>
      </c>
      <c r="H11" s="3"/>
      <c r="I11" s="14" t="s">
        <v>389</v>
      </c>
      <c r="K11" s="16" t="s">
        <v>347</v>
      </c>
      <c r="L11" s="34">
        <f>VLOOKUP(K11,Sheet8!$A$1:$B$155,2,FALSE)</f>
        <v>0</v>
      </c>
      <c r="M11" s="16" t="s">
        <v>457</v>
      </c>
      <c r="N11" s="16">
        <f>VLOOKUP(M11,Sheet8!$A$1:$B$155,2,FALSE)</f>
        <v>0</v>
      </c>
      <c r="O11" s="16" t="s">
        <v>356</v>
      </c>
      <c r="P11" s="16">
        <f>VLOOKUP(O11,Sheet8!$A$1:$B$155,2,FALSE)</f>
        <v>3.75</v>
      </c>
      <c r="S11" s="12">
        <f>VLOOKUP(K11,ItemData!$A$4:$B$412,2,FALSE)</f>
        <v>104</v>
      </c>
      <c r="T11" s="12">
        <f>VLOOKUP(M11,ItemData!$A$4:$B$412,2,FALSE)</f>
        <v>222</v>
      </c>
      <c r="U11" s="12">
        <f>VLOOKUP(O11,ItemData!$A$4:$B$412,2,FALSE)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334</v>
      </c>
      <c r="D12" s="1">
        <f>VLOOKUP(C12,装备!$B$2:$J$60,9,FALSE)*0.75</f>
        <v>28.5</v>
      </c>
      <c r="E12">
        <v>2</v>
      </c>
      <c r="G12" s="12" t="s">
        <v>432</v>
      </c>
      <c r="H12" s="3" t="s">
        <v>710</v>
      </c>
      <c r="I12" s="14" t="s">
        <v>410</v>
      </c>
      <c r="J12" s="12"/>
      <c r="K12" s="1" t="s">
        <v>563</v>
      </c>
      <c r="L12" s="34">
        <f>VLOOKUP(K12,Sheet8!$A$1:$B$155,2,FALSE)</f>
        <v>8.25</v>
      </c>
      <c r="M12" s="16" t="s">
        <v>366</v>
      </c>
      <c r="N12" s="16">
        <f>VLOOKUP(M12,Sheet8!$A$1:$B$155,2,FALSE)</f>
        <v>0</v>
      </c>
      <c r="O12" s="16" t="s">
        <v>466</v>
      </c>
      <c r="P12" s="16">
        <f>VLOOKUP(O12,Sheet8!$A$1:$B$155,2,FALSE)</f>
        <v>0</v>
      </c>
      <c r="Q12" s="16" t="s">
        <v>367</v>
      </c>
      <c r="R12" s="34">
        <f>VLOOKUP(Q12,Sheet8!$A$1:$B$155,2,FALSE)</f>
        <v>0</v>
      </c>
      <c r="S12" s="12">
        <f>VLOOKUP(K12,ItemData!$A$4:$B$412,2,FALSE)</f>
        <v>1605</v>
      </c>
      <c r="T12" s="12">
        <f>VLOOKUP(M12,ItemData!$A$4:$B$412,2,FALSE)</f>
        <v>259</v>
      </c>
      <c r="U12" s="12">
        <f>VLOOKUP(O12,ItemData!$A$4:$B$412,2,FALSE)</f>
        <v>237</v>
      </c>
      <c r="V12" s="12">
        <f>VLOOKUP(Q12,ItemData!$A$4:$B$412,2,FALSE)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827</v>
      </c>
      <c r="D13" s="1">
        <f>VLOOKUP(C13,装备!$B$2:$J$60,9,FALSE)*0.75</f>
        <v>31.875</v>
      </c>
      <c r="E13">
        <v>2</v>
      </c>
      <c r="G13" s="12" t="s">
        <v>432</v>
      </c>
      <c r="H13" s="24" t="s">
        <v>699</v>
      </c>
      <c r="I13" s="14" t="s">
        <v>611</v>
      </c>
      <c r="K13" s="12" t="s">
        <v>333</v>
      </c>
      <c r="L13" s="34">
        <f>VLOOKUP(K13,Sheet8!$A$1:$B$155,2,FALSE)</f>
        <v>8.25</v>
      </c>
      <c r="M13" s="16" t="s">
        <v>500</v>
      </c>
      <c r="N13" s="16">
        <f>VLOOKUP(M13,Sheet8!$A$1:$B$155,2,FALSE)</f>
        <v>18</v>
      </c>
      <c r="O13" s="16" t="s">
        <v>573</v>
      </c>
      <c r="P13" s="16">
        <f>VLOOKUP(O13,Sheet8!$A$1:$B$155,2,FALSE)</f>
        <v>5</v>
      </c>
      <c r="S13" s="12">
        <f>VLOOKUP(K13,ItemData!$A$4:$B$412,2,FALSE)</f>
        <v>1605</v>
      </c>
      <c r="T13" s="12">
        <f>VLOOKUP(M13,ItemData!$A$4:$B$412,2,FALSE)</f>
        <v>275</v>
      </c>
      <c r="U13" s="12">
        <f>VLOOKUP(O13,ItemData!$A$4:$B$412,2,FALSE)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335</v>
      </c>
      <c r="D14" s="1">
        <f>VLOOKUP(C14,装备!$B$2:$J$60,9,FALSE)*0.75</f>
        <v>44.25</v>
      </c>
      <c r="E14">
        <v>3</v>
      </c>
      <c r="G14" s="12" t="s">
        <v>432</v>
      </c>
      <c r="H14" s="18" t="s">
        <v>700</v>
      </c>
      <c r="I14" s="14" t="s">
        <v>335</v>
      </c>
      <c r="K14" s="12" t="s">
        <v>333</v>
      </c>
      <c r="L14" s="34">
        <f>VLOOKUP(K14,Sheet8!$A$1:$B$155,2,FALSE)</f>
        <v>8.25</v>
      </c>
      <c r="M14" s="16" t="s">
        <v>362</v>
      </c>
      <c r="N14" s="16">
        <f>VLOOKUP(M14,Sheet8!$A$1:$B$155,2,FALSE)</f>
        <v>0</v>
      </c>
      <c r="O14" s="16" t="s">
        <v>467</v>
      </c>
      <c r="P14" s="16">
        <f>VLOOKUP(O14,Sheet8!$A$1:$B$155,2,FALSE)</f>
        <v>0</v>
      </c>
      <c r="Q14" s="16" t="s">
        <v>462</v>
      </c>
      <c r="R14" s="34">
        <f>VLOOKUP(Q14,Sheet8!$A$1:$B$155,2,FALSE)</f>
        <v>0</v>
      </c>
      <c r="S14" s="12">
        <f>VLOOKUP(K14,ItemData!$A$4:$B$412,2,FALSE)</f>
        <v>1605</v>
      </c>
      <c r="T14" s="12">
        <f>VLOOKUP(M14,ItemData!$A$4:$B$412,2,FALSE)</f>
        <v>227</v>
      </c>
      <c r="U14" s="12">
        <f>VLOOKUP(O14,ItemData!$A$4:$B$412,2,FALSE)</f>
        <v>240</v>
      </c>
      <c r="V14" s="12">
        <f>VLOOKUP(Q14,ItemData!$A$4:$B$412,2,FALSE)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336</v>
      </c>
      <c r="D15" s="1">
        <f>VLOOKUP(C15,装备!$B$2:$J$60,9,FALSE)*0.75</f>
        <v>17.25</v>
      </c>
      <c r="E15" s="12">
        <v>2</v>
      </c>
      <c r="G15" s="12" t="s">
        <v>432</v>
      </c>
      <c r="H15" s="24" t="s">
        <v>698</v>
      </c>
      <c r="I15" s="9" t="s">
        <v>544</v>
      </c>
      <c r="K15" s="12" t="s">
        <v>466</v>
      </c>
      <c r="L15" s="34">
        <f>VLOOKUP(K15,Sheet8!$A$1:$B$155,2,FALSE)</f>
        <v>0</v>
      </c>
      <c r="M15" s="16" t="s">
        <v>488</v>
      </c>
      <c r="N15" s="16">
        <f>VLOOKUP(M15,Sheet8!$A$1:$B$155,2,FALSE)</f>
        <v>3.75</v>
      </c>
      <c r="O15" s="16" t="s">
        <v>754</v>
      </c>
      <c r="P15" s="16">
        <f>VLOOKUP(O15,Sheet8!$A$1:$B$155,2,FALSE)</f>
        <v>0</v>
      </c>
      <c r="Q15" s="16" t="s">
        <v>559</v>
      </c>
      <c r="R15" s="34">
        <f>VLOOKUP(Q15,Sheet8!$A$1:$B$155,2,FALSE)</f>
        <v>0</v>
      </c>
      <c r="S15" s="12">
        <f>VLOOKUP(K15,ItemData!$A$4:$B$412,2,FALSE)</f>
        <v>237</v>
      </c>
      <c r="T15" s="12">
        <f>VLOOKUP(M15,ItemData!$A$4:$B$412,2,FALSE)</f>
        <v>274</v>
      </c>
      <c r="U15" s="12">
        <f>VLOOKUP(O15,ItemData!$A$4:$B$412,2,FALSE)</f>
        <v>256</v>
      </c>
      <c r="V15" s="12">
        <f>VLOOKUP(Q15,ItemData!$A$4:$B$412,2,FALSE)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337</v>
      </c>
      <c r="D16" s="1">
        <f>VLOOKUP(C16,装备!$B$2:$J$60,9,FALSE)*0.75</f>
        <v>27</v>
      </c>
      <c r="E16" s="12">
        <v>3</v>
      </c>
      <c r="G16" s="12" t="s">
        <v>432</v>
      </c>
      <c r="H16" s="24" t="s">
        <v>701</v>
      </c>
      <c r="I16" s="9" t="s">
        <v>545</v>
      </c>
      <c r="K16" s="12" t="s">
        <v>511</v>
      </c>
      <c r="L16" s="34">
        <f>VLOOKUP(K16,Sheet8!$A$1:$B$155,2,FALSE)</f>
        <v>0</v>
      </c>
      <c r="M16" s="16" t="s">
        <v>333</v>
      </c>
      <c r="N16" s="16">
        <f>VLOOKUP(M16,Sheet8!$A$1:$B$155,2,FALSE)</f>
        <v>8.25</v>
      </c>
      <c r="O16" s="16" t="s">
        <v>596</v>
      </c>
      <c r="P16" s="16">
        <f>VLOOKUP(O16,Sheet8!$A$1:$B$155,2,FALSE)</f>
        <v>0</v>
      </c>
      <c r="Q16" s="16" t="s">
        <v>674</v>
      </c>
      <c r="R16" s="34">
        <f>VLOOKUP(Q16,Sheet8!$A$1:$B$155,2,FALSE)</f>
        <v>0</v>
      </c>
      <c r="S16" s="12">
        <f>VLOOKUP(K16,ItemData!$A$4:$B$412,2,FALSE)</f>
        <v>269</v>
      </c>
      <c r="T16" s="12">
        <f>VLOOKUP(M16,ItemData!$A$4:$B$412,2,FALSE)</f>
        <v>1605</v>
      </c>
      <c r="U16" s="12">
        <f>VLOOKUP(O16,ItemData!$A$4:$B$412,2,FALSE)</f>
        <v>264</v>
      </c>
      <c r="V16" s="12">
        <f>VLOOKUP(Q16,ItemData!$A$4:$B$412,2,FALSE)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338</v>
      </c>
      <c r="D17" s="1">
        <f>VLOOKUP(C17,装备!$B$2:$J$60,9,FALSE)*0.75</f>
        <v>46.5</v>
      </c>
      <c r="E17">
        <v>3</v>
      </c>
      <c r="G17" s="12" t="s">
        <v>432</v>
      </c>
      <c r="H17" s="3"/>
      <c r="I17" s="14" t="s">
        <v>518</v>
      </c>
      <c r="K17" s="12" t="s">
        <v>354</v>
      </c>
      <c r="L17" s="34">
        <f>VLOOKUP(K17,Sheet8!$A$1:$B$155,2,FALSE)</f>
        <v>5</v>
      </c>
      <c r="M17" s="16" t="s">
        <v>356</v>
      </c>
      <c r="N17" s="16">
        <f>VLOOKUP(M17,Sheet8!$A$1:$B$155,2,FALSE)</f>
        <v>3.75</v>
      </c>
      <c r="O17" s="16" t="s">
        <v>742</v>
      </c>
      <c r="P17" s="16">
        <f>VLOOKUP(O17,Sheet8!$A$1:$B$155,2,FALSE)</f>
        <v>0</v>
      </c>
      <c r="S17" s="12">
        <f>VLOOKUP(K17,ItemData!$A$4:$B$412,2,FALSE)</f>
        <v>299</v>
      </c>
      <c r="T17" s="12">
        <f>VLOOKUP(M17,ItemData!$A$4:$B$412,2,FALSE)</f>
        <v>274</v>
      </c>
      <c r="U17" s="12">
        <f>VLOOKUP(O17,ItemData!$A$4:$B$412,2,FALSE)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339</v>
      </c>
      <c r="D18" s="1">
        <f>VLOOKUP(C18,装备!$B$2:$J$60,9,FALSE)*0.75</f>
        <v>16.5</v>
      </c>
      <c r="E18">
        <v>1</v>
      </c>
      <c r="G18" s="12" t="s">
        <v>432</v>
      </c>
      <c r="H18" s="3" t="s">
        <v>708</v>
      </c>
      <c r="I18" s="14" t="s">
        <v>388</v>
      </c>
      <c r="K18" s="12" t="s">
        <v>519</v>
      </c>
      <c r="L18" s="34">
        <f>VLOOKUP(K18,Sheet8!$A$1:$B$155,2,FALSE)</f>
        <v>17.25</v>
      </c>
      <c r="M18" s="16" t="s">
        <v>564</v>
      </c>
      <c r="N18" s="16">
        <f>VLOOKUP(M18,Sheet8!$A$1:$B$155,2,FALSE)</f>
        <v>0</v>
      </c>
      <c r="O18" s="16" t="s">
        <v>370</v>
      </c>
      <c r="P18" s="16">
        <f>VLOOKUP(O18,Sheet8!$A$1:$B$155,2,FALSE)</f>
        <v>0</v>
      </c>
      <c r="S18" s="12">
        <f>VLOOKUP(K18,ItemData!$A$4:$B$412,2,FALSE)</f>
        <v>1609</v>
      </c>
      <c r="T18" s="12">
        <f>VLOOKUP(M18,ItemData!$A$4:$B$412,2,FALSE)</f>
        <v>254</v>
      </c>
      <c r="U18" s="12">
        <f>VLOOKUP(O18,ItemData!$A$4:$B$412,2,FALSE)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774</v>
      </c>
      <c r="D19" s="1">
        <f>VLOOKUP(C19,装备!$B$2:$J$60,9,FALSE)*0.75</f>
        <v>13.5</v>
      </c>
      <c r="E19">
        <v>1</v>
      </c>
      <c r="G19" s="12" t="s">
        <v>432</v>
      </c>
      <c r="H19" s="24" t="s">
        <v>702</v>
      </c>
      <c r="I19" s="14" t="s">
        <v>387</v>
      </c>
      <c r="K19" s="12" t="s">
        <v>336</v>
      </c>
      <c r="L19" s="34">
        <f>VLOOKUP(K19,Sheet8!$A$1:$B$155,2,FALSE)</f>
        <v>17.25</v>
      </c>
      <c r="M19" s="16" t="s">
        <v>366</v>
      </c>
      <c r="N19" s="16">
        <f>VLOOKUP(M19,Sheet8!$A$1:$B$155,2,FALSE)</f>
        <v>0</v>
      </c>
      <c r="O19" s="16" t="s">
        <v>478</v>
      </c>
      <c r="P19" s="16">
        <f>VLOOKUP(O19,Sheet8!$A$1:$B$155,2,FALSE)</f>
        <v>0</v>
      </c>
      <c r="Q19" s="16" t="s">
        <v>368</v>
      </c>
      <c r="R19" s="34">
        <f>VLOOKUP(Q19,Sheet8!$A$1:$B$155,2,FALSE)</f>
        <v>0</v>
      </c>
      <c r="S19" s="12">
        <f>VLOOKUP(K19,ItemData!$A$4:$B$412,2,FALSE)</f>
        <v>1609</v>
      </c>
      <c r="T19" s="12">
        <f>VLOOKUP(M19,ItemData!$A$4:$B$412,2,FALSE)</f>
        <v>259</v>
      </c>
      <c r="U19" s="12">
        <f>VLOOKUP(O19,ItemData!$A$4:$B$412,2,FALSE)</f>
        <v>258</v>
      </c>
      <c r="V19" s="12">
        <f>VLOOKUP(Q19,ItemData!$A$4:$B$412,2,FALSE)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775</v>
      </c>
      <c r="D20" s="1">
        <f>VLOOKUP(C20,装备!$B$2:$J$60,9,FALSE)*0.75</f>
        <v>49.5</v>
      </c>
      <c r="E20">
        <v>2</v>
      </c>
      <c r="G20" s="12" t="s">
        <v>432</v>
      </c>
      <c r="H20" s="24" t="s">
        <v>707</v>
      </c>
      <c r="I20" s="14" t="s">
        <v>386</v>
      </c>
      <c r="K20" s="12" t="s">
        <v>336</v>
      </c>
      <c r="L20" s="34">
        <f>VLOOKUP(K20,Sheet8!$A$1:$B$155,2,FALSE)</f>
        <v>17.25</v>
      </c>
      <c r="M20" s="16" t="s">
        <v>364</v>
      </c>
      <c r="N20" s="16">
        <f>VLOOKUP(M20,Sheet8!$A$1:$B$155,2,FALSE)</f>
        <v>0</v>
      </c>
      <c r="O20" s="16" t="s">
        <v>479</v>
      </c>
      <c r="P20" s="16">
        <f>VLOOKUP(O20,Sheet8!$A$1:$B$155,2,FALSE)</f>
        <v>0</v>
      </c>
      <c r="Q20" s="16" t="s">
        <v>484</v>
      </c>
      <c r="R20" s="34">
        <f>VLOOKUP(Q20,Sheet8!$A$1:$B$155,2,FALSE)</f>
        <v>0</v>
      </c>
      <c r="S20" s="12">
        <f>VLOOKUP(K20,ItemData!$A$4:$B$412,2,FALSE)</f>
        <v>1609</v>
      </c>
      <c r="T20" s="12">
        <f>VLOOKUP(M20,ItemData!$A$4:$B$412,2,FALSE)</f>
        <v>253</v>
      </c>
      <c r="U20" s="12">
        <f>VLOOKUP(O20,ItemData!$A$4:$B$412,2,FALSE)</f>
        <v>260</v>
      </c>
      <c r="V20" s="12">
        <f>VLOOKUP(Q20,ItemData!$A$4:$B$412,2,FALSE)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341</v>
      </c>
      <c r="D21" s="1">
        <f>VLOOKUP(C21,装备!$B$2:$J$60,9,FALSE)*0.75</f>
        <v>43.5</v>
      </c>
      <c r="E21">
        <v>2</v>
      </c>
      <c r="G21" s="12" t="s">
        <v>525</v>
      </c>
      <c r="H21" s="3"/>
      <c r="I21" s="14" t="s">
        <v>579</v>
      </c>
      <c r="K21" s="12" t="s">
        <v>350</v>
      </c>
      <c r="L21" s="34">
        <f>VLOOKUP(K21,Sheet8!$A$1:$B$155,2,FALSE)</f>
        <v>0</v>
      </c>
      <c r="M21" s="16" t="s">
        <v>570</v>
      </c>
      <c r="N21" s="16">
        <f>VLOOKUP(M21,Sheet8!$A$1:$B$155,2,FALSE)</f>
        <v>0</v>
      </c>
      <c r="O21" s="16" t="s">
        <v>583</v>
      </c>
      <c r="P21" s="16">
        <f>VLOOKUP(O21,Sheet8!$A$1:$B$155,2,FALSE)</f>
        <v>0</v>
      </c>
      <c r="S21" s="12">
        <f>VLOOKUP(K21,ItemData!$A$4:$B$412,2,FALSE)</f>
        <v>238</v>
      </c>
      <c r="T21" s="12">
        <f>VLOOKUP(M21,ItemData!$A$4:$B$412,2,FALSE)</f>
        <v>276</v>
      </c>
      <c r="U21" s="12">
        <f>VLOOKUP(O21,ItemData!$A$4:$B$412,2,FALSE)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342</v>
      </c>
      <c r="D22" s="1">
        <f>VLOOKUP(C22,装备!$B$2:$J$60,9,FALSE)*0.75</f>
        <v>73.5</v>
      </c>
      <c r="E22">
        <v>3</v>
      </c>
      <c r="G22" s="12" t="s">
        <v>525</v>
      </c>
      <c r="H22" s="3"/>
      <c r="I22" s="14" t="s">
        <v>571</v>
      </c>
      <c r="K22" s="12" t="s">
        <v>456</v>
      </c>
      <c r="L22" s="34">
        <f>VLOOKUP(K22,Sheet8!$A$1:$B$155,2,FALSE)</f>
        <v>0</v>
      </c>
      <c r="M22" s="16" t="s">
        <v>359</v>
      </c>
      <c r="N22" s="16">
        <f>VLOOKUP(M22,Sheet8!$A$1:$B$155,2,FALSE)</f>
        <v>0</v>
      </c>
      <c r="O22" s="16" t="s">
        <v>583</v>
      </c>
      <c r="P22" s="16">
        <f>VLOOKUP(O22,Sheet8!$A$1:$B$155,2,FALSE)</f>
        <v>0</v>
      </c>
      <c r="S22" s="12">
        <f>VLOOKUP(K22,ItemData!$A$4:$B$412,2,FALSE)</f>
        <v>221</v>
      </c>
      <c r="T22" s="12">
        <f>VLOOKUP(M22,ItemData!$A$4:$B$412,2,FALSE)</f>
        <v>276</v>
      </c>
      <c r="U22" s="12">
        <f>VLOOKUP(O22,ItemData!$A$4:$B$412,2,FALSE)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616</v>
      </c>
      <c r="D23" s="1">
        <f>VLOOKUP(C23,装备!$B$2:$J$60,9,FALSE)*0.75</f>
        <v>62.25</v>
      </c>
      <c r="E23">
        <v>4</v>
      </c>
      <c r="G23" s="12" t="s">
        <v>525</v>
      </c>
      <c r="H23" s="24" t="s">
        <v>703</v>
      </c>
      <c r="I23" s="14" t="s">
        <v>598</v>
      </c>
      <c r="K23" s="1" t="s">
        <v>774</v>
      </c>
      <c r="L23" s="34">
        <f>VLOOKUP(K23,Sheet8!$A$1:$B$155,2,FALSE)</f>
        <v>13.5</v>
      </c>
      <c r="M23" s="16" t="s">
        <v>561</v>
      </c>
      <c r="N23" s="16">
        <f>VLOOKUP(M23,Sheet8!$A$1:$B$155,2,FALSE)</f>
        <v>0</v>
      </c>
      <c r="O23" s="16" t="s">
        <v>751</v>
      </c>
      <c r="P23" s="16">
        <f>VLOOKUP(O23,Sheet8!$A$1:$B$155,2,FALSE)</f>
        <v>0</v>
      </c>
      <c r="S23" s="34">
        <f>VLOOKUP(K23,ItemData!$A$4:$B$412,2,FALSE)</f>
        <v>1613</v>
      </c>
      <c r="T23" s="12">
        <f>VLOOKUP(M23,ItemData!$A$4:$B$412,2,FALSE)</f>
        <v>213</v>
      </c>
      <c r="U23" s="12">
        <f>VLOOKUP(O23,ItemData!$A$4:$B$412,2,FALSE)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617</v>
      </c>
      <c r="D24" s="1">
        <f>VLOOKUP(C24,装备!$B$2:$J$60,9,FALSE)*0.75</f>
        <v>70.5</v>
      </c>
      <c r="E24">
        <v>4</v>
      </c>
      <c r="G24" s="12" t="s">
        <v>525</v>
      </c>
      <c r="H24" s="24" t="s">
        <v>704</v>
      </c>
      <c r="I24" s="14" t="s">
        <v>597</v>
      </c>
      <c r="K24" s="12" t="s">
        <v>339</v>
      </c>
      <c r="L24" s="34">
        <f>VLOOKUP(K24,Sheet8!$A$1:$B$155,2,FALSE)</f>
        <v>16.5</v>
      </c>
      <c r="M24" s="16" t="s">
        <v>405</v>
      </c>
      <c r="N24" s="16">
        <f>VLOOKUP(M24,Sheet8!$A$1:$B$155,2,FALSE)</f>
        <v>0</v>
      </c>
      <c r="O24" s="16" t="s">
        <v>339</v>
      </c>
      <c r="P24" s="16">
        <f>VLOOKUP(O24,Sheet8!$A$1:$B$155,2,FALSE)</f>
        <v>16.5</v>
      </c>
      <c r="S24" s="34">
        <f>VLOOKUP(K24,ItemData!$A$4:$B$412,2,FALSE)</f>
        <v>1612</v>
      </c>
      <c r="T24" s="12">
        <f>VLOOKUP(M24,ItemData!$A$4:$B$412,2,FALSE)</f>
        <v>211</v>
      </c>
      <c r="U24" s="12">
        <f>VLOOKUP(O24,ItemData!$A$4:$B$412,2,FALSE)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618</v>
      </c>
      <c r="D25" s="1">
        <f>VLOOKUP(C25,装备!$B$2:$J$60,9,FALSE)*0.75</f>
        <v>64.5</v>
      </c>
      <c r="E25" s="12">
        <v>4</v>
      </c>
      <c r="G25" s="12" t="s">
        <v>432</v>
      </c>
      <c r="H25" s="24" t="s">
        <v>705</v>
      </c>
      <c r="I25" s="9" t="s">
        <v>548</v>
      </c>
      <c r="K25" s="12" t="s">
        <v>508</v>
      </c>
      <c r="L25" s="34">
        <f>VLOOKUP(K25,Sheet8!$A$1:$B$155,2,FALSE)</f>
        <v>0</v>
      </c>
      <c r="M25" s="16" t="s">
        <v>458</v>
      </c>
      <c r="N25" s="16">
        <f>VLOOKUP(M25,Sheet8!$A$1:$B$155,2,FALSE)</f>
        <v>0</v>
      </c>
      <c r="O25" s="16" t="s">
        <v>605</v>
      </c>
      <c r="P25" s="16">
        <f>VLOOKUP(O25,Sheet8!$A$1:$B$155,2,FALSE)</f>
        <v>0</v>
      </c>
      <c r="Q25" s="1" t="s">
        <v>775</v>
      </c>
      <c r="R25" s="34">
        <f>VLOOKUP(Q25,Sheet8!$A$1:$B$155,2,FALSE)</f>
        <v>49.5</v>
      </c>
      <c r="S25" s="12">
        <f>VLOOKUP(K25,ItemData!$A$4:$B$412,2,FALSE)</f>
        <v>270</v>
      </c>
      <c r="T25" s="12">
        <f>VLOOKUP(M25,ItemData!$A$4:$B$412,2,FALSE)</f>
        <v>225</v>
      </c>
      <c r="U25" s="12">
        <f>VLOOKUP(O25,ItemData!$A$4:$B$412,2,FALSE)</f>
        <v>239</v>
      </c>
      <c r="V25" s="12">
        <f>VLOOKUP(Q25,ItemData!$A$4:$B$412,2,FALSE)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619</v>
      </c>
      <c r="D26" s="1">
        <f>VLOOKUP(C26,装备!$B$2:$J$60,9,FALSE)*0.75</f>
        <v>69</v>
      </c>
      <c r="E26" s="12">
        <v>4</v>
      </c>
      <c r="G26" s="12" t="s">
        <v>432</v>
      </c>
      <c r="H26" s="24" t="s">
        <v>706</v>
      </c>
      <c r="I26" s="9" t="s">
        <v>547</v>
      </c>
      <c r="K26" s="12" t="s">
        <v>469</v>
      </c>
      <c r="L26" s="34">
        <f>VLOOKUP(K26,Sheet8!$A$1:$B$155,2,FALSE)</f>
        <v>0</v>
      </c>
      <c r="M26" s="16" t="s">
        <v>606</v>
      </c>
      <c r="N26" s="16">
        <f>VLOOKUP(M26,Sheet8!$A$1:$B$155,2,FALSE)</f>
        <v>0</v>
      </c>
      <c r="O26" s="16" t="s">
        <v>485</v>
      </c>
      <c r="P26" s="16">
        <f>VLOOKUP(O26,Sheet8!$A$1:$B$155,2,FALSE)</f>
        <v>0</v>
      </c>
      <c r="Q26" s="16" t="s">
        <v>341</v>
      </c>
      <c r="R26" s="34">
        <f>VLOOKUP(Q26,Sheet8!$A$1:$B$155,2,FALSE)</f>
        <v>43.5</v>
      </c>
      <c r="S26" s="12">
        <f>VLOOKUP(K26,ItemData!$A$4:$B$412,2,FALSE)</f>
        <v>245</v>
      </c>
      <c r="T26" s="12">
        <f>VLOOKUP(M26,ItemData!$A$4:$B$412,2,FALSE)</f>
        <v>255</v>
      </c>
      <c r="U26" s="12">
        <f>VLOOKUP(O26,ItemData!$A$4:$B$412,2,FALSE)</f>
        <v>268</v>
      </c>
      <c r="V26" s="12">
        <f>VLOOKUP(Q26,ItemData!$A$4:$B$412,2,FALSE)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351</v>
      </c>
      <c r="D27" s="1">
        <f>VLOOKUP(C27,装备!$B$2:$J$60,9,FALSE)*0.75</f>
        <v>3.75</v>
      </c>
      <c r="E27">
        <v>1</v>
      </c>
      <c r="G27" t="s">
        <v>525</v>
      </c>
      <c r="H27" s="24"/>
      <c r="I27" s="17" t="s">
        <v>607</v>
      </c>
      <c r="K27" s="12" t="s">
        <v>831</v>
      </c>
      <c r="L27" s="34">
        <f>VLOOKUP(K27,Sheet8!$A$1:$B$155,2,FALSE)</f>
        <v>1.75</v>
      </c>
      <c r="M27" s="16" t="s">
        <v>412</v>
      </c>
      <c r="N27" s="16">
        <f>VLOOKUP(M27,Sheet8!$A$1:$B$155,2,FALSE)</f>
        <v>2</v>
      </c>
      <c r="S27" s="12">
        <f>VLOOKUP(K27,ItemData!$A$4:$B$412,2,FALSE)</f>
        <v>204</v>
      </c>
      <c r="T27" s="12">
        <f>VLOOKUP(M27,ItemData!$A$4:$B$412,2,FALSE)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349</v>
      </c>
      <c r="D28" s="1">
        <f>VLOOKUP(C28,装备!$B$2:$J$60,9,FALSE)*0.75</f>
        <v>7.5</v>
      </c>
      <c r="E28">
        <v>1</v>
      </c>
      <c r="G28" s="12" t="s">
        <v>525</v>
      </c>
      <c r="H28" s="3"/>
      <c r="I28" s="17" t="s">
        <v>600</v>
      </c>
      <c r="K28" s="12" t="s">
        <v>584</v>
      </c>
      <c r="L28" s="34">
        <f>VLOOKUP(K28,Sheet8!$A$1:$B$155,2,FALSE)</f>
        <v>0</v>
      </c>
      <c r="M28" s="16" t="s">
        <v>578</v>
      </c>
      <c r="N28" s="16">
        <f>VLOOKUP(M28,Sheet8!$A$1:$B$155,2,FALSE)</f>
        <v>1.75</v>
      </c>
      <c r="O28" s="16" t="s">
        <v>601</v>
      </c>
      <c r="P28" s="16">
        <f>VLOOKUP(O28,Sheet8!$A$1:$B$155,2,FALSE)</f>
        <v>0</v>
      </c>
      <c r="S28" s="12">
        <f>VLOOKUP(K28,ItemData!$A$4:$B$412,2,FALSE)</f>
        <v>271</v>
      </c>
      <c r="T28" s="12">
        <f>VLOOKUP(M28,ItemData!$A$4:$B$412,2,FALSE)</f>
        <v>278</v>
      </c>
      <c r="U28" s="12">
        <f>VLOOKUP(O28,ItemData!$A$4:$B$412,2,FALSE)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394</v>
      </c>
      <c r="D29" s="1">
        <f>VLOOKUP(C29,装备!$B$2:$J$60,9,FALSE)*0.75</f>
        <v>14.25</v>
      </c>
      <c r="E29">
        <v>2</v>
      </c>
      <c r="G29" s="12" t="s">
        <v>525</v>
      </c>
      <c r="H29" s="3"/>
      <c r="I29" s="17" t="s">
        <v>374</v>
      </c>
      <c r="K29" s="12" t="s">
        <v>349</v>
      </c>
      <c r="L29" s="34">
        <f>VLOOKUP(K29,Sheet8!$A$1:$B$155,2,FALSE)</f>
        <v>7.5</v>
      </c>
      <c r="M29" s="16" t="s">
        <v>362</v>
      </c>
      <c r="N29" s="16">
        <f>VLOOKUP(M29,Sheet8!$A$1:$B$155,2,FALSE)</f>
        <v>0</v>
      </c>
      <c r="O29" s="16" t="s">
        <v>354</v>
      </c>
      <c r="P29" s="16">
        <f>VLOOKUP(O29,Sheet8!$A$1:$B$155,2,FALSE)</f>
        <v>5</v>
      </c>
      <c r="S29" s="12">
        <f>VLOOKUP(K29,ItemData!$A$4:$B$412,2,FALSE)</f>
        <v>1651</v>
      </c>
      <c r="T29" s="12">
        <f>VLOOKUP(M29,ItemData!$A$4:$B$412,2,FALSE)</f>
        <v>227</v>
      </c>
      <c r="U29" s="12">
        <f>VLOOKUP(O29,ItemData!$A$4:$B$412,2,FALSE)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395</v>
      </c>
      <c r="D30" s="1">
        <f>VLOOKUP(C30,装备!$B$2:$J$60,9,FALSE)*0.75</f>
        <v>22.5</v>
      </c>
      <c r="E30">
        <v>2</v>
      </c>
      <c r="G30" s="12" t="s">
        <v>525</v>
      </c>
      <c r="H30" s="3"/>
      <c r="I30" s="17" t="s">
        <v>343</v>
      </c>
      <c r="K30" t="s">
        <v>349</v>
      </c>
      <c r="L30" s="34">
        <f>VLOOKUP(K30,Sheet8!$A$1:$B$155,2,FALSE)</f>
        <v>7.5</v>
      </c>
      <c r="M30" s="16" t="s">
        <v>950</v>
      </c>
      <c r="N30" s="16">
        <f>VLOOKUP(M30,Sheet8!$A$1:$B$155,2,FALSE)</f>
        <v>0</v>
      </c>
      <c r="O30" s="16" t="s">
        <v>750</v>
      </c>
      <c r="P30" s="16">
        <f>VLOOKUP(O30,Sheet8!$A$1:$B$155,2,FALSE)</f>
        <v>0</v>
      </c>
      <c r="S30" s="12">
        <f>VLOOKUP(K30,ItemData!$A$4:$B$412,2,FALSE)</f>
        <v>1651</v>
      </c>
      <c r="T30" s="12">
        <f>VLOOKUP(M30,ItemData!$A$4:$B$412,2,FALSE)</f>
        <v>223</v>
      </c>
      <c r="U30" s="12">
        <f>VLOOKUP(O30,ItemData!$A$4:$B$412,2,FALSE)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353</v>
      </c>
      <c r="D31" s="1">
        <f>VLOOKUP(C31,装备!$B$2:$J$60,9,FALSE)*0.75</f>
        <v>28.5</v>
      </c>
      <c r="E31">
        <v>1</v>
      </c>
      <c r="G31" s="12" t="s">
        <v>432</v>
      </c>
      <c r="H31" s="3"/>
      <c r="I31" s="17" t="s">
        <v>603</v>
      </c>
      <c r="K31" s="12" t="s">
        <v>522</v>
      </c>
      <c r="L31" s="34">
        <f>VLOOKUP(K31,Sheet8!$A$1:$B$155,2,FALSE)</f>
        <v>3.75</v>
      </c>
      <c r="M31" s="25" t="s">
        <v>445</v>
      </c>
      <c r="N31" s="16">
        <f>VLOOKUP(M31,Sheet8!$A$1:$B$155,2,FALSE)</f>
        <v>0</v>
      </c>
      <c r="S31" s="12">
        <f>VLOOKUP(K31,ItemData!$A$4:$B$412,2,FALSE)</f>
        <v>298</v>
      </c>
      <c r="T31" s="12">
        <f>VLOOKUP(M31,ItemData!$A$4:$B$412,2,FALSE)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396</v>
      </c>
      <c r="D32" s="1">
        <f>VLOOKUP(C32,装备!$B$2:$J$60,9,FALSE)*0.75</f>
        <v>36</v>
      </c>
      <c r="E32">
        <v>3</v>
      </c>
      <c r="G32" s="12" t="s">
        <v>432</v>
      </c>
      <c r="H32" s="3"/>
      <c r="I32" s="17" t="s">
        <v>375</v>
      </c>
      <c r="K32" s="12" t="s">
        <v>353</v>
      </c>
      <c r="L32" s="34">
        <f>VLOOKUP(K32,Sheet8!$A$1:$B$155,2,FALSE)</f>
        <v>28.5</v>
      </c>
      <c r="M32" s="16" t="s">
        <v>587</v>
      </c>
      <c r="N32" s="16">
        <f>VLOOKUP(M32,Sheet8!$A$1:$B$155,2,FALSE)</f>
        <v>0</v>
      </c>
      <c r="O32" s="16" t="s">
        <v>460</v>
      </c>
      <c r="P32" s="16">
        <f>VLOOKUP(O32,Sheet8!$A$1:$B$155,2,FALSE)</f>
        <v>0</v>
      </c>
      <c r="Q32" s="16" t="s">
        <v>557</v>
      </c>
      <c r="R32" s="34">
        <f>VLOOKUP(Q32,Sheet8!$A$1:$B$155,2,FALSE)</f>
        <v>0</v>
      </c>
      <c r="S32" s="12">
        <f>VLOOKUP(K32,ItemData!$A$4:$B$412,2,FALSE)</f>
        <v>1654</v>
      </c>
      <c r="T32" s="12">
        <f>VLOOKUP(M32,ItemData!$A$4:$B$412,2,FALSE)</f>
        <v>250</v>
      </c>
      <c r="U32" s="12">
        <f>VLOOKUP(O32,ItemData!$A$4:$B$412,2,FALSE)</f>
        <v>229</v>
      </c>
      <c r="V32" s="12">
        <f>VLOOKUP(Q32,ItemData!$A$4:$B$412,2,FALSE)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667</v>
      </c>
      <c r="D33" s="1">
        <f>VLOOKUP(C33,装备!$B$2:$J$60,9,FALSE)*0.75</f>
        <v>34.5</v>
      </c>
      <c r="E33" s="12">
        <v>2</v>
      </c>
      <c r="G33" s="12" t="s">
        <v>432</v>
      </c>
      <c r="H33" s="3"/>
      <c r="I33" s="17" t="s">
        <v>668</v>
      </c>
      <c r="K33" s="12" t="s">
        <v>444</v>
      </c>
      <c r="L33" s="34">
        <f>VLOOKUP(K33,Sheet8!$A$1:$B$155,2,FALSE)</f>
        <v>0</v>
      </c>
      <c r="M33" s="16" t="s">
        <v>353</v>
      </c>
      <c r="N33" s="16">
        <f>VLOOKUP(M33,Sheet8!$A$1:$B$155,2,FALSE)</f>
        <v>28.5</v>
      </c>
      <c r="O33" s="16" t="s">
        <v>448</v>
      </c>
      <c r="P33" s="16">
        <f>VLOOKUP(O33,Sheet8!$A$1:$B$155,2,FALSE)</f>
        <v>0</v>
      </c>
      <c r="Q33" s="16"/>
      <c r="R33" s="34"/>
      <c r="S33" s="12">
        <f>VLOOKUP(K33,ItemData!$A$4:$B$412,2,FALSE)</f>
        <v>202</v>
      </c>
      <c r="T33" s="12">
        <f>VLOOKUP(M33,ItemData!$A$4:$B$412,2,FALSE)</f>
        <v>1654</v>
      </c>
      <c r="U33" s="12">
        <f>VLOOKUP(O33,ItemData!$A$4:$B$412,2,FALSE)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355</v>
      </c>
      <c r="D34" s="1">
        <f>VLOOKUP(C34,装备!$B$2:$J$60,9,FALSE)*0.75</f>
        <v>31.5</v>
      </c>
      <c r="E34">
        <v>3</v>
      </c>
      <c r="G34" s="12" t="s">
        <v>525</v>
      </c>
      <c r="H34" s="3"/>
      <c r="I34" s="17" t="s">
        <v>344</v>
      </c>
      <c r="K34" s="12" t="s">
        <v>585</v>
      </c>
      <c r="L34" s="34">
        <f>VLOOKUP(K34,Sheet8!$A$1:$B$155,2,FALSE)</f>
        <v>0</v>
      </c>
      <c r="M34" s="16" t="s">
        <v>749</v>
      </c>
      <c r="N34" s="16">
        <f>VLOOKUP(M34,Sheet8!$A$1:$B$155,2,FALSE)</f>
        <v>0</v>
      </c>
      <c r="O34" s="16" t="s">
        <v>582</v>
      </c>
      <c r="P34" s="16">
        <f>VLOOKUP(O34,Sheet8!$A$1:$B$155,2,FALSE)</f>
        <v>2</v>
      </c>
      <c r="Q34" s="16" t="s">
        <v>717</v>
      </c>
      <c r="R34" s="34">
        <f>VLOOKUP(Q34,Sheet8!$A$1:$B$155,2,FALSE)</f>
        <v>0</v>
      </c>
      <c r="S34" s="12">
        <f>VLOOKUP(K34,ItemData!$A$4:$B$412,2,FALSE)</f>
        <v>272</v>
      </c>
      <c r="T34" s="12">
        <f>VLOOKUP(M34,ItemData!$A$4:$B$412,2,FALSE)</f>
        <v>228</v>
      </c>
      <c r="U34" s="12">
        <f>VLOOKUP(O34,ItemData!$A$4:$B$412,2,FALSE)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397</v>
      </c>
      <c r="D35" s="1">
        <f>VLOOKUP(C35,装备!$B$2:$J$60,9,FALSE)*0.75</f>
        <v>36</v>
      </c>
      <c r="E35">
        <v>2</v>
      </c>
      <c r="G35" s="12" t="s">
        <v>525</v>
      </c>
      <c r="H35" s="3"/>
      <c r="I35" s="17" t="s">
        <v>345</v>
      </c>
      <c r="K35" s="12" t="s">
        <v>516</v>
      </c>
      <c r="L35" s="34">
        <f>VLOOKUP(K35,Sheet8!$A$1:$B$155,2,FALSE)</f>
        <v>0</v>
      </c>
      <c r="M35" s="16" t="s">
        <v>578</v>
      </c>
      <c r="N35" s="16">
        <f>VLOOKUP(M35,Sheet8!$A$1:$B$155,2,FALSE)</f>
        <v>1.75</v>
      </c>
      <c r="O35" s="16" t="s">
        <v>584</v>
      </c>
      <c r="P35" s="16">
        <f>VLOOKUP(O35,Sheet8!$A$1:$B$155,2,FALSE)</f>
        <v>0</v>
      </c>
      <c r="S35" s="12">
        <f>VLOOKUP(K35,ItemData!$A$4:$B$412,2,FALSE)</f>
        <v>273</v>
      </c>
      <c r="T35" s="12">
        <f>VLOOKUP(M35,ItemData!$A$4:$B$412,2,FALSE)</f>
        <v>278</v>
      </c>
      <c r="U35" s="12">
        <f>VLOOKUP(O35,ItemData!$A$4:$B$412,2,FALSE)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398</v>
      </c>
      <c r="D36" s="1">
        <f>VLOOKUP(C36,装备!$B$2:$J$60,9,FALSE)*0.75</f>
        <v>31.5</v>
      </c>
      <c r="E36">
        <v>3</v>
      </c>
      <c r="G36" s="12" t="s">
        <v>525</v>
      </c>
      <c r="H36" s="3"/>
      <c r="I36" s="17" t="s">
        <v>380</v>
      </c>
      <c r="K36" s="12" t="s">
        <v>517</v>
      </c>
      <c r="L36" s="34">
        <f>VLOOKUP(K36,Sheet8!$A$1:$B$155,2,FALSE)</f>
        <v>0</v>
      </c>
      <c r="M36" s="16" t="s">
        <v>582</v>
      </c>
      <c r="N36" s="16">
        <f>VLOOKUP(M36,Sheet8!$A$1:$B$155,2,FALSE)</f>
        <v>2</v>
      </c>
      <c r="O36" s="16" t="s">
        <v>409</v>
      </c>
      <c r="P36" s="16">
        <f>VLOOKUP(O36,Sheet8!$A$1:$B$155,2,FALSE)</f>
        <v>0</v>
      </c>
      <c r="Q36" s="16" t="s">
        <v>371</v>
      </c>
      <c r="R36" s="34">
        <f>VLOOKUP(Q36,Sheet8!$A$1:$B$155,2,FALSE)</f>
        <v>0</v>
      </c>
      <c r="S36" s="12">
        <f>VLOOKUP(K36,ItemData!$A$4:$B$412,2,FALSE)</f>
        <v>264</v>
      </c>
      <c r="T36" s="12">
        <f>VLOOKUP(M36,ItemData!$A$4:$B$412,2,FALSE)</f>
        <v>277</v>
      </c>
      <c r="U36" s="12">
        <f>VLOOKUP(O36,ItemData!$A$4:$B$412,2,FALSE)</f>
        <v>255</v>
      </c>
      <c r="V36" s="12">
        <f>VLOOKUP(Q36,ItemData!$A$4:$B$412,2,FALSE)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399</v>
      </c>
      <c r="D37" s="1">
        <f>VLOOKUP(C37,装备!$B$2:$J$60,9,FALSE)*0.75</f>
        <v>36.75</v>
      </c>
      <c r="E37">
        <v>3</v>
      </c>
      <c r="G37" s="12" t="s">
        <v>525</v>
      </c>
      <c r="H37" s="3"/>
      <c r="I37" s="17" t="s">
        <v>381</v>
      </c>
      <c r="K37" s="12" t="s">
        <v>351</v>
      </c>
      <c r="L37" s="34">
        <f>VLOOKUP(K37,Sheet8!$A$1:$B$155,2,FALSE)</f>
        <v>3.75</v>
      </c>
      <c r="M37" s="16" t="s">
        <v>447</v>
      </c>
      <c r="N37" s="16">
        <f>VLOOKUP(M37,Sheet8!$A$1:$B$155,2,FALSE)</f>
        <v>0</v>
      </c>
      <c r="O37" s="16" t="s">
        <v>756</v>
      </c>
      <c r="P37" s="16">
        <f>VLOOKUP(O37,Sheet8!$A$1:$B$155,2,FALSE)</f>
        <v>0</v>
      </c>
      <c r="S37" s="12">
        <f>VLOOKUP(K37,ItemData!$A$4:$B$412,2,FALSE)</f>
        <v>1650</v>
      </c>
      <c r="T37" s="12">
        <f>VLOOKUP(M37,ItemData!$A$4:$B$412,2,FALSE)</f>
        <v>208</v>
      </c>
      <c r="U37" s="12">
        <f>VLOOKUP(O37,ItemData!$A$4:$B$412,2,FALSE)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400</v>
      </c>
      <c r="D38" s="1">
        <f>VLOOKUP(C38,装备!$B$2:$J$60,9,FALSE)*0.75</f>
        <v>53.25</v>
      </c>
      <c r="E38">
        <v>4</v>
      </c>
      <c r="G38" s="12" t="s">
        <v>525</v>
      </c>
      <c r="H38" s="3"/>
      <c r="I38" s="17" t="s">
        <v>377</v>
      </c>
      <c r="K38" s="12" t="s">
        <v>604</v>
      </c>
      <c r="L38" s="34">
        <f>VLOOKUP(K38,Sheet8!$A$1:$B$155,2,FALSE)</f>
        <v>7.5</v>
      </c>
      <c r="M38" s="16" t="s">
        <v>365</v>
      </c>
      <c r="N38" s="16">
        <f>VLOOKUP(M38,Sheet8!$A$1:$B$155,2,FALSE)</f>
        <v>0</v>
      </c>
      <c r="O38" s="16" t="s">
        <v>746</v>
      </c>
      <c r="P38" s="16">
        <f>VLOOKUP(O38,Sheet8!$A$1:$B$155,2,FALSE)</f>
        <v>0</v>
      </c>
      <c r="Q38" s="16" t="s">
        <v>743</v>
      </c>
      <c r="R38" s="34">
        <f>VLOOKUP(Q38,Sheet8!$A$1:$B$155,2,FALSE)</f>
        <v>0</v>
      </c>
      <c r="S38" s="12">
        <f>VLOOKUP(K38,ItemData!$A$4:$B$412,2,FALSE)</f>
        <v>1651</v>
      </c>
      <c r="T38" s="12">
        <f>VLOOKUP(M38,ItemData!$A$4:$B$412,2,FALSE)</f>
        <v>242</v>
      </c>
      <c r="U38" s="12">
        <f>VLOOKUP(O38,ItemData!$A$4:$B$412,2,FALSE)</f>
        <v>247</v>
      </c>
      <c r="V38" s="12">
        <f>VLOOKUP(Q38,ItemData!$A$4:$B$412,2,FALSE)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401</v>
      </c>
      <c r="D39" s="1">
        <f>VLOOKUP(C39,装备!$B$2:$J$60,9,FALSE)*0.75</f>
        <v>57</v>
      </c>
      <c r="E39">
        <v>4</v>
      </c>
      <c r="G39" s="12" t="s">
        <v>432</v>
      </c>
      <c r="H39" s="3"/>
      <c r="I39" s="17" t="s">
        <v>376</v>
      </c>
      <c r="K39" s="12" t="s">
        <v>353</v>
      </c>
      <c r="L39" s="34">
        <f>VLOOKUP(K39,Sheet8!$A$1:$B$155,2,FALSE)</f>
        <v>28.5</v>
      </c>
      <c r="M39" s="16" t="s">
        <v>356</v>
      </c>
      <c r="N39" s="16">
        <f>VLOOKUP(M39,Sheet8!$A$1:$B$155,2,FALSE)</f>
        <v>3.75</v>
      </c>
      <c r="O39" s="16" t="s">
        <v>406</v>
      </c>
      <c r="P39" s="16">
        <f>VLOOKUP(O39,Sheet8!$A$1:$B$155,2,FALSE)</f>
        <v>5</v>
      </c>
      <c r="Q39" s="16" t="s">
        <v>454</v>
      </c>
      <c r="R39" s="34">
        <f>VLOOKUP(Q39,Sheet8!$A$1:$B$155,2,FALSE)</f>
        <v>0</v>
      </c>
      <c r="S39" s="12">
        <f>VLOOKUP(K39,ItemData!$A$4:$B$412,2,FALSE)</f>
        <v>1654</v>
      </c>
      <c r="T39" s="12">
        <f>VLOOKUP(M39,ItemData!$A$4:$B$412,2,FALSE)</f>
        <v>274</v>
      </c>
      <c r="U39" s="12">
        <f>VLOOKUP(O39,ItemData!$A$4:$B$412,2,FALSE)</f>
        <v>299</v>
      </c>
      <c r="V39" s="12">
        <f>VLOOKUP(Q39,ItemData!$A$4:$B$412,2,FALSE)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402</v>
      </c>
      <c r="D40" s="1">
        <f>VLOOKUP(C40,装备!$B$2:$J$60,9,FALSE)*0.75</f>
        <v>42.75</v>
      </c>
      <c r="E40">
        <v>4</v>
      </c>
      <c r="G40" s="12" t="s">
        <v>525</v>
      </c>
      <c r="H40" s="3"/>
      <c r="I40" s="17" t="s">
        <v>378</v>
      </c>
      <c r="K40" s="12" t="s">
        <v>352</v>
      </c>
      <c r="L40" s="34">
        <f>VLOOKUP(K40,Sheet8!$A$1:$B$155,2,FALSE)</f>
        <v>1.75</v>
      </c>
      <c r="M40" s="16" t="s">
        <v>357</v>
      </c>
      <c r="N40" s="16">
        <f>VLOOKUP(M40,Sheet8!$A$1:$B$155,2,FALSE)</f>
        <v>0</v>
      </c>
      <c r="O40" s="16" t="s">
        <v>361</v>
      </c>
      <c r="P40" s="16">
        <f>VLOOKUP(O40,Sheet8!$A$1:$B$155,2,FALSE)</f>
        <v>0</v>
      </c>
      <c r="S40" s="12">
        <f>VLOOKUP(K40,ItemData!$A$4:$B$412,2,FALSE)</f>
        <v>204</v>
      </c>
      <c r="T40" s="12">
        <f>VLOOKUP(M40,ItemData!$A$4:$B$412,2,FALSE)</f>
        <v>214</v>
      </c>
      <c r="U40" s="12">
        <f>VLOOKUP(O40,ItemData!$A$4:$B$412,2,FALSE)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403</v>
      </c>
      <c r="D41" s="1">
        <f>VLOOKUP(C41,装备!$B$2:$J$60,9,FALSE)*0.75</f>
        <v>42.75</v>
      </c>
      <c r="E41">
        <v>4</v>
      </c>
      <c r="G41" s="12" t="s">
        <v>525</v>
      </c>
      <c r="H41" s="3"/>
      <c r="I41" s="17" t="s">
        <v>379</v>
      </c>
      <c r="K41" s="12" t="s">
        <v>351</v>
      </c>
      <c r="L41" s="34">
        <f>VLOOKUP(K41,Sheet8!$A$1:$B$155,2,FALSE)</f>
        <v>3.75</v>
      </c>
      <c r="M41" s="16" t="s">
        <v>527</v>
      </c>
      <c r="N41" s="16">
        <f>VLOOKUP(M41,Sheet8!$A$1:$B$155,2,FALSE)</f>
        <v>0</v>
      </c>
      <c r="O41" s="43" t="s">
        <v>532</v>
      </c>
      <c r="P41" s="16">
        <f>VLOOKUP(O41,Sheet8!$A$1:$B$155,2,FALSE)</f>
        <v>0</v>
      </c>
      <c r="S41" s="12">
        <f>VLOOKUP(K41,ItemData!$A$4:$B$412,2,FALSE)</f>
        <v>1650</v>
      </c>
      <c r="T41" s="12">
        <f>VLOOKUP(M41,ItemData!$A$4:$B$412,2,FALSE)</f>
        <v>232</v>
      </c>
      <c r="U41" s="12">
        <f>VLOOKUP(O41,ItemData!$A$4:$B$412,2,FALSE)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390</v>
      </c>
      <c r="D42" s="1">
        <f>VLOOKUP(C42,装备!$B$2:$J$60,9,FALSE)*0.75</f>
        <v>41.25</v>
      </c>
      <c r="E42">
        <v>4</v>
      </c>
      <c r="G42" s="12" t="s">
        <v>525</v>
      </c>
      <c r="H42" s="3"/>
      <c r="I42" s="17" t="s">
        <v>390</v>
      </c>
      <c r="K42" s="12" t="s">
        <v>355</v>
      </c>
      <c r="L42" s="34">
        <f>VLOOKUP(K42,Sheet8!$A$1:$B$155,2,FALSE)</f>
        <v>31.5</v>
      </c>
      <c r="M42" s="16" t="s">
        <v>502</v>
      </c>
      <c r="N42" s="16">
        <f>VLOOKUP(M42,Sheet8!$A$1:$B$155,2,FALSE)</f>
        <v>0</v>
      </c>
      <c r="O42" s="16" t="s">
        <v>463</v>
      </c>
      <c r="P42" s="16">
        <f>VLOOKUP(O42,Sheet8!$A$1:$B$155,2,FALSE)</f>
        <v>0</v>
      </c>
      <c r="Q42" s="16" t="s">
        <v>372</v>
      </c>
      <c r="R42" s="34">
        <f>VLOOKUP(Q42,Sheet8!$A$1:$B$155,2,FALSE)</f>
        <v>0</v>
      </c>
      <c r="S42" s="12">
        <f>VLOOKUP(K42,ItemData!$A$4:$B$412,2,FALSE)</f>
        <v>1657</v>
      </c>
      <c r="T42" s="12">
        <f>VLOOKUP(M42,ItemData!$A$4:$B$412,2,FALSE)</f>
        <v>279</v>
      </c>
      <c r="U42" s="12">
        <f>VLOOKUP(O42,ItemData!$A$4:$B$412,2,FALSE)</f>
        <v>234</v>
      </c>
      <c r="V42" s="12">
        <f>VLOOKUP(Q42,ItemData!$A$4:$B$412,2,FALSE)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620</v>
      </c>
      <c r="D43" s="1">
        <f>VLOOKUP(C43,装备!$B$2:$J$60,9,FALSE)*0.75</f>
        <v>41.25</v>
      </c>
      <c r="E43" s="12">
        <v>4</v>
      </c>
      <c r="G43" s="12" t="s">
        <v>525</v>
      </c>
      <c r="H43" s="3"/>
      <c r="I43" s="18" t="s">
        <v>550</v>
      </c>
      <c r="K43" s="12" t="s">
        <v>747</v>
      </c>
      <c r="L43" s="34">
        <f>VLOOKUP(K43,Sheet8!$A$1:$B$155,2,FALSE)</f>
        <v>0</v>
      </c>
      <c r="M43" s="16" t="s">
        <v>351</v>
      </c>
      <c r="N43" s="16">
        <f>VLOOKUP(M43,Sheet8!$A$1:$B$155,2,FALSE)</f>
        <v>3.75</v>
      </c>
      <c r="O43" s="16" t="s">
        <v>469</v>
      </c>
      <c r="P43" s="16">
        <f>VLOOKUP(O43,Sheet8!$A$1:$B$155,2,FALSE)</f>
        <v>0</v>
      </c>
      <c r="Q43" s="16" t="s">
        <v>723</v>
      </c>
      <c r="R43" s="34">
        <f>VLOOKUP(Q43,Sheet8!$A$1:$B$155,2,FALSE)</f>
        <v>0</v>
      </c>
      <c r="S43" s="12">
        <f>VLOOKUP(K43,ItemData!$A$4:$B$412,2,FALSE)</f>
        <v>248</v>
      </c>
      <c r="T43" s="12">
        <f>VLOOKUP(M43,ItemData!$A$4:$B$412,2,FALSE)</f>
        <v>1650</v>
      </c>
      <c r="U43" s="12">
        <f>VLOOKUP(O43,ItemData!$A$4:$B$412,2,FALSE)</f>
        <v>245</v>
      </c>
      <c r="V43" s="12">
        <f>VLOOKUP(Q43,ItemData!$A$4:$B$412,2,FALSE)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425</v>
      </c>
      <c r="D44" s="1">
        <f>VLOOKUP(C44,装备!$B$2:$J$60,9,FALSE)*0.75</f>
        <v>3</v>
      </c>
      <c r="E44">
        <v>1</v>
      </c>
      <c r="G44" s="12" t="s">
        <v>525</v>
      </c>
      <c r="H44" s="3"/>
      <c r="I44" s="18" t="s">
        <v>426</v>
      </c>
      <c r="K44" t="s">
        <v>434</v>
      </c>
      <c r="L44" s="34">
        <f>VLOOKUP(K44,Sheet8!$A$1:$B$155,2,FALSE)</f>
        <v>1.75</v>
      </c>
      <c r="M44" s="16" t="s">
        <v>760</v>
      </c>
      <c r="N44" s="16">
        <f>VLOOKUP(M44,Sheet8!$A$1:$B$165,2,FALSE)</f>
        <v>0</v>
      </c>
      <c r="O44" s="16" t="s">
        <v>832</v>
      </c>
      <c r="P44" s="16">
        <f>VLOOKUP(O44,Sheet8!$A$1:$B$155,2,FALSE)</f>
        <v>1.75</v>
      </c>
      <c r="S44" s="12">
        <f>VLOOKUP(K44,ItemData!$A$4:$B$412,2,FALSE)</f>
        <v>204</v>
      </c>
      <c r="T44" s="12">
        <f>VLOOKUP(M44,ItemData!$A$4:$B$412,2,FALSE)</f>
        <v>302</v>
      </c>
      <c r="U44" s="12">
        <f>VLOOKUP(O44,ItemData!$A$4:$B$412,2,FALSE)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422</v>
      </c>
      <c r="D45" s="1">
        <f>VLOOKUP(C45,装备!$B$2:$J$60,9,FALSE)*0.75</f>
        <v>9</v>
      </c>
      <c r="E45">
        <v>1</v>
      </c>
      <c r="G45" s="12" t="s">
        <v>525</v>
      </c>
      <c r="H45" s="3"/>
      <c r="I45" s="18" t="s">
        <v>577</v>
      </c>
      <c r="K45" t="s">
        <v>440</v>
      </c>
      <c r="L45" s="34">
        <f>VLOOKUP(K45,Sheet8!$A$1:$B$155,2,FALSE)</f>
        <v>0</v>
      </c>
      <c r="M45" s="16" t="s">
        <v>457</v>
      </c>
      <c r="N45" s="16">
        <f>VLOOKUP(M45,Sheet8!$A$1:$B$155,2,FALSE)</f>
        <v>0</v>
      </c>
      <c r="O45" s="16" t="s">
        <v>526</v>
      </c>
      <c r="P45" s="16">
        <f>VLOOKUP(O45,Sheet8!$A$1:$B$155,2,FALSE)</f>
        <v>1.75</v>
      </c>
      <c r="S45" s="12">
        <f>VLOOKUP(K45,ItemData!$A$4:$B$412,2,FALSE)</f>
        <v>271</v>
      </c>
      <c r="T45" s="12">
        <f>VLOOKUP(M45,ItemData!$A$4:$B$412,2,FALSE)</f>
        <v>222</v>
      </c>
      <c r="U45" s="12">
        <f>VLOOKUP(O45,ItemData!$A$4:$B$412,2,FALSE)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423</v>
      </c>
      <c r="D46" s="1">
        <f>VLOOKUP(C46,装备!$B$2:$J$60,9,FALSE)*0.75</f>
        <v>14.25</v>
      </c>
      <c r="E46">
        <v>2</v>
      </c>
      <c r="G46" s="12" t="s">
        <v>432</v>
      </c>
      <c r="H46" s="3"/>
      <c r="I46" s="18" t="s">
        <v>435</v>
      </c>
      <c r="K46" s="12" t="s">
        <v>419</v>
      </c>
      <c r="L46" s="34">
        <f>VLOOKUP(K46,Sheet8!$A$1:$B$155,2,FALSE)</f>
        <v>3.75</v>
      </c>
      <c r="M46" s="16" t="s">
        <v>567</v>
      </c>
      <c r="N46" s="16">
        <f>VLOOKUP(M46,Sheet8!$A$1:$B$155,2,FALSE)</f>
        <v>0</v>
      </c>
      <c r="O46" s="16" t="s">
        <v>444</v>
      </c>
      <c r="P46" s="16">
        <f>VLOOKUP(O46,Sheet8!$A$1:$B$155,2,FALSE)</f>
        <v>0</v>
      </c>
      <c r="S46" s="12">
        <f>VLOOKUP(K46,ItemData!$A$4:$B$412,2,FALSE)</f>
        <v>298</v>
      </c>
      <c r="T46" s="12">
        <f>VLOOKUP(M46,ItemData!$A$4:$B$412,2,FALSE)</f>
        <v>210</v>
      </c>
      <c r="U46" s="12">
        <f>VLOOKUP(O46,ItemData!$A$4:$B$412,2,FALSE)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424</v>
      </c>
      <c r="D47" s="1">
        <f>VLOOKUP(C47,装备!$B$2:$J$60,9,FALSE)*0.75</f>
        <v>8.25</v>
      </c>
      <c r="E47">
        <v>3</v>
      </c>
      <c r="G47" s="12" t="s">
        <v>525</v>
      </c>
      <c r="H47" s="3"/>
      <c r="I47" s="18" t="s">
        <v>594</v>
      </c>
      <c r="K47" s="12" t="s">
        <v>422</v>
      </c>
      <c r="L47" s="34">
        <f>VLOOKUP(K47,Sheet8!$A$1:$B$155,2,FALSE)</f>
        <v>9</v>
      </c>
      <c r="M47" s="16" t="s">
        <v>516</v>
      </c>
      <c r="N47" s="16">
        <f>VLOOKUP(M47,Sheet8!$A$1:$B$155,2,FALSE)</f>
        <v>0</v>
      </c>
      <c r="O47" s="16" t="s">
        <v>350</v>
      </c>
      <c r="P47" s="16">
        <f>VLOOKUP(O47,Sheet8!$A$1:$B$155,2,FALSE)</f>
        <v>0</v>
      </c>
      <c r="Q47" s="16" t="s">
        <v>715</v>
      </c>
      <c r="R47" s="34">
        <f>VLOOKUP(Q47,Sheet8!$A$1:$B$155,2,FALSE)</f>
        <v>0</v>
      </c>
      <c r="S47" s="12">
        <f>VLOOKUP(K47,ItemData!$A$4:$B$412,2,FALSE)</f>
        <v>1701</v>
      </c>
      <c r="T47" s="12">
        <f>VLOOKUP(M47,ItemData!$A$4:$B$412,2,FALSE)</f>
        <v>273</v>
      </c>
      <c r="U47" s="12">
        <f>VLOOKUP(O47,ItemData!$A$4:$B$412,2,FALSE)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427</v>
      </c>
      <c r="D48" s="1">
        <f>VLOOKUP(C48,装备!$B$2:$J$60,9,FALSE)*0.75</f>
        <v>15</v>
      </c>
      <c r="E48">
        <v>2</v>
      </c>
      <c r="G48" s="12" t="s">
        <v>525</v>
      </c>
      <c r="H48" s="3"/>
      <c r="I48" s="18" t="s">
        <v>591</v>
      </c>
      <c r="K48" s="12" t="s">
        <v>426</v>
      </c>
      <c r="L48" s="34">
        <f>VLOOKUP(K48,Sheet8!$A$1:$B$155,2,FALSE)</f>
        <v>3</v>
      </c>
      <c r="M48" s="16" t="s">
        <v>715</v>
      </c>
      <c r="N48" s="16">
        <f>VLOOKUP(M48,Sheet8!$A$1:$B$155,2,FALSE)</f>
        <v>0</v>
      </c>
      <c r="O48" s="16" t="s">
        <v>357</v>
      </c>
      <c r="P48" s="16">
        <f>VLOOKUP(O48,Sheet8!$A$1:$B$155,2,FALSE)</f>
        <v>0</v>
      </c>
      <c r="S48" s="12">
        <f>VLOOKUP(K48,ItemData!$A$4:$B$412,2,FALSE)</f>
        <v>1700</v>
      </c>
      <c r="T48" s="12">
        <f>VLOOKUP(M48,ItemData!$A$4:$B$412,2,FALSE)</f>
        <v>301</v>
      </c>
      <c r="U48" s="12">
        <f>VLOOKUP(O48,ItemData!$A$4:$B$412,2,FALSE)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431</v>
      </c>
      <c r="D49" s="1">
        <f>VLOOKUP(C49,装备!$B$2:$J$60,9,FALSE)*0.75</f>
        <v>23.25</v>
      </c>
      <c r="E49">
        <v>3</v>
      </c>
      <c r="G49" s="12" t="s">
        <v>525</v>
      </c>
      <c r="H49" s="3"/>
      <c r="I49" s="18" t="s">
        <v>501</v>
      </c>
      <c r="K49" s="12" t="s">
        <v>422</v>
      </c>
      <c r="L49" s="34">
        <f>VLOOKUP(K49,Sheet8!$A$1:$B$155,2,FALSE)</f>
        <v>9</v>
      </c>
      <c r="M49" s="16" t="s">
        <v>757</v>
      </c>
      <c r="N49" s="16">
        <f>VLOOKUP(M49,Sheet8!$A$1:$B$155,2,FALSE)</f>
        <v>0</v>
      </c>
      <c r="O49" s="16" t="s">
        <v>348</v>
      </c>
      <c r="P49" s="16">
        <f>VLOOKUP(O49,Sheet8!$A$1:$B$155,2,FALSE)</f>
        <v>0</v>
      </c>
      <c r="Q49" s="16" t="s">
        <v>502</v>
      </c>
      <c r="R49" s="34">
        <f>VLOOKUP(Q49,Sheet8!$A$1:$B$155,2,FALSE)</f>
        <v>0</v>
      </c>
      <c r="S49" s="12">
        <f>VLOOKUP(K49,ItemData!$A$4:$B$412,2,FALSE)</f>
        <v>1701</v>
      </c>
      <c r="T49" s="12">
        <f>VLOOKUP(M49,ItemData!$A$4:$B$412,2,FALSE)</f>
        <v>234</v>
      </c>
      <c r="U49" s="12">
        <f>VLOOKUP(O49,ItemData!$A$4:$B$412,2,FALSE)</f>
        <v>223</v>
      </c>
      <c r="V49" s="12">
        <f>VLOOKUP(Q49,ItemData!$A$4:$B$412,2,FALSE)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430</v>
      </c>
      <c r="D50" s="1">
        <f>VLOOKUP(C50,装备!$B$2:$J$60,9,FALSE)*0.75</f>
        <v>22.5</v>
      </c>
      <c r="E50" s="12">
        <v>3</v>
      </c>
      <c r="G50" s="12" t="s">
        <v>525</v>
      </c>
      <c r="H50" s="3"/>
      <c r="I50" s="18" t="s">
        <v>436</v>
      </c>
      <c r="K50" s="12" t="s">
        <v>425</v>
      </c>
      <c r="L50" s="34">
        <f>VLOOKUP(K50,Sheet8!$A$1:$B$155,2,FALSE)</f>
        <v>3</v>
      </c>
      <c r="M50" s="16" t="s">
        <v>489</v>
      </c>
      <c r="N50" s="16">
        <f>VLOOKUP(M50,Sheet8!$A$1:$B$155,2,FALSE)</f>
        <v>0</v>
      </c>
      <c r="O50" s="16" t="s">
        <v>592</v>
      </c>
      <c r="P50" s="16">
        <f>VLOOKUP(O50,Sheet8!$A$1:$B$155,2,FALSE)</f>
        <v>0</v>
      </c>
      <c r="Q50" s="16" t="s">
        <v>739</v>
      </c>
      <c r="R50" s="34">
        <f>VLOOKUP(Q50,Sheet8!$A$1:$B$155,2,FALSE)</f>
        <v>0</v>
      </c>
      <c r="S50" s="12">
        <f>VLOOKUP(K50,ItemData!$A$4:$B$412,2,FALSE)</f>
        <v>1700</v>
      </c>
      <c r="T50" s="12">
        <f>VLOOKUP(M50,ItemData!$A$4:$B$412,2,FALSE)</f>
        <v>280</v>
      </c>
      <c r="U50" s="12">
        <f>VLOOKUP(O50,ItemData!$A$4:$B$412,2,FALSE)</f>
        <v>232</v>
      </c>
      <c r="V50" s="12">
        <f>VLOOKUP(Q50,ItemData!$A$4:$B$412,2,FALSE)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429</v>
      </c>
      <c r="D51" s="1">
        <f>VLOOKUP(C51,装备!$B$2:$J$60,9,FALSE)*0.75</f>
        <v>34.5</v>
      </c>
      <c r="E51" s="12">
        <v>4</v>
      </c>
      <c r="G51" s="12" t="s">
        <v>432</v>
      </c>
      <c r="H51" s="3"/>
      <c r="I51" s="18" t="s">
        <v>437</v>
      </c>
      <c r="K51" s="18" t="s">
        <v>435</v>
      </c>
      <c r="L51" s="34">
        <f>VLOOKUP(K51,Sheet8!$A$1:$B$155,2,FALSE)</f>
        <v>14.25</v>
      </c>
      <c r="M51" s="16" t="s">
        <v>500</v>
      </c>
      <c r="N51" s="16">
        <f>VLOOKUP(M51,Sheet8!$A$1:$B$155,2,FALSE)</f>
        <v>18</v>
      </c>
      <c r="O51" s="16" t="s">
        <v>467</v>
      </c>
      <c r="P51" s="16">
        <f>VLOOKUP(O51,Sheet8!$A$1:$B$155,2,FALSE)</f>
        <v>0</v>
      </c>
      <c r="Q51" s="16" t="s">
        <v>573</v>
      </c>
      <c r="R51" s="34">
        <f>VLOOKUP(Q51,Sheet8!$A$1:$B$155,2,FALSE)</f>
        <v>5</v>
      </c>
      <c r="S51" s="12">
        <f>VLOOKUP(K51,ItemData!$A$4:$B$412,2,FALSE)</f>
        <v>1702</v>
      </c>
      <c r="T51" s="12">
        <f>VLOOKUP(M51,ItemData!$A$4:$B$412,2,FALSE)</f>
        <v>275</v>
      </c>
      <c r="U51" s="12">
        <f>VLOOKUP(O51,ItemData!$A$4:$B$412,2,FALSE)</f>
        <v>240</v>
      </c>
      <c r="V51" s="12">
        <f>VLOOKUP(Q51,ItemData!$A$4:$B$412,2,FALSE)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433</v>
      </c>
      <c r="D52" s="1">
        <f>VLOOKUP(C52,装备!$B$2:$J$60,9,FALSE)*0.75</f>
        <v>30</v>
      </c>
      <c r="E52" s="12">
        <v>4</v>
      </c>
      <c r="G52" s="12" t="s">
        <v>525</v>
      </c>
      <c r="H52" s="3"/>
      <c r="I52" s="18" t="s">
        <v>504</v>
      </c>
      <c r="K52" s="12" t="s">
        <v>426</v>
      </c>
      <c r="L52" s="34">
        <f>VLOOKUP(K52,Sheet8!$A$1:$B$155,2,FALSE)</f>
        <v>3</v>
      </c>
      <c r="M52" s="16" t="s">
        <v>589</v>
      </c>
      <c r="N52" s="16">
        <f>VLOOKUP(M52,Sheet8!$A$1:$B$155,2,FALSE)</f>
        <v>0</v>
      </c>
      <c r="O52" s="16" t="s">
        <v>758</v>
      </c>
      <c r="P52" s="16">
        <f>VLOOKUP(O52,Sheet8!$A$1:$B$155,2,FALSE)</f>
        <v>0</v>
      </c>
      <c r="Q52" s="16" t="s">
        <v>752</v>
      </c>
      <c r="R52" s="34">
        <f>VLOOKUP(Q52,Sheet8!$A$1:$B$155,2,FALSE)</f>
        <v>0</v>
      </c>
      <c r="S52" s="12">
        <f>VLOOKUP(K52,ItemData!$A$4:$B$412,2,FALSE)</f>
        <v>1700</v>
      </c>
      <c r="T52" s="12">
        <f>VLOOKUP(M52,ItemData!$A$4:$B$412,2,FALSE)</f>
        <v>281</v>
      </c>
      <c r="U52" s="12">
        <f>VLOOKUP(O52,ItemData!$A$4:$B$412,2,FALSE)</f>
        <v>251</v>
      </c>
      <c r="V52" s="12">
        <f>VLOOKUP(Q52,ItemData!$A$4:$B$412,2,FALSE)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428</v>
      </c>
      <c r="D53" s="1">
        <f>VLOOKUP(C53,装备!$B$2:$J$60,9,FALSE)*0.75</f>
        <v>30</v>
      </c>
      <c r="E53">
        <v>4</v>
      </c>
      <c r="G53" s="12" t="s">
        <v>525</v>
      </c>
      <c r="H53" s="3"/>
      <c r="I53" s="18" t="s">
        <v>505</v>
      </c>
      <c r="K53" t="s">
        <v>369</v>
      </c>
      <c r="L53" s="34">
        <f>VLOOKUP(K53,Sheet8!$A$1:$B$155,2,FALSE)</f>
        <v>0</v>
      </c>
      <c r="M53" s="16" t="s">
        <v>427</v>
      </c>
      <c r="N53" s="16">
        <f>VLOOKUP(M53,Sheet8!$A$1:$B$155,2,FALSE)</f>
        <v>15</v>
      </c>
      <c r="O53" s="16" t="s">
        <v>748</v>
      </c>
      <c r="P53" s="16">
        <f>VLOOKUP(O53,Sheet8!$A$1:$B$155,2,FALSE)</f>
        <v>0</v>
      </c>
      <c r="Q53" s="16" t="s">
        <v>478</v>
      </c>
      <c r="R53" s="34">
        <f>VLOOKUP(Q53,Sheet8!$A$1:$B$155,2,FALSE)</f>
        <v>0</v>
      </c>
      <c r="S53" s="12">
        <f>VLOOKUP(K53,ItemData!$A$4:$B$412,2,FALSE)</f>
        <v>224</v>
      </c>
      <c r="T53" s="12">
        <f>VLOOKUP(M53,ItemData!$A$4:$B$412,2,FALSE)</f>
        <v>1704</v>
      </c>
      <c r="U53" s="12">
        <f>VLOOKUP(O53,ItemData!$A$4:$B$412,2,FALSE)</f>
        <v>264</v>
      </c>
      <c r="V53" s="12">
        <f>VLOOKUP(Q53,ItemData!$A$4:$B$412,2,FALSE)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621</v>
      </c>
      <c r="D54" s="1">
        <f>VLOOKUP(C54,装备!$B$2:$J$60,9,FALSE)*0.75</f>
        <v>37.5</v>
      </c>
      <c r="E54" s="12">
        <v>4</v>
      </c>
      <c r="G54" s="12" t="s">
        <v>759</v>
      </c>
      <c r="I54" s="18" t="s">
        <v>551</v>
      </c>
      <c r="K54" s="12" t="s">
        <v>424</v>
      </c>
      <c r="L54" s="34">
        <f>VLOOKUP(K54,Sheet8!$A$1:$B$155,2,FALSE)</f>
        <v>8.25</v>
      </c>
      <c r="M54" s="16" t="s">
        <v>554</v>
      </c>
      <c r="N54" s="16">
        <f>VLOOKUP(M54,Sheet8!$A$1:$B$155,2,FALSE)</f>
        <v>0</v>
      </c>
      <c r="O54" s="16" t="s">
        <v>462</v>
      </c>
      <c r="P54" s="16">
        <f>VLOOKUP(O54,Sheet8!$A$1:$B$155,2,FALSE)</f>
        <v>0</v>
      </c>
      <c r="Q54" s="16" t="s">
        <v>484</v>
      </c>
      <c r="R54" s="34">
        <f>VLOOKUP(Q54,Sheet8!$A$1:$B$155,2,FALSE)</f>
        <v>0</v>
      </c>
      <c r="S54" s="12">
        <f>VLOOKUP(K54,ItemData!$A$4:$B$412,2,FALSE)</f>
        <v>1703</v>
      </c>
      <c r="T54" s="12">
        <f>VLOOKUP(M54,ItemData!$A$4:$B$412,2,FALSE)</f>
        <v>282</v>
      </c>
      <c r="U54" s="12">
        <f>VLOOKUP(O54,ItemData!$A$4:$B$412,2,FALSE)</f>
        <v>232</v>
      </c>
      <c r="V54" s="12">
        <f>VLOOKUP(Q54,ItemData!$A$4:$B$412,2,FALSE)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492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494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493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528</v>
      </c>
      <c r="F62" t="s">
        <v>663</v>
      </c>
      <c r="H62" t="s">
        <v>412</v>
      </c>
      <c r="J62" t="s">
        <v>160</v>
      </c>
      <c r="W62" s="12"/>
    </row>
    <row r="63" spans="2:24" x14ac:dyDescent="0.15">
      <c r="D63" s="20" t="s">
        <v>755</v>
      </c>
      <c r="F63" s="12" t="s">
        <v>663</v>
      </c>
      <c r="H63" t="s">
        <v>411</v>
      </c>
      <c r="J63" t="s">
        <v>412</v>
      </c>
      <c r="W63" s="12"/>
    </row>
    <row r="64" spans="2:24" x14ac:dyDescent="0.15">
      <c r="D64" s="20" t="s">
        <v>510</v>
      </c>
      <c r="F64" s="12" t="s">
        <v>663</v>
      </c>
      <c r="H64" t="s">
        <v>416</v>
      </c>
      <c r="J64" t="s">
        <v>418</v>
      </c>
      <c r="W64" s="12"/>
    </row>
    <row r="65" spans="4:23" x14ac:dyDescent="0.15">
      <c r="D65" s="20" t="s">
        <v>546</v>
      </c>
      <c r="F65" s="19" t="s">
        <v>432</v>
      </c>
      <c r="H65" t="s">
        <v>439</v>
      </c>
      <c r="J65" t="s">
        <v>420</v>
      </c>
      <c r="K65" t="s">
        <v>421</v>
      </c>
      <c r="W65" s="12"/>
    </row>
    <row r="66" spans="4:23" x14ac:dyDescent="0.15">
      <c r="D66" s="22" t="s">
        <v>514</v>
      </c>
      <c r="F66" s="19" t="s">
        <v>432</v>
      </c>
      <c r="H66" s="12" t="s">
        <v>419</v>
      </c>
      <c r="J66" t="s">
        <v>521</v>
      </c>
      <c r="K66" s="12" t="s">
        <v>421</v>
      </c>
      <c r="W66" s="12"/>
    </row>
    <row r="67" spans="4:23" x14ac:dyDescent="0.15">
      <c r="D67" s="21" t="s">
        <v>753</v>
      </c>
      <c r="F67" s="19" t="s">
        <v>432</v>
      </c>
      <c r="H67" s="12" t="s">
        <v>520</v>
      </c>
      <c r="I67" s="12"/>
      <c r="J67" s="12" t="s">
        <v>523</v>
      </c>
      <c r="K67" s="12" t="s">
        <v>421</v>
      </c>
      <c r="W67" s="12"/>
    </row>
    <row r="68" spans="4:23" x14ac:dyDescent="0.15">
      <c r="D68" s="21" t="s">
        <v>610</v>
      </c>
      <c r="J68" s="19"/>
      <c r="W68" s="12"/>
    </row>
    <row r="69" spans="4:23" x14ac:dyDescent="0.15">
      <c r="D69" s="20" t="s">
        <v>503</v>
      </c>
      <c r="F69" t="s">
        <v>662</v>
      </c>
      <c r="H69" s="23" t="s">
        <v>495</v>
      </c>
      <c r="J69" s="19" t="s">
        <v>722</v>
      </c>
      <c r="K69" s="12" t="s">
        <v>530</v>
      </c>
      <c r="M69" s="16" t="s">
        <v>468</v>
      </c>
      <c r="Q69" s="16">
        <f>VLOOKUP(J69,ItemData!$A$4:$B$412,2,FALSE)</f>
        <v>290</v>
      </c>
      <c r="S69" s="12">
        <f>VLOOKUP(K69,ItemData!$A$4:$B$412,2,FALSE)</f>
        <v>292</v>
      </c>
      <c r="T69" s="12">
        <f>VLOOKUP(M69,ItemData!$A$4:$B$412,2,FALSE)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549</v>
      </c>
      <c r="F70" s="12" t="s">
        <v>662</v>
      </c>
      <c r="H70" s="23" t="s">
        <v>498</v>
      </c>
      <c r="J70" s="19" t="s">
        <v>515</v>
      </c>
      <c r="K70" t="s">
        <v>482</v>
      </c>
      <c r="M70" s="16" t="s">
        <v>446</v>
      </c>
      <c r="Q70" s="16">
        <f>VLOOKUP(J70,ItemData!$A$4:$B$412,2,FALSE)</f>
        <v>294</v>
      </c>
      <c r="S70" s="12">
        <f>VLOOKUP(K70,ItemData!$A$4:$B$412,2,FALSE)</f>
        <v>265</v>
      </c>
      <c r="T70" s="12">
        <f>VLOOKUP(M70,ItemData!$A$4:$B$412,2,FALSE)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535</v>
      </c>
      <c r="F71" s="12" t="s">
        <v>662</v>
      </c>
      <c r="H71" s="23" t="s">
        <v>539</v>
      </c>
      <c r="J71" s="19" t="s">
        <v>590</v>
      </c>
      <c r="K71" t="s">
        <v>528</v>
      </c>
      <c r="M71" s="16" t="s">
        <v>477</v>
      </c>
      <c r="Q71" s="16">
        <f>VLOOKUP(J71,ItemData!$A$4:$B$412,2,FALSE)</f>
        <v>251</v>
      </c>
      <c r="S71" s="12">
        <f>VLOOKUP(K71,ItemData!$A$4:$B$412,2,FALSE)</f>
        <v>287</v>
      </c>
      <c r="T71" s="12">
        <f>VLOOKUP(M71,ItemData!$A$4:$B$412,2,FALSE)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490</v>
      </c>
      <c r="F72" s="12" t="s">
        <v>662</v>
      </c>
      <c r="H72" s="23" t="s">
        <v>537</v>
      </c>
      <c r="J72" t="s">
        <v>565</v>
      </c>
      <c r="K72" t="s">
        <v>531</v>
      </c>
      <c r="M72" s="16" t="s">
        <v>490</v>
      </c>
      <c r="Q72" s="16">
        <f>VLOOKUP(J72,ItemData!$A$4:$B$412,2,FALSE)</f>
        <v>290</v>
      </c>
      <c r="S72" s="12">
        <f>VLOOKUP(K72,ItemData!$A$4:$B$412,2,FALSE)</f>
        <v>225</v>
      </c>
      <c r="T72" s="12">
        <f>VLOOKUP(M72,ItemData!$A$4:$B$412,2,FALSE)</f>
        <v>286</v>
      </c>
      <c r="V72" s="12" t="str">
        <f t="shared" si="1"/>
        <v>290,225,286</v>
      </c>
      <c r="W72" s="12"/>
    </row>
    <row r="73" spans="4:23" x14ac:dyDescent="0.15">
      <c r="D73" s="22" t="s">
        <v>534</v>
      </c>
      <c r="F73" s="12" t="s">
        <v>662</v>
      </c>
      <c r="H73" s="23" t="s">
        <v>496</v>
      </c>
      <c r="J73" s="19" t="s">
        <v>484</v>
      </c>
      <c r="K73" t="s">
        <v>672</v>
      </c>
      <c r="M73" s="16" t="s">
        <v>490</v>
      </c>
      <c r="Q73" s="16">
        <f>VLOOKUP(J73,ItemData!$A$4:$B$412,2,FALSE)</f>
        <v>267</v>
      </c>
      <c r="S73" s="12">
        <f>VLOOKUP(K73,ItemData!$A$4:$B$412,2,FALSE)</f>
        <v>261</v>
      </c>
      <c r="T73" s="12">
        <f>VLOOKUP(M73,ItemData!$A$4:$B$412,2,FALSE)</f>
        <v>286</v>
      </c>
      <c r="V73" s="12" t="str">
        <f t="shared" si="1"/>
        <v>267,261,286</v>
      </c>
      <c r="W73" s="12"/>
    </row>
    <row r="74" spans="4:23" x14ac:dyDescent="0.15">
      <c r="D74" s="22" t="s">
        <v>572</v>
      </c>
      <c r="F74" s="12" t="s">
        <v>662</v>
      </c>
      <c r="H74" s="23" t="s">
        <v>497</v>
      </c>
      <c r="J74" s="19" t="s">
        <v>580</v>
      </c>
      <c r="K74" s="12" t="s">
        <v>673</v>
      </c>
      <c r="M74" s="16" t="s">
        <v>490</v>
      </c>
      <c r="Q74" s="16">
        <f>VLOOKUP(J74,ItemData!$A$4:$B$412,2,FALSE)</f>
        <v>284</v>
      </c>
      <c r="S74" s="12">
        <f>VLOOKUP(K74,ItemData!$A$4:$B$412,2,FALSE)</f>
        <v>291</v>
      </c>
      <c r="T74" s="12">
        <f>VLOOKUP(M74,ItemData!$A$4:$B$412,2,FALSE)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662</v>
      </c>
      <c r="H75" s="23" t="s">
        <v>538</v>
      </c>
      <c r="J75" s="19" t="s">
        <v>368</v>
      </c>
      <c r="K75" t="s">
        <v>602</v>
      </c>
      <c r="M75" s="16" t="s">
        <v>448</v>
      </c>
      <c r="Q75" s="16">
        <f>VLOOKUP(J75,ItemData!$A$4:$B$412,2,FALSE)</f>
        <v>263</v>
      </c>
      <c r="S75" s="12">
        <f>VLOOKUP(K75,ItemData!$A$4:$B$412,2,FALSE)</f>
        <v>255</v>
      </c>
      <c r="T75" s="12">
        <f>VLOOKUP(M75,ItemData!$A$4:$B$412,2,FALSE)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661</v>
      </c>
      <c r="F76" s="12" t="s">
        <v>662</v>
      </c>
      <c r="H76" s="23" t="s">
        <v>541</v>
      </c>
      <c r="J76" s="19" t="s">
        <v>465</v>
      </c>
      <c r="K76" t="s">
        <v>366</v>
      </c>
      <c r="M76" s="16" t="s">
        <v>472</v>
      </c>
      <c r="Q76" s="16">
        <f>VLOOKUP(J76,ItemData!$A$4:$B$412,2,FALSE)</f>
        <v>236</v>
      </c>
      <c r="S76" s="12">
        <f>VLOOKUP(K76,ItemData!$A$4:$B$412,2,FALSE)</f>
        <v>259</v>
      </c>
      <c r="T76" s="12">
        <f>VLOOKUP(M76,ItemData!$A$4:$B$412,2,FALSE)</f>
        <v>250</v>
      </c>
      <c r="V76" s="12" t="str">
        <f t="shared" si="1"/>
        <v>236,259,250</v>
      </c>
      <c r="W76" s="12"/>
    </row>
    <row r="77" spans="4:23" x14ac:dyDescent="0.15">
      <c r="D77" s="22" t="s">
        <v>533</v>
      </c>
      <c r="F77" s="12" t="s">
        <v>662</v>
      </c>
      <c r="H77" s="23" t="s">
        <v>542</v>
      </c>
      <c r="J77" s="26" t="s">
        <v>447</v>
      </c>
      <c r="K77" t="s">
        <v>526</v>
      </c>
      <c r="M77" s="16" t="s">
        <v>506</v>
      </c>
      <c r="Q77" s="16">
        <f>VLOOKUP(J77,ItemData!$A$4:$B$412,2,FALSE)</f>
        <v>208</v>
      </c>
      <c r="S77" s="12">
        <f>VLOOKUP(K77,ItemData!$A$4:$B$412,2,FALSE)</f>
        <v>278</v>
      </c>
      <c r="T77" s="12">
        <f>VLOOKUP(M77,ItemData!$A$4:$B$412,2,FALSE)</f>
        <v>281</v>
      </c>
      <c r="V77" s="12" t="str">
        <f t="shared" si="1"/>
        <v>208,278,281</v>
      </c>
      <c r="W77" s="12"/>
    </row>
    <row r="78" spans="4:23" x14ac:dyDescent="0.15">
      <c r="D78" s="22" t="s">
        <v>595</v>
      </c>
      <c r="F78" s="12" t="s">
        <v>662</v>
      </c>
      <c r="H78" s="23" t="s">
        <v>543</v>
      </c>
      <c r="J78" s="19" t="s">
        <v>513</v>
      </c>
      <c r="K78" t="s">
        <v>575</v>
      </c>
      <c r="M78" s="16" t="s">
        <v>467</v>
      </c>
      <c r="Q78" s="16">
        <f>VLOOKUP(J78,ItemData!$A$4:$B$412,2,FALSE)</f>
        <v>288</v>
      </c>
      <c r="S78" s="12">
        <f>VLOOKUP(K78,ItemData!$A$4:$B$412,2,FALSE)</f>
        <v>256</v>
      </c>
      <c r="T78" s="12">
        <f>VLOOKUP(M78,ItemData!$A$4:$B$412,2,FALSE)</f>
        <v>240</v>
      </c>
      <c r="V78" s="12" t="str">
        <f t="shared" si="1"/>
        <v>288,256,240</v>
      </c>
      <c r="W78" s="12"/>
    </row>
    <row r="79" spans="4:23" x14ac:dyDescent="0.15">
      <c r="D79" s="22" t="s">
        <v>536</v>
      </c>
      <c r="F79" s="12" t="s">
        <v>662</v>
      </c>
      <c r="H79" s="23" t="s">
        <v>540</v>
      </c>
      <c r="J79" t="s">
        <v>512</v>
      </c>
      <c r="K79" t="s">
        <v>609</v>
      </c>
      <c r="M79" s="16" t="s">
        <v>474</v>
      </c>
      <c r="Q79" s="16">
        <f>VLOOKUP(J79,ItemData!$A$4:$B$412,2,FALSE)</f>
        <v>293</v>
      </c>
      <c r="S79" s="12">
        <f>VLOOKUP(K79,ItemData!$A$4:$B$412,2,FALSE)</f>
        <v>289</v>
      </c>
      <c r="T79" s="12">
        <f>VLOOKUP(M79,ItemData!$A$4:$B$412,2,FALSE)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671</v>
      </c>
      <c r="J80" s="12" t="s">
        <v>369</v>
      </c>
      <c r="K80" t="s">
        <v>511</v>
      </c>
      <c r="M80" s="16" t="s">
        <v>491</v>
      </c>
      <c r="Q80" s="16">
        <f>VLOOKUP(J80,ItemData!$A$4:$B$412,2,FALSE)</f>
        <v>224</v>
      </c>
      <c r="S80" s="12">
        <f>VLOOKUP(K80,ItemData!$A$4:$B$412,2,FALSE)</f>
        <v>269</v>
      </c>
      <c r="T80" s="12">
        <f>VLOOKUP(M80,ItemData!$A$4:$B$412,2,FALSE)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499</v>
      </c>
      <c r="W81" s="12"/>
    </row>
    <row r="82" spans="4:23" x14ac:dyDescent="0.15">
      <c r="T82" s="12"/>
      <c r="W82" s="12"/>
    </row>
    <row r="83" spans="4:23" x14ac:dyDescent="0.15">
      <c r="F83" s="12" t="s">
        <v>525</v>
      </c>
      <c r="H83" s="23" t="s">
        <v>731</v>
      </c>
      <c r="I83" s="1">
        <f>VLOOKUP(H83,装备!$B$2:$J$60,9,FALSE)</f>
        <v>10</v>
      </c>
      <c r="J83" t="s">
        <v>719</v>
      </c>
      <c r="K83" t="s">
        <v>720</v>
      </c>
      <c r="Q83" s="16">
        <f>VLOOKUP(J83,ItemData!$A$4:$B$412,2,FALSE)</f>
        <v>105</v>
      </c>
      <c r="S83" s="12">
        <f>VLOOKUP(K83,ItemData!$A$4:$B$412,2,FALSE)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525</v>
      </c>
      <c r="H84" s="23" t="s">
        <v>778</v>
      </c>
      <c r="I84" s="1">
        <f>VLOOKUP(H84,装备!$B$2:$J$60,9,FALSE)</f>
        <v>20</v>
      </c>
      <c r="J84" t="s">
        <v>721</v>
      </c>
      <c r="K84" t="s">
        <v>723</v>
      </c>
      <c r="Q84" s="16">
        <f>VLOOKUP(J84,ItemData!$A$4:$B$412,2,FALSE)</f>
        <v>1800</v>
      </c>
      <c r="S84" s="12">
        <f>VLOOKUP(K84,ItemData!$A$4:$B$412,2,FALSE)</f>
        <v>285</v>
      </c>
      <c r="T84" s="12"/>
      <c r="W84" s="12" t="str">
        <f t="shared" si="3"/>
        <v>1800,285</v>
      </c>
    </row>
    <row r="85" spans="4:23" x14ac:dyDescent="0.15">
      <c r="F85" s="12" t="s">
        <v>525</v>
      </c>
      <c r="H85" s="23" t="s">
        <v>732</v>
      </c>
      <c r="I85" s="1">
        <f>VLOOKUP(H85,装备!$B$2:$J$60,9,FALSE)</f>
        <v>20</v>
      </c>
      <c r="J85" s="12" t="s">
        <v>720</v>
      </c>
      <c r="K85" t="s">
        <v>557</v>
      </c>
      <c r="M85" s="16" t="s">
        <v>476</v>
      </c>
      <c r="Q85" s="16">
        <f>VLOOKUP(J85,ItemData!$A$4:$B$412,2,FALSE)</f>
        <v>204</v>
      </c>
      <c r="S85" s="12">
        <f>VLOOKUP(K85,ItemData!$A$4:$B$412,2,FALSE)</f>
        <v>286</v>
      </c>
      <c r="T85" s="12">
        <f>VLOOKUP(M85,ItemData!$A$4:$B$412,2,FALSE)</f>
        <v>256</v>
      </c>
      <c r="W85" s="12" t="str">
        <f t="shared" si="3"/>
        <v>204,286,256</v>
      </c>
    </row>
    <row r="86" spans="4:23" x14ac:dyDescent="0.15">
      <c r="F86" s="12" t="s">
        <v>432</v>
      </c>
      <c r="H86" s="23" t="s">
        <v>727</v>
      </c>
      <c r="I86" s="1">
        <f>VLOOKUP(H86,装备!$B$2:$J$60,9,FALSE)</f>
        <v>25</v>
      </c>
      <c r="J86" t="s">
        <v>740</v>
      </c>
      <c r="K86" t="s">
        <v>741</v>
      </c>
      <c r="Q86" s="16">
        <f>VLOOKUP(J86,ItemData!$A$4:$B$412,2,FALSE)</f>
        <v>298</v>
      </c>
      <c r="S86" s="12">
        <f>VLOOKUP(K86,ItemData!$A$4:$B$412,2,FALSE)</f>
        <v>271</v>
      </c>
      <c r="T86" s="12"/>
      <c r="W86" s="12" t="str">
        <f t="shared" si="3"/>
        <v>298,271</v>
      </c>
    </row>
    <row r="87" spans="4:23" x14ac:dyDescent="0.15">
      <c r="F87" s="12" t="s">
        <v>432</v>
      </c>
      <c r="H87" s="23" t="s">
        <v>745</v>
      </c>
      <c r="I87" s="1">
        <f>VLOOKUP(H87,装备!$B$2:$J$60,9,FALSE)</f>
        <v>35</v>
      </c>
      <c r="J87" t="s">
        <v>744</v>
      </c>
      <c r="K87" t="s">
        <v>363</v>
      </c>
      <c r="M87" s="16" t="s">
        <v>450</v>
      </c>
      <c r="Q87" s="16">
        <f>VLOOKUP(J87,ItemData!$A$4:$B$412,2,FALSE)</f>
        <v>1803</v>
      </c>
      <c r="S87" s="12">
        <f>VLOOKUP(K87,ItemData!$A$4:$B$412,2,FALSE)</f>
        <v>241</v>
      </c>
      <c r="T87" s="12">
        <f>VLOOKUP(M87,ItemData!$A$4:$B$412,2,FALSE)</f>
        <v>213</v>
      </c>
      <c r="W87" s="12" t="str">
        <f t="shared" si="3"/>
        <v>1803,241,213</v>
      </c>
    </row>
    <row r="88" spans="4:23" x14ac:dyDescent="0.15">
      <c r="F88" s="12" t="s">
        <v>525</v>
      </c>
      <c r="H88" s="23" t="s">
        <v>735</v>
      </c>
      <c r="I88" s="1">
        <f>VLOOKUP(H88,装备!$B$2:$J$60,9,FALSE)</f>
        <v>30</v>
      </c>
      <c r="J88" t="s">
        <v>555</v>
      </c>
      <c r="K88" t="s">
        <v>470</v>
      </c>
      <c r="M88" s="16" t="s">
        <v>369</v>
      </c>
      <c r="Q88" s="16">
        <f>VLOOKUP(J88,ItemData!$A$4:$B$412,2,FALSE)</f>
        <v>272</v>
      </c>
      <c r="S88" s="12">
        <f>VLOOKUP(K88,ItemData!$A$4:$B$412,2,FALSE)</f>
        <v>248</v>
      </c>
      <c r="T88" s="12">
        <f>VLOOKUP(M88,ItemData!$A$4:$B$412,2,FALSE)</f>
        <v>224</v>
      </c>
      <c r="W88" s="12" t="str">
        <f t="shared" si="3"/>
        <v>272,248,224</v>
      </c>
    </row>
    <row r="89" spans="4:23" x14ac:dyDescent="0.15">
      <c r="F89" s="12" t="s">
        <v>525</v>
      </c>
      <c r="H89" s="23" t="s">
        <v>736</v>
      </c>
      <c r="I89" s="1">
        <f>VLOOKUP(H89,装备!$B$2:$J$60,9,FALSE)</f>
        <v>30</v>
      </c>
      <c r="J89" s="12" t="s">
        <v>555</v>
      </c>
      <c r="K89" s="12" t="s">
        <v>361</v>
      </c>
      <c r="M89" s="16" t="s">
        <v>473</v>
      </c>
      <c r="Q89" s="16">
        <f>VLOOKUP(J89,ItemData!$A$4:$B$412,2,FALSE)</f>
        <v>272</v>
      </c>
      <c r="S89" s="12">
        <f>VLOOKUP(K89,ItemData!$A$4:$B$412,2,FALSE)</f>
        <v>228</v>
      </c>
      <c r="T89" s="12">
        <f>VLOOKUP(M89,ItemData!$A$4:$B$412,2,FALSE)</f>
        <v>251</v>
      </c>
      <c r="W89" s="12" t="str">
        <f t="shared" si="3"/>
        <v>272,228,251</v>
      </c>
    </row>
    <row r="90" spans="4:23" x14ac:dyDescent="0.15">
      <c r="F90" s="12" t="s">
        <v>525</v>
      </c>
      <c r="H90" s="23" t="s">
        <v>738</v>
      </c>
      <c r="I90" s="1">
        <f>VLOOKUP(H90,装备!$B$2:$J$60,9,FALSE)</f>
        <v>40</v>
      </c>
      <c r="J90" t="s">
        <v>555</v>
      </c>
      <c r="K90" t="s">
        <v>502</v>
      </c>
      <c r="M90" s="16" t="s">
        <v>463</v>
      </c>
      <c r="Q90" s="16">
        <f>VLOOKUP(J90,ItemData!$A$4:$B$412,2,FALSE)</f>
        <v>272</v>
      </c>
      <c r="S90" s="12">
        <f>VLOOKUP(K90,ItemData!$A$4:$B$412,2,FALSE)</f>
        <v>279</v>
      </c>
      <c r="T90" s="12">
        <f>VLOOKUP(M90,ItemData!$A$4:$B$412,2,FALSE)</f>
        <v>234</v>
      </c>
      <c r="W90" s="12" t="str">
        <f t="shared" si="3"/>
        <v>272,279,234</v>
      </c>
    </row>
    <row r="91" spans="4:23" x14ac:dyDescent="0.15">
      <c r="F91" s="12" t="s">
        <v>432</v>
      </c>
      <c r="H91" s="23" t="s">
        <v>734</v>
      </c>
      <c r="I91" s="1">
        <f>VLOOKUP(H91,装备!$B$2:$J$60,9,FALSE)</f>
        <v>55</v>
      </c>
      <c r="J91" t="s">
        <v>733</v>
      </c>
      <c r="K91" t="s">
        <v>513</v>
      </c>
      <c r="M91" s="16" t="s">
        <v>372</v>
      </c>
      <c r="Q91" s="16">
        <f>VLOOKUP(J91,ItemData!$A$4:$B$412,2,FALSE)</f>
        <v>1804</v>
      </c>
      <c r="S91" s="12">
        <f>VLOOKUP(K91,ItemData!$A$4:$B$412,2,FALSE)</f>
        <v>288</v>
      </c>
      <c r="T91" s="12">
        <f>VLOOKUP(M91,ItemData!$A$4:$B$412,2,FALSE)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599</v>
      </c>
      <c r="W96" s="12"/>
    </row>
    <row r="97" spans="7:23" x14ac:dyDescent="0.15">
      <c r="G97" s="12" t="s">
        <v>525</v>
      </c>
      <c r="W97" s="12"/>
    </row>
    <row r="98" spans="7:23" x14ac:dyDescent="0.15">
      <c r="G98" s="12" t="s">
        <v>525</v>
      </c>
    </row>
    <row r="99" spans="7:23" x14ac:dyDescent="0.15">
      <c r="G99" s="12" t="s">
        <v>525</v>
      </c>
    </row>
    <row r="100" spans="7:23" x14ac:dyDescent="0.15">
      <c r="G100" s="12" t="s">
        <v>525</v>
      </c>
    </row>
    <row r="101" spans="7:23" x14ac:dyDescent="0.15">
      <c r="G101" s="12" t="s">
        <v>525</v>
      </c>
    </row>
    <row r="102" spans="7:23" x14ac:dyDescent="0.15">
      <c r="G102" s="12" t="s">
        <v>525</v>
      </c>
    </row>
    <row r="103" spans="7:23" x14ac:dyDescent="0.15">
      <c r="G103" s="12" t="s">
        <v>525</v>
      </c>
    </row>
    <row r="104" spans="7:23" x14ac:dyDescent="0.15">
      <c r="G104" s="12" t="s">
        <v>525</v>
      </c>
    </row>
    <row r="105" spans="7:23" x14ac:dyDescent="0.15">
      <c r="G105" s="12" t="s">
        <v>525</v>
      </c>
    </row>
    <row r="106" spans="7:23" x14ac:dyDescent="0.15">
      <c r="G106" s="12" t="s">
        <v>525</v>
      </c>
    </row>
    <row r="107" spans="7:23" x14ac:dyDescent="0.15">
      <c r="G107" s="12" t="s">
        <v>525</v>
      </c>
    </row>
    <row r="108" spans="7:23" x14ac:dyDescent="0.15">
      <c r="G108" s="12" t="s">
        <v>525</v>
      </c>
    </row>
    <row r="109" spans="7:23" x14ac:dyDescent="0.15">
      <c r="G109" s="12" t="s">
        <v>525</v>
      </c>
    </row>
    <row r="110" spans="7:23" x14ac:dyDescent="0.15">
      <c r="G110" s="12" t="s">
        <v>525</v>
      </c>
    </row>
    <row r="111" spans="7:23" x14ac:dyDescent="0.15">
      <c r="G111" s="12" t="s">
        <v>525</v>
      </c>
    </row>
    <row r="112" spans="7:23" x14ac:dyDescent="0.15">
      <c r="G112" s="12" t="s">
        <v>525</v>
      </c>
    </row>
    <row r="113" spans="7:7" x14ac:dyDescent="0.15">
      <c r="G113" s="12" t="s">
        <v>525</v>
      </c>
    </row>
    <row r="114" spans="7:7" x14ac:dyDescent="0.15">
      <c r="G114" s="12" t="s">
        <v>525</v>
      </c>
    </row>
    <row r="115" spans="7:7" x14ac:dyDescent="0.15">
      <c r="G115" s="12" t="s">
        <v>525</v>
      </c>
    </row>
    <row r="116" spans="7:7" x14ac:dyDescent="0.15">
      <c r="G116" s="12" t="s">
        <v>525</v>
      </c>
    </row>
    <row r="117" spans="7:7" x14ac:dyDescent="0.15">
      <c r="G117" s="12" t="s">
        <v>525</v>
      </c>
    </row>
    <row r="118" spans="7:7" x14ac:dyDescent="0.15">
      <c r="G118" s="12" t="s">
        <v>525</v>
      </c>
    </row>
    <row r="119" spans="7:7" x14ac:dyDescent="0.15">
      <c r="G119" s="12" t="s">
        <v>525</v>
      </c>
    </row>
    <row r="120" spans="7:7" x14ac:dyDescent="0.15">
      <c r="G120" s="12" t="s">
        <v>525</v>
      </c>
    </row>
    <row r="121" spans="7:7" x14ac:dyDescent="0.15">
      <c r="G121" s="12" t="s">
        <v>525</v>
      </c>
    </row>
    <row r="122" spans="7:7" x14ac:dyDescent="0.15">
      <c r="G122" s="12" t="s">
        <v>525</v>
      </c>
    </row>
    <row r="123" spans="7:7" x14ac:dyDescent="0.15">
      <c r="G123" s="12" t="s">
        <v>525</v>
      </c>
    </row>
    <row r="124" spans="7:7" x14ac:dyDescent="0.15">
      <c r="G124" s="12" t="s">
        <v>525</v>
      </c>
    </row>
    <row r="125" spans="7:7" x14ac:dyDescent="0.15">
      <c r="G125" s="12" t="s">
        <v>432</v>
      </c>
    </row>
    <row r="126" spans="7:7" x14ac:dyDescent="0.15">
      <c r="G126" s="12" t="s">
        <v>432</v>
      </c>
    </row>
    <row r="127" spans="7:7" x14ac:dyDescent="0.15">
      <c r="G127" s="12" t="s">
        <v>432</v>
      </c>
    </row>
    <row r="128" spans="7:7" x14ac:dyDescent="0.15">
      <c r="G128" s="12" t="s">
        <v>432</v>
      </c>
    </row>
    <row r="129" spans="7:7" x14ac:dyDescent="0.15">
      <c r="G129" s="12" t="s">
        <v>432</v>
      </c>
    </row>
    <row r="130" spans="7:7" x14ac:dyDescent="0.15">
      <c r="G130" s="12" t="s">
        <v>432</v>
      </c>
    </row>
    <row r="131" spans="7:7" x14ac:dyDescent="0.15">
      <c r="G131" s="12" t="s">
        <v>432</v>
      </c>
    </row>
    <row r="132" spans="7:7" x14ac:dyDescent="0.15">
      <c r="G132" s="12" t="s">
        <v>432</v>
      </c>
    </row>
    <row r="133" spans="7:7" x14ac:dyDescent="0.15">
      <c r="G133" s="12" t="s">
        <v>432</v>
      </c>
    </row>
    <row r="134" spans="7:7" x14ac:dyDescent="0.15">
      <c r="G134" s="12" t="s">
        <v>432</v>
      </c>
    </row>
    <row r="135" spans="7:7" x14ac:dyDescent="0.15">
      <c r="G135" s="12" t="s">
        <v>432</v>
      </c>
    </row>
    <row r="136" spans="7:7" x14ac:dyDescent="0.15">
      <c r="G136" s="12" t="s">
        <v>432</v>
      </c>
    </row>
    <row r="137" spans="7:7" x14ac:dyDescent="0.15">
      <c r="G137" s="12" t="s">
        <v>432</v>
      </c>
    </row>
    <row r="138" spans="7:7" x14ac:dyDescent="0.15">
      <c r="G138" s="12" t="s">
        <v>432</v>
      </c>
    </row>
    <row r="139" spans="7:7" x14ac:dyDescent="0.15">
      <c r="G139" s="12" t="s">
        <v>432</v>
      </c>
    </row>
    <row r="140" spans="7:7" x14ac:dyDescent="0.15">
      <c r="G140" s="12" t="s">
        <v>432</v>
      </c>
    </row>
    <row r="141" spans="7:7" x14ac:dyDescent="0.15">
      <c r="G141" s="12" t="s">
        <v>432</v>
      </c>
    </row>
    <row r="142" spans="7:7" x14ac:dyDescent="0.15">
      <c r="G142" s="12" t="s">
        <v>432</v>
      </c>
    </row>
    <row r="143" spans="7:7" x14ac:dyDescent="0.15">
      <c r="G143" s="12" t="s">
        <v>432</v>
      </c>
    </row>
    <row r="144" spans="7:7" x14ac:dyDescent="0.15">
      <c r="G144" s="12" t="s">
        <v>432</v>
      </c>
    </row>
    <row r="145" spans="7:7" x14ac:dyDescent="0.15">
      <c r="G145" s="12" t="s">
        <v>432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384</v>
      </c>
      <c r="F5" s="14"/>
      <c r="G5" s="12" t="str">
        <f>$I5&amp;","&amp;$J5&amp;","&amp;$K5&amp;","&amp;$L5</f>
        <v>铁块,刀刃,,</v>
      </c>
      <c r="I5" s="12" t="s">
        <v>419</v>
      </c>
      <c r="J5" s="12" t="s">
        <v>488</v>
      </c>
      <c r="K5" s="12"/>
      <c r="L5" s="12"/>
      <c r="N5" t="s">
        <v>635</v>
      </c>
      <c r="O5" s="12"/>
      <c r="P5" s="12" t="s">
        <v>636</v>
      </c>
      <c r="Q5" s="12" t="s">
        <v>636</v>
      </c>
      <c r="T5" t="s">
        <v>635</v>
      </c>
      <c r="U5" s="12" t="s">
        <v>356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383</v>
      </c>
      <c r="F6" s="14"/>
      <c r="G6" s="12" t="str">
        <f t="shared" ref="G6:G69" si="0">$I6&amp;","&amp;$J6&amp;","&amp;$K6&amp;","&amp;$L6</f>
        <v>长剑,眼球,诅咒宝珠,</v>
      </c>
      <c r="I6" s="12" t="s">
        <v>330</v>
      </c>
      <c r="J6" s="12" t="s">
        <v>360</v>
      </c>
      <c r="K6" s="12" t="s">
        <v>477</v>
      </c>
      <c r="L6" s="12"/>
      <c r="N6" s="12" t="s">
        <v>637</v>
      </c>
      <c r="O6" s="12"/>
      <c r="P6" s="12"/>
      <c r="Q6" s="12" t="s">
        <v>636</v>
      </c>
      <c r="T6" s="12" t="s">
        <v>637</v>
      </c>
      <c r="U6" s="12" t="s">
        <v>360</v>
      </c>
      <c r="V6" s="12" t="s">
        <v>477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373</v>
      </c>
      <c r="F7" s="17"/>
      <c r="G7" s="12" t="str">
        <f t="shared" si="0"/>
        <v>长剑,火晶石,石英砂,白磷粉末</v>
      </c>
      <c r="I7" s="12" t="s">
        <v>384</v>
      </c>
      <c r="J7" s="7" t="s">
        <v>460</v>
      </c>
      <c r="K7" s="12" t="s">
        <v>445</v>
      </c>
      <c r="L7" s="12" t="s">
        <v>507</v>
      </c>
      <c r="N7" s="12" t="s">
        <v>637</v>
      </c>
      <c r="O7" s="12"/>
      <c r="P7" s="12"/>
      <c r="Q7" s="12"/>
      <c r="T7" s="12" t="s">
        <v>637</v>
      </c>
      <c r="U7" s="12" t="s">
        <v>460</v>
      </c>
      <c r="V7" s="12" t="s">
        <v>445</v>
      </c>
      <c r="W7" s="12" t="s">
        <v>507</v>
      </c>
      <c r="Z7" s="12" t="str">
        <f t="shared" si="1"/>
        <v>铁块,刀刃,,,火晶石,石英砂,白磷粉末</v>
      </c>
    </row>
    <row r="8" spans="5:26" x14ac:dyDescent="0.15">
      <c r="E8" s="14" t="s">
        <v>385</v>
      </c>
      <c r="F8" s="14"/>
      <c r="G8" s="12" t="str">
        <f t="shared" si="0"/>
        <v>长剑,土晶石,钢,粘土</v>
      </c>
      <c r="I8" s="12" t="s">
        <v>330</v>
      </c>
      <c r="J8" s="12" t="s">
        <v>454</v>
      </c>
      <c r="K8" s="12" t="s">
        <v>354</v>
      </c>
      <c r="L8" s="12" t="s">
        <v>449</v>
      </c>
      <c r="N8" s="12" t="s">
        <v>637</v>
      </c>
      <c r="O8" s="12"/>
      <c r="P8" s="12" t="s">
        <v>638</v>
      </c>
      <c r="Q8" s="12"/>
      <c r="T8" s="12" t="s">
        <v>637</v>
      </c>
      <c r="U8" s="12" t="s">
        <v>454</v>
      </c>
      <c r="V8" s="12" t="s">
        <v>638</v>
      </c>
      <c r="W8" s="12" t="s">
        <v>449</v>
      </c>
      <c r="Z8" s="12" t="str">
        <f t="shared" si="1"/>
        <v>铁块,刀刃,,,土晶石,铸造,铁块,焦炭,,粘土</v>
      </c>
    </row>
    <row r="9" spans="5:26" x14ac:dyDescent="0.15">
      <c r="E9" s="14" t="s">
        <v>382</v>
      </c>
      <c r="F9" s="14"/>
      <c r="G9" s="12" t="str">
        <f t="shared" si="0"/>
        <v>长剑,冰晶石,冰的结晶,雪球</v>
      </c>
      <c r="I9" s="12" t="s">
        <v>407</v>
      </c>
      <c r="J9" s="12" t="s">
        <v>479</v>
      </c>
      <c r="K9" s="12" t="s">
        <v>586</v>
      </c>
      <c r="L9" s="12" t="s">
        <v>408</v>
      </c>
      <c r="N9" s="12" t="s">
        <v>637</v>
      </c>
      <c r="O9" s="12"/>
      <c r="P9" s="12"/>
      <c r="Q9" s="12"/>
      <c r="T9" s="12" t="s">
        <v>637</v>
      </c>
      <c r="U9" s="12" t="s">
        <v>479</v>
      </c>
      <c r="V9" s="12" t="s">
        <v>480</v>
      </c>
      <c r="W9" s="12" t="s">
        <v>364</v>
      </c>
      <c r="Z9" s="12" t="str">
        <f t="shared" si="1"/>
        <v>铁块,刀刃,,,冰晶石,冰的结晶,雪球</v>
      </c>
    </row>
    <row r="10" spans="5:26" x14ac:dyDescent="0.15">
      <c r="E10" s="14" t="s">
        <v>389</v>
      </c>
      <c r="F10" s="14"/>
      <c r="G10" s="12" t="str">
        <f t="shared" si="0"/>
        <v>木棒,铁块,刀刃,</v>
      </c>
      <c r="I10" s="16" t="s">
        <v>347</v>
      </c>
      <c r="J10" s="16" t="s">
        <v>522</v>
      </c>
      <c r="K10" s="16" t="s">
        <v>356</v>
      </c>
      <c r="L10" s="12"/>
      <c r="N10" s="12"/>
      <c r="O10" s="12" t="s">
        <v>635</v>
      </c>
      <c r="P10" s="12"/>
      <c r="Q10" s="12" t="s">
        <v>636</v>
      </c>
      <c r="T10" s="12" t="s">
        <v>347</v>
      </c>
      <c r="U10" s="12" t="s">
        <v>635</v>
      </c>
      <c r="V10" s="12" t="s">
        <v>356</v>
      </c>
      <c r="W10" s="12"/>
      <c r="Z10" s="12" t="str">
        <f t="shared" si="1"/>
        <v>木棒,铸造,废铁,焦炭,,刀刃,</v>
      </c>
    </row>
    <row r="11" spans="5:26" x14ac:dyDescent="0.15">
      <c r="E11" s="14" t="s">
        <v>410</v>
      </c>
      <c r="F11" s="14"/>
      <c r="G11" s="12" t="str">
        <f t="shared" si="0"/>
        <v>铁枪,魔族之血,银块,蜂刺</v>
      </c>
      <c r="I11" s="1" t="s">
        <v>563</v>
      </c>
      <c r="J11" s="16" t="s">
        <v>366</v>
      </c>
      <c r="K11" s="16" t="s">
        <v>466</v>
      </c>
      <c r="L11" s="12" t="s">
        <v>367</v>
      </c>
      <c r="N11" s="12" t="s">
        <v>639</v>
      </c>
      <c r="O11" s="12"/>
      <c r="P11" s="12"/>
      <c r="Q11" s="12"/>
      <c r="T11" s="12" t="s">
        <v>639</v>
      </c>
      <c r="U11" s="12" t="s">
        <v>366</v>
      </c>
      <c r="V11" s="12" t="s">
        <v>466</v>
      </c>
      <c r="W11" s="12" t="s">
        <v>367</v>
      </c>
      <c r="Z11" s="12" t="str">
        <f t="shared" si="1"/>
        <v>木棒,铁块,刀刃,,魔族之血,银块,蜂刺</v>
      </c>
    </row>
    <row r="12" spans="5:26" x14ac:dyDescent="0.15">
      <c r="E12" s="14" t="s">
        <v>611</v>
      </c>
      <c r="F12" s="14"/>
      <c r="G12" s="12" t="str">
        <f t="shared" si="0"/>
        <v>铁枪,骑士之证,钢,</v>
      </c>
      <c r="I12" s="12" t="s">
        <v>333</v>
      </c>
      <c r="J12" s="12" t="s">
        <v>500</v>
      </c>
      <c r="K12" s="16" t="s">
        <v>573</v>
      </c>
      <c r="L12" s="12"/>
      <c r="N12" s="12" t="s">
        <v>639</v>
      </c>
      <c r="O12" s="12"/>
      <c r="P12" s="12" t="s">
        <v>638</v>
      </c>
      <c r="Q12" s="12" t="s">
        <v>636</v>
      </c>
      <c r="T12" s="12" t="s">
        <v>639</v>
      </c>
      <c r="U12" s="12" t="s">
        <v>500</v>
      </c>
      <c r="V12" s="12" t="s">
        <v>638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335</v>
      </c>
      <c r="F13" s="14"/>
      <c r="G13" s="12" t="str">
        <f t="shared" si="0"/>
        <v>铁枪,珊瑚,象牙,水晶石</v>
      </c>
      <c r="I13" s="12" t="s">
        <v>333</v>
      </c>
      <c r="J13" s="12" t="s">
        <v>362</v>
      </c>
      <c r="K13" s="12" t="s">
        <v>467</v>
      </c>
      <c r="L13" s="12" t="s">
        <v>462</v>
      </c>
      <c r="N13" s="12" t="s">
        <v>639</v>
      </c>
      <c r="O13" s="12"/>
      <c r="P13" s="12"/>
      <c r="Q13" s="12"/>
      <c r="T13" s="12" t="s">
        <v>639</v>
      </c>
      <c r="U13" s="12" t="s">
        <v>362</v>
      </c>
      <c r="V13" s="12" t="s">
        <v>467</v>
      </c>
      <c r="W13" s="12" t="s">
        <v>462</v>
      </c>
      <c r="Z13" s="12" t="str">
        <f t="shared" si="1"/>
        <v>木棒,铁块,刀刃,,珊瑚,象牙,水晶石</v>
      </c>
    </row>
    <row r="14" spans="5:26" x14ac:dyDescent="0.15">
      <c r="E14" s="9" t="s">
        <v>544</v>
      </c>
      <c r="F14" s="9"/>
      <c r="G14" s="12" t="str">
        <f t="shared" si="0"/>
        <v>银块,刀刃,咒术药水,暮光结晶</v>
      </c>
      <c r="I14" s="12" t="s">
        <v>466</v>
      </c>
      <c r="J14" s="12" t="s">
        <v>488</v>
      </c>
      <c r="K14" s="12" t="s">
        <v>476</v>
      </c>
      <c r="L14" s="12" t="s">
        <v>559</v>
      </c>
      <c r="N14" s="12"/>
      <c r="O14" s="12"/>
      <c r="P14" s="12"/>
      <c r="Q14" s="12"/>
      <c r="T14" s="12" t="s">
        <v>466</v>
      </c>
      <c r="U14" s="12" t="s">
        <v>356</v>
      </c>
      <c r="V14" s="12" t="s">
        <v>476</v>
      </c>
      <c r="W14" s="12" t="s">
        <v>559</v>
      </c>
      <c r="Z14" s="12" t="str">
        <f t="shared" si="1"/>
        <v>银块,刀刃,咒术药水,暮光结晶</v>
      </c>
    </row>
    <row r="15" spans="5:26" x14ac:dyDescent="0.15">
      <c r="E15" s="9" t="s">
        <v>545</v>
      </c>
      <c r="F15" s="9"/>
      <c r="G15" s="12" t="str">
        <f t="shared" si="0"/>
        <v>幻影水晶,铁枪,夜之幕,风晶石</v>
      </c>
      <c r="I15" s="12" t="s">
        <v>511</v>
      </c>
      <c r="J15" s="12" t="s">
        <v>333</v>
      </c>
      <c r="K15" s="12" t="s">
        <v>596</v>
      </c>
      <c r="L15" s="12" t="s">
        <v>447</v>
      </c>
      <c r="N15" s="12"/>
      <c r="O15" s="12" t="s">
        <v>639</v>
      </c>
      <c r="P15" s="12"/>
      <c r="Q15" s="12"/>
      <c r="T15" s="12" t="s">
        <v>511</v>
      </c>
      <c r="U15" s="12" t="s">
        <v>639</v>
      </c>
      <c r="V15" s="12" t="s">
        <v>481</v>
      </c>
      <c r="W15" s="12" t="s">
        <v>447</v>
      </c>
      <c r="Z15" s="12" t="str">
        <f t="shared" si="1"/>
        <v>幻影水晶,木棒,铁块,刀刃,,夜之幕,风晶石</v>
      </c>
    </row>
    <row r="16" spans="5:26" x14ac:dyDescent="0.15">
      <c r="E16" s="14" t="s">
        <v>518</v>
      </c>
      <c r="F16" s="14"/>
      <c r="G16" s="12" t="str">
        <f t="shared" si="0"/>
        <v>钢,刀刃,兽角,</v>
      </c>
      <c r="I16" s="12" t="s">
        <v>354</v>
      </c>
      <c r="J16" s="12" t="s">
        <v>356</v>
      </c>
      <c r="K16" s="12" t="s">
        <v>576</v>
      </c>
      <c r="L16" s="12"/>
      <c r="N16" s="12" t="s">
        <v>638</v>
      </c>
      <c r="O16" s="12"/>
      <c r="P16" s="12"/>
      <c r="Q16" s="12" t="s">
        <v>636</v>
      </c>
      <c r="T16" s="12" t="s">
        <v>638</v>
      </c>
      <c r="U16" s="12" t="s">
        <v>356</v>
      </c>
      <c r="V16" s="12" t="s">
        <v>363</v>
      </c>
      <c r="W16" s="12"/>
      <c r="Z16" s="12" t="str">
        <f t="shared" si="1"/>
        <v>铸造,铁块,焦炭,,刀刃,兽角,</v>
      </c>
    </row>
    <row r="17" spans="5:26" x14ac:dyDescent="0.15">
      <c r="E17" s="14" t="s">
        <v>388</v>
      </c>
      <c r="F17" s="14"/>
      <c r="G17" s="12" t="str">
        <f t="shared" si="0"/>
        <v>战斧,毒淤泥,狼牙,</v>
      </c>
      <c r="I17" s="12" t="s">
        <v>518</v>
      </c>
      <c r="J17" s="12" t="s">
        <v>564</v>
      </c>
      <c r="K17" s="12" t="s">
        <v>370</v>
      </c>
      <c r="L17" s="12"/>
      <c r="N17" s="12" t="s">
        <v>640</v>
      </c>
      <c r="O17" s="12"/>
      <c r="P17" s="12"/>
      <c r="Q17" s="12" t="s">
        <v>636</v>
      </c>
      <c r="T17" s="12" t="s">
        <v>640</v>
      </c>
      <c r="U17" s="12" t="s">
        <v>474</v>
      </c>
      <c r="V17" s="12" t="s">
        <v>370</v>
      </c>
      <c r="W17" s="12"/>
      <c r="Z17" s="12" t="str">
        <f t="shared" si="1"/>
        <v>钢,刀刃,兽角,,毒淤泥,狼牙,</v>
      </c>
    </row>
    <row r="18" spans="5:26" x14ac:dyDescent="0.15">
      <c r="E18" s="14" t="s">
        <v>387</v>
      </c>
      <c r="F18" s="14"/>
      <c r="G18" s="12" t="str">
        <f t="shared" si="0"/>
        <v>战斧,魔族之血,人狼之证,石化之眼</v>
      </c>
      <c r="I18" s="12" t="s">
        <v>336</v>
      </c>
      <c r="J18" s="12" t="s">
        <v>366</v>
      </c>
      <c r="K18" s="12" t="s">
        <v>478</v>
      </c>
      <c r="L18" s="12" t="s">
        <v>368</v>
      </c>
      <c r="N18" s="12" t="s">
        <v>640</v>
      </c>
      <c r="O18" s="12"/>
      <c r="P18" s="12"/>
      <c r="Q18" s="12"/>
      <c r="T18" s="12" t="s">
        <v>640</v>
      </c>
      <c r="U18" s="12" t="s">
        <v>366</v>
      </c>
      <c r="V18" s="12" t="s">
        <v>478</v>
      </c>
      <c r="W18" s="12" t="s">
        <v>368</v>
      </c>
      <c r="Z18" s="12" t="str">
        <f t="shared" si="1"/>
        <v>钢,刀刃,兽角,,魔族之血,人狼之证,石化之眼</v>
      </c>
    </row>
    <row r="19" spans="5:26" x14ac:dyDescent="0.15">
      <c r="E19" s="14" t="s">
        <v>386</v>
      </c>
      <c r="F19" s="14"/>
      <c r="G19" s="12" t="str">
        <f t="shared" si="0"/>
        <v>战斧,雪球,冰晶石,寒冰气息</v>
      </c>
      <c r="I19" s="12" t="s">
        <v>336</v>
      </c>
      <c r="J19" s="12" t="s">
        <v>364</v>
      </c>
      <c r="K19" s="12" t="s">
        <v>479</v>
      </c>
      <c r="L19" s="12" t="s">
        <v>484</v>
      </c>
      <c r="N19" s="12" t="s">
        <v>640</v>
      </c>
      <c r="O19" s="12"/>
      <c r="P19" s="12"/>
      <c r="Q19" s="12"/>
      <c r="T19" s="12" t="s">
        <v>640</v>
      </c>
      <c r="U19" s="12" t="s">
        <v>364</v>
      </c>
      <c r="V19" s="12" t="s">
        <v>479</v>
      </c>
      <c r="W19" s="12" t="s">
        <v>484</v>
      </c>
      <c r="Z19" s="12" t="str">
        <f t="shared" si="1"/>
        <v>钢,刀刃,兽角,,雪球,冰晶石,寒冰气息</v>
      </c>
    </row>
    <row r="20" spans="5:26" x14ac:dyDescent="0.15">
      <c r="E20" s="14" t="s">
        <v>579</v>
      </c>
      <c r="F20" s="14"/>
      <c r="G20" s="12" t="str">
        <f t="shared" si="0"/>
        <v>蛇皮,马尾,蛛丝,</v>
      </c>
      <c r="I20" s="12" t="s">
        <v>350</v>
      </c>
      <c r="J20" s="12" t="s">
        <v>570</v>
      </c>
      <c r="K20" s="12" t="s">
        <v>583</v>
      </c>
      <c r="L20" s="12"/>
      <c r="N20" s="12"/>
      <c r="O20" s="12"/>
      <c r="P20" s="12"/>
      <c r="Q20" s="12" t="s">
        <v>636</v>
      </c>
      <c r="T20" s="12" t="s">
        <v>350</v>
      </c>
      <c r="U20" s="12" t="s">
        <v>359</v>
      </c>
      <c r="V20" s="12" t="s">
        <v>357</v>
      </c>
      <c r="W20" s="12"/>
      <c r="Z20" s="12" t="str">
        <f t="shared" si="1"/>
        <v>蛇皮,马尾,蛛丝,</v>
      </c>
    </row>
    <row r="21" spans="5:26" x14ac:dyDescent="0.15">
      <c r="E21" s="14" t="s">
        <v>571</v>
      </c>
      <c r="F21" s="14"/>
      <c r="G21" s="12" t="str">
        <f t="shared" si="0"/>
        <v>植物的藤,马尾,蛛丝,</v>
      </c>
      <c r="I21" s="12" t="s">
        <v>456</v>
      </c>
      <c r="J21" s="12" t="s">
        <v>359</v>
      </c>
      <c r="K21" s="12" t="s">
        <v>583</v>
      </c>
      <c r="L21" s="12"/>
      <c r="N21" s="12"/>
      <c r="O21" s="12"/>
      <c r="P21" s="12"/>
      <c r="Q21" s="12" t="s">
        <v>636</v>
      </c>
      <c r="T21" s="12" t="s">
        <v>456</v>
      </c>
      <c r="U21" s="12" t="s">
        <v>359</v>
      </c>
      <c r="V21" s="12" t="s">
        <v>357</v>
      </c>
      <c r="W21" s="12"/>
      <c r="Z21" s="12" t="str">
        <f t="shared" si="1"/>
        <v>植物的藤,马尾,蛛丝,</v>
      </c>
    </row>
    <row r="22" spans="5:26" x14ac:dyDescent="0.15">
      <c r="E22" s="14" t="s">
        <v>598</v>
      </c>
      <c r="F22" s="14"/>
      <c r="G22" s="12" t="str">
        <f t="shared" si="0"/>
        <v>藤鞭,尖刺,幽魂,</v>
      </c>
      <c r="I22" s="12" t="s">
        <v>340</v>
      </c>
      <c r="J22" s="12" t="s">
        <v>561</v>
      </c>
      <c r="K22" s="12" t="s">
        <v>371</v>
      </c>
      <c r="L22" s="12"/>
      <c r="N22" s="12" t="s">
        <v>641</v>
      </c>
      <c r="O22" s="12"/>
      <c r="P22" s="12"/>
      <c r="Q22" s="12" t="s">
        <v>636</v>
      </c>
      <c r="T22" s="12" t="s">
        <v>641</v>
      </c>
      <c r="U22" s="12" t="s">
        <v>450</v>
      </c>
      <c r="V22" s="12" t="s">
        <v>371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597</v>
      </c>
      <c r="F23" s="14"/>
      <c r="G23" s="12" t="str">
        <f t="shared" si="0"/>
        <v>蛇皮鞭,狼牙,,</v>
      </c>
      <c r="I23" s="12" t="s">
        <v>339</v>
      </c>
      <c r="J23" s="12" t="s">
        <v>405</v>
      </c>
      <c r="K23" s="12"/>
      <c r="L23" s="12"/>
      <c r="N23" s="12" t="s">
        <v>642</v>
      </c>
      <c r="O23" s="12"/>
      <c r="P23" s="12" t="s">
        <v>642</v>
      </c>
      <c r="Q23" s="12" t="s">
        <v>636</v>
      </c>
      <c r="T23" s="12" t="s">
        <v>642</v>
      </c>
      <c r="U23" s="12" t="s">
        <v>370</v>
      </c>
      <c r="V23" s="12" t="s">
        <v>642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548</v>
      </c>
      <c r="F24" s="9"/>
      <c r="G24" s="12" t="str">
        <f t="shared" si="0"/>
        <v>雷鸣宝珠,电偶瓶,蜂刺,女王鞭</v>
      </c>
      <c r="I24" s="12" t="s">
        <v>508</v>
      </c>
      <c r="J24" s="12" t="s">
        <v>458</v>
      </c>
      <c r="K24" s="12" t="s">
        <v>569</v>
      </c>
      <c r="L24" s="12" t="s">
        <v>393</v>
      </c>
      <c r="N24" s="12"/>
      <c r="O24" s="12"/>
      <c r="P24" s="12"/>
      <c r="Q24" s="12" t="s">
        <v>654</v>
      </c>
      <c r="T24" s="12" t="s">
        <v>508</v>
      </c>
      <c r="U24" s="12" t="s">
        <v>458</v>
      </c>
      <c r="V24" s="12" t="s">
        <v>367</v>
      </c>
      <c r="W24" s="12" t="s">
        <v>653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547</v>
      </c>
      <c r="F25" s="9"/>
      <c r="G25" s="12" t="str">
        <f t="shared" si="0"/>
        <v>脏绷带,亡者之土,寒冰火种,蛇牙鞭</v>
      </c>
      <c r="I25" s="12" t="s">
        <v>469</v>
      </c>
      <c r="J25" s="12" t="s">
        <v>606</v>
      </c>
      <c r="K25" s="12" t="s">
        <v>485</v>
      </c>
      <c r="L25" s="12" t="s">
        <v>341</v>
      </c>
      <c r="N25" s="12"/>
      <c r="O25" s="12"/>
      <c r="P25" s="12"/>
      <c r="Q25" s="12" t="s">
        <v>656</v>
      </c>
      <c r="T25" s="12" t="s">
        <v>469</v>
      </c>
      <c r="U25" s="12" t="s">
        <v>475</v>
      </c>
      <c r="V25" s="12" t="s">
        <v>485</v>
      </c>
      <c r="W25" s="12" t="s">
        <v>655</v>
      </c>
      <c r="Z25" s="12" t="str">
        <f t="shared" si="1"/>
        <v>脏绷带,亡者之土,寒冰火种,蛇皮,马尾,蛛丝,,狼牙,</v>
      </c>
    </row>
    <row r="26" spans="5:26" x14ac:dyDescent="0.15">
      <c r="E26" s="17" t="s">
        <v>607</v>
      </c>
      <c r="F26" s="17"/>
      <c r="G26" s="12" t="str">
        <f t="shared" si="0"/>
        <v>布片,毛线,,</v>
      </c>
      <c r="I26" s="12" t="s">
        <v>404</v>
      </c>
      <c r="J26" s="12" t="s">
        <v>582</v>
      </c>
      <c r="K26" s="12"/>
      <c r="L26" s="12"/>
      <c r="N26" s="12" t="s">
        <v>643</v>
      </c>
      <c r="O26" s="12" t="s">
        <v>644</v>
      </c>
      <c r="P26" s="12" t="s">
        <v>636</v>
      </c>
      <c r="Q26" s="12" t="s">
        <v>636</v>
      </c>
      <c r="T26" s="12" t="s">
        <v>643</v>
      </c>
      <c r="U26" s="12" t="s">
        <v>644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600</v>
      </c>
      <c r="F27" s="17"/>
      <c r="G27" s="12" t="str">
        <f t="shared" si="0"/>
        <v>皮革,粘液,蛛丝,</v>
      </c>
      <c r="I27" s="12" t="s">
        <v>584</v>
      </c>
      <c r="J27" s="12" t="s">
        <v>574</v>
      </c>
      <c r="K27" s="12" t="s">
        <v>601</v>
      </c>
      <c r="L27" s="12"/>
      <c r="N27" s="12" t="s">
        <v>645</v>
      </c>
      <c r="O27" s="12"/>
      <c r="P27" s="12"/>
      <c r="Q27" s="12" t="s">
        <v>636</v>
      </c>
      <c r="T27" s="12" t="s">
        <v>645</v>
      </c>
      <c r="U27" s="12" t="s">
        <v>526</v>
      </c>
      <c r="V27" s="12" t="s">
        <v>357</v>
      </c>
      <c r="W27" s="12"/>
      <c r="Z27" s="12" t="str">
        <f t="shared" si="1"/>
        <v>鞣制,兽皮,,,粘液,蛛丝,</v>
      </c>
    </row>
    <row r="28" spans="5:26" x14ac:dyDescent="0.15">
      <c r="E28" s="17" t="s">
        <v>374</v>
      </c>
      <c r="F28" s="17"/>
      <c r="G28" s="12" t="str">
        <f t="shared" si="0"/>
        <v>皮铠,珊瑚,钢,</v>
      </c>
      <c r="I28" s="12" t="s">
        <v>349</v>
      </c>
      <c r="J28" s="12" t="s">
        <v>362</v>
      </c>
      <c r="K28" s="12" t="s">
        <v>354</v>
      </c>
      <c r="L28" s="12"/>
      <c r="N28" s="12" t="s">
        <v>646</v>
      </c>
      <c r="O28" s="12"/>
      <c r="P28" s="12" t="s">
        <v>638</v>
      </c>
      <c r="Q28" s="12" t="s">
        <v>636</v>
      </c>
      <c r="T28" s="12" t="s">
        <v>646</v>
      </c>
      <c r="U28" s="12" t="s">
        <v>362</v>
      </c>
      <c r="V28" s="12" t="s">
        <v>638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343</v>
      </c>
      <c r="F29" s="17"/>
      <c r="G29" s="12" t="str">
        <f t="shared" si="0"/>
        <v>皮铠,魔兽皮毛,羊毛,</v>
      </c>
      <c r="I29" s="12" t="s">
        <v>349</v>
      </c>
      <c r="J29" s="12" t="s">
        <v>348</v>
      </c>
      <c r="K29" s="12" t="s">
        <v>358</v>
      </c>
      <c r="L29" s="12"/>
      <c r="N29" s="12" t="s">
        <v>646</v>
      </c>
      <c r="O29" s="12"/>
      <c r="P29" s="12"/>
      <c r="Q29" s="12" t="s">
        <v>636</v>
      </c>
      <c r="T29" s="12" t="s">
        <v>646</v>
      </c>
      <c r="U29" s="12" t="s">
        <v>348</v>
      </c>
      <c r="V29" s="12" t="s">
        <v>358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603</v>
      </c>
      <c r="F30" s="17"/>
      <c r="G30" s="12" t="str">
        <f t="shared" si="0"/>
        <v>铁块,石英砂,,</v>
      </c>
      <c r="I30" s="12" t="s">
        <v>522</v>
      </c>
      <c r="J30" s="12" t="s">
        <v>445</v>
      </c>
      <c r="K30" s="12"/>
      <c r="L30" s="12"/>
      <c r="N30" s="12" t="s">
        <v>635</v>
      </c>
      <c r="O30" s="12"/>
      <c r="P30" s="12" t="s">
        <v>636</v>
      </c>
      <c r="Q30" s="12" t="s">
        <v>636</v>
      </c>
      <c r="T30" s="12" t="s">
        <v>635</v>
      </c>
      <c r="U30" s="12" t="s">
        <v>445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375</v>
      </c>
      <c r="F31" s="17"/>
      <c r="G31" s="12" t="str">
        <f t="shared" si="0"/>
        <v>铁铠甲,遗骨,火晶石,魔力之土</v>
      </c>
      <c r="I31" s="12" t="s">
        <v>353</v>
      </c>
      <c r="J31" s="12" t="s">
        <v>568</v>
      </c>
      <c r="K31" s="12" t="s">
        <v>460</v>
      </c>
      <c r="L31" s="12" t="s">
        <v>557</v>
      </c>
      <c r="N31" s="12" t="s">
        <v>647</v>
      </c>
      <c r="O31" s="12"/>
      <c r="P31" s="12"/>
      <c r="Q31" s="12"/>
      <c r="T31" s="12" t="s">
        <v>647</v>
      </c>
      <c r="U31" s="12" t="s">
        <v>472</v>
      </c>
      <c r="V31" s="12" t="s">
        <v>460</v>
      </c>
      <c r="W31" s="12" t="s">
        <v>557</v>
      </c>
      <c r="Z31" s="12" t="str">
        <f t="shared" si="1"/>
        <v>铁块,石英砂,,,遗骨,火晶石,魔力之土</v>
      </c>
    </row>
    <row r="32" spans="5:26" x14ac:dyDescent="0.15">
      <c r="E32" s="17" t="s">
        <v>560</v>
      </c>
      <c r="F32" s="17"/>
      <c r="G32" s="12" t="str">
        <f t="shared" si="0"/>
        <v>龟壳,铁铠甲,琥珀,</v>
      </c>
      <c r="I32" s="12" t="s">
        <v>444</v>
      </c>
      <c r="J32" s="12" t="s">
        <v>353</v>
      </c>
      <c r="K32" s="12" t="s">
        <v>448</v>
      </c>
      <c r="L32" s="12"/>
      <c r="N32" s="12"/>
      <c r="O32" s="12" t="s">
        <v>647</v>
      </c>
      <c r="P32" s="12"/>
      <c r="Q32" s="12" t="s">
        <v>636</v>
      </c>
      <c r="T32" s="12" t="s">
        <v>444</v>
      </c>
      <c r="U32" s="12" t="s">
        <v>647</v>
      </c>
      <c r="V32" s="12" t="s">
        <v>448</v>
      </c>
      <c r="W32" s="12"/>
      <c r="Z32" s="12" t="str">
        <f t="shared" si="1"/>
        <v>龟壳,铁块,石英砂,,,琥珀,</v>
      </c>
    </row>
    <row r="33" spans="5:26" x14ac:dyDescent="0.15">
      <c r="E33" s="17" t="s">
        <v>344</v>
      </c>
      <c r="F33" s="17"/>
      <c r="G33" s="12" t="str">
        <f t="shared" si="0"/>
        <v>彩色的布,彩色羽毛,毛线,</v>
      </c>
      <c r="I33" s="12" t="s">
        <v>562</v>
      </c>
      <c r="J33" s="12" t="s">
        <v>361</v>
      </c>
      <c r="K33" s="12" t="s">
        <v>582</v>
      </c>
      <c r="L33" s="12"/>
      <c r="N33" s="12"/>
      <c r="O33" s="12"/>
      <c r="P33" s="12" t="s">
        <v>644</v>
      </c>
      <c r="Q33" s="12" t="s">
        <v>636</v>
      </c>
      <c r="T33" s="12" t="s">
        <v>555</v>
      </c>
      <c r="U33" s="12" t="s">
        <v>361</v>
      </c>
      <c r="V33" s="12" t="s">
        <v>644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345</v>
      </c>
      <c r="F34" s="17"/>
      <c r="G34" s="12" t="str">
        <f t="shared" si="0"/>
        <v>鳞片,粘液,皮革,</v>
      </c>
      <c r="I34" s="12" t="s">
        <v>516</v>
      </c>
      <c r="J34" s="12" t="s">
        <v>574</v>
      </c>
      <c r="K34" s="12" t="s">
        <v>584</v>
      </c>
      <c r="L34" s="12"/>
      <c r="N34" s="12"/>
      <c r="O34" s="12"/>
      <c r="P34" s="12" t="s">
        <v>645</v>
      </c>
      <c r="Q34" s="12" t="s">
        <v>636</v>
      </c>
      <c r="T34" s="12" t="s">
        <v>516</v>
      </c>
      <c r="U34" s="12" t="s">
        <v>526</v>
      </c>
      <c r="V34" s="12" t="s">
        <v>645</v>
      </c>
      <c r="W34" s="12"/>
      <c r="Z34" s="12" t="str">
        <f t="shared" si="1"/>
        <v>鳞片,粘液,鞣制,兽皮,,,</v>
      </c>
    </row>
    <row r="35" spans="5:26" x14ac:dyDescent="0.15">
      <c r="E35" s="17" t="s">
        <v>380</v>
      </c>
      <c r="F35" s="17"/>
      <c r="G35" s="12" t="str">
        <f t="shared" si="0"/>
        <v>夜之幕,毛线,亡者之土,幽魂</v>
      </c>
      <c r="I35" s="12" t="s">
        <v>517</v>
      </c>
      <c r="J35" s="12" t="s">
        <v>582</v>
      </c>
      <c r="K35" s="12" t="s">
        <v>409</v>
      </c>
      <c r="L35" s="12" t="s">
        <v>371</v>
      </c>
      <c r="N35" s="12"/>
      <c r="O35" s="12" t="s">
        <v>644</v>
      </c>
      <c r="P35" s="12"/>
      <c r="Q35" s="12"/>
      <c r="T35" s="12" t="s">
        <v>481</v>
      </c>
      <c r="U35" s="12" t="s">
        <v>644</v>
      </c>
      <c r="V35" s="12" t="s">
        <v>475</v>
      </c>
      <c r="W35" s="12" t="s">
        <v>371</v>
      </c>
      <c r="Z35" s="12" t="str">
        <f t="shared" si="1"/>
        <v>夜之幕,纺线,羊毛,,,亡者之土,幽魂</v>
      </c>
    </row>
    <row r="36" spans="5:26" x14ac:dyDescent="0.15">
      <c r="E36" s="17" t="s">
        <v>381</v>
      </c>
      <c r="F36" s="17"/>
      <c r="G36" s="12" t="str">
        <f t="shared" si="0"/>
        <v>布衣,风晶石,奇美拉之翼,</v>
      </c>
      <c r="I36" s="12" t="s">
        <v>351</v>
      </c>
      <c r="J36" s="12" t="s">
        <v>447</v>
      </c>
      <c r="K36" s="12" t="s">
        <v>524</v>
      </c>
      <c r="L36" s="12"/>
      <c r="N36" s="12" t="s">
        <v>648</v>
      </c>
      <c r="O36" s="12"/>
      <c r="P36" s="12"/>
      <c r="Q36" s="12" t="s">
        <v>636</v>
      </c>
      <c r="T36" s="12" t="s">
        <v>648</v>
      </c>
      <c r="U36" s="12" t="s">
        <v>447</v>
      </c>
      <c r="V36" s="12" t="s">
        <v>369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377</v>
      </c>
      <c r="F37" s="17"/>
      <c r="G37" s="12" t="str">
        <f t="shared" si="0"/>
        <v>皮铠,水晶球,金块,兽角</v>
      </c>
      <c r="I37" s="12" t="s">
        <v>600</v>
      </c>
      <c r="J37" s="12" t="s">
        <v>365</v>
      </c>
      <c r="K37" s="12" t="s">
        <v>372</v>
      </c>
      <c r="L37" s="12" t="s">
        <v>363</v>
      </c>
      <c r="N37" s="12" t="s">
        <v>646</v>
      </c>
      <c r="O37" s="12"/>
      <c r="P37" s="12"/>
      <c r="Q37" s="12"/>
      <c r="T37" s="12" t="s">
        <v>646</v>
      </c>
      <c r="U37" s="12" t="s">
        <v>365</v>
      </c>
      <c r="V37" s="12" t="s">
        <v>372</v>
      </c>
      <c r="W37" s="12" t="s">
        <v>363</v>
      </c>
      <c r="Z37" s="12" t="str">
        <f t="shared" si="1"/>
        <v>皮革,粘液,蛛丝,,水晶球,金块,兽角</v>
      </c>
    </row>
    <row r="38" spans="5:26" x14ac:dyDescent="0.15">
      <c r="E38" s="17" t="s">
        <v>376</v>
      </c>
      <c r="F38" s="17"/>
      <c r="G38" s="12" t="str">
        <f t="shared" si="0"/>
        <v>铁铠甲,刀刃,钢,土晶石</v>
      </c>
      <c r="I38" s="12" t="s">
        <v>353</v>
      </c>
      <c r="J38" s="12" t="s">
        <v>356</v>
      </c>
      <c r="K38" s="12" t="s">
        <v>406</v>
      </c>
      <c r="L38" s="12" t="s">
        <v>454</v>
      </c>
      <c r="N38" s="12" t="s">
        <v>647</v>
      </c>
      <c r="O38" s="12"/>
      <c r="P38" s="12" t="s">
        <v>638</v>
      </c>
      <c r="Q38" s="12"/>
      <c r="T38" s="12" t="s">
        <v>647</v>
      </c>
      <c r="U38" s="12" t="s">
        <v>356</v>
      </c>
      <c r="V38" s="12" t="s">
        <v>638</v>
      </c>
      <c r="W38" s="12" t="s">
        <v>454</v>
      </c>
      <c r="Z38" s="12" t="str">
        <f t="shared" si="1"/>
        <v>铁块,石英砂,,,刀刃,铸造,铁块,焦炭,,土晶石</v>
      </c>
    </row>
    <row r="39" spans="5:26" x14ac:dyDescent="0.15">
      <c r="E39" s="17" t="s">
        <v>378</v>
      </c>
      <c r="F39" s="17"/>
      <c r="G39" s="12" t="str">
        <f t="shared" si="0"/>
        <v>布片,蛛丝,彩色羽毛,</v>
      </c>
      <c r="I39" s="12" t="s">
        <v>352</v>
      </c>
      <c r="J39" s="12" t="s">
        <v>357</v>
      </c>
      <c r="K39" s="12" t="s">
        <v>361</v>
      </c>
      <c r="L39" s="12"/>
      <c r="N39" s="12" t="s">
        <v>643</v>
      </c>
      <c r="O39" s="12"/>
      <c r="P39" s="12"/>
      <c r="Q39" s="12" t="s">
        <v>636</v>
      </c>
      <c r="T39" s="12" t="s">
        <v>643</v>
      </c>
      <c r="U39" s="12" t="s">
        <v>357</v>
      </c>
      <c r="V39" s="12" t="s">
        <v>361</v>
      </c>
      <c r="W39" s="12"/>
      <c r="Z39" s="12" t="str">
        <f t="shared" si="1"/>
        <v>纺织,毛线,,,蛛丝,彩色羽毛,</v>
      </c>
    </row>
    <row r="40" spans="5:26" x14ac:dyDescent="0.15">
      <c r="E40" s="17" t="s">
        <v>379</v>
      </c>
      <c r="F40" s="17"/>
      <c r="G40" s="12" t="str">
        <f t="shared" si="0"/>
        <v>布衣,水晶石,防水皮革,</v>
      </c>
      <c r="I40" s="12" t="s">
        <v>351</v>
      </c>
      <c r="J40" s="12" t="s">
        <v>527</v>
      </c>
      <c r="K40" s="7" t="s">
        <v>532</v>
      </c>
      <c r="L40" s="12"/>
      <c r="N40" s="12" t="s">
        <v>648</v>
      </c>
      <c r="O40" s="12"/>
      <c r="P40" s="12"/>
      <c r="Q40" s="12" t="s">
        <v>636</v>
      </c>
      <c r="T40" s="12" t="s">
        <v>648</v>
      </c>
      <c r="U40" s="12" t="s">
        <v>462</v>
      </c>
      <c r="V40" s="12" t="s">
        <v>554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390</v>
      </c>
      <c r="F41" s="17"/>
      <c r="G41" s="12" t="str">
        <f t="shared" si="0"/>
        <v>华丽背心,贵族徽章,珍珠,金块</v>
      </c>
      <c r="I41" s="12" t="s">
        <v>355</v>
      </c>
      <c r="J41" s="12" t="s">
        <v>502</v>
      </c>
      <c r="K41" s="12" t="s">
        <v>463</v>
      </c>
      <c r="L41" s="12" t="s">
        <v>372</v>
      </c>
      <c r="N41" s="12" t="s">
        <v>649</v>
      </c>
      <c r="O41" s="12"/>
      <c r="P41" s="12"/>
      <c r="Q41" s="12"/>
      <c r="T41" s="12" t="s">
        <v>649</v>
      </c>
      <c r="U41" s="12" t="s">
        <v>502</v>
      </c>
      <c r="V41" s="12" t="s">
        <v>463</v>
      </c>
      <c r="W41" s="12" t="s">
        <v>372</v>
      </c>
      <c r="Z41" s="12" t="str">
        <f t="shared" si="1"/>
        <v>彩色的布,彩色羽毛,毛线,,贵族徽章,珍珠,金块</v>
      </c>
    </row>
    <row r="42" spans="5:26" x14ac:dyDescent="0.15">
      <c r="E42" s="18" t="s">
        <v>550</v>
      </c>
      <c r="F42" s="18"/>
      <c r="G42" s="12" t="str">
        <f t="shared" si="0"/>
        <v>远古的硬币,布衣,脏绷带,暮光结晶</v>
      </c>
      <c r="I42" s="12" t="s">
        <v>470</v>
      </c>
      <c r="J42" s="12" t="s">
        <v>351</v>
      </c>
      <c r="K42" s="12" t="s">
        <v>469</v>
      </c>
      <c r="L42" s="12" t="s">
        <v>559</v>
      </c>
      <c r="N42" s="12"/>
      <c r="O42" s="12" t="s">
        <v>648</v>
      </c>
      <c r="P42" s="12"/>
      <c r="Q42" s="12"/>
      <c r="T42" s="12" t="s">
        <v>470</v>
      </c>
      <c r="U42" s="12" t="s">
        <v>648</v>
      </c>
      <c r="V42" s="12" t="s">
        <v>469</v>
      </c>
      <c r="W42" s="12" t="s">
        <v>559</v>
      </c>
      <c r="Z42" s="12" t="str">
        <f t="shared" si="1"/>
        <v>远古的硬币,布片,毛线,,,脏绷带,暮光结晶</v>
      </c>
    </row>
    <row r="43" spans="5:26" x14ac:dyDescent="0.15">
      <c r="E43" s="18" t="s">
        <v>426</v>
      </c>
      <c r="F43" s="18"/>
      <c r="G43" s="12" t="str">
        <f>$I43&amp;","&amp;$J43&amp;","&amp;$K43&amp;","&amp;$L43</f>
        <v>布片,鹿角,粘液,</v>
      </c>
      <c r="I43" s="12" t="s">
        <v>434</v>
      </c>
      <c r="J43" s="12" t="s">
        <v>457</v>
      </c>
      <c r="K43" s="12" t="s">
        <v>526</v>
      </c>
      <c r="L43" s="12"/>
      <c r="N43" s="12" t="s">
        <v>643</v>
      </c>
      <c r="O43" s="12"/>
      <c r="P43" s="12"/>
      <c r="Q43" s="12" t="s">
        <v>636</v>
      </c>
      <c r="T43" s="12" t="s">
        <v>643</v>
      </c>
      <c r="U43" s="12" t="s">
        <v>457</v>
      </c>
      <c r="V43" s="12" t="s">
        <v>526</v>
      </c>
      <c r="W43" s="12"/>
      <c r="Z43" s="12" t="str">
        <f t="shared" si="1"/>
        <v>纺织,毛线,,,鹿角,粘液,</v>
      </c>
    </row>
    <row r="44" spans="5:26" x14ac:dyDescent="0.15">
      <c r="E44" s="18" t="s">
        <v>577</v>
      </c>
      <c r="F44" s="18"/>
      <c r="G44" s="12" t="str">
        <f t="shared" si="0"/>
        <v>皮革,鹿角,粘液,</v>
      </c>
      <c r="I44" s="12" t="s">
        <v>440</v>
      </c>
      <c r="J44" s="12" t="s">
        <v>457</v>
      </c>
      <c r="K44" s="12" t="s">
        <v>526</v>
      </c>
      <c r="L44" s="12"/>
      <c r="N44" s="12" t="s">
        <v>645</v>
      </c>
      <c r="O44" s="12"/>
      <c r="P44" s="12"/>
      <c r="Q44" s="12" t="s">
        <v>636</v>
      </c>
      <c r="T44" s="12" t="s">
        <v>645</v>
      </c>
      <c r="U44" s="12" t="s">
        <v>457</v>
      </c>
      <c r="V44" s="12" t="s">
        <v>526</v>
      </c>
      <c r="W44" s="12"/>
      <c r="Z44" s="12" t="str">
        <f t="shared" si="1"/>
        <v>鞣制,兽皮,,,鹿角,粘液,</v>
      </c>
    </row>
    <row r="45" spans="5:26" x14ac:dyDescent="0.15">
      <c r="E45" s="18" t="s">
        <v>435</v>
      </c>
      <c r="F45" s="18"/>
      <c r="G45" s="12" t="str">
        <f t="shared" si="0"/>
        <v>铁块,琥珀,龟壳,</v>
      </c>
      <c r="I45" s="12" t="s">
        <v>419</v>
      </c>
      <c r="J45" s="12" t="s">
        <v>566</v>
      </c>
      <c r="K45" s="12" t="s">
        <v>444</v>
      </c>
      <c r="L45" s="12"/>
      <c r="N45" s="12" t="s">
        <v>635</v>
      </c>
      <c r="O45" s="12"/>
      <c r="P45" s="12"/>
      <c r="Q45" s="12" t="s">
        <v>636</v>
      </c>
      <c r="T45" s="12" t="s">
        <v>635</v>
      </c>
      <c r="U45" s="12" t="s">
        <v>448</v>
      </c>
      <c r="V45" s="12" t="s">
        <v>444</v>
      </c>
      <c r="W45" s="12"/>
      <c r="Z45" s="12" t="str">
        <f t="shared" si="1"/>
        <v>铸造,废铁,焦炭,,琥珀,龟壳,</v>
      </c>
    </row>
    <row r="46" spans="5:26" x14ac:dyDescent="0.15">
      <c r="E46" s="18" t="s">
        <v>594</v>
      </c>
      <c r="F46" s="18"/>
      <c r="G46" s="12" t="str">
        <f t="shared" si="0"/>
        <v>皮鞋,鳞片,蛇皮,</v>
      </c>
      <c r="I46" s="12" t="s">
        <v>422</v>
      </c>
      <c r="J46" s="12" t="s">
        <v>516</v>
      </c>
      <c r="K46" s="12" t="s">
        <v>350</v>
      </c>
      <c r="L46" s="12"/>
      <c r="N46" s="12" t="s">
        <v>650</v>
      </c>
      <c r="O46" s="12"/>
      <c r="P46" s="12"/>
      <c r="Q46" s="12" t="s">
        <v>636</v>
      </c>
      <c r="T46" s="12" t="s">
        <v>650</v>
      </c>
      <c r="U46" s="12" t="s">
        <v>516</v>
      </c>
      <c r="V46" s="12" t="s">
        <v>350</v>
      </c>
      <c r="W46" s="12"/>
      <c r="Z46" s="12" t="str">
        <f t="shared" si="1"/>
        <v>皮革,鹿角,粘液,,鳞片,蛇皮,</v>
      </c>
    </row>
    <row r="47" spans="5:26" x14ac:dyDescent="0.15">
      <c r="E47" s="18" t="s">
        <v>591</v>
      </c>
      <c r="F47" s="18"/>
      <c r="G47" s="12" t="str">
        <f t="shared" si="0"/>
        <v>布鞋,风晶石,蛛丝,</v>
      </c>
      <c r="I47" s="12" t="s">
        <v>426</v>
      </c>
      <c r="J47" s="12" t="s">
        <v>447</v>
      </c>
      <c r="K47" s="12" t="s">
        <v>357</v>
      </c>
      <c r="L47" s="12"/>
      <c r="N47" s="12" t="s">
        <v>651</v>
      </c>
      <c r="O47" s="12"/>
      <c r="P47" s="12"/>
      <c r="Q47" s="12" t="s">
        <v>636</v>
      </c>
      <c r="T47" s="12" t="s">
        <v>651</v>
      </c>
      <c r="U47" s="12" t="s">
        <v>447</v>
      </c>
      <c r="V47" s="12" t="s">
        <v>357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501</v>
      </c>
      <c r="F48" s="18"/>
      <c r="G48" s="12" t="str">
        <f t="shared" si="0"/>
        <v>皮鞋,珍珠,魔兽皮毛,贵族徽章</v>
      </c>
      <c r="I48" s="12" t="s">
        <v>422</v>
      </c>
      <c r="J48" s="12" t="s">
        <v>463</v>
      </c>
      <c r="K48" s="12" t="s">
        <v>348</v>
      </c>
      <c r="L48" s="12" t="s">
        <v>502</v>
      </c>
      <c r="N48" s="12" t="s">
        <v>650</v>
      </c>
      <c r="O48" s="12"/>
      <c r="P48" s="12"/>
      <c r="Q48" s="12"/>
      <c r="T48" s="12" t="s">
        <v>650</v>
      </c>
      <c r="U48" s="12" t="s">
        <v>463</v>
      </c>
      <c r="V48" s="12" t="s">
        <v>348</v>
      </c>
      <c r="W48" s="12" t="s">
        <v>502</v>
      </c>
      <c r="Z48" s="12" t="str">
        <f t="shared" si="1"/>
        <v>皮革,鹿角,粘液,,珍珠,魔兽皮毛,贵族徽章</v>
      </c>
    </row>
    <row r="49" spans="5:26" x14ac:dyDescent="0.15">
      <c r="E49" s="18" t="s">
        <v>436</v>
      </c>
      <c r="F49" s="18"/>
      <c r="G49" s="12" t="str">
        <f t="shared" si="0"/>
        <v>布鞋,武道精华,水晶石,彩色的布</v>
      </c>
      <c r="I49" s="12" t="s">
        <v>425</v>
      </c>
      <c r="J49" s="12" t="s">
        <v>489</v>
      </c>
      <c r="K49" s="12" t="s">
        <v>527</v>
      </c>
      <c r="L49" s="12" t="s">
        <v>562</v>
      </c>
      <c r="N49" s="12" t="s">
        <v>651</v>
      </c>
      <c r="O49" s="12"/>
      <c r="P49" s="12"/>
      <c r="Q49" s="12"/>
      <c r="T49" s="12" t="s">
        <v>651</v>
      </c>
      <c r="U49" s="12" t="s">
        <v>489</v>
      </c>
      <c r="V49" s="12" t="s">
        <v>462</v>
      </c>
      <c r="W49" s="12" t="s">
        <v>555</v>
      </c>
      <c r="Z49" s="12" t="str">
        <f t="shared" si="1"/>
        <v>布片,鹿角,粘液,,武道精华,水晶石,彩色的布</v>
      </c>
    </row>
    <row r="50" spans="5:26" x14ac:dyDescent="0.15">
      <c r="E50" s="18" t="s">
        <v>437</v>
      </c>
      <c r="F50" s="18"/>
      <c r="G50" s="12" t="str">
        <f t="shared" si="0"/>
        <v>士兵长靴,骑士之证,象牙,钢</v>
      </c>
      <c r="I50" s="18" t="s">
        <v>435</v>
      </c>
      <c r="J50" s="12" t="s">
        <v>500</v>
      </c>
      <c r="K50" s="12" t="s">
        <v>467</v>
      </c>
      <c r="L50" s="12" t="s">
        <v>573</v>
      </c>
      <c r="N50" s="12" t="s">
        <v>652</v>
      </c>
      <c r="O50" s="12"/>
      <c r="P50" s="12"/>
      <c r="Q50" s="12" t="s">
        <v>638</v>
      </c>
      <c r="T50" s="12" t="s">
        <v>652</v>
      </c>
      <c r="U50" s="12" t="s">
        <v>500</v>
      </c>
      <c r="V50" s="12" t="s">
        <v>467</v>
      </c>
      <c r="W50" s="12" t="s">
        <v>638</v>
      </c>
      <c r="Z50" s="12" t="str">
        <f t="shared" si="1"/>
        <v>铁块,琥珀,龟壳,,骑士之证,象牙,铸造,铁块,焦炭,</v>
      </c>
    </row>
    <row r="51" spans="5:26" x14ac:dyDescent="0.15">
      <c r="E51" s="18" t="s">
        <v>504</v>
      </c>
      <c r="F51" s="18"/>
      <c r="G51" s="12" t="str">
        <f t="shared" si="0"/>
        <v>布鞋,贤者晶石,妖精粉,防水皮革</v>
      </c>
      <c r="I51" s="12" t="s">
        <v>426</v>
      </c>
      <c r="J51" s="12" t="s">
        <v>589</v>
      </c>
      <c r="K51" s="12" t="s">
        <v>473</v>
      </c>
      <c r="L51" s="12" t="s">
        <v>554</v>
      </c>
      <c r="N51" s="12" t="s">
        <v>651</v>
      </c>
      <c r="O51" s="12"/>
      <c r="P51" s="12"/>
      <c r="Q51" s="12"/>
      <c r="T51" s="12" t="s">
        <v>651</v>
      </c>
      <c r="U51" s="12" t="s">
        <v>506</v>
      </c>
      <c r="V51" s="12" t="s">
        <v>473</v>
      </c>
      <c r="W51" s="12" t="s">
        <v>554</v>
      </c>
      <c r="Z51" s="12" t="str">
        <f t="shared" si="1"/>
        <v>布片,鹿角,粘液,,贤者晶石,妖精粉,防水皮革</v>
      </c>
    </row>
    <row r="52" spans="5:26" x14ac:dyDescent="0.15">
      <c r="E52" s="18" t="s">
        <v>505</v>
      </c>
      <c r="F52" s="18"/>
      <c r="G52" s="12" t="str">
        <f t="shared" si="0"/>
        <v>奇美拉之翼,运动鞋,夜之幕,人狼之证</v>
      </c>
      <c r="I52" s="12" t="s">
        <v>369</v>
      </c>
      <c r="J52" s="12" t="s">
        <v>427</v>
      </c>
      <c r="K52" s="12" t="s">
        <v>481</v>
      </c>
      <c r="L52" s="12" t="s">
        <v>478</v>
      </c>
      <c r="N52" s="12"/>
      <c r="O52" s="12" t="s">
        <v>658</v>
      </c>
      <c r="P52" s="12"/>
      <c r="Q52" s="12"/>
      <c r="S52" s="12"/>
      <c r="T52" s="12" t="s">
        <v>369</v>
      </c>
      <c r="U52" s="12" t="s">
        <v>657</v>
      </c>
      <c r="V52" s="12" t="s">
        <v>481</v>
      </c>
      <c r="W52" s="12" t="s">
        <v>478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551</v>
      </c>
      <c r="F53" s="18"/>
      <c r="G53" s="12" t="str">
        <f t="shared" si="0"/>
        <v>登山者之靴,防水皮革,水晶石,寒冰气息</v>
      </c>
      <c r="I53" s="12" t="s">
        <v>424</v>
      </c>
      <c r="J53" s="12" t="s">
        <v>554</v>
      </c>
      <c r="K53" s="12" t="s">
        <v>462</v>
      </c>
      <c r="L53" s="12" t="s">
        <v>484</v>
      </c>
      <c r="N53" s="12" t="s">
        <v>660</v>
      </c>
      <c r="O53" s="12"/>
      <c r="P53" s="12"/>
      <c r="Q53" s="12"/>
      <c r="S53" s="12"/>
      <c r="T53" s="12" t="s">
        <v>659</v>
      </c>
      <c r="U53" s="12" t="s">
        <v>554</v>
      </c>
      <c r="V53" s="12" t="s">
        <v>462</v>
      </c>
      <c r="W53" s="12" t="s">
        <v>484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414</v>
      </c>
      <c r="G56" s="12" t="str">
        <f t="shared" si="0"/>
        <v>纺线,羊毛,,</v>
      </c>
      <c r="I56" s="19" t="s">
        <v>415</v>
      </c>
      <c r="J56" s="12" t="s">
        <v>160</v>
      </c>
      <c r="K56" s="12"/>
      <c r="L56" s="12"/>
      <c r="P56" s="12"/>
    </row>
    <row r="57" spans="5:26" x14ac:dyDescent="0.15">
      <c r="E57" s="12" t="s">
        <v>411</v>
      </c>
      <c r="G57" s="12" t="str">
        <f t="shared" si="0"/>
        <v>纺织,毛线,,</v>
      </c>
      <c r="I57" s="19" t="s">
        <v>413</v>
      </c>
      <c r="J57" s="12" t="s">
        <v>412</v>
      </c>
      <c r="K57" s="12"/>
      <c r="L57" s="12"/>
      <c r="P57" s="12"/>
    </row>
    <row r="58" spans="5:26" x14ac:dyDescent="0.15">
      <c r="E58" s="12" t="s">
        <v>416</v>
      </c>
      <c r="G58" s="12" t="str">
        <f t="shared" si="0"/>
        <v>鞣制,兽皮,,</v>
      </c>
      <c r="I58" s="19" t="s">
        <v>417</v>
      </c>
      <c r="J58" s="12" t="s">
        <v>418</v>
      </c>
      <c r="K58" s="12"/>
      <c r="L58" s="12"/>
      <c r="P58" s="12"/>
    </row>
    <row r="59" spans="5:26" x14ac:dyDescent="0.15">
      <c r="E59" s="12" t="s">
        <v>439</v>
      </c>
      <c r="G59" s="12" t="str">
        <f t="shared" si="0"/>
        <v>铸造,废铁,焦炭,</v>
      </c>
      <c r="I59" s="19" t="s">
        <v>438</v>
      </c>
      <c r="J59" s="12" t="s">
        <v>420</v>
      </c>
      <c r="K59" s="12" t="s">
        <v>608</v>
      </c>
      <c r="L59" s="12"/>
      <c r="P59" s="12"/>
    </row>
    <row r="60" spans="5:26" x14ac:dyDescent="0.15">
      <c r="E60" s="12" t="s">
        <v>419</v>
      </c>
      <c r="G60" s="12" t="str">
        <f t="shared" si="0"/>
        <v>铸造,铁矿,焦炭,</v>
      </c>
      <c r="I60" s="19" t="s">
        <v>438</v>
      </c>
      <c r="J60" s="12" t="s">
        <v>521</v>
      </c>
      <c r="K60" s="12" t="s">
        <v>421</v>
      </c>
      <c r="L60" s="12"/>
      <c r="P60" s="12"/>
    </row>
    <row r="61" spans="5:26" x14ac:dyDescent="0.15">
      <c r="E61" s="12" t="s">
        <v>520</v>
      </c>
      <c r="G61" s="12" t="str">
        <f t="shared" si="0"/>
        <v>铸造,铁块,焦炭,</v>
      </c>
      <c r="I61" s="19" t="s">
        <v>432</v>
      </c>
      <c r="J61" s="12" t="s">
        <v>523</v>
      </c>
      <c r="K61" s="12" t="s">
        <v>421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495</v>
      </c>
      <c r="F63" s="23"/>
      <c r="G63" s="12" t="str">
        <f t="shared" si="0"/>
        <v>月之光华,暗夜之露,仙人掌,</v>
      </c>
      <c r="I63" s="19" t="s">
        <v>556</v>
      </c>
      <c r="J63" s="12" t="s">
        <v>530</v>
      </c>
      <c r="K63" s="12" t="s">
        <v>468</v>
      </c>
      <c r="L63" s="12"/>
      <c r="P63" s="12"/>
    </row>
    <row r="64" spans="5:26" x14ac:dyDescent="0.15">
      <c r="E64" s="23" t="s">
        <v>498</v>
      </c>
      <c r="F64" s="23"/>
      <c r="G64" s="12" t="str">
        <f t="shared" si="0"/>
        <v>图腾号角,星的眼泪,草药茶,</v>
      </c>
      <c r="I64" s="19" t="s">
        <v>515</v>
      </c>
      <c r="J64" s="12" t="s">
        <v>482</v>
      </c>
      <c r="K64" s="12" t="s">
        <v>446</v>
      </c>
      <c r="L64" s="12"/>
      <c r="P64" s="12"/>
    </row>
    <row r="65" spans="5:16" x14ac:dyDescent="0.15">
      <c r="E65" s="23" t="s">
        <v>539</v>
      </c>
      <c r="F65" s="23"/>
      <c r="G65" s="12" t="str">
        <f t="shared" si="0"/>
        <v>妖精粉,迷幻孢子,诅咒宝珠,</v>
      </c>
      <c r="I65" s="19" t="s">
        <v>588</v>
      </c>
      <c r="J65" s="12" t="s">
        <v>528</v>
      </c>
      <c r="K65" s="12" t="s">
        <v>477</v>
      </c>
      <c r="L65" s="12"/>
      <c r="P65" s="12"/>
    </row>
    <row r="66" spans="5:16" x14ac:dyDescent="0.15">
      <c r="E66" s="23" t="s">
        <v>537</v>
      </c>
      <c r="F66" s="23"/>
      <c r="G66" s="12" t="str">
        <f t="shared" si="0"/>
        <v>月之光华,电偶瓶,魔力之土,</v>
      </c>
      <c r="I66" s="12" t="s">
        <v>565</v>
      </c>
      <c r="J66" s="12" t="s">
        <v>531</v>
      </c>
      <c r="K66" s="19" t="s">
        <v>490</v>
      </c>
      <c r="L66" s="12"/>
      <c r="P66" s="12"/>
    </row>
    <row r="67" spans="5:16" x14ac:dyDescent="0.15">
      <c r="E67" s="23" t="s">
        <v>496</v>
      </c>
      <c r="F67" s="23"/>
      <c r="G67" s="12" t="str">
        <f t="shared" si="0"/>
        <v>寒冰气息,冰的结晶,魔力之土,</v>
      </c>
      <c r="I67" s="19" t="s">
        <v>484</v>
      </c>
      <c r="J67" s="12" t="s">
        <v>480</v>
      </c>
      <c r="K67" s="19" t="s">
        <v>490</v>
      </c>
      <c r="L67" s="12"/>
      <c r="P67" s="12"/>
    </row>
    <row r="68" spans="5:16" x14ac:dyDescent="0.15">
      <c r="E68" s="23" t="s">
        <v>497</v>
      </c>
      <c r="F68" s="23"/>
      <c r="G68" s="12" t="str">
        <f t="shared" si="0"/>
        <v>白磷粉末,萤火树汁,魔力之土,</v>
      </c>
      <c r="I68" s="19" t="s">
        <v>580</v>
      </c>
      <c r="J68" s="12" t="s">
        <v>491</v>
      </c>
      <c r="K68" s="19" t="s">
        <v>490</v>
      </c>
      <c r="L68" s="12"/>
      <c r="P68" s="12"/>
    </row>
    <row r="69" spans="5:16" x14ac:dyDescent="0.15">
      <c r="E69" s="23" t="s">
        <v>538</v>
      </c>
      <c r="F69" s="23"/>
      <c r="G69" s="12" t="str">
        <f t="shared" si="0"/>
        <v>石化之眼,亡者之土,琥珀,</v>
      </c>
      <c r="I69" s="19" t="s">
        <v>368</v>
      </c>
      <c r="J69" s="12" t="s">
        <v>602</v>
      </c>
      <c r="K69" s="12" t="s">
        <v>448</v>
      </c>
      <c r="L69" s="12"/>
      <c r="P69" s="12"/>
    </row>
    <row r="70" spans="5:16" x14ac:dyDescent="0.15">
      <c r="E70" s="23" t="s">
        <v>541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465</v>
      </c>
      <c r="J70" s="12" t="s">
        <v>366</v>
      </c>
      <c r="K70" s="12" t="s">
        <v>472</v>
      </c>
      <c r="L70" s="12"/>
      <c r="P70" s="12"/>
    </row>
    <row r="71" spans="5:16" x14ac:dyDescent="0.15">
      <c r="E71" s="23" t="s">
        <v>542</v>
      </c>
      <c r="F71" s="23"/>
      <c r="G71" s="12" t="str">
        <f t="shared" si="2"/>
        <v>暮光结晶,粘液,贤者晶石,</v>
      </c>
      <c r="I71" s="19" t="s">
        <v>529</v>
      </c>
      <c r="J71" s="12" t="s">
        <v>526</v>
      </c>
      <c r="K71" s="12" t="s">
        <v>506</v>
      </c>
      <c r="L71" s="12"/>
      <c r="P71" s="12"/>
    </row>
    <row r="72" spans="5:16" x14ac:dyDescent="0.15">
      <c r="E72" s="23" t="s">
        <v>543</v>
      </c>
      <c r="F72" s="23"/>
      <c r="G72" s="12" t="str">
        <f t="shared" si="2"/>
        <v>力量果实,咒术药水,象牙,</v>
      </c>
      <c r="I72" s="19" t="s">
        <v>513</v>
      </c>
      <c r="J72" s="12" t="s">
        <v>575</v>
      </c>
      <c r="K72" s="12" t="s">
        <v>467</v>
      </c>
      <c r="L72" s="12"/>
      <c r="P72" s="12"/>
    </row>
    <row r="73" spans="5:16" x14ac:dyDescent="0.15">
      <c r="E73" s="23" t="s">
        <v>540</v>
      </c>
      <c r="F73" s="23"/>
      <c r="G73" s="12" t="str">
        <f t="shared" si="2"/>
        <v>魅惑药水,恶魔花瓣,毒淤泥,</v>
      </c>
      <c r="I73" s="12" t="s">
        <v>512</v>
      </c>
      <c r="J73" s="12" t="s">
        <v>510</v>
      </c>
      <c r="K73" s="12" t="s">
        <v>474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788</v>
      </c>
      <c r="E4" s="34" t="s">
        <v>789</v>
      </c>
      <c r="F4" s="34" t="s">
        <v>790</v>
      </c>
      <c r="G4" s="34" t="s">
        <v>791</v>
      </c>
      <c r="H4" s="34" t="s">
        <v>792</v>
      </c>
      <c r="I4" s="34" t="s">
        <v>793</v>
      </c>
      <c r="J4" s="34" t="s">
        <v>794</v>
      </c>
      <c r="K4" s="34"/>
    </row>
    <row r="5" spans="3:11" x14ac:dyDescent="0.15">
      <c r="C5" s="34" t="s">
        <v>795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163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184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166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182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194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195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165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167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196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164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197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796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198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171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199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200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170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201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172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202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185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168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175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177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179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180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203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204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181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206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207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183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208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209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210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169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211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212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213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214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215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176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186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173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216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217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218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219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797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220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221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222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223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224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225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226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227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228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229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230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231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232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233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234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235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236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237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238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239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240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241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242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243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244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245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246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247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248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798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39" activePane="bottomRight" state="frozen"/>
      <selection activeCell="A23" sqref="A23"/>
      <selection pane="topRight" activeCell="C23" sqref="C23"/>
      <selection pane="bottomLeft" activeCell="A33" sqref="A33"/>
      <selection pane="bottomRight" activeCell="F43" sqref="F43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33</v>
      </c>
    </row>
    <row r="4" spans="3:3" x14ac:dyDescent="0.15">
      <c r="C4" s="40" t="s">
        <v>34</v>
      </c>
    </row>
    <row r="5" spans="3:3" x14ac:dyDescent="0.15">
      <c r="C5" s="40" t="s">
        <v>154</v>
      </c>
    </row>
    <row r="6" spans="3:3" x14ac:dyDescent="0.15">
      <c r="C6" s="40" t="s">
        <v>35</v>
      </c>
    </row>
    <row r="7" spans="3:3" x14ac:dyDescent="0.15">
      <c r="C7" s="40" t="s">
        <v>36</v>
      </c>
    </row>
    <row r="8" spans="3:3" x14ac:dyDescent="0.15">
      <c r="C8" s="40" t="s">
        <v>37</v>
      </c>
    </row>
    <row r="9" spans="3:3" x14ac:dyDescent="0.15">
      <c r="C9" s="40" t="s">
        <v>38</v>
      </c>
    </row>
    <row r="10" spans="3:3" x14ac:dyDescent="0.15">
      <c r="C10" s="40" t="s">
        <v>39</v>
      </c>
    </row>
    <row r="11" spans="3:3" x14ac:dyDescent="0.15">
      <c r="C11" s="40" t="s">
        <v>23</v>
      </c>
    </row>
    <row r="12" spans="3:3" x14ac:dyDescent="0.15">
      <c r="C12" s="40" t="s">
        <v>40</v>
      </c>
    </row>
    <row r="13" spans="3:3" x14ac:dyDescent="0.15">
      <c r="C13" s="40" t="s">
        <v>41</v>
      </c>
    </row>
    <row r="14" spans="3:3" x14ac:dyDescent="0.15">
      <c r="C14" s="40" t="s">
        <v>42</v>
      </c>
    </row>
    <row r="15" spans="3:3" x14ac:dyDescent="0.15">
      <c r="C15" s="40" t="s">
        <v>53</v>
      </c>
    </row>
    <row r="16" spans="3:3" x14ac:dyDescent="0.15">
      <c r="C16" s="40" t="s">
        <v>54</v>
      </c>
    </row>
    <row r="17" spans="2:17" x14ac:dyDescent="0.15">
      <c r="C17" s="40" t="s">
        <v>44</v>
      </c>
    </row>
    <row r="18" spans="2:17" x14ac:dyDescent="0.15">
      <c r="C18" s="40" t="s">
        <v>25</v>
      </c>
    </row>
    <row r="19" spans="2:17" x14ac:dyDescent="0.15">
      <c r="C19" s="40" t="s">
        <v>45</v>
      </c>
    </row>
    <row r="20" spans="2:17" x14ac:dyDescent="0.15">
      <c r="C20" s="40" t="s">
        <v>22</v>
      </c>
    </row>
    <row r="21" spans="2:17" x14ac:dyDescent="0.15">
      <c r="C21" s="40" t="s">
        <v>43</v>
      </c>
    </row>
    <row r="22" spans="2:17" x14ac:dyDescent="0.15">
      <c r="C22" s="40" t="s">
        <v>772</v>
      </c>
    </row>
    <row r="23" spans="2:17" x14ac:dyDescent="0.15">
      <c r="C23" s="40" t="s">
        <v>50</v>
      </c>
    </row>
    <row r="24" spans="2:17" x14ac:dyDescent="0.15">
      <c r="C24" s="40" t="s">
        <v>24</v>
      </c>
    </row>
    <row r="25" spans="2:17" x14ac:dyDescent="0.15">
      <c r="C25" s="40" t="s">
        <v>51</v>
      </c>
    </row>
    <row r="26" spans="2:17" x14ac:dyDescent="0.15">
      <c r="C26" s="40" t="s">
        <v>52</v>
      </c>
    </row>
    <row r="27" spans="2:17" x14ac:dyDescent="0.15">
      <c r="C27" s="40" t="s">
        <v>46</v>
      </c>
    </row>
    <row r="28" spans="2:17" x14ac:dyDescent="0.15">
      <c r="C28" s="40" t="s">
        <v>47</v>
      </c>
    </row>
    <row r="29" spans="2:17" x14ac:dyDescent="0.15">
      <c r="C29" s="40" t="s">
        <v>48</v>
      </c>
      <c r="Q29" s="38">
        <f>Q33*9</f>
        <v>375</v>
      </c>
    </row>
    <row r="30" spans="2:17" x14ac:dyDescent="0.15">
      <c r="C30" s="40" t="s">
        <v>49</v>
      </c>
    </row>
    <row r="31" spans="2:17" x14ac:dyDescent="0.15">
      <c r="C31" s="40"/>
    </row>
    <row r="32" spans="2:17" x14ac:dyDescent="0.15">
      <c r="B32" s="38" t="s">
        <v>817</v>
      </c>
      <c r="C32" s="40"/>
      <c r="E32" s="38" t="s">
        <v>807</v>
      </c>
      <c r="F32" s="38" t="s">
        <v>808</v>
      </c>
      <c r="G32" s="38" t="s">
        <v>809</v>
      </c>
      <c r="H32" s="38" t="s">
        <v>811</v>
      </c>
      <c r="I32" s="38" t="s">
        <v>810</v>
      </c>
      <c r="J32" s="38" t="s">
        <v>813</v>
      </c>
      <c r="K32" s="38" t="s">
        <v>1533</v>
      </c>
      <c r="L32" s="38" t="s">
        <v>814</v>
      </c>
      <c r="M32" s="38" t="s">
        <v>816</v>
      </c>
      <c r="N32" s="38" t="s">
        <v>815</v>
      </c>
      <c r="O32" s="38" t="s">
        <v>818</v>
      </c>
      <c r="P32" s="38" t="s">
        <v>820</v>
      </c>
      <c r="Q32" s="38" t="s">
        <v>819</v>
      </c>
    </row>
    <row r="33" spans="2:21" x14ac:dyDescent="0.15">
      <c r="B33" s="38">
        <v>5</v>
      </c>
      <c r="C33" s="40" t="s">
        <v>55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56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153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57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58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925</v>
      </c>
    </row>
    <row r="38" spans="2:21" x14ac:dyDescent="0.15">
      <c r="B38" s="38">
        <v>12</v>
      </c>
      <c r="C38" s="41" t="s">
        <v>59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927</v>
      </c>
    </row>
    <row r="39" spans="2:21" ht="27" x14ac:dyDescent="0.15">
      <c r="B39" s="38">
        <v>5</v>
      </c>
      <c r="C39" s="41" t="s">
        <v>60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926</v>
      </c>
    </row>
    <row r="40" spans="2:21" x14ac:dyDescent="0.15">
      <c r="B40" s="38">
        <v>12</v>
      </c>
      <c r="C40" s="41" t="s">
        <v>61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62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358</v>
      </c>
    </row>
    <row r="42" spans="2:21" x14ac:dyDescent="0.15">
      <c r="B42" s="38">
        <v>6</v>
      </c>
      <c r="C42" s="41" t="s">
        <v>63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64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66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161</v>
      </c>
    </row>
    <row r="45" spans="2:21" ht="27" x14ac:dyDescent="0.15">
      <c r="B45" s="38">
        <v>26</v>
      </c>
      <c r="C45" s="40" t="s">
        <v>65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67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162</v>
      </c>
    </row>
    <row r="47" spans="2:21" x14ac:dyDescent="0.15">
      <c r="B47" s="38">
        <v>7</v>
      </c>
      <c r="C47" s="41" t="s">
        <v>68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69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70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359</v>
      </c>
    </row>
    <row r="50" spans="2:21" x14ac:dyDescent="0.15">
      <c r="B50" s="38">
        <v>8</v>
      </c>
      <c r="C50" s="41" t="s">
        <v>812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72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73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74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75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76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77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78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79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80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81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929</v>
      </c>
      <c r="D63" s="7" t="s">
        <v>943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VLOOKUP(D63,ItemData!$A$4:$B$412,2,FALSE)</f>
        <v>301</v>
      </c>
    </row>
    <row r="64" spans="2:21" x14ac:dyDescent="0.15">
      <c r="B64" s="44">
        <v>2</v>
      </c>
      <c r="C64" t="s">
        <v>928</v>
      </c>
      <c r="D64" s="7" t="s">
        <v>944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VLOOKUP(D64,ItemData!$A$4:$B$412,2,FALSE)</f>
        <v>3007</v>
      </c>
    </row>
    <row r="65" spans="2:19" x14ac:dyDescent="0.15">
      <c r="B65" s="44">
        <v>3</v>
      </c>
      <c r="C65" t="s">
        <v>930</v>
      </c>
      <c r="D65" s="7" t="s">
        <v>1534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VLOOKUP(D65,ItemData!$A$4:$B$412,2,FALSE)</f>
        <v>302</v>
      </c>
    </row>
    <row r="66" spans="2:19" x14ac:dyDescent="0.15">
      <c r="B66" s="44">
        <v>3</v>
      </c>
      <c r="C66" t="s">
        <v>931</v>
      </c>
      <c r="D66" s="7" t="s">
        <v>952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VLOOKUP(D66,ItemData!$A$4:$B$412,2,FALSE)</f>
        <v>283</v>
      </c>
    </row>
    <row r="67" spans="2:19" x14ac:dyDescent="0.15">
      <c r="B67" s="44">
        <v>3</v>
      </c>
      <c r="C67" t="s">
        <v>932</v>
      </c>
      <c r="D67" s="7" t="s">
        <v>945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VLOOKUP(D67,ItemData!$A$4:$B$412,2,FALSE)</f>
        <v>3008</v>
      </c>
    </row>
    <row r="68" spans="2:19" x14ac:dyDescent="0.15">
      <c r="B68" s="44">
        <v>4</v>
      </c>
      <c r="C68" t="s">
        <v>933</v>
      </c>
      <c r="D68" s="7" t="s">
        <v>946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VLOOKUP(D68,ItemData!$A$4:$B$412,2,FALSE)</f>
        <v>3006</v>
      </c>
    </row>
    <row r="69" spans="2:19" x14ac:dyDescent="0.15">
      <c r="B69" s="44">
        <v>4</v>
      </c>
      <c r="C69" t="s">
        <v>934</v>
      </c>
      <c r="D69" s="7" t="s">
        <v>947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VLOOKUP(D69,ItemData!$A$4:$B$412,2,FALSE)</f>
        <v>276</v>
      </c>
    </row>
    <row r="70" spans="2:19" x14ac:dyDescent="0.15">
      <c r="B70" s="44">
        <v>3</v>
      </c>
      <c r="C70" t="s">
        <v>935</v>
      </c>
      <c r="D70" s="7" t="s">
        <v>949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VLOOKUP(D70,ItemData!$A$4:$B$412,2,FALSE)</f>
        <v>235</v>
      </c>
    </row>
    <row r="71" spans="2:19" x14ac:dyDescent="0.15">
      <c r="B71" s="44">
        <v>3</v>
      </c>
      <c r="C71" t="s">
        <v>936</v>
      </c>
      <c r="D71" s="7" t="s">
        <v>1534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VLOOKUP(D71,ItemData!$A$4:$B$412,2,FALSE)</f>
        <v>302</v>
      </c>
    </row>
    <row r="72" spans="2:19" x14ac:dyDescent="0.15">
      <c r="B72" s="44">
        <v>2</v>
      </c>
      <c r="C72" t="s">
        <v>937</v>
      </c>
      <c r="D72" s="7" t="s">
        <v>552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VLOOKUP(D72,ItemData!$A$4:$B$412,2,FALSE)</f>
        <v>297</v>
      </c>
    </row>
    <row r="73" spans="2:19" ht="12" customHeight="1" x14ac:dyDescent="0.15">
      <c r="B73" s="44">
        <v>2</v>
      </c>
      <c r="C73" t="s">
        <v>938</v>
      </c>
      <c r="D73" s="7" t="s">
        <v>951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VLOOKUP(D73,ItemData!$A$4:$B$412,2,FALSE)</f>
        <v>222</v>
      </c>
    </row>
    <row r="74" spans="2:19" x14ac:dyDescent="0.15">
      <c r="B74" s="44">
        <v>4</v>
      </c>
      <c r="C74" t="s">
        <v>939</v>
      </c>
      <c r="D74" s="7" t="s">
        <v>954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VLOOKUP(D74,ItemData!$A$4:$B$412,2,FALSE)</f>
        <v>213</v>
      </c>
    </row>
    <row r="75" spans="2:19" x14ac:dyDescent="0.15">
      <c r="B75" s="44">
        <v>5</v>
      </c>
      <c r="C75" t="s">
        <v>940</v>
      </c>
      <c r="D75" s="7" t="s">
        <v>953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VLOOKUP(D75,ItemData!$A$4:$B$412,2,FALSE)</f>
        <v>240</v>
      </c>
    </row>
    <row r="76" spans="2:19" x14ac:dyDescent="0.15">
      <c r="B76" s="44">
        <v>5</v>
      </c>
      <c r="C76" t="s">
        <v>941</v>
      </c>
      <c r="D76" s="7" t="s">
        <v>1535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VLOOKUP(D76,ItemData!$A$4:$B$412,2,FALSE)</f>
        <v>260</v>
      </c>
    </row>
    <row r="77" spans="2:19" x14ac:dyDescent="0.15">
      <c r="B77" s="44">
        <v>2.5</v>
      </c>
      <c r="C77" t="s">
        <v>942</v>
      </c>
      <c r="D77" s="7" t="s">
        <v>948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VLOOKUP(D77,ItemData!$A$4:$B$412,2,FALSE)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687</v>
      </c>
      <c r="D2" s="1" t="s">
        <v>688</v>
      </c>
      <c r="E2" s="1" t="s">
        <v>689</v>
      </c>
      <c r="F2" s="1" t="s">
        <v>690</v>
      </c>
      <c r="G2" s="1" t="s">
        <v>691</v>
      </c>
      <c r="H2" s="1" t="s">
        <v>692</v>
      </c>
      <c r="I2" s="1"/>
      <c r="J2" s="1" t="s">
        <v>822</v>
      </c>
      <c r="K2" s="1" t="s">
        <v>823</v>
      </c>
      <c r="L2" s="1" t="s">
        <v>824</v>
      </c>
      <c r="N2" s="1" t="s">
        <v>821</v>
      </c>
      <c r="R2">
        <f>36.9*18</f>
        <v>664.19999999999993</v>
      </c>
    </row>
    <row r="3" spans="2:18" x14ac:dyDescent="0.15">
      <c r="B3" s="1" t="s">
        <v>330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331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391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332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392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333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334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828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335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336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337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338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339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774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775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341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342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616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617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618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619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351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349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394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395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353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396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667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355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397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398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399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400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401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402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403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390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620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425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422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423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424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427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431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430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429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433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428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621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718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826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725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726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733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729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728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737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730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675</v>
      </c>
    </row>
    <row r="62" spans="2:14" x14ac:dyDescent="0.15">
      <c r="B62" s="34" t="s">
        <v>443</v>
      </c>
    </row>
    <row r="63" spans="2:14" x14ac:dyDescent="0.15">
      <c r="B63" s="34" t="s">
        <v>444</v>
      </c>
    </row>
    <row r="64" spans="2:14" x14ac:dyDescent="0.15">
      <c r="B64" s="34" t="s">
        <v>346</v>
      </c>
    </row>
    <row r="65" spans="2:2" x14ac:dyDescent="0.15">
      <c r="B65" s="34" t="s">
        <v>352</v>
      </c>
    </row>
    <row r="66" spans="2:2" x14ac:dyDescent="0.15">
      <c r="B66" s="34" t="s">
        <v>445</v>
      </c>
    </row>
    <row r="67" spans="2:2" x14ac:dyDescent="0.15">
      <c r="B67" s="34" t="s">
        <v>446</v>
      </c>
    </row>
    <row r="68" spans="2:2" x14ac:dyDescent="0.15">
      <c r="B68" s="34" t="s">
        <v>447</v>
      </c>
    </row>
    <row r="69" spans="2:2" x14ac:dyDescent="0.15">
      <c r="B69" s="34" t="s">
        <v>448</v>
      </c>
    </row>
    <row r="70" spans="2:2" x14ac:dyDescent="0.15">
      <c r="B70" s="34" t="s">
        <v>370</v>
      </c>
    </row>
    <row r="71" spans="2:2" x14ac:dyDescent="0.15">
      <c r="B71" s="34" t="s">
        <v>449</v>
      </c>
    </row>
    <row r="72" spans="2:2" x14ac:dyDescent="0.15">
      <c r="B72" s="34" t="s">
        <v>450</v>
      </c>
    </row>
    <row r="73" spans="2:2" x14ac:dyDescent="0.15">
      <c r="B73" s="34" t="s">
        <v>357</v>
      </c>
    </row>
    <row r="74" spans="2:2" x14ac:dyDescent="0.15">
      <c r="B74" s="34" t="s">
        <v>521</v>
      </c>
    </row>
    <row r="75" spans="2:2" x14ac:dyDescent="0.15">
      <c r="B75" s="34" t="s">
        <v>665</v>
      </c>
    </row>
    <row r="76" spans="2:2" x14ac:dyDescent="0.15">
      <c r="B76" s="34" t="s">
        <v>453</v>
      </c>
    </row>
    <row r="77" spans="2:2" x14ac:dyDescent="0.15">
      <c r="B77" s="34" t="s">
        <v>454</v>
      </c>
    </row>
    <row r="78" spans="2:2" x14ac:dyDescent="0.15">
      <c r="B78" s="34" t="s">
        <v>455</v>
      </c>
    </row>
    <row r="79" spans="2:2" x14ac:dyDescent="0.15">
      <c r="B79" s="34" t="s">
        <v>360</v>
      </c>
    </row>
    <row r="80" spans="2:2" x14ac:dyDescent="0.15">
      <c r="B80" s="34" t="s">
        <v>456</v>
      </c>
    </row>
    <row r="81" spans="2:2" x14ac:dyDescent="0.15">
      <c r="B81" s="34" t="s">
        <v>457</v>
      </c>
    </row>
    <row r="82" spans="2:2" x14ac:dyDescent="0.15">
      <c r="B82" s="34" t="s">
        <v>348</v>
      </c>
    </row>
    <row r="83" spans="2:2" x14ac:dyDescent="0.15">
      <c r="B83" s="34" t="s">
        <v>369</v>
      </c>
    </row>
    <row r="84" spans="2:2" x14ac:dyDescent="0.15">
      <c r="B84" s="34" t="s">
        <v>458</v>
      </c>
    </row>
    <row r="85" spans="2:2" x14ac:dyDescent="0.15">
      <c r="B85" s="34" t="s">
        <v>459</v>
      </c>
    </row>
    <row r="86" spans="2:2" x14ac:dyDescent="0.15">
      <c r="B86" s="34" t="s">
        <v>362</v>
      </c>
    </row>
    <row r="87" spans="2:2" x14ac:dyDescent="0.15">
      <c r="B87" s="34" t="s">
        <v>361</v>
      </c>
    </row>
    <row r="88" spans="2:2" x14ac:dyDescent="0.15">
      <c r="B88" s="34" t="s">
        <v>460</v>
      </c>
    </row>
    <row r="89" spans="2:2" x14ac:dyDescent="0.15">
      <c r="B89" s="34" t="s">
        <v>461</v>
      </c>
    </row>
    <row r="90" spans="2:2" x14ac:dyDescent="0.15">
      <c r="B90" s="34" t="s">
        <v>462</v>
      </c>
    </row>
    <row r="91" spans="2:2" x14ac:dyDescent="0.15">
      <c r="B91" s="34" t="s">
        <v>463</v>
      </c>
    </row>
    <row r="92" spans="2:2" x14ac:dyDescent="0.15">
      <c r="B92" s="34" t="s">
        <v>724</v>
      </c>
    </row>
    <row r="93" spans="2:2" x14ac:dyDescent="0.15">
      <c r="B93" s="34" t="s">
        <v>465</v>
      </c>
    </row>
    <row r="94" spans="2:2" x14ac:dyDescent="0.15">
      <c r="B94" s="34" t="s">
        <v>466</v>
      </c>
    </row>
    <row r="95" spans="2:2" x14ac:dyDescent="0.15">
      <c r="B95" s="34" t="s">
        <v>350</v>
      </c>
    </row>
    <row r="96" spans="2:2" x14ac:dyDescent="0.15">
      <c r="B96" s="34" t="s">
        <v>367</v>
      </c>
    </row>
    <row r="97" spans="2:2" x14ac:dyDescent="0.15">
      <c r="B97" s="34" t="s">
        <v>467</v>
      </c>
    </row>
    <row r="98" spans="2:2" x14ac:dyDescent="0.15">
      <c r="B98" s="34" t="s">
        <v>363</v>
      </c>
    </row>
    <row r="99" spans="2:2" x14ac:dyDescent="0.15">
      <c r="B99" s="34" t="s">
        <v>487</v>
      </c>
    </row>
    <row r="100" spans="2:2" x14ac:dyDescent="0.15">
      <c r="B100" s="34" t="s">
        <v>486</v>
      </c>
    </row>
    <row r="101" spans="2:2" x14ac:dyDescent="0.15">
      <c r="B101" s="34" t="s">
        <v>468</v>
      </c>
    </row>
    <row r="102" spans="2:2" x14ac:dyDescent="0.15">
      <c r="B102" s="34" t="s">
        <v>469</v>
      </c>
    </row>
    <row r="103" spans="2:2" x14ac:dyDescent="0.15">
      <c r="B103" s="34" t="s">
        <v>371</v>
      </c>
    </row>
    <row r="104" spans="2:2" x14ac:dyDescent="0.15">
      <c r="B104" s="34" t="s">
        <v>372</v>
      </c>
    </row>
    <row r="105" spans="2:2" x14ac:dyDescent="0.15">
      <c r="B105" s="34" t="s">
        <v>470</v>
      </c>
    </row>
    <row r="106" spans="2:2" x14ac:dyDescent="0.15">
      <c r="B106" s="34" t="s">
        <v>471</v>
      </c>
    </row>
    <row r="107" spans="2:2" x14ac:dyDescent="0.15">
      <c r="B107" s="34" t="s">
        <v>472</v>
      </c>
    </row>
    <row r="108" spans="2:2" x14ac:dyDescent="0.15">
      <c r="B108" s="34" t="s">
        <v>473</v>
      </c>
    </row>
    <row r="109" spans="2:2" x14ac:dyDescent="0.15">
      <c r="B109" s="34" t="s">
        <v>364</v>
      </c>
    </row>
    <row r="110" spans="2:2" x14ac:dyDescent="0.15">
      <c r="B110" s="34" t="s">
        <v>474</v>
      </c>
    </row>
    <row r="111" spans="2:2" x14ac:dyDescent="0.15">
      <c r="B111" s="34" t="s">
        <v>475</v>
      </c>
    </row>
    <row r="112" spans="2:2" x14ac:dyDescent="0.15">
      <c r="B112" s="34" t="s">
        <v>476</v>
      </c>
    </row>
    <row r="113" spans="2:2" x14ac:dyDescent="0.15">
      <c r="B113" s="34" t="s">
        <v>477</v>
      </c>
    </row>
    <row r="114" spans="2:2" x14ac:dyDescent="0.15">
      <c r="B114" s="34" t="s">
        <v>478</v>
      </c>
    </row>
    <row r="115" spans="2:2" x14ac:dyDescent="0.15">
      <c r="B115" s="34" t="s">
        <v>366</v>
      </c>
    </row>
    <row r="116" spans="2:2" x14ac:dyDescent="0.15">
      <c r="B116" s="34" t="s">
        <v>479</v>
      </c>
    </row>
    <row r="117" spans="2:2" x14ac:dyDescent="0.15">
      <c r="B117" s="34" t="s">
        <v>480</v>
      </c>
    </row>
    <row r="118" spans="2:2" x14ac:dyDescent="0.15">
      <c r="B118" s="34" t="s">
        <v>368</v>
      </c>
    </row>
    <row r="119" spans="2:2" x14ac:dyDescent="0.15">
      <c r="B119" s="34" t="s">
        <v>481</v>
      </c>
    </row>
    <row r="120" spans="2:2" x14ac:dyDescent="0.15">
      <c r="B120" s="34" t="s">
        <v>482</v>
      </c>
    </row>
    <row r="121" spans="2:2" x14ac:dyDescent="0.15">
      <c r="B121" s="34" t="s">
        <v>483</v>
      </c>
    </row>
    <row r="122" spans="2:2" x14ac:dyDescent="0.15">
      <c r="B122" s="34" t="s">
        <v>484</v>
      </c>
    </row>
    <row r="123" spans="2:2" x14ac:dyDescent="0.15">
      <c r="B123" s="34" t="s">
        <v>485</v>
      </c>
    </row>
    <row r="124" spans="2:2" x14ac:dyDescent="0.15">
      <c r="B124" s="34" t="s">
        <v>511</v>
      </c>
    </row>
    <row r="125" spans="2:2" x14ac:dyDescent="0.15">
      <c r="B125" s="34" t="s">
        <v>508</v>
      </c>
    </row>
    <row r="126" spans="2:2" x14ac:dyDescent="0.15">
      <c r="B126" s="34" t="s">
        <v>440</v>
      </c>
    </row>
    <row r="127" spans="2:2" x14ac:dyDescent="0.15">
      <c r="B127" s="34" t="s">
        <v>555</v>
      </c>
    </row>
    <row r="128" spans="2:2" x14ac:dyDescent="0.15">
      <c r="B128" s="34" t="s">
        <v>516</v>
      </c>
    </row>
    <row r="129" spans="2:2" x14ac:dyDescent="0.15">
      <c r="B129" s="34" t="s">
        <v>356</v>
      </c>
    </row>
    <row r="130" spans="2:2" x14ac:dyDescent="0.15">
      <c r="B130" s="34" t="s">
        <v>500</v>
      </c>
    </row>
    <row r="131" spans="2:2" x14ac:dyDescent="0.15">
      <c r="B131" s="34" t="s">
        <v>359</v>
      </c>
    </row>
    <row r="132" spans="2:2" x14ac:dyDescent="0.15">
      <c r="B132" s="34" t="s">
        <v>581</v>
      </c>
    </row>
    <row r="133" spans="2:2" x14ac:dyDescent="0.15">
      <c r="B133" s="34" t="s">
        <v>526</v>
      </c>
    </row>
    <row r="134" spans="2:2" x14ac:dyDescent="0.15">
      <c r="B134" s="34" t="s">
        <v>502</v>
      </c>
    </row>
    <row r="135" spans="2:2" x14ac:dyDescent="0.15">
      <c r="B135" s="34" t="s">
        <v>489</v>
      </c>
    </row>
    <row r="136" spans="2:2" x14ac:dyDescent="0.15">
      <c r="B136" s="34" t="s">
        <v>506</v>
      </c>
    </row>
    <row r="137" spans="2:2" x14ac:dyDescent="0.15">
      <c r="B137" s="34" t="s">
        <v>554</v>
      </c>
    </row>
    <row r="138" spans="2:2" x14ac:dyDescent="0.15">
      <c r="B138" s="34" t="s">
        <v>358</v>
      </c>
    </row>
    <row r="139" spans="2:2" x14ac:dyDescent="0.15">
      <c r="B139" s="34" t="s">
        <v>507</v>
      </c>
    </row>
    <row r="140" spans="2:2" x14ac:dyDescent="0.15">
      <c r="B140" s="34" t="s">
        <v>559</v>
      </c>
    </row>
    <row r="141" spans="2:2" x14ac:dyDescent="0.15">
      <c r="B141" s="34" t="s">
        <v>557</v>
      </c>
    </row>
    <row r="142" spans="2:2" x14ac:dyDescent="0.15">
      <c r="B142" s="34" t="s">
        <v>553</v>
      </c>
    </row>
    <row r="143" spans="2:2" x14ac:dyDescent="0.15">
      <c r="B143" s="34" t="s">
        <v>513</v>
      </c>
    </row>
    <row r="144" spans="2:2" x14ac:dyDescent="0.15">
      <c r="B144" s="34" t="s">
        <v>509</v>
      </c>
    </row>
    <row r="145" spans="2:2" x14ac:dyDescent="0.15">
      <c r="B145" s="34" t="s">
        <v>556</v>
      </c>
    </row>
    <row r="146" spans="2:2" x14ac:dyDescent="0.15">
      <c r="B146" s="34" t="s">
        <v>491</v>
      </c>
    </row>
    <row r="147" spans="2:2" x14ac:dyDescent="0.15">
      <c r="B147" s="34" t="s">
        <v>558</v>
      </c>
    </row>
    <row r="148" spans="2:2" x14ac:dyDescent="0.15">
      <c r="B148" s="34" t="s">
        <v>512</v>
      </c>
    </row>
    <row r="149" spans="2:2" x14ac:dyDescent="0.15">
      <c r="B149" s="34" t="s">
        <v>515</v>
      </c>
    </row>
    <row r="150" spans="2:2" x14ac:dyDescent="0.15">
      <c r="B150" s="34" t="s">
        <v>499</v>
      </c>
    </row>
    <row r="151" spans="2:2" x14ac:dyDescent="0.15">
      <c r="B151" s="34" t="s">
        <v>622</v>
      </c>
    </row>
    <row r="152" spans="2:2" x14ac:dyDescent="0.15">
      <c r="B152" s="34" t="s">
        <v>552</v>
      </c>
    </row>
    <row r="153" spans="2:2" x14ac:dyDescent="0.15">
      <c r="B153" s="16" t="s">
        <v>522</v>
      </c>
    </row>
    <row r="154" spans="2:2" x14ac:dyDescent="0.15">
      <c r="B154" s="16" t="s">
        <v>354</v>
      </c>
    </row>
    <row r="155" spans="2:2" x14ac:dyDescent="0.15">
      <c r="B155" s="16" t="s">
        <v>714</v>
      </c>
    </row>
    <row r="156" spans="2:2" x14ac:dyDescent="0.15">
      <c r="B156" s="16" t="s">
        <v>716</v>
      </c>
    </row>
    <row r="157" spans="2:2" x14ac:dyDescent="0.15">
      <c r="B157" s="16" t="s">
        <v>760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330</v>
      </c>
      <c r="B1">
        <f>VLOOKUP(A1,装备!$B$3:$J$61,9,FALSE)*0.75</f>
        <v>7.5</v>
      </c>
      <c r="N1" t="s">
        <v>34</v>
      </c>
      <c r="O1" t="s">
        <v>1055</v>
      </c>
    </row>
    <row r="2" spans="1:15" x14ac:dyDescent="0.15">
      <c r="A2" s="1" t="s">
        <v>331</v>
      </c>
      <c r="B2" s="34">
        <f>VLOOKUP(A2,装备!$B$3:$J$61,9,FALSE)*0.75</f>
        <v>20.25</v>
      </c>
      <c r="N2" t="s">
        <v>22</v>
      </c>
      <c r="O2" t="s">
        <v>1056</v>
      </c>
    </row>
    <row r="3" spans="1:15" x14ac:dyDescent="0.15">
      <c r="A3" s="1" t="s">
        <v>391</v>
      </c>
      <c r="B3" s="34">
        <f>VLOOKUP(A3,装备!$B$3:$J$61,9,FALSE)*0.75</f>
        <v>52.5</v>
      </c>
      <c r="N3" t="s">
        <v>37</v>
      </c>
      <c r="O3" t="s">
        <v>1057</v>
      </c>
    </row>
    <row r="4" spans="1:15" x14ac:dyDescent="0.15">
      <c r="A4" s="1" t="s">
        <v>332</v>
      </c>
      <c r="B4" s="34">
        <f>VLOOKUP(A4,装备!$B$3:$J$61,9,FALSE)*0.75</f>
        <v>47.25</v>
      </c>
      <c r="N4" t="s">
        <v>43</v>
      </c>
      <c r="O4" t="s">
        <v>1058</v>
      </c>
    </row>
    <row r="5" spans="1:15" x14ac:dyDescent="0.15">
      <c r="A5" s="1" t="s">
        <v>392</v>
      </c>
      <c r="B5" s="34">
        <f>VLOOKUP(A5,装备!$B$3:$J$61,9,FALSE)*0.75</f>
        <v>54</v>
      </c>
      <c r="N5" t="s">
        <v>39</v>
      </c>
      <c r="O5" t="s">
        <v>1059</v>
      </c>
    </row>
    <row r="6" spans="1:15" x14ac:dyDescent="0.15">
      <c r="A6" s="1" t="s">
        <v>333</v>
      </c>
      <c r="B6" s="34">
        <f>VLOOKUP(A6,装备!$B$3:$J$61,9,FALSE)*0.75</f>
        <v>8.25</v>
      </c>
      <c r="N6" t="s">
        <v>53</v>
      </c>
      <c r="O6" t="s">
        <v>1060</v>
      </c>
    </row>
    <row r="7" spans="1:15" x14ac:dyDescent="0.15">
      <c r="A7" s="1" t="s">
        <v>334</v>
      </c>
      <c r="B7" s="34">
        <f>VLOOKUP(A7,装备!$B$3:$J$61,9,FALSE)*0.75</f>
        <v>28.5</v>
      </c>
      <c r="N7" t="s">
        <v>980</v>
      </c>
      <c r="O7" t="s">
        <v>1061</v>
      </c>
    </row>
    <row r="8" spans="1:15" x14ac:dyDescent="0.15">
      <c r="A8" s="1" t="s">
        <v>828</v>
      </c>
      <c r="B8" s="34">
        <f>VLOOKUP(A8,装备!$B$3:$J$61,9,FALSE)*0.75</f>
        <v>31.875</v>
      </c>
      <c r="N8" t="s">
        <v>23</v>
      </c>
      <c r="O8" t="s">
        <v>1062</v>
      </c>
    </row>
    <row r="9" spans="1:15" x14ac:dyDescent="0.15">
      <c r="A9" s="1" t="s">
        <v>335</v>
      </c>
      <c r="B9" s="34">
        <f>VLOOKUP(A9,装备!$B$3:$J$61,9,FALSE)*0.75</f>
        <v>44.25</v>
      </c>
      <c r="N9" t="s">
        <v>33</v>
      </c>
      <c r="O9" t="s">
        <v>1063</v>
      </c>
    </row>
    <row r="10" spans="1:15" x14ac:dyDescent="0.15">
      <c r="A10" s="1" t="s">
        <v>336</v>
      </c>
      <c r="B10" s="34">
        <f>VLOOKUP(A10,装备!$B$3:$J$61,9,FALSE)*0.75</f>
        <v>17.25</v>
      </c>
      <c r="N10" t="s">
        <v>35</v>
      </c>
      <c r="O10" t="s">
        <v>1064</v>
      </c>
    </row>
    <row r="11" spans="1:15" x14ac:dyDescent="0.15">
      <c r="A11" s="1" t="s">
        <v>337</v>
      </c>
      <c r="B11" s="34">
        <f>VLOOKUP(A11,装备!$B$3:$J$61,9,FALSE)*0.75</f>
        <v>27</v>
      </c>
      <c r="N11" t="s">
        <v>806</v>
      </c>
      <c r="O11" t="s">
        <v>1065</v>
      </c>
    </row>
    <row r="12" spans="1:15" x14ac:dyDescent="0.15">
      <c r="A12" s="1" t="s">
        <v>338</v>
      </c>
      <c r="B12" s="34">
        <f>VLOOKUP(A12,装备!$B$3:$J$61,9,FALSE)*0.75</f>
        <v>46.5</v>
      </c>
      <c r="N12" t="s">
        <v>36</v>
      </c>
      <c r="O12" t="s">
        <v>1066</v>
      </c>
    </row>
    <row r="13" spans="1:15" x14ac:dyDescent="0.15">
      <c r="A13" s="1" t="s">
        <v>339</v>
      </c>
      <c r="B13" s="34">
        <f>VLOOKUP(A13,装备!$B$3:$J$61,9,FALSE)*0.75</f>
        <v>16.5</v>
      </c>
      <c r="N13" t="s">
        <v>24</v>
      </c>
      <c r="O13" t="s">
        <v>1067</v>
      </c>
    </row>
    <row r="14" spans="1:15" x14ac:dyDescent="0.15">
      <c r="A14" s="1" t="s">
        <v>774</v>
      </c>
      <c r="B14" s="34">
        <f>VLOOKUP(A14,装备!$B$3:$J$61,9,FALSE)*0.75</f>
        <v>13.5</v>
      </c>
      <c r="N14" t="s">
        <v>47</v>
      </c>
      <c r="O14" t="s">
        <v>1068</v>
      </c>
    </row>
    <row r="15" spans="1:15" x14ac:dyDescent="0.15">
      <c r="A15" s="1" t="s">
        <v>775</v>
      </c>
      <c r="B15" s="34">
        <f>VLOOKUP(A15,装备!$B$3:$J$61,9,FALSE)*0.75</f>
        <v>49.5</v>
      </c>
      <c r="N15" t="s">
        <v>41</v>
      </c>
      <c r="O15" t="s">
        <v>1069</v>
      </c>
    </row>
    <row r="16" spans="1:15" x14ac:dyDescent="0.15">
      <c r="A16" s="1" t="s">
        <v>341</v>
      </c>
      <c r="B16" s="34">
        <f>VLOOKUP(A16,装备!$B$3:$J$61,9,FALSE)*0.75</f>
        <v>43.5</v>
      </c>
      <c r="N16" t="s">
        <v>25</v>
      </c>
      <c r="O16" t="s">
        <v>1070</v>
      </c>
    </row>
    <row r="17" spans="1:15" x14ac:dyDescent="0.15">
      <c r="A17" s="1" t="s">
        <v>342</v>
      </c>
      <c r="B17" s="34">
        <f>VLOOKUP(A17,装备!$B$3:$J$61,9,FALSE)*0.75</f>
        <v>73.5</v>
      </c>
      <c r="N17" t="s">
        <v>46</v>
      </c>
      <c r="O17" t="s">
        <v>1071</v>
      </c>
    </row>
    <row r="18" spans="1:15" x14ac:dyDescent="0.15">
      <c r="A18" s="1" t="s">
        <v>616</v>
      </c>
      <c r="B18" s="34">
        <f>VLOOKUP(A18,装备!$B$3:$J$61,9,FALSE)*0.75</f>
        <v>62.25</v>
      </c>
      <c r="N18" t="s">
        <v>981</v>
      </c>
      <c r="O18" t="s">
        <v>1072</v>
      </c>
    </row>
    <row r="19" spans="1:15" x14ac:dyDescent="0.15">
      <c r="A19" s="1" t="s">
        <v>617</v>
      </c>
      <c r="B19" s="34">
        <f>VLOOKUP(A19,装备!$B$3:$J$61,9,FALSE)*0.75</f>
        <v>70.5</v>
      </c>
      <c r="N19" t="s">
        <v>330</v>
      </c>
      <c r="O19" t="s">
        <v>1073</v>
      </c>
    </row>
    <row r="20" spans="1:15" x14ac:dyDescent="0.15">
      <c r="A20" s="1" t="s">
        <v>618</v>
      </c>
      <c r="B20" s="34">
        <f>VLOOKUP(A20,装备!$B$3:$J$61,9,FALSE)*0.75</f>
        <v>64.5</v>
      </c>
      <c r="N20" t="s">
        <v>331</v>
      </c>
      <c r="O20" t="s">
        <v>1074</v>
      </c>
    </row>
    <row r="21" spans="1:15" x14ac:dyDescent="0.15">
      <c r="A21" s="1" t="s">
        <v>619</v>
      </c>
      <c r="B21" s="34">
        <f>VLOOKUP(A21,装备!$B$3:$J$61,9,FALSE)*0.75</f>
        <v>69</v>
      </c>
      <c r="N21" t="s">
        <v>392</v>
      </c>
      <c r="O21" t="s">
        <v>1075</v>
      </c>
    </row>
    <row r="22" spans="1:15" x14ac:dyDescent="0.15">
      <c r="A22" s="1" t="s">
        <v>351</v>
      </c>
      <c r="B22" s="34">
        <f>VLOOKUP(A22,装备!$B$3:$J$61,9,FALSE)*0.75</f>
        <v>3.75</v>
      </c>
      <c r="N22" t="s">
        <v>332</v>
      </c>
      <c r="O22" t="s">
        <v>1076</v>
      </c>
    </row>
    <row r="23" spans="1:15" x14ac:dyDescent="0.15">
      <c r="A23" s="1" t="s">
        <v>349</v>
      </c>
      <c r="B23" s="34">
        <f>VLOOKUP(A23,装备!$B$3:$J$61,9,FALSE)*0.75</f>
        <v>7.5</v>
      </c>
      <c r="N23" t="s">
        <v>333</v>
      </c>
      <c r="O23" t="s">
        <v>1077</v>
      </c>
    </row>
    <row r="24" spans="1:15" x14ac:dyDescent="0.15">
      <c r="A24" s="1" t="s">
        <v>394</v>
      </c>
      <c r="B24" s="34">
        <f>VLOOKUP(A24,装备!$B$3:$J$61,9,FALSE)*0.75</f>
        <v>14.25</v>
      </c>
      <c r="N24" t="s">
        <v>334</v>
      </c>
      <c r="O24" t="s">
        <v>1078</v>
      </c>
    </row>
    <row r="25" spans="1:15" x14ac:dyDescent="0.15">
      <c r="A25" s="1" t="s">
        <v>395</v>
      </c>
      <c r="B25" s="34">
        <f>VLOOKUP(A25,装备!$B$3:$J$61,9,FALSE)*0.75</f>
        <v>22.5</v>
      </c>
      <c r="N25" t="s">
        <v>335</v>
      </c>
      <c r="O25" t="s">
        <v>1079</v>
      </c>
    </row>
    <row r="26" spans="1:15" x14ac:dyDescent="0.15">
      <c r="A26" s="1" t="s">
        <v>353</v>
      </c>
      <c r="B26" s="34">
        <f>VLOOKUP(A26,装备!$B$3:$J$61,9,FALSE)*0.75</f>
        <v>28.5</v>
      </c>
      <c r="N26" t="s">
        <v>336</v>
      </c>
      <c r="O26" t="s">
        <v>1080</v>
      </c>
    </row>
    <row r="27" spans="1:15" x14ac:dyDescent="0.15">
      <c r="A27" s="1" t="s">
        <v>396</v>
      </c>
      <c r="B27" s="34">
        <f>VLOOKUP(A27,装备!$B$3:$J$61,9,FALSE)*0.75</f>
        <v>36</v>
      </c>
      <c r="N27" t="s">
        <v>337</v>
      </c>
      <c r="O27" t="s">
        <v>1081</v>
      </c>
    </row>
    <row r="28" spans="1:15" x14ac:dyDescent="0.15">
      <c r="A28" s="1" t="s">
        <v>667</v>
      </c>
      <c r="B28" s="34">
        <f>VLOOKUP(A28,装备!$B$3:$J$61,9,FALSE)*0.75</f>
        <v>34.5</v>
      </c>
      <c r="N28" t="s">
        <v>338</v>
      </c>
      <c r="O28" t="s">
        <v>1082</v>
      </c>
    </row>
    <row r="29" spans="1:15" x14ac:dyDescent="0.15">
      <c r="A29" s="1" t="s">
        <v>355</v>
      </c>
      <c r="B29" s="34">
        <f>VLOOKUP(A29,装备!$B$3:$J$61,9,FALSE)*0.75</f>
        <v>31.5</v>
      </c>
      <c r="N29" t="s">
        <v>339</v>
      </c>
      <c r="O29" t="s">
        <v>1083</v>
      </c>
    </row>
    <row r="30" spans="1:15" x14ac:dyDescent="0.15">
      <c r="A30" s="1" t="s">
        <v>397</v>
      </c>
      <c r="B30" s="34">
        <f>VLOOKUP(A30,装备!$B$3:$J$61,9,FALSE)*0.75</f>
        <v>36</v>
      </c>
      <c r="N30" t="s">
        <v>340</v>
      </c>
      <c r="O30" t="s">
        <v>1084</v>
      </c>
    </row>
    <row r="31" spans="1:15" x14ac:dyDescent="0.15">
      <c r="A31" s="1" t="s">
        <v>398</v>
      </c>
      <c r="B31" s="34">
        <f>VLOOKUP(A31,装备!$B$3:$J$61,9,FALSE)*0.75</f>
        <v>31.5</v>
      </c>
      <c r="N31" t="s">
        <v>393</v>
      </c>
      <c r="O31" t="s">
        <v>1085</v>
      </c>
    </row>
    <row r="32" spans="1:15" x14ac:dyDescent="0.15">
      <c r="A32" s="1" t="s">
        <v>399</v>
      </c>
      <c r="B32" s="34">
        <f>VLOOKUP(A32,装备!$B$3:$J$61,9,FALSE)*0.75</f>
        <v>36.75</v>
      </c>
      <c r="N32" t="s">
        <v>341</v>
      </c>
      <c r="O32" t="s">
        <v>1086</v>
      </c>
    </row>
    <row r="33" spans="1:15" x14ac:dyDescent="0.15">
      <c r="A33" s="1" t="s">
        <v>400</v>
      </c>
      <c r="B33" s="34">
        <f>VLOOKUP(A33,装备!$B$3:$J$61,9,FALSE)*0.75</f>
        <v>53.25</v>
      </c>
      <c r="N33" t="s">
        <v>342</v>
      </c>
      <c r="O33" t="s">
        <v>1087</v>
      </c>
    </row>
    <row r="34" spans="1:15" x14ac:dyDescent="0.15">
      <c r="A34" s="1" t="s">
        <v>401</v>
      </c>
      <c r="B34" s="34">
        <f>VLOOKUP(A34,装备!$B$3:$J$61,9,FALSE)*0.75</f>
        <v>57</v>
      </c>
      <c r="N34" t="s">
        <v>351</v>
      </c>
      <c r="O34" t="s">
        <v>1088</v>
      </c>
    </row>
    <row r="35" spans="1:15" x14ac:dyDescent="0.15">
      <c r="A35" s="1" t="s">
        <v>402</v>
      </c>
      <c r="B35" s="34">
        <f>VLOOKUP(A35,装备!$B$3:$J$61,9,FALSE)*0.75</f>
        <v>42.75</v>
      </c>
      <c r="N35" t="s">
        <v>349</v>
      </c>
      <c r="O35" t="s">
        <v>1089</v>
      </c>
    </row>
    <row r="36" spans="1:15" x14ac:dyDescent="0.15">
      <c r="A36" s="1" t="s">
        <v>403</v>
      </c>
      <c r="B36" s="34">
        <f>VLOOKUP(A36,装备!$B$3:$J$61,9,FALSE)*0.75</f>
        <v>42.75</v>
      </c>
      <c r="N36" t="s">
        <v>394</v>
      </c>
      <c r="O36" t="s">
        <v>1090</v>
      </c>
    </row>
    <row r="37" spans="1:15" x14ac:dyDescent="0.15">
      <c r="A37" s="1" t="s">
        <v>390</v>
      </c>
      <c r="B37" s="34">
        <f>VLOOKUP(A37,装备!$B$3:$J$61,9,FALSE)*0.75</f>
        <v>41.25</v>
      </c>
      <c r="N37" t="s">
        <v>395</v>
      </c>
      <c r="O37" t="s">
        <v>1091</v>
      </c>
    </row>
    <row r="38" spans="1:15" x14ac:dyDescent="0.15">
      <c r="A38" s="1" t="s">
        <v>620</v>
      </c>
      <c r="B38" s="34">
        <f>VLOOKUP(A38,装备!$B$3:$J$61,9,FALSE)*0.75</f>
        <v>41.25</v>
      </c>
      <c r="N38" t="s">
        <v>353</v>
      </c>
      <c r="O38" t="s">
        <v>1092</v>
      </c>
    </row>
    <row r="39" spans="1:15" x14ac:dyDescent="0.15">
      <c r="A39" s="9" t="s">
        <v>425</v>
      </c>
      <c r="B39" s="34">
        <f>VLOOKUP(A39,装备!$B$3:$J$61,9,FALSE)*0.75</f>
        <v>3</v>
      </c>
      <c r="N39" t="s">
        <v>396</v>
      </c>
      <c r="O39" t="s">
        <v>1093</v>
      </c>
    </row>
    <row r="40" spans="1:15" x14ac:dyDescent="0.15">
      <c r="A40" s="9" t="s">
        <v>422</v>
      </c>
      <c r="B40" s="34">
        <f>VLOOKUP(A40,装备!$B$3:$J$61,9,FALSE)*0.75</f>
        <v>9</v>
      </c>
      <c r="N40" t="s">
        <v>355</v>
      </c>
      <c r="O40" t="s">
        <v>1094</v>
      </c>
    </row>
    <row r="41" spans="1:15" x14ac:dyDescent="0.15">
      <c r="A41" s="9" t="s">
        <v>423</v>
      </c>
      <c r="B41" s="34">
        <f>VLOOKUP(A41,装备!$B$3:$J$61,9,FALSE)*0.75</f>
        <v>14.25</v>
      </c>
      <c r="N41" t="s">
        <v>397</v>
      </c>
      <c r="O41" t="s">
        <v>1095</v>
      </c>
    </row>
    <row r="42" spans="1:15" ht="27" x14ac:dyDescent="0.15">
      <c r="A42" s="9" t="s">
        <v>424</v>
      </c>
      <c r="B42" s="34">
        <f>VLOOKUP(A42,装备!$B$3:$J$61,9,FALSE)*0.75</f>
        <v>8.25</v>
      </c>
      <c r="N42" t="s">
        <v>398</v>
      </c>
      <c r="O42" t="s">
        <v>1096</v>
      </c>
    </row>
    <row r="43" spans="1:15" x14ac:dyDescent="0.15">
      <c r="A43" s="9" t="s">
        <v>427</v>
      </c>
      <c r="B43" s="34">
        <f>VLOOKUP(A43,装备!$B$3:$J$61,9,FALSE)*0.75</f>
        <v>15</v>
      </c>
      <c r="N43" t="s">
        <v>399</v>
      </c>
      <c r="O43" t="s">
        <v>1097</v>
      </c>
    </row>
    <row r="44" spans="1:15" x14ac:dyDescent="0.15">
      <c r="A44" s="9" t="s">
        <v>431</v>
      </c>
      <c r="B44" s="34">
        <f>VLOOKUP(A44,装备!$B$3:$J$61,9,FALSE)*0.75</f>
        <v>23.25</v>
      </c>
      <c r="N44" t="s">
        <v>400</v>
      </c>
      <c r="O44" t="s">
        <v>1098</v>
      </c>
    </row>
    <row r="45" spans="1:15" x14ac:dyDescent="0.15">
      <c r="A45" s="9" t="s">
        <v>430</v>
      </c>
      <c r="B45" s="34">
        <f>VLOOKUP(A45,装备!$B$3:$J$61,9,FALSE)*0.75</f>
        <v>22.5</v>
      </c>
      <c r="N45" t="s">
        <v>401</v>
      </c>
      <c r="O45" t="s">
        <v>1099</v>
      </c>
    </row>
    <row r="46" spans="1:15" x14ac:dyDescent="0.15">
      <c r="A46" s="9" t="s">
        <v>429</v>
      </c>
      <c r="B46" s="34">
        <f>VLOOKUP(A46,装备!$B$3:$J$61,9,FALSE)*0.75</f>
        <v>34.5</v>
      </c>
      <c r="N46" t="s">
        <v>402</v>
      </c>
      <c r="O46" t="s">
        <v>1100</v>
      </c>
    </row>
    <row r="47" spans="1:15" x14ac:dyDescent="0.15">
      <c r="A47" s="9" t="s">
        <v>433</v>
      </c>
      <c r="B47" s="34">
        <f>VLOOKUP(A47,装备!$B$3:$J$61,9,FALSE)*0.75</f>
        <v>30</v>
      </c>
      <c r="N47" t="s">
        <v>982</v>
      </c>
      <c r="O47" t="s">
        <v>1101</v>
      </c>
    </row>
    <row r="48" spans="1:15" x14ac:dyDescent="0.15">
      <c r="A48" s="9" t="s">
        <v>428</v>
      </c>
      <c r="B48" s="34">
        <f>VLOOKUP(A48,装备!$B$3:$J$61,9,FALSE)*0.75</f>
        <v>30</v>
      </c>
      <c r="N48" t="s">
        <v>403</v>
      </c>
      <c r="O48" t="s">
        <v>1102</v>
      </c>
    </row>
    <row r="49" spans="1:15" x14ac:dyDescent="0.15">
      <c r="A49" s="9" t="s">
        <v>621</v>
      </c>
      <c r="B49" s="34">
        <f>VLOOKUP(A49,装备!$B$3:$J$61,9,FALSE)*0.75</f>
        <v>37.5</v>
      </c>
      <c r="N49" t="s">
        <v>197</v>
      </c>
      <c r="O49" t="s">
        <v>1103</v>
      </c>
    </row>
    <row r="50" spans="1:15" x14ac:dyDescent="0.15">
      <c r="A50" s="1" t="s">
        <v>718</v>
      </c>
      <c r="B50" s="34">
        <f>VLOOKUP(A50,装备!$B$3:$J$61,9,FALSE)*0.75</f>
        <v>7.5</v>
      </c>
      <c r="N50" t="s">
        <v>201</v>
      </c>
      <c r="O50" t="s">
        <v>1104</v>
      </c>
    </row>
    <row r="51" spans="1:15" x14ac:dyDescent="0.15">
      <c r="A51" s="1" t="s">
        <v>826</v>
      </c>
      <c r="B51" s="34">
        <f>VLOOKUP(A51,装备!$B$3:$J$61,9,FALSE)*0.75</f>
        <v>15</v>
      </c>
      <c r="N51" t="s">
        <v>983</v>
      </c>
      <c r="O51" t="s">
        <v>1105</v>
      </c>
    </row>
    <row r="52" spans="1:15" x14ac:dyDescent="0.15">
      <c r="A52" s="1" t="s">
        <v>725</v>
      </c>
      <c r="B52" s="34">
        <f>VLOOKUP(A52,装备!$B$3:$J$61,9,FALSE)*0.75</f>
        <v>15</v>
      </c>
      <c r="N52" t="s">
        <v>984</v>
      </c>
      <c r="O52" t="s">
        <v>1106</v>
      </c>
    </row>
    <row r="53" spans="1:15" x14ac:dyDescent="0.15">
      <c r="A53" s="1" t="s">
        <v>726</v>
      </c>
      <c r="B53" s="34">
        <f>VLOOKUP(A53,装备!$B$3:$J$61,9,FALSE)*0.75</f>
        <v>18.75</v>
      </c>
      <c r="N53" t="s">
        <v>795</v>
      </c>
      <c r="O53" t="s">
        <v>1107</v>
      </c>
    </row>
    <row r="54" spans="1:15" x14ac:dyDescent="0.15">
      <c r="A54" s="1" t="s">
        <v>733</v>
      </c>
      <c r="B54" s="34">
        <f>VLOOKUP(A54,装备!$B$3:$J$61,9,FALSE)*0.75</f>
        <v>26.25</v>
      </c>
      <c r="N54" t="s">
        <v>985</v>
      </c>
      <c r="O54" t="s">
        <v>1108</v>
      </c>
    </row>
    <row r="55" spans="1:15" x14ac:dyDescent="0.15">
      <c r="A55" s="1" t="s">
        <v>729</v>
      </c>
      <c r="B55" s="34">
        <f>VLOOKUP(A55,装备!$B$3:$J$61,9,FALSE)*0.75</f>
        <v>22.5</v>
      </c>
      <c r="N55" t="s">
        <v>165</v>
      </c>
      <c r="O55" t="s">
        <v>1109</v>
      </c>
    </row>
    <row r="56" spans="1:15" x14ac:dyDescent="0.15">
      <c r="A56" s="1" t="s">
        <v>728</v>
      </c>
      <c r="B56" s="34">
        <f>VLOOKUP(A56,装备!$B$3:$J$61,9,FALSE)*0.75</f>
        <v>22.5</v>
      </c>
      <c r="N56" t="s">
        <v>213</v>
      </c>
      <c r="O56" t="s">
        <v>1110</v>
      </c>
    </row>
    <row r="57" spans="1:15" x14ac:dyDescent="0.15">
      <c r="A57" s="1" t="s">
        <v>737</v>
      </c>
      <c r="B57" s="34">
        <f>VLOOKUP(A57,装备!$B$3:$J$61,9,FALSE)*0.75</f>
        <v>30</v>
      </c>
      <c r="N57" t="s">
        <v>206</v>
      </c>
      <c r="O57" t="s">
        <v>1111</v>
      </c>
    </row>
    <row r="58" spans="1:15" x14ac:dyDescent="0.15">
      <c r="A58" s="1" t="s">
        <v>730</v>
      </c>
      <c r="B58" s="34">
        <f>VLOOKUP(A58,装备!$B$3:$J$61,9,FALSE)*0.75</f>
        <v>41.25</v>
      </c>
      <c r="N58" t="s">
        <v>184</v>
      </c>
      <c r="O58" t="s">
        <v>1112</v>
      </c>
    </row>
    <row r="59" spans="1:15" x14ac:dyDescent="0.15">
      <c r="A59" s="34" t="s">
        <v>675</v>
      </c>
      <c r="N59" t="s">
        <v>163</v>
      </c>
      <c r="O59" t="s">
        <v>1113</v>
      </c>
    </row>
    <row r="60" spans="1:15" x14ac:dyDescent="0.15">
      <c r="A60" s="34" t="s">
        <v>326</v>
      </c>
      <c r="N60" t="s">
        <v>241</v>
      </c>
      <c r="O60" t="s">
        <v>1114</v>
      </c>
    </row>
    <row r="61" spans="1:15" x14ac:dyDescent="0.15">
      <c r="A61" s="34" t="s">
        <v>443</v>
      </c>
      <c r="N61" t="s">
        <v>238</v>
      </c>
      <c r="O61" t="s">
        <v>1115</v>
      </c>
    </row>
    <row r="62" spans="1:15" x14ac:dyDescent="0.15">
      <c r="A62" s="34" t="s">
        <v>444</v>
      </c>
      <c r="N62" t="s">
        <v>986</v>
      </c>
      <c r="O62" t="s">
        <v>1116</v>
      </c>
    </row>
    <row r="63" spans="1:15" x14ac:dyDescent="0.15">
      <c r="A63" s="34" t="s">
        <v>346</v>
      </c>
      <c r="N63" t="s">
        <v>987</v>
      </c>
      <c r="O63" t="s">
        <v>1117</v>
      </c>
    </row>
    <row r="64" spans="1:15" x14ac:dyDescent="0.15">
      <c r="A64" s="34" t="s">
        <v>352</v>
      </c>
      <c r="B64">
        <v>1.75</v>
      </c>
      <c r="N64" t="s">
        <v>199</v>
      </c>
      <c r="O64" t="s">
        <v>1118</v>
      </c>
    </row>
    <row r="65" spans="1:15" x14ac:dyDescent="0.15">
      <c r="A65" s="34" t="s">
        <v>445</v>
      </c>
      <c r="N65" t="s">
        <v>988</v>
      </c>
      <c r="O65" t="s">
        <v>1119</v>
      </c>
    </row>
    <row r="66" spans="1:15" x14ac:dyDescent="0.15">
      <c r="A66" s="34" t="s">
        <v>446</v>
      </c>
      <c r="N66" t="s">
        <v>989</v>
      </c>
      <c r="O66" t="s">
        <v>1120</v>
      </c>
    </row>
    <row r="67" spans="1:15" x14ac:dyDescent="0.15">
      <c r="A67" s="34" t="s">
        <v>447</v>
      </c>
      <c r="N67" t="s">
        <v>990</v>
      </c>
      <c r="O67" t="s">
        <v>1121</v>
      </c>
    </row>
    <row r="68" spans="1:15" x14ac:dyDescent="0.15">
      <c r="A68" s="34" t="s">
        <v>448</v>
      </c>
      <c r="N68" t="s">
        <v>991</v>
      </c>
      <c r="O68" t="s">
        <v>1122</v>
      </c>
    </row>
    <row r="69" spans="1:15" x14ac:dyDescent="0.15">
      <c r="A69" s="34" t="s">
        <v>370</v>
      </c>
      <c r="N69" t="s">
        <v>992</v>
      </c>
      <c r="O69" t="s">
        <v>1123</v>
      </c>
    </row>
    <row r="70" spans="1:15" x14ac:dyDescent="0.15">
      <c r="A70" s="34" t="s">
        <v>449</v>
      </c>
      <c r="N70" t="s">
        <v>234</v>
      </c>
      <c r="O70" t="s">
        <v>1124</v>
      </c>
    </row>
    <row r="71" spans="1:15" x14ac:dyDescent="0.15">
      <c r="A71" s="34" t="s">
        <v>450</v>
      </c>
      <c r="N71" t="s">
        <v>993</v>
      </c>
      <c r="O71" t="s">
        <v>1125</v>
      </c>
    </row>
    <row r="72" spans="1:15" x14ac:dyDescent="0.15">
      <c r="A72" s="34" t="s">
        <v>357</v>
      </c>
      <c r="N72" t="s">
        <v>994</v>
      </c>
      <c r="O72" t="s">
        <v>1126</v>
      </c>
    </row>
    <row r="73" spans="1:15" x14ac:dyDescent="0.15">
      <c r="A73" s="34" t="s">
        <v>521</v>
      </c>
      <c r="N73" t="s">
        <v>995</v>
      </c>
      <c r="O73" t="s">
        <v>1127</v>
      </c>
    </row>
    <row r="74" spans="1:15" x14ac:dyDescent="0.15">
      <c r="A74" s="34" t="s">
        <v>665</v>
      </c>
      <c r="N74" t="s">
        <v>996</v>
      </c>
      <c r="O74" t="s">
        <v>1128</v>
      </c>
    </row>
    <row r="75" spans="1:15" x14ac:dyDescent="0.15">
      <c r="A75" s="34" t="s">
        <v>453</v>
      </c>
      <c r="N75" t="s">
        <v>997</v>
      </c>
      <c r="O75" t="s">
        <v>1129</v>
      </c>
    </row>
    <row r="76" spans="1:15" x14ac:dyDescent="0.15">
      <c r="A76" s="34" t="s">
        <v>454</v>
      </c>
      <c r="N76" t="s">
        <v>237</v>
      </c>
      <c r="O76" t="s">
        <v>1130</v>
      </c>
    </row>
    <row r="77" spans="1:15" x14ac:dyDescent="0.15">
      <c r="A77" s="34" t="s">
        <v>455</v>
      </c>
      <c r="N77" t="s">
        <v>998</v>
      </c>
      <c r="O77" t="s">
        <v>1131</v>
      </c>
    </row>
    <row r="78" spans="1:15" x14ac:dyDescent="0.15">
      <c r="A78" s="34" t="s">
        <v>360</v>
      </c>
      <c r="B78">
        <v>5</v>
      </c>
      <c r="N78" t="s">
        <v>176</v>
      </c>
      <c r="O78" t="s">
        <v>1132</v>
      </c>
    </row>
    <row r="79" spans="1:15" x14ac:dyDescent="0.15">
      <c r="A79" s="34" t="s">
        <v>456</v>
      </c>
      <c r="N79" t="s">
        <v>999</v>
      </c>
      <c r="O79" t="s">
        <v>1133</v>
      </c>
    </row>
    <row r="80" spans="1:15" x14ac:dyDescent="0.15">
      <c r="A80" s="34" t="s">
        <v>457</v>
      </c>
      <c r="N80" t="s">
        <v>1000</v>
      </c>
      <c r="O80" t="s">
        <v>1134</v>
      </c>
    </row>
    <row r="81" spans="1:15" x14ac:dyDescent="0.15">
      <c r="A81" s="34" t="s">
        <v>348</v>
      </c>
      <c r="N81" t="s">
        <v>1001</v>
      </c>
      <c r="O81" t="s">
        <v>1135</v>
      </c>
    </row>
    <row r="82" spans="1:15" x14ac:dyDescent="0.15">
      <c r="A82" s="34" t="s">
        <v>369</v>
      </c>
      <c r="N82" t="s">
        <v>219</v>
      </c>
      <c r="O82" t="s">
        <v>1136</v>
      </c>
    </row>
    <row r="83" spans="1:15" x14ac:dyDescent="0.15">
      <c r="A83" s="34" t="s">
        <v>458</v>
      </c>
      <c r="N83" t="s">
        <v>1002</v>
      </c>
      <c r="O83" t="s">
        <v>1137</v>
      </c>
    </row>
    <row r="84" spans="1:15" x14ac:dyDescent="0.15">
      <c r="A84" s="34" t="s">
        <v>459</v>
      </c>
      <c r="N84" t="s">
        <v>1003</v>
      </c>
      <c r="O84" t="s">
        <v>1138</v>
      </c>
    </row>
    <row r="85" spans="1:15" x14ac:dyDescent="0.15">
      <c r="A85" s="34" t="s">
        <v>362</v>
      </c>
      <c r="N85" t="s">
        <v>1004</v>
      </c>
      <c r="O85" t="s">
        <v>1139</v>
      </c>
    </row>
    <row r="86" spans="1:15" x14ac:dyDescent="0.15">
      <c r="A86" s="34" t="s">
        <v>361</v>
      </c>
      <c r="N86" t="s">
        <v>1005</v>
      </c>
      <c r="O86" t="s">
        <v>1140</v>
      </c>
    </row>
    <row r="87" spans="1:15" x14ac:dyDescent="0.15">
      <c r="A87" s="34" t="s">
        <v>460</v>
      </c>
      <c r="N87" t="s">
        <v>1006</v>
      </c>
      <c r="O87" t="s">
        <v>1141</v>
      </c>
    </row>
    <row r="88" spans="1:15" x14ac:dyDescent="0.15">
      <c r="A88" s="34" t="s">
        <v>461</v>
      </c>
      <c r="N88" t="s">
        <v>1007</v>
      </c>
      <c r="O88" t="s">
        <v>1142</v>
      </c>
    </row>
    <row r="89" spans="1:15" x14ac:dyDescent="0.15">
      <c r="A89" s="34" t="s">
        <v>462</v>
      </c>
      <c r="N89" t="s">
        <v>1008</v>
      </c>
      <c r="O89" t="s">
        <v>1143</v>
      </c>
    </row>
    <row r="90" spans="1:15" x14ac:dyDescent="0.15">
      <c r="A90" s="34" t="s">
        <v>463</v>
      </c>
      <c r="N90" t="s">
        <v>159</v>
      </c>
      <c r="O90" t="s">
        <v>1144</v>
      </c>
    </row>
    <row r="91" spans="1:15" x14ac:dyDescent="0.15">
      <c r="A91" s="34" t="s">
        <v>724</v>
      </c>
      <c r="N91" t="s">
        <v>622</v>
      </c>
      <c r="O91" t="s">
        <v>1145</v>
      </c>
    </row>
    <row r="92" spans="1:15" x14ac:dyDescent="0.15">
      <c r="A92" s="34" t="s">
        <v>465</v>
      </c>
      <c r="N92" t="s">
        <v>364</v>
      </c>
      <c r="O92" t="s">
        <v>1146</v>
      </c>
    </row>
    <row r="93" spans="1:15" x14ac:dyDescent="0.15">
      <c r="A93" s="34" t="s">
        <v>466</v>
      </c>
      <c r="N93" t="s">
        <v>1009</v>
      </c>
      <c r="O93" t="s">
        <v>1147</v>
      </c>
    </row>
    <row r="94" spans="1:15" x14ac:dyDescent="0.15">
      <c r="A94" s="34" t="s">
        <v>350</v>
      </c>
      <c r="N94" t="s">
        <v>475</v>
      </c>
      <c r="O94" t="s">
        <v>1148</v>
      </c>
    </row>
    <row r="95" spans="1:15" x14ac:dyDescent="0.15">
      <c r="A95" s="34" t="s">
        <v>367</v>
      </c>
      <c r="N95" t="s">
        <v>372</v>
      </c>
      <c r="O95" t="s">
        <v>1149</v>
      </c>
    </row>
    <row r="96" spans="1:15" x14ac:dyDescent="0.15">
      <c r="A96" s="34" t="s">
        <v>467</v>
      </c>
      <c r="N96" t="s">
        <v>363</v>
      </c>
      <c r="O96" t="s">
        <v>1150</v>
      </c>
    </row>
    <row r="97" spans="1:15" x14ac:dyDescent="0.15">
      <c r="A97" s="34" t="s">
        <v>363</v>
      </c>
      <c r="N97" t="s">
        <v>1010</v>
      </c>
      <c r="O97" t="s">
        <v>1151</v>
      </c>
    </row>
    <row r="98" spans="1:15" x14ac:dyDescent="0.15">
      <c r="A98" s="34" t="s">
        <v>487</v>
      </c>
      <c r="N98" t="s">
        <v>357</v>
      </c>
      <c r="O98" t="s">
        <v>1152</v>
      </c>
    </row>
    <row r="99" spans="1:15" x14ac:dyDescent="0.15">
      <c r="A99" s="34" t="s">
        <v>486</v>
      </c>
      <c r="N99" t="s">
        <v>360</v>
      </c>
      <c r="O99" t="s">
        <v>1153</v>
      </c>
    </row>
    <row r="100" spans="1:15" x14ac:dyDescent="0.15">
      <c r="A100" s="34" t="s">
        <v>468</v>
      </c>
      <c r="N100" t="s">
        <v>352</v>
      </c>
      <c r="O100" t="s">
        <v>1154</v>
      </c>
    </row>
    <row r="101" spans="1:15" x14ac:dyDescent="0.15">
      <c r="A101" s="34" t="s">
        <v>469</v>
      </c>
      <c r="N101" t="s">
        <v>361</v>
      </c>
      <c r="O101" t="s">
        <v>1155</v>
      </c>
    </row>
    <row r="102" spans="1:15" x14ac:dyDescent="0.15">
      <c r="A102" s="34" t="s">
        <v>371</v>
      </c>
      <c r="N102" t="s">
        <v>367</v>
      </c>
      <c r="O102" t="s">
        <v>1156</v>
      </c>
    </row>
    <row r="103" spans="1:15" x14ac:dyDescent="0.15">
      <c r="A103" s="34" t="s">
        <v>372</v>
      </c>
      <c r="N103" t="s">
        <v>350</v>
      </c>
      <c r="O103" t="s">
        <v>1157</v>
      </c>
    </row>
    <row r="104" spans="1:15" x14ac:dyDescent="0.15">
      <c r="A104" s="34" t="s">
        <v>470</v>
      </c>
      <c r="N104" t="s">
        <v>370</v>
      </c>
      <c r="O104" t="s">
        <v>1158</v>
      </c>
    </row>
    <row r="105" spans="1:15" x14ac:dyDescent="0.15">
      <c r="A105" s="34" t="s">
        <v>471</v>
      </c>
      <c r="N105" t="s">
        <v>486</v>
      </c>
      <c r="O105" t="s">
        <v>1159</v>
      </c>
    </row>
    <row r="106" spans="1:15" x14ac:dyDescent="0.15">
      <c r="A106" s="34" t="s">
        <v>472</v>
      </c>
      <c r="N106" t="s">
        <v>362</v>
      </c>
      <c r="O106" t="s">
        <v>1160</v>
      </c>
    </row>
    <row r="107" spans="1:15" x14ac:dyDescent="0.15">
      <c r="A107" s="34" t="s">
        <v>473</v>
      </c>
      <c r="N107" t="s">
        <v>1011</v>
      </c>
      <c r="O107" t="s">
        <v>1161</v>
      </c>
    </row>
    <row r="108" spans="1:15" x14ac:dyDescent="0.15">
      <c r="A108" s="34" t="s">
        <v>364</v>
      </c>
      <c r="N108" t="s">
        <v>1012</v>
      </c>
      <c r="O108" t="s">
        <v>1162</v>
      </c>
    </row>
    <row r="109" spans="1:15" x14ac:dyDescent="0.15">
      <c r="A109" s="34" t="s">
        <v>474</v>
      </c>
      <c r="N109" t="s">
        <v>838</v>
      </c>
      <c r="O109" t="s">
        <v>1163</v>
      </c>
    </row>
    <row r="110" spans="1:15" x14ac:dyDescent="0.15">
      <c r="A110" s="34" t="s">
        <v>475</v>
      </c>
      <c r="N110" t="s">
        <v>1013</v>
      </c>
      <c r="O110" t="s">
        <v>1164</v>
      </c>
    </row>
    <row r="111" spans="1:15" x14ac:dyDescent="0.15">
      <c r="A111" s="34" t="s">
        <v>476</v>
      </c>
      <c r="N111" t="s">
        <v>369</v>
      </c>
      <c r="O111" t="s">
        <v>1165</v>
      </c>
    </row>
    <row r="112" spans="1:15" x14ac:dyDescent="0.15">
      <c r="A112" s="34" t="s">
        <v>477</v>
      </c>
      <c r="B112">
        <v>8</v>
      </c>
      <c r="N112" t="s">
        <v>356</v>
      </c>
      <c r="O112" t="s">
        <v>1166</v>
      </c>
    </row>
    <row r="113" spans="1:15" x14ac:dyDescent="0.15">
      <c r="A113" s="34" t="s">
        <v>478</v>
      </c>
      <c r="N113" t="s">
        <v>365</v>
      </c>
      <c r="O113" t="s">
        <v>1167</v>
      </c>
    </row>
    <row r="114" spans="1:15" x14ac:dyDescent="0.15">
      <c r="A114" s="34" t="s">
        <v>366</v>
      </c>
      <c r="N114" t="s">
        <v>1014</v>
      </c>
      <c r="O114" t="s">
        <v>1168</v>
      </c>
    </row>
    <row r="115" spans="1:15" x14ac:dyDescent="0.15">
      <c r="A115" s="34" t="s">
        <v>479</v>
      </c>
      <c r="N115" t="s">
        <v>371</v>
      </c>
      <c r="O115" t="s">
        <v>1169</v>
      </c>
    </row>
    <row r="116" spans="1:15" x14ac:dyDescent="0.15">
      <c r="A116" s="34" t="s">
        <v>480</v>
      </c>
      <c r="N116" t="s">
        <v>366</v>
      </c>
      <c r="O116" t="s">
        <v>1170</v>
      </c>
    </row>
    <row r="117" spans="1:15" x14ac:dyDescent="0.15">
      <c r="A117" s="34" t="s">
        <v>368</v>
      </c>
      <c r="N117" t="s">
        <v>1015</v>
      </c>
      <c r="O117" t="s">
        <v>1171</v>
      </c>
    </row>
    <row r="118" spans="1:15" x14ac:dyDescent="0.15">
      <c r="A118" s="34" t="s">
        <v>481</v>
      </c>
      <c r="N118" t="s">
        <v>346</v>
      </c>
      <c r="O118" t="s">
        <v>1172</v>
      </c>
    </row>
    <row r="119" spans="1:15" x14ac:dyDescent="0.15">
      <c r="A119" s="34" t="s">
        <v>482</v>
      </c>
      <c r="N119" t="s">
        <v>347</v>
      </c>
      <c r="O119" t="s">
        <v>1173</v>
      </c>
    </row>
    <row r="120" spans="1:15" x14ac:dyDescent="0.15">
      <c r="A120" s="34" t="s">
        <v>483</v>
      </c>
      <c r="N120" t="s">
        <v>354</v>
      </c>
      <c r="O120" t="s">
        <v>1174</v>
      </c>
    </row>
    <row r="121" spans="1:15" x14ac:dyDescent="0.15">
      <c r="A121" s="34" t="s">
        <v>484</v>
      </c>
      <c r="N121" t="s">
        <v>193</v>
      </c>
      <c r="O121" t="s">
        <v>1175</v>
      </c>
    </row>
    <row r="122" spans="1:15" x14ac:dyDescent="0.15">
      <c r="A122" s="34" t="s">
        <v>485</v>
      </c>
      <c r="N122" t="s">
        <v>1016</v>
      </c>
      <c r="O122" t="s">
        <v>1176</v>
      </c>
    </row>
    <row r="123" spans="1:15" x14ac:dyDescent="0.15">
      <c r="A123" s="34" t="s">
        <v>511</v>
      </c>
      <c r="N123" t="s">
        <v>348</v>
      </c>
      <c r="O123" t="s">
        <v>1177</v>
      </c>
    </row>
    <row r="124" spans="1:15" x14ac:dyDescent="0.15">
      <c r="A124" s="34" t="s">
        <v>508</v>
      </c>
      <c r="N124" t="s">
        <v>368</v>
      </c>
      <c r="O124" t="s">
        <v>1178</v>
      </c>
    </row>
    <row r="125" spans="1:15" x14ac:dyDescent="0.15">
      <c r="A125" s="34" t="s">
        <v>440</v>
      </c>
      <c r="N125" t="s">
        <v>1017</v>
      </c>
      <c r="O125" t="s">
        <v>1179</v>
      </c>
    </row>
    <row r="126" spans="1:15" x14ac:dyDescent="0.15">
      <c r="A126" s="34" t="s">
        <v>555</v>
      </c>
      <c r="N126" t="s">
        <v>466</v>
      </c>
      <c r="O126" t="s">
        <v>1180</v>
      </c>
    </row>
    <row r="127" spans="1:15" x14ac:dyDescent="0.15">
      <c r="A127" s="34" t="s">
        <v>516</v>
      </c>
      <c r="N127" t="s">
        <v>926</v>
      </c>
      <c r="O127" t="s">
        <v>1181</v>
      </c>
    </row>
    <row r="128" spans="1:15" x14ac:dyDescent="0.15">
      <c r="A128" s="34" t="s">
        <v>356</v>
      </c>
      <c r="B128">
        <v>3.75</v>
      </c>
      <c r="N128" t="s">
        <v>358</v>
      </c>
      <c r="O128" t="s">
        <v>1182</v>
      </c>
    </row>
    <row r="129" spans="1:15" x14ac:dyDescent="0.15">
      <c r="A129" s="34" t="s">
        <v>500</v>
      </c>
      <c r="B129">
        <v>18</v>
      </c>
      <c r="N129" t="s">
        <v>161</v>
      </c>
      <c r="O129" t="s">
        <v>1183</v>
      </c>
    </row>
    <row r="130" spans="1:15" x14ac:dyDescent="0.15">
      <c r="A130" s="34" t="s">
        <v>359</v>
      </c>
      <c r="N130" t="s">
        <v>359</v>
      </c>
      <c r="O130" t="s">
        <v>1184</v>
      </c>
    </row>
    <row r="131" spans="1:15" x14ac:dyDescent="0.15">
      <c r="A131" s="34" t="s">
        <v>581</v>
      </c>
      <c r="B131">
        <v>2</v>
      </c>
      <c r="N131" t="s">
        <v>162</v>
      </c>
      <c r="O131" t="s">
        <v>1185</v>
      </c>
    </row>
    <row r="132" spans="1:15" x14ac:dyDescent="0.15">
      <c r="A132" s="34" t="s">
        <v>526</v>
      </c>
      <c r="B132">
        <v>1.75</v>
      </c>
      <c r="N132" t="s">
        <v>56</v>
      </c>
      <c r="O132" t="s">
        <v>1055</v>
      </c>
    </row>
    <row r="133" spans="1:15" x14ac:dyDescent="0.15">
      <c r="A133" s="34" t="s">
        <v>502</v>
      </c>
      <c r="N133" t="s">
        <v>71</v>
      </c>
      <c r="O133" t="s">
        <v>1056</v>
      </c>
    </row>
    <row r="134" spans="1:15" x14ac:dyDescent="0.15">
      <c r="A134" s="34" t="s">
        <v>489</v>
      </c>
      <c r="N134" t="s">
        <v>59</v>
      </c>
      <c r="O134" t="s">
        <v>1057</v>
      </c>
    </row>
    <row r="135" spans="1:15" x14ac:dyDescent="0.15">
      <c r="A135" s="34" t="s">
        <v>506</v>
      </c>
      <c r="N135" t="s">
        <v>72</v>
      </c>
      <c r="O135" t="s">
        <v>1058</v>
      </c>
    </row>
    <row r="136" spans="1:15" x14ac:dyDescent="0.15">
      <c r="A136" s="34" t="s">
        <v>554</v>
      </c>
      <c r="N136" t="s">
        <v>61</v>
      </c>
      <c r="O136" t="s">
        <v>1059</v>
      </c>
    </row>
    <row r="137" spans="1:15" x14ac:dyDescent="0.15">
      <c r="A137" s="34" t="s">
        <v>358</v>
      </c>
      <c r="N137" t="s">
        <v>66</v>
      </c>
      <c r="O137" t="s">
        <v>1060</v>
      </c>
    </row>
    <row r="138" spans="1:15" x14ac:dyDescent="0.15">
      <c r="A138" s="34" t="s">
        <v>507</v>
      </c>
      <c r="N138" t="s">
        <v>1018</v>
      </c>
      <c r="O138" t="s">
        <v>1061</v>
      </c>
    </row>
    <row r="139" spans="1:15" x14ac:dyDescent="0.15">
      <c r="A139" s="34" t="s">
        <v>559</v>
      </c>
      <c r="N139" t="s">
        <v>62</v>
      </c>
      <c r="O139" t="s">
        <v>1062</v>
      </c>
    </row>
    <row r="140" spans="1:15" x14ac:dyDescent="0.15">
      <c r="A140" s="34" t="s">
        <v>557</v>
      </c>
      <c r="N140" t="s">
        <v>55</v>
      </c>
      <c r="O140" t="s">
        <v>1063</v>
      </c>
    </row>
    <row r="141" spans="1:15" x14ac:dyDescent="0.15">
      <c r="A141" s="34" t="s">
        <v>553</v>
      </c>
      <c r="N141" t="s">
        <v>57</v>
      </c>
      <c r="O141" t="s">
        <v>1064</v>
      </c>
    </row>
    <row r="142" spans="1:15" x14ac:dyDescent="0.15">
      <c r="A142" s="34" t="s">
        <v>513</v>
      </c>
      <c r="N142" t="s">
        <v>1019</v>
      </c>
      <c r="O142" t="s">
        <v>1065</v>
      </c>
    </row>
    <row r="143" spans="1:15" x14ac:dyDescent="0.15">
      <c r="A143" s="34" t="s">
        <v>509</v>
      </c>
      <c r="N143" t="s">
        <v>1020</v>
      </c>
      <c r="O143" t="s">
        <v>1066</v>
      </c>
    </row>
    <row r="144" spans="1:15" x14ac:dyDescent="0.15">
      <c r="A144" s="34" t="s">
        <v>556</v>
      </c>
      <c r="N144" t="s">
        <v>75</v>
      </c>
      <c r="O144" t="s">
        <v>1067</v>
      </c>
    </row>
    <row r="145" spans="1:15" x14ac:dyDescent="0.15">
      <c r="A145" s="34" t="s">
        <v>491</v>
      </c>
      <c r="N145" t="s">
        <v>79</v>
      </c>
      <c r="O145" t="s">
        <v>1068</v>
      </c>
    </row>
    <row r="146" spans="1:15" x14ac:dyDescent="0.15">
      <c r="A146" s="34" t="s">
        <v>558</v>
      </c>
      <c r="N146" t="s">
        <v>64</v>
      </c>
      <c r="O146" t="s">
        <v>1069</v>
      </c>
    </row>
    <row r="147" spans="1:15" x14ac:dyDescent="0.15">
      <c r="A147" s="34" t="s">
        <v>512</v>
      </c>
      <c r="N147" t="s">
        <v>69</v>
      </c>
      <c r="O147" t="s">
        <v>1070</v>
      </c>
    </row>
    <row r="148" spans="1:15" x14ac:dyDescent="0.15">
      <c r="A148" s="34" t="s">
        <v>515</v>
      </c>
      <c r="N148" t="s">
        <v>78</v>
      </c>
      <c r="O148" t="s">
        <v>1071</v>
      </c>
    </row>
    <row r="149" spans="1:15" x14ac:dyDescent="0.15">
      <c r="A149" s="34" t="s">
        <v>499</v>
      </c>
      <c r="N149" t="s">
        <v>1021</v>
      </c>
      <c r="O149" t="s">
        <v>1072</v>
      </c>
    </row>
    <row r="150" spans="1:15" x14ac:dyDescent="0.15">
      <c r="A150" s="34" t="s">
        <v>622</v>
      </c>
      <c r="N150" t="s">
        <v>1022</v>
      </c>
      <c r="O150" t="s">
        <v>1186</v>
      </c>
    </row>
    <row r="151" spans="1:15" x14ac:dyDescent="0.15">
      <c r="A151" s="34" t="s">
        <v>552</v>
      </c>
      <c r="N151" t="s">
        <v>1023</v>
      </c>
      <c r="O151" t="s">
        <v>1187</v>
      </c>
    </row>
    <row r="152" spans="1:15" x14ac:dyDescent="0.15">
      <c r="A152" s="16" t="s">
        <v>522</v>
      </c>
      <c r="B152">
        <v>3.75</v>
      </c>
      <c r="N152" t="s">
        <v>932</v>
      </c>
      <c r="O152" t="s">
        <v>1188</v>
      </c>
    </row>
    <row r="153" spans="1:15" x14ac:dyDescent="0.15">
      <c r="A153" s="16" t="s">
        <v>354</v>
      </c>
      <c r="B153">
        <v>5</v>
      </c>
      <c r="N153" t="s">
        <v>1024</v>
      </c>
      <c r="O153" t="s">
        <v>1189</v>
      </c>
    </row>
    <row r="154" spans="1:15" x14ac:dyDescent="0.15">
      <c r="A154" s="16" t="s">
        <v>714</v>
      </c>
      <c r="N154" t="s">
        <v>1025</v>
      </c>
      <c r="O154" t="s">
        <v>1190</v>
      </c>
    </row>
    <row r="155" spans="1:15" x14ac:dyDescent="0.15">
      <c r="A155" s="16" t="s">
        <v>716</v>
      </c>
      <c r="N155" t="s">
        <v>1026</v>
      </c>
      <c r="O155" t="s">
        <v>1191</v>
      </c>
    </row>
    <row r="156" spans="1:15" x14ac:dyDescent="0.15">
      <c r="A156" s="16" t="s">
        <v>760</v>
      </c>
      <c r="N156" t="s">
        <v>934</v>
      </c>
      <c r="O156" t="s">
        <v>1192</v>
      </c>
    </row>
    <row r="157" spans="1:15" x14ac:dyDescent="0.15">
      <c r="N157" t="s">
        <v>935</v>
      </c>
      <c r="O157" t="s">
        <v>1193</v>
      </c>
    </row>
    <row r="158" spans="1:15" x14ac:dyDescent="0.15">
      <c r="N158" t="s">
        <v>1027</v>
      </c>
      <c r="O158" t="s">
        <v>1194</v>
      </c>
    </row>
    <row r="159" spans="1:15" x14ac:dyDescent="0.15">
      <c r="N159" t="s">
        <v>187</v>
      </c>
      <c r="O159" t="s">
        <v>1195</v>
      </c>
    </row>
    <row r="160" spans="1:15" x14ac:dyDescent="0.15">
      <c r="N160" t="s">
        <v>1028</v>
      </c>
      <c r="O160" t="s">
        <v>1196</v>
      </c>
    </row>
    <row r="161" spans="14:15" x14ac:dyDescent="0.15">
      <c r="N161" t="s">
        <v>188</v>
      </c>
      <c r="O161" t="s">
        <v>1197</v>
      </c>
    </row>
    <row r="162" spans="14:15" x14ac:dyDescent="0.15">
      <c r="N162" t="s">
        <v>189</v>
      </c>
      <c r="O162" t="s">
        <v>1198</v>
      </c>
    </row>
    <row r="163" spans="14:15" x14ac:dyDescent="0.15">
      <c r="N163" t="s">
        <v>1029</v>
      </c>
      <c r="O163" t="s">
        <v>1199</v>
      </c>
    </row>
    <row r="164" spans="14:15" x14ac:dyDescent="0.15">
      <c r="N164" t="s">
        <v>1030</v>
      </c>
      <c r="O164" t="s">
        <v>1200</v>
      </c>
    </row>
    <row r="165" spans="14:15" x14ac:dyDescent="0.15">
      <c r="N165" t="s">
        <v>1031</v>
      </c>
      <c r="O165" t="s">
        <v>1201</v>
      </c>
    </row>
    <row r="166" spans="14:15" x14ac:dyDescent="0.15">
      <c r="N166" t="s">
        <v>1032</v>
      </c>
      <c r="O166" t="s">
        <v>1202</v>
      </c>
    </row>
    <row r="167" spans="14:15" x14ac:dyDescent="0.15">
      <c r="N167" t="s">
        <v>1033</v>
      </c>
      <c r="O167" t="s">
        <v>1203</v>
      </c>
    </row>
    <row r="168" spans="14:15" x14ac:dyDescent="0.15">
      <c r="N168" t="s">
        <v>1034</v>
      </c>
      <c r="O168" t="s">
        <v>1204</v>
      </c>
    </row>
    <row r="169" spans="14:15" x14ac:dyDescent="0.15">
      <c r="N169" t="s">
        <v>1035</v>
      </c>
      <c r="O169" t="s">
        <v>1205</v>
      </c>
    </row>
    <row r="170" spans="14:15" x14ac:dyDescent="0.15">
      <c r="N170" t="s">
        <v>1036</v>
      </c>
      <c r="O170" t="s">
        <v>1206</v>
      </c>
    </row>
    <row r="171" spans="14:15" x14ac:dyDescent="0.15">
      <c r="N171" t="s">
        <v>330</v>
      </c>
      <c r="O171" t="s">
        <v>1073</v>
      </c>
    </row>
    <row r="172" spans="14:15" x14ac:dyDescent="0.15">
      <c r="N172" t="s">
        <v>331</v>
      </c>
      <c r="O172" t="s">
        <v>1074</v>
      </c>
    </row>
    <row r="173" spans="14:15" x14ac:dyDescent="0.15">
      <c r="N173" t="s">
        <v>392</v>
      </c>
      <c r="O173" t="s">
        <v>1075</v>
      </c>
    </row>
    <row r="174" spans="14:15" x14ac:dyDescent="0.15">
      <c r="N174" t="s">
        <v>332</v>
      </c>
      <c r="O174" t="s">
        <v>1076</v>
      </c>
    </row>
    <row r="175" spans="14:15" x14ac:dyDescent="0.15">
      <c r="N175" t="s">
        <v>333</v>
      </c>
      <c r="O175" t="s">
        <v>1077</v>
      </c>
    </row>
    <row r="176" spans="14:15" x14ac:dyDescent="0.15">
      <c r="N176" t="s">
        <v>334</v>
      </c>
      <c r="O176" t="s">
        <v>1078</v>
      </c>
    </row>
    <row r="177" spans="14:15" x14ac:dyDescent="0.15">
      <c r="N177" t="s">
        <v>335</v>
      </c>
      <c r="O177" t="s">
        <v>1079</v>
      </c>
    </row>
    <row r="178" spans="14:15" x14ac:dyDescent="0.15">
      <c r="N178" t="s">
        <v>336</v>
      </c>
      <c r="O178" t="s">
        <v>1080</v>
      </c>
    </row>
    <row r="179" spans="14:15" x14ac:dyDescent="0.15">
      <c r="N179" t="s">
        <v>337</v>
      </c>
      <c r="O179" t="s">
        <v>1081</v>
      </c>
    </row>
    <row r="180" spans="14:15" x14ac:dyDescent="0.15">
      <c r="N180" t="s">
        <v>338</v>
      </c>
      <c r="O180" t="s">
        <v>1082</v>
      </c>
    </row>
    <row r="181" spans="14:15" x14ac:dyDescent="0.15">
      <c r="N181" t="s">
        <v>339</v>
      </c>
      <c r="O181" t="s">
        <v>1083</v>
      </c>
    </row>
    <row r="182" spans="14:15" x14ac:dyDescent="0.15">
      <c r="N182" t="s">
        <v>340</v>
      </c>
      <c r="O182" t="s">
        <v>1084</v>
      </c>
    </row>
    <row r="183" spans="14:15" x14ac:dyDescent="0.15">
      <c r="N183" t="s">
        <v>393</v>
      </c>
      <c r="O183" t="s">
        <v>1207</v>
      </c>
    </row>
    <row r="184" spans="14:15" x14ac:dyDescent="0.15">
      <c r="N184" t="s">
        <v>341</v>
      </c>
      <c r="O184" t="s">
        <v>1208</v>
      </c>
    </row>
    <row r="185" spans="14:15" x14ac:dyDescent="0.15">
      <c r="N185" t="s">
        <v>342</v>
      </c>
      <c r="O185" t="s">
        <v>1087</v>
      </c>
    </row>
    <row r="186" spans="14:15" x14ac:dyDescent="0.15">
      <c r="N186" t="s">
        <v>351</v>
      </c>
      <c r="O186" t="s">
        <v>1088</v>
      </c>
    </row>
    <row r="187" spans="14:15" x14ac:dyDescent="0.15">
      <c r="N187" t="s">
        <v>349</v>
      </c>
      <c r="O187" t="s">
        <v>1089</v>
      </c>
    </row>
    <row r="188" spans="14:15" x14ac:dyDescent="0.15">
      <c r="N188" t="s">
        <v>394</v>
      </c>
      <c r="O188" t="s">
        <v>1090</v>
      </c>
    </row>
    <row r="189" spans="14:15" x14ac:dyDescent="0.15">
      <c r="N189" t="s">
        <v>395</v>
      </c>
      <c r="O189" t="s">
        <v>1091</v>
      </c>
    </row>
    <row r="190" spans="14:15" x14ac:dyDescent="0.15">
      <c r="N190" t="s">
        <v>353</v>
      </c>
      <c r="O190" t="s">
        <v>1092</v>
      </c>
    </row>
    <row r="191" spans="14:15" x14ac:dyDescent="0.15">
      <c r="N191" t="s">
        <v>396</v>
      </c>
      <c r="O191" t="s">
        <v>1093</v>
      </c>
    </row>
    <row r="192" spans="14:15" x14ac:dyDescent="0.15">
      <c r="N192" t="s">
        <v>355</v>
      </c>
      <c r="O192" t="s">
        <v>1094</v>
      </c>
    </row>
    <row r="193" spans="14:15" x14ac:dyDescent="0.15">
      <c r="N193" t="s">
        <v>397</v>
      </c>
      <c r="O193" t="s">
        <v>1095</v>
      </c>
    </row>
    <row r="194" spans="14:15" x14ac:dyDescent="0.15">
      <c r="N194" t="s">
        <v>398</v>
      </c>
      <c r="O194" t="s">
        <v>1096</v>
      </c>
    </row>
    <row r="195" spans="14:15" x14ac:dyDescent="0.15">
      <c r="N195" t="s">
        <v>399</v>
      </c>
      <c r="O195" t="s">
        <v>1097</v>
      </c>
    </row>
    <row r="196" spans="14:15" x14ac:dyDescent="0.15">
      <c r="N196" t="s">
        <v>400</v>
      </c>
      <c r="O196" t="s">
        <v>1098</v>
      </c>
    </row>
    <row r="197" spans="14:15" x14ac:dyDescent="0.15">
      <c r="N197" t="s">
        <v>401</v>
      </c>
      <c r="O197" t="s">
        <v>1099</v>
      </c>
    </row>
    <row r="198" spans="14:15" x14ac:dyDescent="0.15">
      <c r="N198" t="s">
        <v>402</v>
      </c>
      <c r="O198" t="s">
        <v>1100</v>
      </c>
    </row>
    <row r="199" spans="14:15" x14ac:dyDescent="0.15">
      <c r="N199" t="s">
        <v>982</v>
      </c>
      <c r="O199" t="s">
        <v>1101</v>
      </c>
    </row>
    <row r="200" spans="14:15" x14ac:dyDescent="0.15">
      <c r="N200" t="s">
        <v>403</v>
      </c>
      <c r="O200" t="s">
        <v>1102</v>
      </c>
    </row>
    <row r="201" spans="14:15" x14ac:dyDescent="0.15">
      <c r="N201" t="s">
        <v>197</v>
      </c>
      <c r="O201" t="s">
        <v>1103</v>
      </c>
    </row>
    <row r="202" spans="14:15" x14ac:dyDescent="0.15">
      <c r="N202" t="s">
        <v>201</v>
      </c>
      <c r="O202" t="s">
        <v>1104</v>
      </c>
    </row>
    <row r="203" spans="14:15" x14ac:dyDescent="0.15">
      <c r="N203" t="s">
        <v>983</v>
      </c>
      <c r="O203" t="s">
        <v>1105</v>
      </c>
    </row>
    <row r="204" spans="14:15" x14ac:dyDescent="0.15">
      <c r="N204" t="s">
        <v>984</v>
      </c>
      <c r="O204" t="s">
        <v>1106</v>
      </c>
    </row>
    <row r="205" spans="14:15" x14ac:dyDescent="0.15">
      <c r="N205" t="s">
        <v>795</v>
      </c>
      <c r="O205" t="s">
        <v>1107</v>
      </c>
    </row>
    <row r="206" spans="14:15" x14ac:dyDescent="0.15">
      <c r="N206" t="s">
        <v>985</v>
      </c>
      <c r="O206" t="s">
        <v>1108</v>
      </c>
    </row>
    <row r="207" spans="14:15" x14ac:dyDescent="0.15">
      <c r="N207" t="s">
        <v>165</v>
      </c>
      <c r="O207" t="s">
        <v>1109</v>
      </c>
    </row>
    <row r="208" spans="14:15" x14ac:dyDescent="0.15">
      <c r="N208" t="s">
        <v>213</v>
      </c>
      <c r="O208" t="s">
        <v>1110</v>
      </c>
    </row>
    <row r="209" spans="14:15" x14ac:dyDescent="0.15">
      <c r="N209" t="s">
        <v>206</v>
      </c>
      <c r="O209" t="s">
        <v>1111</v>
      </c>
    </row>
    <row r="210" spans="14:15" x14ac:dyDescent="0.15">
      <c r="N210" t="s">
        <v>184</v>
      </c>
      <c r="O210" t="s">
        <v>1112</v>
      </c>
    </row>
    <row r="211" spans="14:15" x14ac:dyDescent="0.15">
      <c r="N211" t="s">
        <v>1037</v>
      </c>
      <c r="O211" t="s">
        <v>1113</v>
      </c>
    </row>
    <row r="212" spans="14:15" x14ac:dyDescent="0.15">
      <c r="N212" t="s">
        <v>241</v>
      </c>
      <c r="O212" t="s">
        <v>1114</v>
      </c>
    </row>
    <row r="213" spans="14:15" x14ac:dyDescent="0.15">
      <c r="N213" t="s">
        <v>238</v>
      </c>
      <c r="O213" t="s">
        <v>1115</v>
      </c>
    </row>
    <row r="214" spans="14:15" x14ac:dyDescent="0.15">
      <c r="N214" t="s">
        <v>986</v>
      </c>
      <c r="O214" t="s">
        <v>1116</v>
      </c>
    </row>
    <row r="215" spans="14:15" x14ac:dyDescent="0.15">
      <c r="N215" t="s">
        <v>987</v>
      </c>
      <c r="O215" t="s">
        <v>1117</v>
      </c>
    </row>
    <row r="216" spans="14:15" x14ac:dyDescent="0.15">
      <c r="N216" t="s">
        <v>199</v>
      </c>
      <c r="O216" t="s">
        <v>1118</v>
      </c>
    </row>
    <row r="217" spans="14:15" x14ac:dyDescent="0.15">
      <c r="N217" t="s">
        <v>988</v>
      </c>
      <c r="O217" t="s">
        <v>1119</v>
      </c>
    </row>
    <row r="218" spans="14:15" x14ac:dyDescent="0.15">
      <c r="N218" t="s">
        <v>989</v>
      </c>
      <c r="O218" t="s">
        <v>1120</v>
      </c>
    </row>
    <row r="219" spans="14:15" x14ac:dyDescent="0.15">
      <c r="N219" t="s">
        <v>991</v>
      </c>
      <c r="O219" t="s">
        <v>1122</v>
      </c>
    </row>
    <row r="220" spans="14:15" x14ac:dyDescent="0.15">
      <c r="N220" t="s">
        <v>992</v>
      </c>
      <c r="O220" t="s">
        <v>1123</v>
      </c>
    </row>
    <row r="221" spans="14:15" x14ac:dyDescent="0.15">
      <c r="N221" t="s">
        <v>234</v>
      </c>
      <c r="O221" t="s">
        <v>1124</v>
      </c>
    </row>
    <row r="222" spans="14:15" x14ac:dyDescent="0.15">
      <c r="N222" t="s">
        <v>993</v>
      </c>
      <c r="O222" t="s">
        <v>1125</v>
      </c>
    </row>
    <row r="223" spans="14:15" x14ac:dyDescent="0.15">
      <c r="N223" t="s">
        <v>994</v>
      </c>
      <c r="O223" t="s">
        <v>1126</v>
      </c>
    </row>
    <row r="224" spans="14:15" x14ac:dyDescent="0.15">
      <c r="N224" t="s">
        <v>995</v>
      </c>
      <c r="O224" t="s">
        <v>1127</v>
      </c>
    </row>
    <row r="225" spans="14:15" x14ac:dyDescent="0.15">
      <c r="N225" t="s">
        <v>996</v>
      </c>
      <c r="O225" t="s">
        <v>1128</v>
      </c>
    </row>
    <row r="226" spans="14:15" x14ac:dyDescent="0.15">
      <c r="N226" t="s">
        <v>997</v>
      </c>
      <c r="O226" t="s">
        <v>1129</v>
      </c>
    </row>
    <row r="227" spans="14:15" x14ac:dyDescent="0.15">
      <c r="N227" t="s">
        <v>998</v>
      </c>
      <c r="O227" t="s">
        <v>1131</v>
      </c>
    </row>
    <row r="228" spans="14:15" x14ac:dyDescent="0.15">
      <c r="N228" t="s">
        <v>237</v>
      </c>
      <c r="O228" t="s">
        <v>1130</v>
      </c>
    </row>
    <row r="229" spans="14:15" x14ac:dyDescent="0.15">
      <c r="N229" t="s">
        <v>176</v>
      </c>
      <c r="O229" t="s">
        <v>1132</v>
      </c>
    </row>
    <row r="230" spans="14:15" x14ac:dyDescent="0.15">
      <c r="N230" t="s">
        <v>999</v>
      </c>
      <c r="O230" t="s">
        <v>1133</v>
      </c>
    </row>
    <row r="231" spans="14:15" x14ac:dyDescent="0.15">
      <c r="N231" t="s">
        <v>1000</v>
      </c>
      <c r="O231" t="s">
        <v>1134</v>
      </c>
    </row>
    <row r="232" spans="14:15" x14ac:dyDescent="0.15">
      <c r="N232" t="s">
        <v>1001</v>
      </c>
      <c r="O232" t="s">
        <v>1135</v>
      </c>
    </row>
    <row r="233" spans="14:15" x14ac:dyDescent="0.15">
      <c r="N233" t="s">
        <v>219</v>
      </c>
      <c r="O233" t="s">
        <v>1136</v>
      </c>
    </row>
    <row r="234" spans="14:15" x14ac:dyDescent="0.15">
      <c r="N234" t="s">
        <v>1002</v>
      </c>
      <c r="O234" t="s">
        <v>1137</v>
      </c>
    </row>
    <row r="235" spans="14:15" x14ac:dyDescent="0.15">
      <c r="N235" t="s">
        <v>1003</v>
      </c>
      <c r="O235" t="s">
        <v>1138</v>
      </c>
    </row>
    <row r="236" spans="14:15" x14ac:dyDescent="0.15">
      <c r="N236" t="s">
        <v>1004</v>
      </c>
      <c r="O236" t="s">
        <v>1139</v>
      </c>
    </row>
    <row r="237" spans="14:15" x14ac:dyDescent="0.15">
      <c r="N237" t="s">
        <v>990</v>
      </c>
      <c r="O237" t="s">
        <v>1121</v>
      </c>
    </row>
    <row r="238" spans="14:15" x14ac:dyDescent="0.15">
      <c r="N238" t="s">
        <v>1038</v>
      </c>
      <c r="O238" t="s">
        <v>1209</v>
      </c>
    </row>
    <row r="239" spans="14:15" x14ac:dyDescent="0.15">
      <c r="N239" t="s">
        <v>1039</v>
      </c>
      <c r="O239" t="s">
        <v>1210</v>
      </c>
    </row>
    <row r="240" spans="14:15" x14ac:dyDescent="0.15">
      <c r="N240" t="s">
        <v>140</v>
      </c>
      <c r="O240" t="s">
        <v>1211</v>
      </c>
    </row>
    <row r="241" spans="14:15" x14ac:dyDescent="0.15">
      <c r="N241" t="s">
        <v>1040</v>
      </c>
      <c r="O241" t="s">
        <v>1212</v>
      </c>
    </row>
    <row r="242" spans="14:15" x14ac:dyDescent="0.15">
      <c r="N242" t="s">
        <v>151</v>
      </c>
      <c r="O242" t="s">
        <v>1213</v>
      </c>
    </row>
    <row r="243" spans="14:15" x14ac:dyDescent="0.15">
      <c r="N243" t="s">
        <v>150</v>
      </c>
      <c r="O243" t="s">
        <v>1214</v>
      </c>
    </row>
    <row r="244" spans="14:15" x14ac:dyDescent="0.15">
      <c r="N244" t="s">
        <v>1041</v>
      </c>
      <c r="O244" t="s">
        <v>1215</v>
      </c>
    </row>
    <row r="245" spans="14:15" x14ac:dyDescent="0.15">
      <c r="N245" t="s">
        <v>1042</v>
      </c>
      <c r="O245" t="s">
        <v>1216</v>
      </c>
    </row>
    <row r="246" spans="14:15" x14ac:dyDescent="0.15">
      <c r="N246" t="s">
        <v>1043</v>
      </c>
      <c r="O246" t="s">
        <v>1217</v>
      </c>
    </row>
    <row r="247" spans="14:15" x14ac:dyDescent="0.15">
      <c r="N247" t="s">
        <v>143</v>
      </c>
      <c r="O247" t="s">
        <v>1218</v>
      </c>
    </row>
    <row r="248" spans="14:15" x14ac:dyDescent="0.15">
      <c r="N248" t="s">
        <v>136</v>
      </c>
      <c r="O248" t="s">
        <v>1219</v>
      </c>
    </row>
    <row r="249" spans="14:15" x14ac:dyDescent="0.15">
      <c r="N249" t="s">
        <v>124</v>
      </c>
      <c r="O249" t="s">
        <v>1220</v>
      </c>
    </row>
    <row r="250" spans="14:15" x14ac:dyDescent="0.15">
      <c r="N250" t="s">
        <v>1044</v>
      </c>
      <c r="O250" t="s">
        <v>1221</v>
      </c>
    </row>
    <row r="251" spans="14:15" x14ac:dyDescent="0.15">
      <c r="N251" t="s">
        <v>922</v>
      </c>
      <c r="O251" t="s">
        <v>1222</v>
      </c>
    </row>
    <row r="252" spans="14:15" x14ac:dyDescent="0.15">
      <c r="N252" t="s">
        <v>1045</v>
      </c>
      <c r="O252" t="s">
        <v>1223</v>
      </c>
    </row>
    <row r="253" spans="14:15" x14ac:dyDescent="0.15">
      <c r="N253" t="s">
        <v>1046</v>
      </c>
      <c r="O253" t="s">
        <v>1224</v>
      </c>
    </row>
    <row r="254" spans="14:15" x14ac:dyDescent="0.15">
      <c r="N254" t="s">
        <v>1047</v>
      </c>
      <c r="O254" t="s">
        <v>1225</v>
      </c>
    </row>
    <row r="255" spans="14:15" x14ac:dyDescent="0.15">
      <c r="N255" t="s">
        <v>1048</v>
      </c>
      <c r="O255" t="s">
        <v>1226</v>
      </c>
    </row>
    <row r="256" spans="14:15" x14ac:dyDescent="0.15">
      <c r="N256" t="s">
        <v>1049</v>
      </c>
      <c r="O256" t="s">
        <v>1227</v>
      </c>
    </row>
    <row r="257" spans="14:15" x14ac:dyDescent="0.15">
      <c r="N257" t="s">
        <v>1050</v>
      </c>
      <c r="O257" t="s">
        <v>1225</v>
      </c>
    </row>
    <row r="258" spans="14:15" x14ac:dyDescent="0.15">
      <c r="N258" t="s">
        <v>1051</v>
      </c>
      <c r="O258" t="s">
        <v>1225</v>
      </c>
    </row>
    <row r="259" spans="14:15" x14ac:dyDescent="0.15">
      <c r="N259" t="s">
        <v>1052</v>
      </c>
      <c r="O259" t="s">
        <v>1228</v>
      </c>
    </row>
    <row r="260" spans="14:15" x14ac:dyDescent="0.15">
      <c r="N260" t="s">
        <v>1053</v>
      </c>
      <c r="O260" t="s">
        <v>1229</v>
      </c>
    </row>
    <row r="261" spans="14:15" x14ac:dyDescent="0.15">
      <c r="N261" t="s">
        <v>1054</v>
      </c>
      <c r="O261" t="s">
        <v>1230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837</v>
      </c>
      <c r="J2">
        <v>4001</v>
      </c>
      <c r="K2">
        <v>0</v>
      </c>
      <c r="L2" t="s">
        <v>838</v>
      </c>
      <c r="M2">
        <v>25</v>
      </c>
      <c r="O2">
        <v>1</v>
      </c>
      <c r="P2" s="34" t="s">
        <v>968</v>
      </c>
      <c r="R2">
        <f>O2*O2*2+4*O2+19</f>
        <v>25</v>
      </c>
    </row>
    <row r="3" spans="8:18" x14ac:dyDescent="0.15">
      <c r="H3">
        <v>1</v>
      </c>
      <c r="I3" t="s">
        <v>837</v>
      </c>
      <c r="J3">
        <v>4001</v>
      </c>
      <c r="K3">
        <v>0</v>
      </c>
      <c r="L3" t="s">
        <v>55</v>
      </c>
      <c r="M3">
        <v>25</v>
      </c>
      <c r="O3">
        <v>1</v>
      </c>
      <c r="P3" t="s">
        <v>55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839</v>
      </c>
      <c r="J4">
        <v>4100</v>
      </c>
      <c r="K4">
        <v>0</v>
      </c>
      <c r="L4" t="s">
        <v>443</v>
      </c>
      <c r="O4">
        <v>1</v>
      </c>
      <c r="P4" t="s">
        <v>443</v>
      </c>
      <c r="R4" s="34">
        <f t="shared" si="0"/>
        <v>25</v>
      </c>
    </row>
    <row r="5" spans="8:18" x14ac:dyDescent="0.15">
      <c r="H5" s="34">
        <v>1</v>
      </c>
      <c r="I5" t="s">
        <v>839</v>
      </c>
      <c r="J5">
        <v>4100</v>
      </c>
      <c r="K5">
        <v>0</v>
      </c>
      <c r="L5" t="s">
        <v>838</v>
      </c>
      <c r="M5">
        <v>25</v>
      </c>
      <c r="O5">
        <v>2</v>
      </c>
      <c r="P5" t="s">
        <v>328</v>
      </c>
      <c r="R5" s="34">
        <f t="shared" si="0"/>
        <v>35</v>
      </c>
    </row>
    <row r="6" spans="8:18" x14ac:dyDescent="0.15">
      <c r="H6">
        <v>2</v>
      </c>
      <c r="I6" t="s">
        <v>840</v>
      </c>
      <c r="J6">
        <v>4101</v>
      </c>
      <c r="K6">
        <v>0</v>
      </c>
      <c r="L6" t="s">
        <v>328</v>
      </c>
      <c r="O6">
        <v>2</v>
      </c>
      <c r="P6" t="s">
        <v>363</v>
      </c>
      <c r="R6" s="34">
        <f t="shared" si="0"/>
        <v>35</v>
      </c>
    </row>
    <row r="7" spans="8:18" x14ac:dyDescent="0.15">
      <c r="H7" s="34">
        <v>2</v>
      </c>
      <c r="I7" t="s">
        <v>840</v>
      </c>
      <c r="J7">
        <v>4101</v>
      </c>
      <c r="K7">
        <v>0</v>
      </c>
      <c r="L7" t="s">
        <v>363</v>
      </c>
      <c r="O7">
        <v>2</v>
      </c>
      <c r="P7" t="s">
        <v>444</v>
      </c>
      <c r="R7" s="34">
        <f t="shared" si="0"/>
        <v>35</v>
      </c>
    </row>
    <row r="8" spans="8:18" x14ac:dyDescent="0.15">
      <c r="H8" s="34">
        <v>2</v>
      </c>
      <c r="I8" t="s">
        <v>841</v>
      </c>
      <c r="J8">
        <v>4102</v>
      </c>
      <c r="K8">
        <v>0</v>
      </c>
      <c r="L8" t="s">
        <v>444</v>
      </c>
      <c r="O8">
        <v>2</v>
      </c>
      <c r="P8" t="s">
        <v>622</v>
      </c>
      <c r="R8" s="34">
        <f t="shared" si="0"/>
        <v>35</v>
      </c>
    </row>
    <row r="9" spans="8:18" x14ac:dyDescent="0.15">
      <c r="H9" s="34">
        <v>2</v>
      </c>
      <c r="I9" t="s">
        <v>841</v>
      </c>
      <c r="J9">
        <v>4102</v>
      </c>
      <c r="K9">
        <v>0</v>
      </c>
      <c r="L9" t="s">
        <v>622</v>
      </c>
      <c r="O9">
        <v>3</v>
      </c>
      <c r="P9" t="s">
        <v>346</v>
      </c>
      <c r="R9" s="34">
        <f t="shared" si="0"/>
        <v>49</v>
      </c>
    </row>
    <row r="10" spans="8:18" x14ac:dyDescent="0.15">
      <c r="H10">
        <v>3</v>
      </c>
      <c r="I10" t="s">
        <v>842</v>
      </c>
      <c r="J10">
        <v>4103</v>
      </c>
      <c r="K10">
        <v>0</v>
      </c>
      <c r="L10" t="s">
        <v>346</v>
      </c>
      <c r="O10">
        <v>3</v>
      </c>
      <c r="P10" t="s">
        <v>552</v>
      </c>
      <c r="R10" s="34">
        <f t="shared" si="0"/>
        <v>49</v>
      </c>
    </row>
    <row r="11" spans="8:18" x14ac:dyDescent="0.15">
      <c r="H11" s="34">
        <v>3</v>
      </c>
      <c r="I11" t="s">
        <v>842</v>
      </c>
      <c r="J11">
        <v>4103</v>
      </c>
      <c r="K11">
        <v>0</v>
      </c>
      <c r="L11" t="s">
        <v>552</v>
      </c>
      <c r="O11">
        <v>3</v>
      </c>
      <c r="P11" t="s">
        <v>352</v>
      </c>
      <c r="R11" s="34">
        <f t="shared" si="0"/>
        <v>49</v>
      </c>
    </row>
    <row r="12" spans="8:18" x14ac:dyDescent="0.15">
      <c r="H12" s="34">
        <v>3</v>
      </c>
      <c r="I12" t="s">
        <v>843</v>
      </c>
      <c r="J12">
        <v>4104</v>
      </c>
      <c r="K12">
        <v>0</v>
      </c>
      <c r="L12" t="s">
        <v>352</v>
      </c>
      <c r="O12">
        <v>3</v>
      </c>
      <c r="P12" t="s">
        <v>967</v>
      </c>
      <c r="R12" s="34">
        <f t="shared" si="0"/>
        <v>49</v>
      </c>
    </row>
    <row r="13" spans="8:18" x14ac:dyDescent="0.15">
      <c r="H13" s="34">
        <v>3</v>
      </c>
      <c r="I13" t="s">
        <v>843</v>
      </c>
      <c r="J13">
        <v>4104</v>
      </c>
      <c r="K13">
        <v>0</v>
      </c>
      <c r="L13" t="s">
        <v>347</v>
      </c>
      <c r="O13">
        <v>4</v>
      </c>
      <c r="P13" t="s">
        <v>356</v>
      </c>
      <c r="R13" s="34">
        <f t="shared" si="0"/>
        <v>67</v>
      </c>
    </row>
    <row r="14" spans="8:18" x14ac:dyDescent="0.15">
      <c r="H14">
        <v>4</v>
      </c>
      <c r="I14" t="s">
        <v>844</v>
      </c>
      <c r="J14">
        <v>4105</v>
      </c>
      <c r="K14">
        <v>0</v>
      </c>
      <c r="L14" t="s">
        <v>356</v>
      </c>
      <c r="O14">
        <v>4</v>
      </c>
      <c r="P14" t="s">
        <v>516</v>
      </c>
      <c r="R14" s="34">
        <f t="shared" si="0"/>
        <v>67</v>
      </c>
    </row>
    <row r="15" spans="8:18" x14ac:dyDescent="0.15">
      <c r="H15" s="34">
        <v>4</v>
      </c>
      <c r="I15" t="s">
        <v>845</v>
      </c>
      <c r="J15">
        <v>4106</v>
      </c>
      <c r="K15">
        <v>0</v>
      </c>
      <c r="L15" t="s">
        <v>444</v>
      </c>
      <c r="O15">
        <v>8</v>
      </c>
      <c r="P15" t="s">
        <v>446</v>
      </c>
      <c r="R15" s="34">
        <f t="shared" si="0"/>
        <v>179</v>
      </c>
    </row>
    <row r="16" spans="8:18" x14ac:dyDescent="0.15">
      <c r="H16" s="34">
        <v>4</v>
      </c>
      <c r="I16" t="s">
        <v>846</v>
      </c>
      <c r="J16">
        <v>4107</v>
      </c>
      <c r="K16">
        <v>0</v>
      </c>
      <c r="L16" t="s">
        <v>516</v>
      </c>
      <c r="O16">
        <v>8</v>
      </c>
      <c r="P16" t="s">
        <v>489</v>
      </c>
      <c r="R16" s="34">
        <f t="shared" si="0"/>
        <v>179</v>
      </c>
    </row>
    <row r="17" spans="8:18" x14ac:dyDescent="0.15">
      <c r="H17" s="34">
        <v>4</v>
      </c>
      <c r="I17" t="s">
        <v>846</v>
      </c>
      <c r="J17">
        <v>4107</v>
      </c>
      <c r="K17">
        <v>0</v>
      </c>
      <c r="L17" t="s">
        <v>346</v>
      </c>
      <c r="O17">
        <v>8</v>
      </c>
      <c r="P17" t="s">
        <v>447</v>
      </c>
      <c r="R17" s="34">
        <f t="shared" si="0"/>
        <v>179</v>
      </c>
    </row>
    <row r="18" spans="8:18" x14ac:dyDescent="0.15">
      <c r="H18" s="35">
        <v>8</v>
      </c>
      <c r="I18" t="s">
        <v>847</v>
      </c>
      <c r="J18">
        <v>4108</v>
      </c>
      <c r="K18">
        <v>0</v>
      </c>
      <c r="L18" t="s">
        <v>446</v>
      </c>
      <c r="O18">
        <v>9</v>
      </c>
      <c r="P18" t="s">
        <v>526</v>
      </c>
      <c r="R18" s="34">
        <f t="shared" si="0"/>
        <v>217</v>
      </c>
    </row>
    <row r="19" spans="8:18" x14ac:dyDescent="0.15">
      <c r="H19" s="35">
        <v>8</v>
      </c>
      <c r="I19" t="s">
        <v>847</v>
      </c>
      <c r="J19">
        <v>4108</v>
      </c>
      <c r="K19">
        <v>0</v>
      </c>
      <c r="L19" t="s">
        <v>838</v>
      </c>
      <c r="O19">
        <v>9</v>
      </c>
      <c r="P19" t="s">
        <v>448</v>
      </c>
      <c r="R19" s="34">
        <f t="shared" si="0"/>
        <v>217</v>
      </c>
    </row>
    <row r="20" spans="8:18" x14ac:dyDescent="0.15">
      <c r="H20" s="35">
        <v>8</v>
      </c>
      <c r="I20" t="s">
        <v>847</v>
      </c>
      <c r="J20">
        <v>4108</v>
      </c>
      <c r="K20">
        <v>0</v>
      </c>
      <c r="L20" t="s">
        <v>489</v>
      </c>
      <c r="O20">
        <v>10</v>
      </c>
      <c r="P20" t="s">
        <v>370</v>
      </c>
      <c r="R20" s="34">
        <f t="shared" si="0"/>
        <v>259</v>
      </c>
    </row>
    <row r="21" spans="8:18" x14ac:dyDescent="0.15">
      <c r="H21" s="35">
        <v>8</v>
      </c>
      <c r="I21" t="s">
        <v>847</v>
      </c>
      <c r="J21">
        <v>4108</v>
      </c>
      <c r="K21">
        <v>0</v>
      </c>
      <c r="L21" t="s">
        <v>347</v>
      </c>
      <c r="O21">
        <v>10</v>
      </c>
      <c r="P21" t="s">
        <v>450</v>
      </c>
      <c r="R21" s="34">
        <f t="shared" si="0"/>
        <v>259</v>
      </c>
    </row>
    <row r="22" spans="8:18" x14ac:dyDescent="0.15">
      <c r="H22" s="35">
        <v>8</v>
      </c>
      <c r="I22" t="s">
        <v>847</v>
      </c>
      <c r="J22">
        <v>4108</v>
      </c>
      <c r="K22">
        <v>0</v>
      </c>
      <c r="L22" t="s">
        <v>346</v>
      </c>
      <c r="O22">
        <v>11</v>
      </c>
      <c r="P22" t="s">
        <v>357</v>
      </c>
      <c r="R22" s="34">
        <f t="shared" si="0"/>
        <v>305</v>
      </c>
    </row>
    <row r="23" spans="8:18" x14ac:dyDescent="0.15">
      <c r="H23" s="35">
        <v>8</v>
      </c>
      <c r="I23" t="s">
        <v>847</v>
      </c>
      <c r="J23">
        <v>4108</v>
      </c>
      <c r="K23">
        <v>0</v>
      </c>
      <c r="L23" t="s">
        <v>352</v>
      </c>
      <c r="O23">
        <v>11</v>
      </c>
      <c r="P23" t="s">
        <v>557</v>
      </c>
      <c r="R23" s="34">
        <f t="shared" si="0"/>
        <v>305</v>
      </c>
    </row>
    <row r="24" spans="8:18" x14ac:dyDescent="0.15">
      <c r="H24" s="35">
        <v>8</v>
      </c>
      <c r="I24" t="s">
        <v>848</v>
      </c>
      <c r="J24">
        <v>4109</v>
      </c>
      <c r="K24">
        <v>0</v>
      </c>
      <c r="L24" t="s">
        <v>447</v>
      </c>
      <c r="O24">
        <v>12</v>
      </c>
      <c r="P24" t="s">
        <v>452</v>
      </c>
      <c r="R24" s="34">
        <f t="shared" si="0"/>
        <v>355</v>
      </c>
    </row>
    <row r="25" spans="8:18" x14ac:dyDescent="0.15">
      <c r="H25" s="35">
        <v>8</v>
      </c>
      <c r="I25" t="s">
        <v>848</v>
      </c>
      <c r="J25">
        <v>4109</v>
      </c>
      <c r="K25">
        <v>0</v>
      </c>
      <c r="L25" t="s">
        <v>516</v>
      </c>
      <c r="O25">
        <v>12</v>
      </c>
      <c r="P25" t="s">
        <v>445</v>
      </c>
      <c r="R25" s="34">
        <f t="shared" si="0"/>
        <v>355</v>
      </c>
    </row>
    <row r="26" spans="8:18" x14ac:dyDescent="0.15">
      <c r="H26" s="35">
        <v>8</v>
      </c>
      <c r="I26" t="s">
        <v>848</v>
      </c>
      <c r="J26">
        <v>4109</v>
      </c>
      <c r="K26">
        <v>0</v>
      </c>
      <c r="L26" t="s">
        <v>363</v>
      </c>
      <c r="O26">
        <v>12</v>
      </c>
      <c r="P26" t="s">
        <v>463</v>
      </c>
      <c r="R26" s="34">
        <f t="shared" si="0"/>
        <v>355</v>
      </c>
    </row>
    <row r="27" spans="8:18" x14ac:dyDescent="0.15">
      <c r="H27" s="35">
        <v>8</v>
      </c>
      <c r="I27" t="s">
        <v>848</v>
      </c>
      <c r="J27">
        <v>4109</v>
      </c>
      <c r="K27">
        <v>0</v>
      </c>
      <c r="L27" t="s">
        <v>328</v>
      </c>
      <c r="O27">
        <v>16</v>
      </c>
      <c r="P27" t="s">
        <v>858</v>
      </c>
      <c r="R27" s="34">
        <f t="shared" si="0"/>
        <v>595</v>
      </c>
    </row>
    <row r="28" spans="8:18" x14ac:dyDescent="0.15">
      <c r="H28" s="35">
        <v>8</v>
      </c>
      <c r="I28" t="s">
        <v>848</v>
      </c>
      <c r="J28">
        <v>4109</v>
      </c>
      <c r="K28">
        <v>0</v>
      </c>
      <c r="L28" t="s">
        <v>443</v>
      </c>
      <c r="O28">
        <v>16</v>
      </c>
      <c r="P28" t="s">
        <v>454</v>
      </c>
      <c r="R28" s="34">
        <f t="shared" si="0"/>
        <v>595</v>
      </c>
    </row>
    <row r="29" spans="8:18" x14ac:dyDescent="0.15">
      <c r="H29" s="35">
        <v>8</v>
      </c>
      <c r="I29" t="s">
        <v>848</v>
      </c>
      <c r="J29">
        <v>4109</v>
      </c>
      <c r="K29">
        <v>0</v>
      </c>
      <c r="L29" t="s">
        <v>356</v>
      </c>
      <c r="O29">
        <v>5</v>
      </c>
      <c r="P29" t="s">
        <v>969</v>
      </c>
      <c r="R29" s="34">
        <f t="shared" si="0"/>
        <v>89</v>
      </c>
    </row>
    <row r="30" spans="8:18" x14ac:dyDescent="0.15">
      <c r="H30">
        <v>9</v>
      </c>
      <c r="I30" t="s">
        <v>849</v>
      </c>
      <c r="J30">
        <v>4110</v>
      </c>
      <c r="K30">
        <v>0</v>
      </c>
      <c r="L30" t="s">
        <v>526</v>
      </c>
      <c r="O30">
        <v>5</v>
      </c>
      <c r="P30" t="s">
        <v>862</v>
      </c>
      <c r="R30" s="34">
        <f t="shared" si="0"/>
        <v>89</v>
      </c>
    </row>
    <row r="31" spans="8:18" x14ac:dyDescent="0.15">
      <c r="H31" s="34">
        <v>9</v>
      </c>
      <c r="I31" t="s">
        <v>850</v>
      </c>
      <c r="J31">
        <v>4111</v>
      </c>
      <c r="K31">
        <v>0</v>
      </c>
      <c r="L31" t="s">
        <v>448</v>
      </c>
      <c r="O31">
        <v>5</v>
      </c>
      <c r="P31" t="s">
        <v>491</v>
      </c>
      <c r="R31" s="34">
        <f t="shared" si="0"/>
        <v>89</v>
      </c>
    </row>
    <row r="32" spans="8:18" x14ac:dyDescent="0.15">
      <c r="H32" s="34">
        <v>9</v>
      </c>
      <c r="I32" t="s">
        <v>850</v>
      </c>
      <c r="J32">
        <v>4111</v>
      </c>
      <c r="K32">
        <v>0</v>
      </c>
      <c r="L32" t="s">
        <v>443</v>
      </c>
      <c r="O32">
        <v>6</v>
      </c>
      <c r="P32" t="s">
        <v>360</v>
      </c>
      <c r="R32" s="34">
        <f t="shared" si="0"/>
        <v>115</v>
      </c>
    </row>
    <row r="33" spans="8:18" x14ac:dyDescent="0.15">
      <c r="H33">
        <v>10</v>
      </c>
      <c r="I33" t="s">
        <v>851</v>
      </c>
      <c r="J33">
        <v>4112</v>
      </c>
      <c r="K33">
        <v>0</v>
      </c>
      <c r="L33" t="s">
        <v>370</v>
      </c>
      <c r="O33">
        <v>6</v>
      </c>
      <c r="P33" t="s">
        <v>512</v>
      </c>
      <c r="R33" s="34">
        <f t="shared" si="0"/>
        <v>115</v>
      </c>
    </row>
    <row r="34" spans="8:18" x14ac:dyDescent="0.15">
      <c r="H34" s="34">
        <v>10</v>
      </c>
      <c r="I34" t="s">
        <v>852</v>
      </c>
      <c r="J34">
        <v>4113</v>
      </c>
      <c r="K34">
        <v>0</v>
      </c>
      <c r="L34" t="s">
        <v>450</v>
      </c>
      <c r="O34">
        <v>6</v>
      </c>
      <c r="P34" t="s">
        <v>361</v>
      </c>
      <c r="R34" s="34">
        <f t="shared" si="0"/>
        <v>115</v>
      </c>
    </row>
    <row r="35" spans="8:18" x14ac:dyDescent="0.15">
      <c r="H35">
        <v>11</v>
      </c>
      <c r="I35" t="s">
        <v>853</v>
      </c>
      <c r="J35">
        <v>4114</v>
      </c>
      <c r="K35">
        <v>0</v>
      </c>
      <c r="L35" t="s">
        <v>357</v>
      </c>
      <c r="O35">
        <v>7</v>
      </c>
      <c r="P35" t="s">
        <v>456</v>
      </c>
      <c r="R35" s="34">
        <f t="shared" si="0"/>
        <v>145</v>
      </c>
    </row>
    <row r="36" spans="8:18" x14ac:dyDescent="0.15">
      <c r="H36">
        <v>11</v>
      </c>
      <c r="I36" t="s">
        <v>854</v>
      </c>
      <c r="J36">
        <v>4115</v>
      </c>
      <c r="K36">
        <v>0</v>
      </c>
      <c r="L36" t="s">
        <v>557</v>
      </c>
      <c r="O36">
        <v>7</v>
      </c>
      <c r="P36" t="s">
        <v>457</v>
      </c>
      <c r="R36" s="34">
        <f t="shared" si="0"/>
        <v>145</v>
      </c>
    </row>
    <row r="37" spans="8:18" x14ac:dyDescent="0.15">
      <c r="H37">
        <v>11</v>
      </c>
      <c r="I37" t="s">
        <v>854</v>
      </c>
      <c r="J37">
        <v>4115</v>
      </c>
      <c r="K37">
        <v>0</v>
      </c>
      <c r="L37" t="s">
        <v>356</v>
      </c>
      <c r="O37">
        <v>8</v>
      </c>
      <c r="P37" t="s">
        <v>193</v>
      </c>
      <c r="R37" s="34">
        <f t="shared" si="0"/>
        <v>179</v>
      </c>
    </row>
    <row r="38" spans="8:18" x14ac:dyDescent="0.15">
      <c r="H38">
        <v>12</v>
      </c>
      <c r="I38" t="s">
        <v>855</v>
      </c>
      <c r="J38">
        <v>4116</v>
      </c>
      <c r="K38">
        <v>0</v>
      </c>
      <c r="L38" t="s">
        <v>452</v>
      </c>
      <c r="O38">
        <v>8</v>
      </c>
      <c r="P38" t="s">
        <v>367</v>
      </c>
      <c r="R38" s="34">
        <f t="shared" si="0"/>
        <v>179</v>
      </c>
    </row>
    <row r="39" spans="8:18" x14ac:dyDescent="0.15">
      <c r="H39">
        <v>12</v>
      </c>
      <c r="I39" t="s">
        <v>855</v>
      </c>
      <c r="J39">
        <v>4116</v>
      </c>
      <c r="K39">
        <v>0</v>
      </c>
      <c r="L39" t="s">
        <v>445</v>
      </c>
      <c r="O39">
        <v>8</v>
      </c>
      <c r="P39" t="s">
        <v>348</v>
      </c>
      <c r="R39" s="34">
        <f t="shared" si="0"/>
        <v>179</v>
      </c>
    </row>
    <row r="40" spans="8:18" x14ac:dyDescent="0.15">
      <c r="H40" s="34">
        <v>12</v>
      </c>
      <c r="I40" t="s">
        <v>856</v>
      </c>
      <c r="J40">
        <v>4117</v>
      </c>
      <c r="K40">
        <v>0</v>
      </c>
      <c r="L40" t="s">
        <v>463</v>
      </c>
      <c r="O40">
        <v>12</v>
      </c>
      <c r="P40" t="s">
        <v>508</v>
      </c>
      <c r="R40" s="34">
        <f t="shared" si="0"/>
        <v>355</v>
      </c>
    </row>
    <row r="41" spans="8:18" x14ac:dyDescent="0.15">
      <c r="H41" s="34">
        <v>12</v>
      </c>
      <c r="I41" t="s">
        <v>856</v>
      </c>
      <c r="J41">
        <v>4117</v>
      </c>
      <c r="K41">
        <v>0</v>
      </c>
      <c r="L41" t="s">
        <v>622</v>
      </c>
      <c r="O41">
        <v>12</v>
      </c>
      <c r="P41" t="s">
        <v>473</v>
      </c>
      <c r="R41" s="34">
        <f t="shared" si="0"/>
        <v>355</v>
      </c>
    </row>
    <row r="42" spans="8:18" x14ac:dyDescent="0.15">
      <c r="H42" s="35">
        <v>16</v>
      </c>
      <c r="I42" t="s">
        <v>857</v>
      </c>
      <c r="J42">
        <v>4118</v>
      </c>
      <c r="K42">
        <v>0</v>
      </c>
      <c r="L42" t="s">
        <v>858</v>
      </c>
      <c r="O42">
        <v>12</v>
      </c>
      <c r="P42" t="s">
        <v>350</v>
      </c>
      <c r="R42" s="34">
        <f t="shared" si="0"/>
        <v>355</v>
      </c>
    </row>
    <row r="43" spans="8:18" x14ac:dyDescent="0.15">
      <c r="H43" s="35">
        <v>16</v>
      </c>
      <c r="I43" t="s">
        <v>857</v>
      </c>
      <c r="J43">
        <v>4118</v>
      </c>
      <c r="K43">
        <v>0</v>
      </c>
      <c r="L43" t="s">
        <v>448</v>
      </c>
      <c r="O43">
        <v>12</v>
      </c>
      <c r="P43" t="s">
        <v>369</v>
      </c>
      <c r="R43" s="34">
        <f t="shared" si="0"/>
        <v>355</v>
      </c>
    </row>
    <row r="44" spans="8:18" x14ac:dyDescent="0.15">
      <c r="H44" s="35">
        <v>16</v>
      </c>
      <c r="I44" t="s">
        <v>857</v>
      </c>
      <c r="J44">
        <v>4118</v>
      </c>
      <c r="K44">
        <v>0</v>
      </c>
      <c r="L44" t="s">
        <v>557</v>
      </c>
      <c r="O44">
        <v>13</v>
      </c>
      <c r="P44" t="s">
        <v>458</v>
      </c>
      <c r="R44" s="34">
        <f t="shared" si="0"/>
        <v>409</v>
      </c>
    </row>
    <row r="45" spans="8:18" x14ac:dyDescent="0.15">
      <c r="H45" s="35">
        <v>16</v>
      </c>
      <c r="I45" t="s">
        <v>857</v>
      </c>
      <c r="J45">
        <v>4118</v>
      </c>
      <c r="K45">
        <v>0</v>
      </c>
      <c r="L45" t="s">
        <v>526</v>
      </c>
      <c r="O45">
        <v>14</v>
      </c>
      <c r="P45" t="s">
        <v>362</v>
      </c>
      <c r="R45" s="34">
        <f t="shared" si="0"/>
        <v>467</v>
      </c>
    </row>
    <row r="46" spans="8:18" x14ac:dyDescent="0.15">
      <c r="H46" s="35">
        <v>16</v>
      </c>
      <c r="I46" t="s">
        <v>857</v>
      </c>
      <c r="J46">
        <v>4118</v>
      </c>
      <c r="K46">
        <v>0</v>
      </c>
      <c r="L46" t="s">
        <v>357</v>
      </c>
      <c r="O46">
        <v>14</v>
      </c>
      <c r="P46" t="s">
        <v>555</v>
      </c>
      <c r="R46" s="34">
        <f t="shared" si="0"/>
        <v>467</v>
      </c>
    </row>
    <row r="47" spans="8:18" x14ac:dyDescent="0.15">
      <c r="H47" s="35">
        <v>16</v>
      </c>
      <c r="I47" t="s">
        <v>857</v>
      </c>
      <c r="J47">
        <v>4118</v>
      </c>
      <c r="K47">
        <v>0</v>
      </c>
      <c r="L47" t="s">
        <v>450</v>
      </c>
      <c r="O47">
        <v>15</v>
      </c>
      <c r="P47" t="s">
        <v>460</v>
      </c>
      <c r="R47" s="34">
        <f t="shared" si="0"/>
        <v>529</v>
      </c>
    </row>
    <row r="48" spans="8:18" x14ac:dyDescent="0.15">
      <c r="H48" s="35">
        <v>16</v>
      </c>
      <c r="I48" t="s">
        <v>859</v>
      </c>
      <c r="J48">
        <v>4119</v>
      </c>
      <c r="K48">
        <v>0</v>
      </c>
      <c r="L48" t="s">
        <v>454</v>
      </c>
      <c r="O48">
        <v>15</v>
      </c>
      <c r="P48" t="s">
        <v>461</v>
      </c>
      <c r="R48" s="34">
        <f t="shared" si="0"/>
        <v>529</v>
      </c>
    </row>
    <row r="49" spans="8:18" x14ac:dyDescent="0.15">
      <c r="H49" s="35">
        <v>16</v>
      </c>
      <c r="I49" t="s">
        <v>859</v>
      </c>
      <c r="J49">
        <v>4119</v>
      </c>
      <c r="K49">
        <v>0</v>
      </c>
      <c r="L49" t="s">
        <v>445</v>
      </c>
      <c r="O49">
        <v>16</v>
      </c>
      <c r="P49" t="s">
        <v>554</v>
      </c>
      <c r="R49" s="34">
        <f t="shared" si="0"/>
        <v>595</v>
      </c>
    </row>
    <row r="50" spans="8:18" x14ac:dyDescent="0.15">
      <c r="H50" s="35">
        <v>16</v>
      </c>
      <c r="I50" t="s">
        <v>859</v>
      </c>
      <c r="J50">
        <v>4119</v>
      </c>
      <c r="K50">
        <v>0</v>
      </c>
      <c r="L50" t="s">
        <v>452</v>
      </c>
      <c r="O50">
        <v>16</v>
      </c>
      <c r="P50" t="s">
        <v>462</v>
      </c>
      <c r="R50" s="34">
        <f t="shared" si="0"/>
        <v>595</v>
      </c>
    </row>
    <row r="51" spans="8:18" x14ac:dyDescent="0.15">
      <c r="H51" s="35">
        <v>16</v>
      </c>
      <c r="I51" t="s">
        <v>859</v>
      </c>
      <c r="J51">
        <v>4119</v>
      </c>
      <c r="K51">
        <v>0</v>
      </c>
      <c r="L51" t="s">
        <v>557</v>
      </c>
      <c r="O51">
        <v>16</v>
      </c>
      <c r="P51" t="s">
        <v>556</v>
      </c>
      <c r="R51" s="34">
        <f t="shared" si="0"/>
        <v>595</v>
      </c>
    </row>
    <row r="52" spans="8:18" x14ac:dyDescent="0.15">
      <c r="H52" s="35">
        <v>16</v>
      </c>
      <c r="I52" t="s">
        <v>859</v>
      </c>
      <c r="J52">
        <v>4119</v>
      </c>
      <c r="K52">
        <v>0</v>
      </c>
      <c r="L52" t="s">
        <v>448</v>
      </c>
      <c r="O52">
        <v>20</v>
      </c>
      <c r="P52" t="s">
        <v>475</v>
      </c>
      <c r="R52" s="34">
        <f t="shared" si="0"/>
        <v>899</v>
      </c>
    </row>
    <row r="53" spans="8:18" x14ac:dyDescent="0.15">
      <c r="H53" s="35">
        <v>16</v>
      </c>
      <c r="I53" t="s">
        <v>859</v>
      </c>
      <c r="J53">
        <v>4119</v>
      </c>
      <c r="K53">
        <v>0</v>
      </c>
      <c r="L53" t="s">
        <v>452</v>
      </c>
      <c r="O53">
        <v>20</v>
      </c>
      <c r="P53" t="s">
        <v>482</v>
      </c>
      <c r="R53" s="34">
        <f t="shared" si="0"/>
        <v>899</v>
      </c>
    </row>
    <row r="54" spans="8:18" x14ac:dyDescent="0.15">
      <c r="H54">
        <v>5</v>
      </c>
      <c r="I54" t="s">
        <v>860</v>
      </c>
      <c r="J54">
        <v>4120</v>
      </c>
      <c r="K54">
        <v>0</v>
      </c>
      <c r="L54" t="s">
        <v>553</v>
      </c>
      <c r="O54">
        <v>17</v>
      </c>
      <c r="P54" t="s">
        <v>465</v>
      </c>
      <c r="R54" s="34">
        <f t="shared" si="0"/>
        <v>665</v>
      </c>
    </row>
    <row r="55" spans="8:18" x14ac:dyDescent="0.15">
      <c r="H55">
        <v>5</v>
      </c>
      <c r="I55" t="s">
        <v>861</v>
      </c>
      <c r="J55">
        <v>4121</v>
      </c>
      <c r="K55">
        <v>0</v>
      </c>
      <c r="L55" t="s">
        <v>862</v>
      </c>
      <c r="O55">
        <v>17</v>
      </c>
      <c r="P55" t="s">
        <v>449</v>
      </c>
      <c r="R55" s="34">
        <f t="shared" si="0"/>
        <v>665</v>
      </c>
    </row>
    <row r="56" spans="8:18" x14ac:dyDescent="0.15">
      <c r="H56">
        <v>5</v>
      </c>
      <c r="I56" t="s">
        <v>861</v>
      </c>
      <c r="J56">
        <v>4121</v>
      </c>
      <c r="K56">
        <v>0</v>
      </c>
      <c r="L56" t="s">
        <v>491</v>
      </c>
      <c r="O56">
        <v>18</v>
      </c>
      <c r="P56" t="s">
        <v>466</v>
      </c>
      <c r="R56" s="34">
        <f t="shared" si="0"/>
        <v>739</v>
      </c>
    </row>
    <row r="57" spans="8:18" x14ac:dyDescent="0.15">
      <c r="H57">
        <v>6</v>
      </c>
      <c r="I57" t="s">
        <v>863</v>
      </c>
      <c r="J57">
        <v>4122</v>
      </c>
      <c r="K57">
        <v>0</v>
      </c>
      <c r="L57" t="s">
        <v>360</v>
      </c>
      <c r="O57">
        <v>19</v>
      </c>
      <c r="P57" t="s">
        <v>474</v>
      </c>
      <c r="R57" s="34">
        <f t="shared" si="0"/>
        <v>817</v>
      </c>
    </row>
    <row r="58" spans="8:18" x14ac:dyDescent="0.15">
      <c r="H58">
        <v>6</v>
      </c>
      <c r="I58" t="s">
        <v>863</v>
      </c>
      <c r="J58">
        <v>4122</v>
      </c>
      <c r="K58">
        <v>0</v>
      </c>
      <c r="L58" t="s">
        <v>512</v>
      </c>
      <c r="O58">
        <v>20</v>
      </c>
      <c r="P58" t="s">
        <v>509</v>
      </c>
      <c r="R58" s="34">
        <f t="shared" si="0"/>
        <v>899</v>
      </c>
    </row>
    <row r="59" spans="8:18" x14ac:dyDescent="0.15">
      <c r="H59">
        <v>6</v>
      </c>
      <c r="I59" t="s">
        <v>864</v>
      </c>
      <c r="J59">
        <v>4123</v>
      </c>
      <c r="K59">
        <v>0</v>
      </c>
      <c r="L59" t="s">
        <v>361</v>
      </c>
      <c r="O59">
        <v>20</v>
      </c>
      <c r="P59" t="s">
        <v>467</v>
      </c>
      <c r="R59" s="34">
        <f t="shared" si="0"/>
        <v>899</v>
      </c>
    </row>
    <row r="60" spans="8:18" x14ac:dyDescent="0.15">
      <c r="H60">
        <v>7</v>
      </c>
      <c r="I60" t="s">
        <v>865</v>
      </c>
      <c r="J60">
        <v>4124</v>
      </c>
      <c r="K60">
        <v>0</v>
      </c>
      <c r="L60" t="s">
        <v>456</v>
      </c>
      <c r="O60">
        <v>24</v>
      </c>
      <c r="P60" t="s">
        <v>513</v>
      </c>
      <c r="R60" s="34">
        <f t="shared" si="0"/>
        <v>1267</v>
      </c>
    </row>
    <row r="61" spans="8:18" x14ac:dyDescent="0.15">
      <c r="H61">
        <v>7</v>
      </c>
      <c r="I61" t="s">
        <v>865</v>
      </c>
      <c r="J61">
        <v>4124</v>
      </c>
      <c r="K61">
        <v>0</v>
      </c>
      <c r="L61" t="s">
        <v>328</v>
      </c>
      <c r="O61">
        <v>24</v>
      </c>
      <c r="P61" t="s">
        <v>515</v>
      </c>
      <c r="R61" s="34">
        <f t="shared" si="0"/>
        <v>1267</v>
      </c>
    </row>
    <row r="62" spans="8:18" x14ac:dyDescent="0.15">
      <c r="H62">
        <v>7</v>
      </c>
      <c r="I62" t="s">
        <v>866</v>
      </c>
      <c r="J62">
        <v>4125</v>
      </c>
      <c r="K62">
        <v>0</v>
      </c>
      <c r="L62" t="s">
        <v>457</v>
      </c>
      <c r="O62">
        <v>24</v>
      </c>
      <c r="P62" t="s">
        <v>366</v>
      </c>
      <c r="R62" s="34">
        <f t="shared" si="0"/>
        <v>1267</v>
      </c>
    </row>
    <row r="63" spans="8:18" x14ac:dyDescent="0.15">
      <c r="H63">
        <v>7</v>
      </c>
      <c r="I63" t="s">
        <v>866</v>
      </c>
      <c r="J63">
        <v>4125</v>
      </c>
      <c r="K63">
        <v>0</v>
      </c>
      <c r="L63" t="s">
        <v>346</v>
      </c>
      <c r="O63">
        <v>24</v>
      </c>
      <c r="P63" t="s">
        <v>559</v>
      </c>
      <c r="R63" s="34">
        <f t="shared" si="0"/>
        <v>1267</v>
      </c>
    </row>
    <row r="64" spans="8:18" x14ac:dyDescent="0.15">
      <c r="H64">
        <v>8</v>
      </c>
      <c r="I64" t="s">
        <v>867</v>
      </c>
      <c r="J64">
        <v>4126</v>
      </c>
      <c r="K64">
        <v>0</v>
      </c>
      <c r="L64" t="s">
        <v>193</v>
      </c>
      <c r="O64">
        <v>25</v>
      </c>
      <c r="P64" t="s">
        <v>507</v>
      </c>
      <c r="R64" s="34">
        <f t="shared" si="0"/>
        <v>1369</v>
      </c>
    </row>
    <row r="65" spans="8:18" x14ac:dyDescent="0.15">
      <c r="H65">
        <v>8</v>
      </c>
      <c r="I65" t="s">
        <v>867</v>
      </c>
      <c r="J65">
        <v>4126</v>
      </c>
      <c r="K65">
        <v>0</v>
      </c>
      <c r="L65" t="s">
        <v>367</v>
      </c>
      <c r="O65">
        <v>25</v>
      </c>
      <c r="P65" t="s">
        <v>468</v>
      </c>
      <c r="R65" s="34">
        <f t="shared" si="0"/>
        <v>1369</v>
      </c>
    </row>
    <row r="66" spans="8:18" x14ac:dyDescent="0.15">
      <c r="H66">
        <v>8</v>
      </c>
      <c r="I66" t="s">
        <v>868</v>
      </c>
      <c r="J66">
        <v>4127</v>
      </c>
      <c r="K66">
        <v>0</v>
      </c>
      <c r="L66" t="s">
        <v>348</v>
      </c>
      <c r="O66">
        <v>26</v>
      </c>
      <c r="P66" t="s">
        <v>469</v>
      </c>
      <c r="R66" s="34">
        <f t="shared" si="0"/>
        <v>1475</v>
      </c>
    </row>
    <row r="67" spans="8:18" x14ac:dyDescent="0.15">
      <c r="H67">
        <v>8</v>
      </c>
      <c r="I67" t="s">
        <v>868</v>
      </c>
      <c r="J67">
        <v>4127</v>
      </c>
      <c r="K67">
        <v>0</v>
      </c>
      <c r="L67" t="s">
        <v>489</v>
      </c>
      <c r="O67">
        <v>26</v>
      </c>
      <c r="P67" t="s">
        <v>371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869</v>
      </c>
      <c r="J68">
        <v>4128</v>
      </c>
      <c r="K68">
        <v>0</v>
      </c>
      <c r="L68" t="s">
        <v>508</v>
      </c>
      <c r="O68">
        <v>26</v>
      </c>
      <c r="P68" t="s">
        <v>558</v>
      </c>
      <c r="R68" s="34">
        <f t="shared" si="1"/>
        <v>1475</v>
      </c>
    </row>
    <row r="69" spans="8:18" x14ac:dyDescent="0.15">
      <c r="H69" s="35">
        <v>12</v>
      </c>
      <c r="I69" t="s">
        <v>869</v>
      </c>
      <c r="J69">
        <v>4128</v>
      </c>
      <c r="K69">
        <v>0</v>
      </c>
      <c r="L69" t="s">
        <v>473</v>
      </c>
      <c r="O69">
        <v>27</v>
      </c>
      <c r="P69" t="s">
        <v>372</v>
      </c>
      <c r="R69" s="34">
        <f t="shared" si="1"/>
        <v>1585</v>
      </c>
    </row>
    <row r="70" spans="8:18" x14ac:dyDescent="0.15">
      <c r="H70" s="35">
        <v>12</v>
      </c>
      <c r="I70" t="s">
        <v>869</v>
      </c>
      <c r="J70">
        <v>4128</v>
      </c>
      <c r="K70">
        <v>0</v>
      </c>
      <c r="L70" t="s">
        <v>350</v>
      </c>
      <c r="O70">
        <v>27</v>
      </c>
      <c r="P70" t="s">
        <v>506</v>
      </c>
      <c r="R70" s="34">
        <f t="shared" si="1"/>
        <v>1585</v>
      </c>
    </row>
    <row r="71" spans="8:18" x14ac:dyDescent="0.15">
      <c r="H71" s="35">
        <v>12</v>
      </c>
      <c r="I71" t="s">
        <v>869</v>
      </c>
      <c r="J71">
        <v>4128</v>
      </c>
      <c r="K71">
        <v>0</v>
      </c>
      <c r="L71" t="s">
        <v>457</v>
      </c>
      <c r="O71">
        <v>27</v>
      </c>
      <c r="P71" t="s">
        <v>476</v>
      </c>
      <c r="R71" s="34">
        <f t="shared" si="1"/>
        <v>1585</v>
      </c>
    </row>
    <row r="72" spans="8:18" x14ac:dyDescent="0.15">
      <c r="H72" s="35">
        <v>12</v>
      </c>
      <c r="I72" t="s">
        <v>869</v>
      </c>
      <c r="J72">
        <v>4128</v>
      </c>
      <c r="K72">
        <v>0</v>
      </c>
      <c r="L72" t="s">
        <v>491</v>
      </c>
      <c r="O72">
        <v>28</v>
      </c>
      <c r="P72" t="s">
        <v>470</v>
      </c>
      <c r="R72" s="34">
        <f t="shared" si="1"/>
        <v>1699</v>
      </c>
    </row>
    <row r="73" spans="8:18" x14ac:dyDescent="0.15">
      <c r="H73" s="35">
        <v>12</v>
      </c>
      <c r="I73" t="s">
        <v>869</v>
      </c>
      <c r="J73">
        <v>4128</v>
      </c>
      <c r="K73">
        <v>0</v>
      </c>
      <c r="L73" t="s">
        <v>512</v>
      </c>
      <c r="O73">
        <v>28</v>
      </c>
      <c r="P73" t="s">
        <v>481</v>
      </c>
      <c r="R73" s="34">
        <f t="shared" si="1"/>
        <v>1699</v>
      </c>
    </row>
    <row r="74" spans="8:18" x14ac:dyDescent="0.15">
      <c r="H74" s="35">
        <v>12</v>
      </c>
      <c r="I74" t="s">
        <v>870</v>
      </c>
      <c r="J74">
        <v>4129</v>
      </c>
      <c r="K74">
        <v>0</v>
      </c>
      <c r="L74" t="s">
        <v>369</v>
      </c>
      <c r="O74">
        <v>32</v>
      </c>
      <c r="P74" t="s">
        <v>500</v>
      </c>
      <c r="R74" s="34">
        <f t="shared" si="1"/>
        <v>2195</v>
      </c>
    </row>
    <row r="75" spans="8:18" x14ac:dyDescent="0.15">
      <c r="H75" s="35">
        <v>12</v>
      </c>
      <c r="I75" t="s">
        <v>870</v>
      </c>
      <c r="J75">
        <v>4129</v>
      </c>
      <c r="K75">
        <v>0</v>
      </c>
      <c r="L75" t="s">
        <v>622</v>
      </c>
      <c r="O75">
        <v>32</v>
      </c>
      <c r="P75" t="s">
        <v>472</v>
      </c>
      <c r="R75" s="34">
        <f t="shared" si="1"/>
        <v>2195</v>
      </c>
    </row>
    <row r="76" spans="8:18" x14ac:dyDescent="0.15">
      <c r="H76" s="35">
        <v>12</v>
      </c>
      <c r="I76" t="s">
        <v>870</v>
      </c>
      <c r="J76">
        <v>4129</v>
      </c>
      <c r="K76">
        <v>0</v>
      </c>
      <c r="L76" t="s">
        <v>346</v>
      </c>
      <c r="O76">
        <v>21</v>
      </c>
      <c r="P76" t="s">
        <v>511</v>
      </c>
      <c r="R76" s="34">
        <f t="shared" si="1"/>
        <v>985</v>
      </c>
    </row>
    <row r="77" spans="8:18" x14ac:dyDescent="0.15">
      <c r="H77" s="35">
        <v>12</v>
      </c>
      <c r="I77" t="s">
        <v>870</v>
      </c>
      <c r="J77">
        <v>4129</v>
      </c>
      <c r="K77">
        <v>0</v>
      </c>
      <c r="L77" t="s">
        <v>456</v>
      </c>
      <c r="O77">
        <v>22</v>
      </c>
      <c r="P77" t="s">
        <v>364</v>
      </c>
      <c r="R77" s="34">
        <f t="shared" si="1"/>
        <v>1075</v>
      </c>
    </row>
    <row r="78" spans="8:18" x14ac:dyDescent="0.15">
      <c r="H78" s="35">
        <v>12</v>
      </c>
      <c r="I78" t="s">
        <v>870</v>
      </c>
      <c r="J78">
        <v>4129</v>
      </c>
      <c r="K78">
        <v>0</v>
      </c>
      <c r="L78" t="s">
        <v>328</v>
      </c>
      <c r="O78">
        <v>22</v>
      </c>
      <c r="P78" t="s">
        <v>480</v>
      </c>
      <c r="R78" s="34">
        <f t="shared" si="1"/>
        <v>1075</v>
      </c>
    </row>
    <row r="79" spans="8:18" x14ac:dyDescent="0.15">
      <c r="H79" s="35">
        <v>12</v>
      </c>
      <c r="I79" t="s">
        <v>870</v>
      </c>
      <c r="J79">
        <v>4129</v>
      </c>
      <c r="K79">
        <v>0</v>
      </c>
      <c r="L79" t="s">
        <v>361</v>
      </c>
      <c r="O79">
        <v>24</v>
      </c>
      <c r="P79" t="s">
        <v>477</v>
      </c>
      <c r="R79" s="34">
        <f t="shared" si="1"/>
        <v>1267</v>
      </c>
    </row>
    <row r="80" spans="8:18" x14ac:dyDescent="0.15">
      <c r="H80">
        <v>13</v>
      </c>
      <c r="I80" t="s">
        <v>871</v>
      </c>
      <c r="J80">
        <v>4130</v>
      </c>
      <c r="K80">
        <v>0</v>
      </c>
      <c r="L80" t="s">
        <v>458</v>
      </c>
      <c r="O80">
        <v>28</v>
      </c>
      <c r="P80" t="s">
        <v>478</v>
      </c>
      <c r="R80" s="34">
        <f t="shared" si="1"/>
        <v>1699</v>
      </c>
    </row>
    <row r="81" spans="8:18" x14ac:dyDescent="0.15">
      <c r="H81" s="34">
        <v>13</v>
      </c>
      <c r="I81" t="s">
        <v>871</v>
      </c>
      <c r="J81">
        <v>4130</v>
      </c>
      <c r="K81">
        <v>0</v>
      </c>
      <c r="L81" t="s">
        <v>838</v>
      </c>
      <c r="O81">
        <v>28</v>
      </c>
      <c r="P81" t="s">
        <v>502</v>
      </c>
      <c r="R81" s="34">
        <f t="shared" si="1"/>
        <v>1699</v>
      </c>
    </row>
    <row r="82" spans="8:18" x14ac:dyDescent="0.15">
      <c r="H82" s="34">
        <v>13</v>
      </c>
      <c r="I82" t="s">
        <v>872</v>
      </c>
      <c r="J82">
        <v>4131</v>
      </c>
      <c r="K82">
        <v>0</v>
      </c>
      <c r="L82" t="s">
        <v>450</v>
      </c>
      <c r="O82">
        <v>29</v>
      </c>
      <c r="P82" t="s">
        <v>479</v>
      </c>
      <c r="R82" s="34">
        <f t="shared" si="1"/>
        <v>1817</v>
      </c>
    </row>
    <row r="83" spans="8:18" x14ac:dyDescent="0.15">
      <c r="H83" s="34">
        <v>13</v>
      </c>
      <c r="I83" t="s">
        <v>872</v>
      </c>
      <c r="J83">
        <v>4131</v>
      </c>
      <c r="K83">
        <v>0</v>
      </c>
      <c r="L83" t="s">
        <v>526</v>
      </c>
      <c r="O83">
        <v>31</v>
      </c>
      <c r="P83" t="s">
        <v>368</v>
      </c>
      <c r="R83" s="34">
        <f t="shared" si="1"/>
        <v>2065</v>
      </c>
    </row>
    <row r="84" spans="8:18" x14ac:dyDescent="0.15">
      <c r="H84">
        <v>14</v>
      </c>
      <c r="I84" t="s">
        <v>873</v>
      </c>
      <c r="J84">
        <v>4132</v>
      </c>
      <c r="K84">
        <v>0</v>
      </c>
      <c r="L84" t="s">
        <v>362</v>
      </c>
      <c r="O84">
        <v>36</v>
      </c>
      <c r="P84" t="s">
        <v>484</v>
      </c>
      <c r="R84" s="34">
        <f t="shared" si="1"/>
        <v>2755</v>
      </c>
    </row>
    <row r="85" spans="8:18" x14ac:dyDescent="0.15">
      <c r="H85" s="34">
        <v>14</v>
      </c>
      <c r="I85" t="s">
        <v>873</v>
      </c>
      <c r="J85">
        <v>4132</v>
      </c>
      <c r="K85">
        <v>0</v>
      </c>
      <c r="L85" t="s">
        <v>555</v>
      </c>
      <c r="O85">
        <v>36</v>
      </c>
      <c r="P85" t="s">
        <v>485</v>
      </c>
      <c r="R85" s="34">
        <f t="shared" si="1"/>
        <v>2755</v>
      </c>
    </row>
    <row r="86" spans="8:18" x14ac:dyDescent="0.15">
      <c r="H86" s="34">
        <v>14</v>
      </c>
      <c r="I86" t="s">
        <v>874</v>
      </c>
      <c r="J86">
        <v>4133</v>
      </c>
      <c r="K86">
        <v>0</v>
      </c>
      <c r="L86" t="s">
        <v>361</v>
      </c>
      <c r="P86" t="s">
        <v>187</v>
      </c>
    </row>
    <row r="87" spans="8:18" x14ac:dyDescent="0.15">
      <c r="H87" s="34">
        <v>14</v>
      </c>
      <c r="I87" t="s">
        <v>874</v>
      </c>
      <c r="J87">
        <v>4133</v>
      </c>
      <c r="K87">
        <v>0</v>
      </c>
      <c r="L87" t="s">
        <v>357</v>
      </c>
      <c r="P87" t="s">
        <v>188</v>
      </c>
    </row>
    <row r="88" spans="8:18" x14ac:dyDescent="0.15">
      <c r="H88">
        <v>15</v>
      </c>
      <c r="I88" t="s">
        <v>875</v>
      </c>
      <c r="J88">
        <v>4134</v>
      </c>
      <c r="K88">
        <v>0</v>
      </c>
      <c r="L88" t="s">
        <v>460</v>
      </c>
      <c r="P88" t="s">
        <v>189</v>
      </c>
    </row>
    <row r="89" spans="8:18" x14ac:dyDescent="0.15">
      <c r="H89" s="34">
        <v>15</v>
      </c>
      <c r="I89" t="s">
        <v>875</v>
      </c>
      <c r="J89">
        <v>4134</v>
      </c>
      <c r="K89">
        <v>0</v>
      </c>
      <c r="L89" t="s">
        <v>552</v>
      </c>
      <c r="P89" t="s">
        <v>858</v>
      </c>
    </row>
    <row r="90" spans="8:18" x14ac:dyDescent="0.15">
      <c r="H90" s="34">
        <v>15</v>
      </c>
      <c r="I90" t="s">
        <v>876</v>
      </c>
      <c r="J90">
        <v>4135</v>
      </c>
      <c r="K90">
        <v>0</v>
      </c>
      <c r="L90" t="s">
        <v>461</v>
      </c>
      <c r="P90" t="s">
        <v>924</v>
      </c>
    </row>
    <row r="91" spans="8:18" x14ac:dyDescent="0.15">
      <c r="H91" s="34">
        <v>15</v>
      </c>
      <c r="I91" t="s">
        <v>876</v>
      </c>
      <c r="J91">
        <v>4135</v>
      </c>
      <c r="K91">
        <v>0</v>
      </c>
      <c r="L91" t="s">
        <v>445</v>
      </c>
      <c r="P91" t="s">
        <v>162</v>
      </c>
    </row>
    <row r="92" spans="8:18" x14ac:dyDescent="0.15">
      <c r="H92">
        <v>16</v>
      </c>
      <c r="I92" t="s">
        <v>877</v>
      </c>
      <c r="J92">
        <v>4136</v>
      </c>
      <c r="K92">
        <v>0</v>
      </c>
      <c r="L92" t="s">
        <v>554</v>
      </c>
      <c r="P92" t="s">
        <v>159</v>
      </c>
    </row>
    <row r="93" spans="8:18" x14ac:dyDescent="0.15">
      <c r="H93" s="34">
        <v>16</v>
      </c>
      <c r="I93" t="s">
        <v>877</v>
      </c>
      <c r="J93">
        <v>4136</v>
      </c>
      <c r="K93">
        <v>0</v>
      </c>
      <c r="L93" t="s">
        <v>622</v>
      </c>
      <c r="P93" t="s">
        <v>161</v>
      </c>
    </row>
    <row r="94" spans="8:18" x14ac:dyDescent="0.15">
      <c r="H94" s="34">
        <v>16</v>
      </c>
      <c r="I94" t="s">
        <v>878</v>
      </c>
      <c r="J94">
        <v>4137</v>
      </c>
      <c r="K94">
        <v>0</v>
      </c>
      <c r="L94" t="s">
        <v>462</v>
      </c>
      <c r="P94" t="s">
        <v>174</v>
      </c>
      <c r="R94">
        <v>980</v>
      </c>
    </row>
    <row r="95" spans="8:18" x14ac:dyDescent="0.15">
      <c r="H95" s="34">
        <v>16</v>
      </c>
      <c r="I95" t="s">
        <v>878</v>
      </c>
      <c r="J95">
        <v>4137</v>
      </c>
      <c r="K95">
        <v>0</v>
      </c>
      <c r="L95" t="s">
        <v>556</v>
      </c>
      <c r="P95" t="s">
        <v>178</v>
      </c>
      <c r="R95">
        <v>1300</v>
      </c>
    </row>
    <row r="96" spans="8:18" x14ac:dyDescent="0.15">
      <c r="H96" s="35">
        <v>20</v>
      </c>
      <c r="I96" t="s">
        <v>879</v>
      </c>
      <c r="J96">
        <v>4138</v>
      </c>
      <c r="K96">
        <v>0</v>
      </c>
      <c r="L96" t="s">
        <v>554</v>
      </c>
      <c r="P96" t="s">
        <v>250</v>
      </c>
    </row>
    <row r="97" spans="8:12" x14ac:dyDescent="0.15">
      <c r="H97" s="35">
        <v>20</v>
      </c>
      <c r="I97" t="s">
        <v>879</v>
      </c>
      <c r="J97">
        <v>4138</v>
      </c>
      <c r="K97">
        <v>0</v>
      </c>
      <c r="L97" t="s">
        <v>362</v>
      </c>
    </row>
    <row r="98" spans="8:12" x14ac:dyDescent="0.15">
      <c r="H98" s="35">
        <v>20</v>
      </c>
      <c r="I98" t="s">
        <v>879</v>
      </c>
      <c r="J98">
        <v>4138</v>
      </c>
      <c r="K98">
        <v>0</v>
      </c>
      <c r="L98" t="s">
        <v>475</v>
      </c>
    </row>
    <row r="99" spans="8:12" x14ac:dyDescent="0.15">
      <c r="H99" s="35">
        <v>20</v>
      </c>
      <c r="I99" t="s">
        <v>879</v>
      </c>
      <c r="J99">
        <v>4138</v>
      </c>
      <c r="K99">
        <v>0</v>
      </c>
      <c r="L99" t="s">
        <v>555</v>
      </c>
    </row>
    <row r="100" spans="8:12" x14ac:dyDescent="0.15">
      <c r="H100" s="35">
        <v>20</v>
      </c>
      <c r="I100" t="s">
        <v>879</v>
      </c>
      <c r="J100">
        <v>4138</v>
      </c>
      <c r="K100">
        <v>0</v>
      </c>
      <c r="L100" t="s">
        <v>461</v>
      </c>
    </row>
    <row r="101" spans="8:12" x14ac:dyDescent="0.15">
      <c r="H101" s="35">
        <v>20</v>
      </c>
      <c r="I101" t="s">
        <v>879</v>
      </c>
      <c r="J101">
        <v>4138</v>
      </c>
      <c r="K101">
        <v>0</v>
      </c>
      <c r="L101" t="s">
        <v>450</v>
      </c>
    </row>
    <row r="102" spans="8:12" x14ac:dyDescent="0.15">
      <c r="H102" s="35">
        <v>20</v>
      </c>
      <c r="I102" t="s">
        <v>880</v>
      </c>
      <c r="J102">
        <v>4139</v>
      </c>
      <c r="K102">
        <v>0</v>
      </c>
      <c r="L102" t="s">
        <v>463</v>
      </c>
    </row>
    <row r="103" spans="8:12" x14ac:dyDescent="0.15">
      <c r="H103" s="35">
        <v>20</v>
      </c>
      <c r="I103" t="s">
        <v>880</v>
      </c>
      <c r="J103">
        <v>4139</v>
      </c>
      <c r="K103">
        <v>0</v>
      </c>
      <c r="L103" t="s">
        <v>622</v>
      </c>
    </row>
    <row r="104" spans="8:12" x14ac:dyDescent="0.15">
      <c r="H104" s="35">
        <v>20</v>
      </c>
      <c r="I104" t="s">
        <v>880</v>
      </c>
      <c r="J104">
        <v>4139</v>
      </c>
      <c r="K104">
        <v>0</v>
      </c>
      <c r="L104" t="s">
        <v>482</v>
      </c>
    </row>
    <row r="105" spans="8:12" x14ac:dyDescent="0.15">
      <c r="H105" s="35">
        <v>20</v>
      </c>
      <c r="I105" t="s">
        <v>880</v>
      </c>
      <c r="J105">
        <v>4139</v>
      </c>
      <c r="K105">
        <v>0</v>
      </c>
      <c r="L105" t="s">
        <v>462</v>
      </c>
    </row>
    <row r="106" spans="8:12" x14ac:dyDescent="0.15">
      <c r="H106" s="35">
        <v>20</v>
      </c>
      <c r="I106" t="s">
        <v>880</v>
      </c>
      <c r="J106">
        <v>4139</v>
      </c>
      <c r="K106">
        <v>0</v>
      </c>
      <c r="L106" t="s">
        <v>556</v>
      </c>
    </row>
    <row r="107" spans="8:12" x14ac:dyDescent="0.15">
      <c r="H107" s="35">
        <v>20</v>
      </c>
      <c r="I107" t="s">
        <v>880</v>
      </c>
      <c r="J107">
        <v>4139</v>
      </c>
      <c r="K107">
        <v>0</v>
      </c>
      <c r="L107" t="s">
        <v>526</v>
      </c>
    </row>
    <row r="108" spans="8:12" x14ac:dyDescent="0.15">
      <c r="H108">
        <v>17</v>
      </c>
      <c r="I108" t="s">
        <v>881</v>
      </c>
      <c r="J108">
        <v>4140</v>
      </c>
      <c r="K108">
        <v>0</v>
      </c>
      <c r="L108" t="s">
        <v>552</v>
      </c>
    </row>
    <row r="109" spans="8:12" x14ac:dyDescent="0.15">
      <c r="H109" s="34">
        <v>17</v>
      </c>
      <c r="I109" t="s">
        <v>881</v>
      </c>
      <c r="J109">
        <v>4140</v>
      </c>
      <c r="K109">
        <v>0</v>
      </c>
      <c r="L109" t="s">
        <v>348</v>
      </c>
    </row>
    <row r="110" spans="8:12" x14ac:dyDescent="0.15">
      <c r="H110" s="34">
        <v>17</v>
      </c>
      <c r="I110" t="s">
        <v>882</v>
      </c>
      <c r="J110">
        <v>4141</v>
      </c>
      <c r="K110">
        <v>0</v>
      </c>
      <c r="L110" t="s">
        <v>465</v>
      </c>
    </row>
    <row r="111" spans="8:12" x14ac:dyDescent="0.15">
      <c r="H111" s="34">
        <v>17</v>
      </c>
      <c r="I111" t="s">
        <v>882</v>
      </c>
      <c r="J111">
        <v>4141</v>
      </c>
      <c r="K111">
        <v>0</v>
      </c>
      <c r="L111" t="s">
        <v>449</v>
      </c>
    </row>
    <row r="112" spans="8:12" x14ac:dyDescent="0.15">
      <c r="H112">
        <v>18</v>
      </c>
      <c r="I112" t="s">
        <v>883</v>
      </c>
      <c r="J112">
        <v>4142</v>
      </c>
      <c r="K112">
        <v>0</v>
      </c>
      <c r="L112" t="s">
        <v>466</v>
      </c>
    </row>
    <row r="113" spans="8:12" x14ac:dyDescent="0.15">
      <c r="H113" s="34">
        <v>18</v>
      </c>
      <c r="I113" t="s">
        <v>883</v>
      </c>
      <c r="J113">
        <v>4142</v>
      </c>
      <c r="K113">
        <v>0</v>
      </c>
      <c r="L113" t="s">
        <v>347</v>
      </c>
    </row>
    <row r="114" spans="8:12" x14ac:dyDescent="0.15">
      <c r="H114" s="34">
        <v>18</v>
      </c>
      <c r="I114" t="s">
        <v>884</v>
      </c>
      <c r="J114">
        <v>4143</v>
      </c>
      <c r="K114">
        <v>0</v>
      </c>
      <c r="L114" t="s">
        <v>454</v>
      </c>
    </row>
    <row r="115" spans="8:12" x14ac:dyDescent="0.15">
      <c r="H115" s="34">
        <v>18</v>
      </c>
      <c r="I115" t="s">
        <v>884</v>
      </c>
      <c r="J115">
        <v>4143</v>
      </c>
      <c r="K115">
        <v>0</v>
      </c>
      <c r="L115" t="s">
        <v>622</v>
      </c>
    </row>
    <row r="116" spans="8:12" x14ac:dyDescent="0.15">
      <c r="H116" s="34">
        <v>18</v>
      </c>
      <c r="I116" t="s">
        <v>884</v>
      </c>
      <c r="J116">
        <v>4143</v>
      </c>
      <c r="K116">
        <v>0</v>
      </c>
      <c r="L116" t="s">
        <v>346</v>
      </c>
    </row>
    <row r="117" spans="8:12" x14ac:dyDescent="0.15">
      <c r="H117">
        <v>19</v>
      </c>
      <c r="I117" t="s">
        <v>885</v>
      </c>
      <c r="J117">
        <v>4144</v>
      </c>
      <c r="K117">
        <v>0</v>
      </c>
      <c r="L117" t="s">
        <v>350</v>
      </c>
    </row>
    <row r="118" spans="8:12" x14ac:dyDescent="0.15">
      <c r="H118" s="34">
        <v>19</v>
      </c>
      <c r="I118" t="s">
        <v>885</v>
      </c>
      <c r="J118">
        <v>4144</v>
      </c>
      <c r="K118">
        <v>0</v>
      </c>
      <c r="L118" t="s">
        <v>474</v>
      </c>
    </row>
    <row r="119" spans="8:12" x14ac:dyDescent="0.15">
      <c r="H119" s="34">
        <v>19</v>
      </c>
      <c r="I119" t="s">
        <v>886</v>
      </c>
      <c r="J119">
        <v>4145</v>
      </c>
      <c r="K119">
        <v>0</v>
      </c>
      <c r="L119" t="s">
        <v>367</v>
      </c>
    </row>
    <row r="120" spans="8:12" x14ac:dyDescent="0.15">
      <c r="H120" s="34">
        <v>19</v>
      </c>
      <c r="I120" t="s">
        <v>886</v>
      </c>
      <c r="J120">
        <v>4145</v>
      </c>
      <c r="K120">
        <v>0</v>
      </c>
      <c r="L120" t="s">
        <v>357</v>
      </c>
    </row>
    <row r="121" spans="8:12" x14ac:dyDescent="0.15">
      <c r="H121">
        <v>20</v>
      </c>
      <c r="I121" t="s">
        <v>887</v>
      </c>
      <c r="J121">
        <v>4146</v>
      </c>
      <c r="K121">
        <v>0</v>
      </c>
      <c r="L121" t="s">
        <v>509</v>
      </c>
    </row>
    <row r="122" spans="8:12" x14ac:dyDescent="0.15">
      <c r="H122" s="34">
        <v>20</v>
      </c>
      <c r="I122" t="s">
        <v>887</v>
      </c>
      <c r="J122">
        <v>4146</v>
      </c>
      <c r="K122">
        <v>0</v>
      </c>
      <c r="L122" t="s">
        <v>193</v>
      </c>
    </row>
    <row r="123" spans="8:12" x14ac:dyDescent="0.15">
      <c r="H123" s="34">
        <v>20</v>
      </c>
      <c r="I123" t="s">
        <v>888</v>
      </c>
      <c r="J123">
        <v>4147</v>
      </c>
      <c r="K123">
        <v>0</v>
      </c>
      <c r="L123" t="s">
        <v>467</v>
      </c>
    </row>
    <row r="124" spans="8:12" x14ac:dyDescent="0.15">
      <c r="H124" s="35">
        <v>24</v>
      </c>
      <c r="I124" t="s">
        <v>889</v>
      </c>
      <c r="J124">
        <v>4148</v>
      </c>
      <c r="K124">
        <v>0</v>
      </c>
      <c r="L124" t="s">
        <v>513</v>
      </c>
    </row>
    <row r="125" spans="8:12" x14ac:dyDescent="0.15">
      <c r="H125" s="35">
        <v>24</v>
      </c>
      <c r="I125" t="s">
        <v>889</v>
      </c>
      <c r="J125">
        <v>4148</v>
      </c>
      <c r="K125">
        <v>0</v>
      </c>
      <c r="L125" t="s">
        <v>363</v>
      </c>
    </row>
    <row r="126" spans="8:12" x14ac:dyDescent="0.15">
      <c r="H126" s="35">
        <v>24</v>
      </c>
      <c r="I126" t="s">
        <v>889</v>
      </c>
      <c r="J126">
        <v>4148</v>
      </c>
      <c r="K126">
        <v>0</v>
      </c>
      <c r="L126" t="s">
        <v>515</v>
      </c>
    </row>
    <row r="127" spans="8:12" x14ac:dyDescent="0.15">
      <c r="H127" s="35">
        <v>24</v>
      </c>
      <c r="I127" t="s">
        <v>889</v>
      </c>
      <c r="J127">
        <v>4148</v>
      </c>
      <c r="K127">
        <v>0</v>
      </c>
      <c r="L127" t="s">
        <v>347</v>
      </c>
    </row>
    <row r="128" spans="8:12" x14ac:dyDescent="0.15">
      <c r="H128" s="35">
        <v>24</v>
      </c>
      <c r="I128" t="s">
        <v>889</v>
      </c>
      <c r="J128">
        <v>4148</v>
      </c>
      <c r="K128">
        <v>0</v>
      </c>
      <c r="L128" t="s">
        <v>356</v>
      </c>
    </row>
    <row r="129" spans="8:12" x14ac:dyDescent="0.15">
      <c r="H129" s="35">
        <v>24</v>
      </c>
      <c r="I129" t="s">
        <v>889</v>
      </c>
      <c r="J129">
        <v>4148</v>
      </c>
      <c r="K129">
        <v>0</v>
      </c>
      <c r="L129" t="s">
        <v>466</v>
      </c>
    </row>
    <row r="130" spans="8:12" x14ac:dyDescent="0.15">
      <c r="H130" s="35">
        <v>24</v>
      </c>
      <c r="I130" t="s">
        <v>890</v>
      </c>
      <c r="J130">
        <v>4149</v>
      </c>
      <c r="K130">
        <v>0</v>
      </c>
      <c r="L130" t="s">
        <v>489</v>
      </c>
    </row>
    <row r="131" spans="8:12" x14ac:dyDescent="0.15">
      <c r="H131" s="35">
        <v>24</v>
      </c>
      <c r="I131" t="s">
        <v>890</v>
      </c>
      <c r="J131">
        <v>4149</v>
      </c>
      <c r="K131">
        <v>0</v>
      </c>
      <c r="L131" t="s">
        <v>366</v>
      </c>
    </row>
    <row r="132" spans="8:12" x14ac:dyDescent="0.15">
      <c r="H132" s="35">
        <v>24</v>
      </c>
      <c r="I132" t="s">
        <v>890</v>
      </c>
      <c r="J132">
        <v>4149</v>
      </c>
      <c r="K132">
        <v>0</v>
      </c>
      <c r="L132" t="s">
        <v>559</v>
      </c>
    </row>
    <row r="133" spans="8:12" x14ac:dyDescent="0.15">
      <c r="H133" s="35">
        <v>24</v>
      </c>
      <c r="I133" t="s">
        <v>890</v>
      </c>
      <c r="J133">
        <v>4149</v>
      </c>
      <c r="K133">
        <v>0</v>
      </c>
      <c r="L133" t="s">
        <v>467</v>
      </c>
    </row>
    <row r="134" spans="8:12" x14ac:dyDescent="0.15">
      <c r="H134" s="35">
        <v>24</v>
      </c>
      <c r="I134" t="s">
        <v>890</v>
      </c>
      <c r="J134">
        <v>4149</v>
      </c>
      <c r="K134">
        <v>0</v>
      </c>
      <c r="L134" t="s">
        <v>454</v>
      </c>
    </row>
    <row r="135" spans="8:12" x14ac:dyDescent="0.15">
      <c r="H135" s="35">
        <v>24</v>
      </c>
      <c r="I135" t="s">
        <v>890</v>
      </c>
      <c r="J135">
        <v>4149</v>
      </c>
      <c r="K135">
        <v>0</v>
      </c>
      <c r="L135" t="s">
        <v>465</v>
      </c>
    </row>
    <row r="136" spans="8:12" x14ac:dyDescent="0.15">
      <c r="H136">
        <v>25</v>
      </c>
      <c r="I136" t="s">
        <v>891</v>
      </c>
      <c r="J136">
        <v>4150</v>
      </c>
      <c r="K136">
        <v>0</v>
      </c>
      <c r="L136" t="s">
        <v>507</v>
      </c>
    </row>
    <row r="137" spans="8:12" x14ac:dyDescent="0.15">
      <c r="H137" s="34">
        <v>25</v>
      </c>
      <c r="I137" t="s">
        <v>891</v>
      </c>
      <c r="J137">
        <v>4150</v>
      </c>
      <c r="K137">
        <v>0</v>
      </c>
      <c r="L137" t="s">
        <v>622</v>
      </c>
    </row>
    <row r="138" spans="8:12" x14ac:dyDescent="0.15">
      <c r="H138" s="34">
        <v>25</v>
      </c>
      <c r="I138" t="s">
        <v>892</v>
      </c>
      <c r="J138">
        <v>4151</v>
      </c>
      <c r="K138">
        <v>0</v>
      </c>
      <c r="L138" t="s">
        <v>468</v>
      </c>
    </row>
    <row r="139" spans="8:12" x14ac:dyDescent="0.15">
      <c r="H139" s="34">
        <v>25</v>
      </c>
      <c r="I139" t="s">
        <v>892</v>
      </c>
      <c r="J139">
        <v>4151</v>
      </c>
      <c r="K139">
        <v>0</v>
      </c>
      <c r="L139" t="s">
        <v>838</v>
      </c>
    </row>
    <row r="140" spans="8:12" x14ac:dyDescent="0.15">
      <c r="H140" s="34">
        <v>25</v>
      </c>
      <c r="I140" t="s">
        <v>892</v>
      </c>
      <c r="J140">
        <v>4151</v>
      </c>
      <c r="K140">
        <v>0</v>
      </c>
      <c r="L140" t="s">
        <v>526</v>
      </c>
    </row>
    <row r="141" spans="8:12" x14ac:dyDescent="0.15">
      <c r="H141">
        <v>26</v>
      </c>
      <c r="I141" t="s">
        <v>893</v>
      </c>
      <c r="J141">
        <v>4152</v>
      </c>
      <c r="K141">
        <v>0</v>
      </c>
      <c r="L141" t="s">
        <v>469</v>
      </c>
    </row>
    <row r="142" spans="8:12" x14ac:dyDescent="0.15">
      <c r="H142" s="34">
        <v>26</v>
      </c>
      <c r="I142" t="s">
        <v>893</v>
      </c>
      <c r="J142">
        <v>4152</v>
      </c>
      <c r="K142">
        <v>0</v>
      </c>
      <c r="L142" t="s">
        <v>357</v>
      </c>
    </row>
    <row r="143" spans="8:12" x14ac:dyDescent="0.15">
      <c r="H143" s="34">
        <v>26</v>
      </c>
      <c r="I143" t="s">
        <v>893</v>
      </c>
      <c r="J143">
        <v>4152</v>
      </c>
      <c r="K143">
        <v>0</v>
      </c>
      <c r="L143" t="s">
        <v>475</v>
      </c>
    </row>
    <row r="144" spans="8:12" x14ac:dyDescent="0.15">
      <c r="H144" s="34">
        <v>26</v>
      </c>
      <c r="I144" t="s">
        <v>894</v>
      </c>
      <c r="J144">
        <v>4153</v>
      </c>
      <c r="K144">
        <v>0</v>
      </c>
      <c r="L144" t="s">
        <v>371</v>
      </c>
    </row>
    <row r="145" spans="8:12" x14ac:dyDescent="0.15">
      <c r="H145" s="34">
        <v>26</v>
      </c>
      <c r="I145" t="s">
        <v>894</v>
      </c>
      <c r="J145">
        <v>4153</v>
      </c>
      <c r="K145">
        <v>0</v>
      </c>
      <c r="L145" t="s">
        <v>558</v>
      </c>
    </row>
    <row r="146" spans="8:12" x14ac:dyDescent="0.15">
      <c r="H146">
        <v>27</v>
      </c>
      <c r="I146" t="s">
        <v>895</v>
      </c>
      <c r="J146">
        <v>4154</v>
      </c>
      <c r="K146">
        <v>0</v>
      </c>
      <c r="L146" t="s">
        <v>372</v>
      </c>
    </row>
    <row r="147" spans="8:12" x14ac:dyDescent="0.15">
      <c r="H147" s="34">
        <v>27</v>
      </c>
      <c r="I147" t="s">
        <v>895</v>
      </c>
      <c r="J147">
        <v>4154</v>
      </c>
      <c r="K147">
        <v>0</v>
      </c>
      <c r="L147" t="s">
        <v>193</v>
      </c>
    </row>
    <row r="148" spans="8:12" x14ac:dyDescent="0.15">
      <c r="H148" s="34">
        <v>27</v>
      </c>
      <c r="I148" t="s">
        <v>896</v>
      </c>
      <c r="J148">
        <v>4155</v>
      </c>
      <c r="K148">
        <v>0</v>
      </c>
      <c r="L148" t="s">
        <v>506</v>
      </c>
    </row>
    <row r="149" spans="8:12" x14ac:dyDescent="0.15">
      <c r="H149" s="34">
        <v>27</v>
      </c>
      <c r="I149" t="s">
        <v>896</v>
      </c>
      <c r="J149">
        <v>4155</v>
      </c>
      <c r="K149">
        <v>0</v>
      </c>
      <c r="L149" t="s">
        <v>352</v>
      </c>
    </row>
    <row r="150" spans="8:12" x14ac:dyDescent="0.15">
      <c r="H150" s="34">
        <v>27</v>
      </c>
      <c r="I150" t="s">
        <v>896</v>
      </c>
      <c r="J150">
        <v>4155</v>
      </c>
      <c r="K150">
        <v>0</v>
      </c>
      <c r="L150" t="s">
        <v>476</v>
      </c>
    </row>
    <row r="151" spans="8:12" x14ac:dyDescent="0.15">
      <c r="H151">
        <v>28</v>
      </c>
      <c r="I151" t="s">
        <v>897</v>
      </c>
      <c r="J151">
        <v>4156</v>
      </c>
      <c r="K151">
        <v>0</v>
      </c>
      <c r="L151" t="s">
        <v>369</v>
      </c>
    </row>
    <row r="152" spans="8:12" x14ac:dyDescent="0.15">
      <c r="H152" s="34">
        <v>28</v>
      </c>
      <c r="I152" t="s">
        <v>898</v>
      </c>
      <c r="J152">
        <v>4157</v>
      </c>
      <c r="K152">
        <v>0</v>
      </c>
      <c r="L152" t="s">
        <v>470</v>
      </c>
    </row>
    <row r="153" spans="8:12" x14ac:dyDescent="0.15">
      <c r="H153" s="34">
        <v>28</v>
      </c>
      <c r="I153" t="s">
        <v>898</v>
      </c>
      <c r="J153">
        <v>4157</v>
      </c>
      <c r="K153">
        <v>0</v>
      </c>
      <c r="L153" t="s">
        <v>481</v>
      </c>
    </row>
    <row r="154" spans="8:12" x14ac:dyDescent="0.15">
      <c r="H154" s="34">
        <v>28</v>
      </c>
      <c r="I154" t="s">
        <v>898</v>
      </c>
      <c r="J154">
        <v>4157</v>
      </c>
      <c r="K154">
        <v>0</v>
      </c>
      <c r="L154" t="s">
        <v>352</v>
      </c>
    </row>
    <row r="155" spans="8:12" x14ac:dyDescent="0.15">
      <c r="H155" s="35">
        <v>32</v>
      </c>
      <c r="I155" t="s">
        <v>899</v>
      </c>
      <c r="J155">
        <v>4158</v>
      </c>
      <c r="K155">
        <v>0</v>
      </c>
      <c r="L155" t="s">
        <v>500</v>
      </c>
    </row>
    <row r="156" spans="8:12" x14ac:dyDescent="0.15">
      <c r="H156" s="35">
        <v>32</v>
      </c>
      <c r="I156" t="s">
        <v>899</v>
      </c>
      <c r="J156">
        <v>4158</v>
      </c>
      <c r="K156">
        <v>0</v>
      </c>
      <c r="L156" t="s">
        <v>470</v>
      </c>
    </row>
    <row r="157" spans="8:12" x14ac:dyDescent="0.15">
      <c r="H157" s="35">
        <v>32</v>
      </c>
      <c r="I157" t="s">
        <v>899</v>
      </c>
      <c r="J157">
        <v>4158</v>
      </c>
      <c r="K157">
        <v>0</v>
      </c>
      <c r="L157" t="s">
        <v>372</v>
      </c>
    </row>
    <row r="158" spans="8:12" x14ac:dyDescent="0.15">
      <c r="H158" s="35">
        <v>32</v>
      </c>
      <c r="I158" t="s">
        <v>899</v>
      </c>
      <c r="J158">
        <v>4158</v>
      </c>
      <c r="K158">
        <v>0</v>
      </c>
      <c r="L158" t="s">
        <v>622</v>
      </c>
    </row>
    <row r="159" spans="8:12" x14ac:dyDescent="0.15">
      <c r="H159" s="35">
        <v>32</v>
      </c>
      <c r="I159" t="s">
        <v>899</v>
      </c>
      <c r="J159">
        <v>4158</v>
      </c>
      <c r="K159">
        <v>0</v>
      </c>
      <c r="L159" t="s">
        <v>506</v>
      </c>
    </row>
    <row r="160" spans="8:12" x14ac:dyDescent="0.15">
      <c r="H160" s="35">
        <v>32</v>
      </c>
      <c r="I160" t="s">
        <v>900</v>
      </c>
      <c r="J160">
        <v>4159</v>
      </c>
      <c r="K160">
        <v>0</v>
      </c>
      <c r="L160" t="s">
        <v>472</v>
      </c>
    </row>
    <row r="161" spans="8:12" x14ac:dyDescent="0.15">
      <c r="H161" s="35">
        <v>32</v>
      </c>
      <c r="I161" t="s">
        <v>900</v>
      </c>
      <c r="J161">
        <v>4159</v>
      </c>
      <c r="K161">
        <v>0</v>
      </c>
      <c r="L161" t="s">
        <v>507</v>
      </c>
    </row>
    <row r="162" spans="8:12" x14ac:dyDescent="0.15">
      <c r="H162" s="35">
        <v>32</v>
      </c>
      <c r="I162" t="s">
        <v>900</v>
      </c>
      <c r="J162">
        <v>4159</v>
      </c>
      <c r="K162">
        <v>0</v>
      </c>
      <c r="L162" t="s">
        <v>460</v>
      </c>
    </row>
    <row r="163" spans="8:12" x14ac:dyDescent="0.15">
      <c r="H163" s="35">
        <v>32</v>
      </c>
      <c r="I163" t="s">
        <v>900</v>
      </c>
      <c r="J163">
        <v>4159</v>
      </c>
      <c r="K163">
        <v>0</v>
      </c>
      <c r="L163" t="s">
        <v>357</v>
      </c>
    </row>
    <row r="164" spans="8:12" x14ac:dyDescent="0.15">
      <c r="H164" s="35">
        <v>32</v>
      </c>
      <c r="I164" t="s">
        <v>900</v>
      </c>
      <c r="J164">
        <v>4159</v>
      </c>
      <c r="K164">
        <v>0</v>
      </c>
      <c r="L164" t="s">
        <v>356</v>
      </c>
    </row>
    <row r="165" spans="8:12" x14ac:dyDescent="0.15">
      <c r="H165">
        <v>21</v>
      </c>
      <c r="I165" t="s">
        <v>901</v>
      </c>
      <c r="J165">
        <v>4160</v>
      </c>
      <c r="K165">
        <v>0</v>
      </c>
      <c r="L165" t="s">
        <v>473</v>
      </c>
    </row>
    <row r="166" spans="8:12" x14ac:dyDescent="0.15">
      <c r="H166" s="34">
        <v>21</v>
      </c>
      <c r="I166" t="s">
        <v>901</v>
      </c>
      <c r="J166">
        <v>4160</v>
      </c>
      <c r="K166">
        <v>0</v>
      </c>
      <c r="L166" t="s">
        <v>348</v>
      </c>
    </row>
    <row r="167" spans="8:12" x14ac:dyDescent="0.15">
      <c r="H167" s="34">
        <v>21</v>
      </c>
      <c r="I167" t="s">
        <v>902</v>
      </c>
      <c r="J167">
        <v>4161</v>
      </c>
      <c r="K167">
        <v>0</v>
      </c>
      <c r="L167" t="s">
        <v>511</v>
      </c>
    </row>
    <row r="168" spans="8:12" x14ac:dyDescent="0.15">
      <c r="H168" s="34">
        <v>21</v>
      </c>
      <c r="I168" t="s">
        <v>902</v>
      </c>
      <c r="J168">
        <v>4161</v>
      </c>
      <c r="K168">
        <v>0</v>
      </c>
      <c r="L168" t="s">
        <v>447</v>
      </c>
    </row>
    <row r="169" spans="8:12" x14ac:dyDescent="0.15">
      <c r="H169">
        <v>22</v>
      </c>
      <c r="I169" t="s">
        <v>903</v>
      </c>
      <c r="J169">
        <v>4162</v>
      </c>
      <c r="K169">
        <v>0</v>
      </c>
      <c r="L169" t="s">
        <v>556</v>
      </c>
    </row>
    <row r="170" spans="8:12" x14ac:dyDescent="0.15">
      <c r="H170" s="34">
        <v>22</v>
      </c>
      <c r="I170" t="s">
        <v>903</v>
      </c>
      <c r="J170">
        <v>4162</v>
      </c>
      <c r="K170">
        <v>0</v>
      </c>
      <c r="L170" t="s">
        <v>370</v>
      </c>
    </row>
    <row r="171" spans="8:12" x14ac:dyDescent="0.15">
      <c r="H171" s="34">
        <v>22</v>
      </c>
      <c r="I171" t="s">
        <v>904</v>
      </c>
      <c r="J171">
        <v>4163</v>
      </c>
      <c r="K171">
        <v>0</v>
      </c>
      <c r="L171" t="s">
        <v>364</v>
      </c>
    </row>
    <row r="172" spans="8:12" x14ac:dyDescent="0.15">
      <c r="H172" s="34">
        <v>22</v>
      </c>
      <c r="I172" t="s">
        <v>904</v>
      </c>
      <c r="J172">
        <v>4163</v>
      </c>
      <c r="K172">
        <v>0</v>
      </c>
      <c r="L172" t="s">
        <v>838</v>
      </c>
    </row>
    <row r="173" spans="8:12" x14ac:dyDescent="0.15">
      <c r="H173" s="34">
        <v>22</v>
      </c>
      <c r="I173" t="s">
        <v>904</v>
      </c>
      <c r="J173">
        <v>4163</v>
      </c>
      <c r="K173">
        <v>0</v>
      </c>
      <c r="L173" t="s">
        <v>480</v>
      </c>
    </row>
    <row r="174" spans="8:12" x14ac:dyDescent="0.15">
      <c r="H174">
        <v>23</v>
      </c>
      <c r="I174" t="s">
        <v>905</v>
      </c>
      <c r="J174">
        <v>4164</v>
      </c>
      <c r="K174">
        <v>0</v>
      </c>
      <c r="L174" t="s">
        <v>474</v>
      </c>
    </row>
    <row r="175" spans="8:12" x14ac:dyDescent="0.15">
      <c r="H175" s="34">
        <v>23</v>
      </c>
      <c r="I175" t="s">
        <v>905</v>
      </c>
      <c r="J175">
        <v>4164</v>
      </c>
      <c r="K175">
        <v>0</v>
      </c>
      <c r="L175" t="s">
        <v>513</v>
      </c>
    </row>
    <row r="176" spans="8:12" x14ac:dyDescent="0.15">
      <c r="H176" s="34">
        <v>23</v>
      </c>
      <c r="I176" t="s">
        <v>906</v>
      </c>
      <c r="J176">
        <v>4165</v>
      </c>
      <c r="K176">
        <v>0</v>
      </c>
      <c r="L176" t="s">
        <v>475</v>
      </c>
    </row>
    <row r="177" spans="8:12" x14ac:dyDescent="0.15">
      <c r="H177" s="34">
        <v>23</v>
      </c>
      <c r="I177" t="s">
        <v>906</v>
      </c>
      <c r="J177">
        <v>4165</v>
      </c>
      <c r="K177">
        <v>0</v>
      </c>
      <c r="L177" t="s">
        <v>465</v>
      </c>
    </row>
    <row r="178" spans="8:12" x14ac:dyDescent="0.15">
      <c r="H178">
        <v>24</v>
      </c>
      <c r="I178" t="s">
        <v>907</v>
      </c>
      <c r="J178">
        <v>4166</v>
      </c>
      <c r="K178">
        <v>0</v>
      </c>
      <c r="L178" t="s">
        <v>476</v>
      </c>
    </row>
    <row r="179" spans="8:12" x14ac:dyDescent="0.15">
      <c r="H179" s="34">
        <v>24</v>
      </c>
      <c r="I179" t="s">
        <v>907</v>
      </c>
      <c r="J179">
        <v>4166</v>
      </c>
      <c r="K179">
        <v>0</v>
      </c>
      <c r="L179" t="s">
        <v>371</v>
      </c>
    </row>
    <row r="180" spans="8:12" x14ac:dyDescent="0.15">
      <c r="H180" s="34">
        <v>24</v>
      </c>
      <c r="I180" t="s">
        <v>908</v>
      </c>
      <c r="J180">
        <v>4167</v>
      </c>
      <c r="K180">
        <v>0</v>
      </c>
      <c r="L180" t="s">
        <v>477</v>
      </c>
    </row>
    <row r="181" spans="8:12" x14ac:dyDescent="0.15">
      <c r="H181" s="34">
        <v>24</v>
      </c>
      <c r="I181" t="s">
        <v>908</v>
      </c>
      <c r="J181">
        <v>4167</v>
      </c>
      <c r="K181">
        <v>0</v>
      </c>
      <c r="L181" t="s">
        <v>508</v>
      </c>
    </row>
    <row r="182" spans="8:12" x14ac:dyDescent="0.15">
      <c r="H182" s="35">
        <v>28</v>
      </c>
      <c r="I182" t="s">
        <v>909</v>
      </c>
      <c r="J182">
        <v>4168</v>
      </c>
      <c r="K182">
        <v>0</v>
      </c>
      <c r="L182" t="s">
        <v>478</v>
      </c>
    </row>
    <row r="183" spans="8:12" x14ac:dyDescent="0.15">
      <c r="H183" s="35">
        <v>28</v>
      </c>
      <c r="I183" t="s">
        <v>909</v>
      </c>
      <c r="J183">
        <v>4168</v>
      </c>
      <c r="K183">
        <v>0</v>
      </c>
      <c r="L183" t="s">
        <v>559</v>
      </c>
    </row>
    <row r="184" spans="8:12" x14ac:dyDescent="0.15">
      <c r="H184" s="35">
        <v>28</v>
      </c>
      <c r="I184" t="s">
        <v>909</v>
      </c>
      <c r="J184">
        <v>4168</v>
      </c>
      <c r="K184">
        <v>0</v>
      </c>
      <c r="L184" t="s">
        <v>476</v>
      </c>
    </row>
    <row r="185" spans="8:12" x14ac:dyDescent="0.15">
      <c r="H185" s="35">
        <v>28</v>
      </c>
      <c r="I185" t="s">
        <v>909</v>
      </c>
      <c r="J185">
        <v>4168</v>
      </c>
      <c r="K185">
        <v>0</v>
      </c>
      <c r="L185" t="s">
        <v>556</v>
      </c>
    </row>
    <row r="186" spans="8:12" x14ac:dyDescent="0.15">
      <c r="H186" s="35">
        <v>28</v>
      </c>
      <c r="I186" t="s">
        <v>909</v>
      </c>
      <c r="J186">
        <v>4168</v>
      </c>
      <c r="K186">
        <v>0</v>
      </c>
      <c r="L186" t="s">
        <v>508</v>
      </c>
    </row>
    <row r="187" spans="8:12" x14ac:dyDescent="0.15">
      <c r="H187" s="35">
        <v>28</v>
      </c>
      <c r="I187" t="s">
        <v>909</v>
      </c>
      <c r="J187">
        <v>4168</v>
      </c>
      <c r="K187">
        <v>0</v>
      </c>
      <c r="L187" t="s">
        <v>370</v>
      </c>
    </row>
    <row r="188" spans="8:12" x14ac:dyDescent="0.15">
      <c r="H188" s="35">
        <v>28</v>
      </c>
      <c r="I188" t="s">
        <v>910</v>
      </c>
      <c r="J188">
        <v>4169</v>
      </c>
      <c r="K188">
        <v>0</v>
      </c>
      <c r="L188" t="s">
        <v>366</v>
      </c>
    </row>
    <row r="189" spans="8:12" x14ac:dyDescent="0.15">
      <c r="H189" s="35">
        <v>28</v>
      </c>
      <c r="I189" t="s">
        <v>910</v>
      </c>
      <c r="J189">
        <v>4169</v>
      </c>
      <c r="K189">
        <v>0</v>
      </c>
      <c r="L189" t="s">
        <v>502</v>
      </c>
    </row>
    <row r="190" spans="8:12" x14ac:dyDescent="0.15">
      <c r="H190" s="35">
        <v>28</v>
      </c>
      <c r="I190" t="s">
        <v>910</v>
      </c>
      <c r="J190">
        <v>4169</v>
      </c>
      <c r="K190">
        <v>0</v>
      </c>
      <c r="L190" t="s">
        <v>469</v>
      </c>
    </row>
    <row r="191" spans="8:12" x14ac:dyDescent="0.15">
      <c r="H191" s="35">
        <v>28</v>
      </c>
      <c r="I191" t="s">
        <v>910</v>
      </c>
      <c r="J191">
        <v>4169</v>
      </c>
      <c r="K191">
        <v>0</v>
      </c>
      <c r="L191" t="s">
        <v>476</v>
      </c>
    </row>
    <row r="192" spans="8:12" x14ac:dyDescent="0.15">
      <c r="H192" s="35">
        <v>28</v>
      </c>
      <c r="I192" t="s">
        <v>910</v>
      </c>
      <c r="J192">
        <v>4169</v>
      </c>
      <c r="K192">
        <v>0</v>
      </c>
      <c r="L192" t="s">
        <v>477</v>
      </c>
    </row>
    <row r="193" spans="8:12" x14ac:dyDescent="0.15">
      <c r="H193" s="35">
        <v>28</v>
      </c>
      <c r="I193" t="s">
        <v>910</v>
      </c>
      <c r="J193">
        <v>4169</v>
      </c>
      <c r="K193">
        <v>0</v>
      </c>
      <c r="L193" t="s">
        <v>511</v>
      </c>
    </row>
    <row r="194" spans="8:12" x14ac:dyDescent="0.15">
      <c r="H194">
        <v>29</v>
      </c>
      <c r="I194" t="s">
        <v>911</v>
      </c>
      <c r="J194">
        <v>4170</v>
      </c>
      <c r="K194">
        <v>0</v>
      </c>
      <c r="L194" t="s">
        <v>479</v>
      </c>
    </row>
    <row r="195" spans="8:12" x14ac:dyDescent="0.15">
      <c r="H195" s="34">
        <v>29</v>
      </c>
      <c r="I195" t="s">
        <v>912</v>
      </c>
      <c r="J195">
        <v>4171</v>
      </c>
      <c r="K195">
        <v>0</v>
      </c>
      <c r="L195" t="s">
        <v>480</v>
      </c>
    </row>
    <row r="196" spans="8:12" x14ac:dyDescent="0.15">
      <c r="H196" s="34">
        <v>29</v>
      </c>
      <c r="I196" t="s">
        <v>912</v>
      </c>
      <c r="J196">
        <v>4171</v>
      </c>
      <c r="K196">
        <v>0</v>
      </c>
      <c r="L196" t="s">
        <v>462</v>
      </c>
    </row>
    <row r="197" spans="8:12" x14ac:dyDescent="0.15">
      <c r="H197">
        <v>30</v>
      </c>
      <c r="I197" t="s">
        <v>913</v>
      </c>
      <c r="J197">
        <v>4172</v>
      </c>
      <c r="K197">
        <v>0</v>
      </c>
      <c r="L197" t="s">
        <v>558</v>
      </c>
    </row>
    <row r="198" spans="8:12" x14ac:dyDescent="0.15">
      <c r="H198" s="34">
        <v>30</v>
      </c>
      <c r="I198" t="s">
        <v>914</v>
      </c>
      <c r="J198">
        <v>4173</v>
      </c>
      <c r="K198">
        <v>0</v>
      </c>
      <c r="L198" t="s">
        <v>555</v>
      </c>
    </row>
    <row r="199" spans="8:12" x14ac:dyDescent="0.15">
      <c r="H199" s="34">
        <v>30</v>
      </c>
      <c r="I199" t="s">
        <v>914</v>
      </c>
      <c r="J199">
        <v>4173</v>
      </c>
      <c r="K199">
        <v>0</v>
      </c>
      <c r="L199" t="s">
        <v>622</v>
      </c>
    </row>
    <row r="200" spans="8:12" x14ac:dyDescent="0.15">
      <c r="H200" s="34">
        <v>30</v>
      </c>
      <c r="I200" t="s">
        <v>914</v>
      </c>
      <c r="J200">
        <v>4173</v>
      </c>
      <c r="K200">
        <v>0</v>
      </c>
      <c r="L200" t="s">
        <v>559</v>
      </c>
    </row>
    <row r="201" spans="8:12" x14ac:dyDescent="0.15">
      <c r="H201">
        <v>31</v>
      </c>
      <c r="I201" t="s">
        <v>915</v>
      </c>
      <c r="J201">
        <v>4174</v>
      </c>
      <c r="K201">
        <v>0</v>
      </c>
      <c r="L201" t="s">
        <v>368</v>
      </c>
    </row>
    <row r="202" spans="8:12" x14ac:dyDescent="0.15">
      <c r="H202" s="34">
        <v>31</v>
      </c>
      <c r="I202" t="s">
        <v>915</v>
      </c>
      <c r="J202">
        <v>4174</v>
      </c>
      <c r="K202">
        <v>0</v>
      </c>
      <c r="L202" t="s">
        <v>364</v>
      </c>
    </row>
    <row r="203" spans="8:12" x14ac:dyDescent="0.15">
      <c r="H203" s="34">
        <v>31</v>
      </c>
      <c r="I203" t="s">
        <v>916</v>
      </c>
      <c r="J203">
        <v>4175</v>
      </c>
      <c r="K203">
        <v>0</v>
      </c>
      <c r="L203" t="s">
        <v>481</v>
      </c>
    </row>
    <row r="204" spans="8:12" x14ac:dyDescent="0.15">
      <c r="H204" s="34">
        <v>31</v>
      </c>
      <c r="I204" t="s">
        <v>916</v>
      </c>
      <c r="J204">
        <v>4175</v>
      </c>
      <c r="K204">
        <v>0</v>
      </c>
      <c r="L204" t="s">
        <v>512</v>
      </c>
    </row>
    <row r="205" spans="8:12" x14ac:dyDescent="0.15">
      <c r="H205">
        <v>32</v>
      </c>
      <c r="I205" t="s">
        <v>917</v>
      </c>
      <c r="J205">
        <v>4176</v>
      </c>
      <c r="K205">
        <v>0</v>
      </c>
      <c r="L205" t="s">
        <v>482</v>
      </c>
    </row>
    <row r="206" spans="8:12" x14ac:dyDescent="0.15">
      <c r="H206" s="34">
        <v>32</v>
      </c>
      <c r="I206" t="s">
        <v>918</v>
      </c>
      <c r="J206">
        <v>4177</v>
      </c>
      <c r="K206">
        <v>0</v>
      </c>
      <c r="L206" t="s">
        <v>363</v>
      </c>
    </row>
    <row r="207" spans="8:12" x14ac:dyDescent="0.15">
      <c r="H207" s="34">
        <v>32</v>
      </c>
      <c r="I207" t="s">
        <v>918</v>
      </c>
      <c r="J207">
        <v>4177</v>
      </c>
      <c r="K207">
        <v>0</v>
      </c>
      <c r="L207" t="s">
        <v>466</v>
      </c>
    </row>
    <row r="208" spans="8:12" x14ac:dyDescent="0.15">
      <c r="H208" s="35">
        <v>36</v>
      </c>
      <c r="I208" t="s">
        <v>919</v>
      </c>
      <c r="J208">
        <v>4178</v>
      </c>
      <c r="K208">
        <v>0</v>
      </c>
      <c r="L208" t="s">
        <v>484</v>
      </c>
    </row>
    <row r="209" spans="8:12" x14ac:dyDescent="0.15">
      <c r="H209" s="35">
        <v>36</v>
      </c>
      <c r="I209" t="s">
        <v>919</v>
      </c>
      <c r="J209">
        <v>4178</v>
      </c>
      <c r="K209">
        <v>0</v>
      </c>
      <c r="L209" t="s">
        <v>479</v>
      </c>
    </row>
    <row r="210" spans="8:12" x14ac:dyDescent="0.15">
      <c r="H210" s="35">
        <v>36</v>
      </c>
      <c r="I210" t="s">
        <v>919</v>
      </c>
      <c r="J210">
        <v>4178</v>
      </c>
      <c r="K210">
        <v>0</v>
      </c>
      <c r="L210" t="s">
        <v>477</v>
      </c>
    </row>
    <row r="211" spans="8:12" x14ac:dyDescent="0.15">
      <c r="H211" s="35">
        <v>36</v>
      </c>
      <c r="I211" t="s">
        <v>919</v>
      </c>
      <c r="J211">
        <v>4178</v>
      </c>
      <c r="K211">
        <v>0</v>
      </c>
      <c r="L211" t="s">
        <v>479</v>
      </c>
    </row>
    <row r="212" spans="8:12" x14ac:dyDescent="0.15">
      <c r="H212" s="35">
        <v>36</v>
      </c>
      <c r="I212" t="s">
        <v>919</v>
      </c>
      <c r="J212">
        <v>4178</v>
      </c>
      <c r="K212">
        <v>0</v>
      </c>
      <c r="L212" t="s">
        <v>368</v>
      </c>
    </row>
    <row r="213" spans="8:12" x14ac:dyDescent="0.15">
      <c r="H213" s="35">
        <v>36</v>
      </c>
      <c r="I213" t="s">
        <v>920</v>
      </c>
      <c r="J213">
        <v>4179</v>
      </c>
      <c r="K213">
        <v>0</v>
      </c>
      <c r="L213" t="s">
        <v>485</v>
      </c>
    </row>
    <row r="214" spans="8:12" x14ac:dyDescent="0.15">
      <c r="H214" s="35">
        <v>36</v>
      </c>
      <c r="I214" t="s">
        <v>920</v>
      </c>
      <c r="J214">
        <v>4179</v>
      </c>
      <c r="K214">
        <v>0</v>
      </c>
      <c r="L214" t="s">
        <v>371</v>
      </c>
    </row>
    <row r="215" spans="8:12" x14ac:dyDescent="0.15">
      <c r="H215" s="35">
        <v>36</v>
      </c>
      <c r="I215" t="s">
        <v>920</v>
      </c>
      <c r="J215">
        <v>4179</v>
      </c>
      <c r="K215">
        <v>0</v>
      </c>
      <c r="L215" t="s">
        <v>480</v>
      </c>
    </row>
    <row r="216" spans="8:12" x14ac:dyDescent="0.15">
      <c r="H216" s="35">
        <v>36</v>
      </c>
      <c r="I216" t="s">
        <v>920</v>
      </c>
      <c r="J216">
        <v>4179</v>
      </c>
      <c r="K216">
        <v>0</v>
      </c>
      <c r="L216" t="s">
        <v>480</v>
      </c>
    </row>
    <row r="217" spans="8:12" x14ac:dyDescent="0.15">
      <c r="H217" s="35">
        <v>36</v>
      </c>
      <c r="I217" t="s">
        <v>920</v>
      </c>
      <c r="J217">
        <v>4179</v>
      </c>
      <c r="K217">
        <v>0</v>
      </c>
      <c r="L217" t="s">
        <v>558</v>
      </c>
    </row>
    <row r="218" spans="8:12" x14ac:dyDescent="0.15">
      <c r="H218" s="35">
        <v>36</v>
      </c>
      <c r="I218" t="s">
        <v>920</v>
      </c>
      <c r="J218">
        <v>4179</v>
      </c>
      <c r="K218">
        <v>0</v>
      </c>
      <c r="L218" t="s">
        <v>481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961</v>
      </c>
      <c r="P2" s="1" t="s">
        <v>962</v>
      </c>
      <c r="Q2" s="1" t="s">
        <v>963</v>
      </c>
      <c r="R2" s="46" t="s">
        <v>964</v>
      </c>
      <c r="S2" s="1"/>
      <c r="U2" s="39" t="s">
        <v>33</v>
      </c>
      <c r="V2" s="38">
        <v>40.999999999999993</v>
      </c>
      <c r="W2" s="1"/>
      <c r="X2" s="34"/>
      <c r="Y2" s="1"/>
    </row>
    <row r="3" spans="4:25" x14ac:dyDescent="0.15">
      <c r="D3" s="13" t="s">
        <v>254</v>
      </c>
      <c r="F3" s="1" t="s">
        <v>33</v>
      </c>
      <c r="G3" s="1">
        <f>IF(F3&lt;&gt;"",VLOOKUP(F3,$U$2:$V$123,2,FALSE),0)</f>
        <v>40.999999999999993</v>
      </c>
      <c r="H3" s="1" t="s">
        <v>189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34</v>
      </c>
      <c r="V3" s="38">
        <v>43.125</v>
      </c>
      <c r="W3" s="1"/>
      <c r="X3" s="1"/>
      <c r="Y3" s="37"/>
    </row>
    <row r="4" spans="4:25" x14ac:dyDescent="0.15">
      <c r="D4" s="13" t="s">
        <v>255</v>
      </c>
      <c r="F4" s="1" t="s">
        <v>34</v>
      </c>
      <c r="G4" s="1">
        <f t="shared" ref="G4:G67" si="1">IF(F4&lt;&gt;"",VLOOKUP(F4,$U$2:$V$123,2,FALSE),0)</f>
        <v>43.125</v>
      </c>
      <c r="H4" s="1" t="s">
        <v>36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37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154</v>
      </c>
      <c r="V4" s="38">
        <v>43.125</v>
      </c>
      <c r="W4" s="1"/>
      <c r="Y4" s="37"/>
    </row>
    <row r="5" spans="4:25" x14ac:dyDescent="0.15">
      <c r="D5" s="13" t="s">
        <v>184</v>
      </c>
      <c r="F5" s="1" t="s">
        <v>796</v>
      </c>
      <c r="G5" s="1">
        <f t="shared" si="1"/>
        <v>344.45312499999994</v>
      </c>
      <c r="H5" s="1" t="s">
        <v>34</v>
      </c>
      <c r="I5" s="1">
        <f t="shared" si="2"/>
        <v>43.125</v>
      </c>
      <c r="J5" s="1" t="s">
        <v>37</v>
      </c>
      <c r="K5" s="1">
        <f t="shared" si="3"/>
        <v>86.5</v>
      </c>
      <c r="L5" s="1" t="s">
        <v>39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35</v>
      </c>
      <c r="V5" s="38">
        <v>86.5</v>
      </c>
      <c r="W5" s="1"/>
      <c r="Y5" s="37"/>
    </row>
    <row r="6" spans="4:25" x14ac:dyDescent="0.15">
      <c r="D6" s="13" t="s">
        <v>166</v>
      </c>
      <c r="F6" s="1" t="s">
        <v>35</v>
      </c>
      <c r="G6" s="1">
        <f t="shared" si="1"/>
        <v>86.5</v>
      </c>
      <c r="H6" s="1" t="s">
        <v>189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36</v>
      </c>
      <c r="V6" s="38">
        <v>51.9</v>
      </c>
      <c r="W6" s="1"/>
      <c r="Y6" s="37"/>
    </row>
    <row r="7" spans="4:25" x14ac:dyDescent="0.15">
      <c r="D7" s="13" t="s">
        <v>182</v>
      </c>
      <c r="F7" s="1" t="s">
        <v>174</v>
      </c>
      <c r="G7" s="1">
        <f t="shared" si="1"/>
        <v>319.45312499999994</v>
      </c>
      <c r="H7" s="1" t="s">
        <v>161</v>
      </c>
      <c r="I7" s="1">
        <f t="shared" si="2"/>
        <v>405</v>
      </c>
      <c r="J7" s="1" t="s">
        <v>921</v>
      </c>
      <c r="K7" s="1">
        <f t="shared" si="3"/>
        <v>43.125</v>
      </c>
      <c r="L7" s="1" t="s">
        <v>196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37</v>
      </c>
      <c r="V7" s="38">
        <v>86.5</v>
      </c>
      <c r="W7" s="1"/>
      <c r="Y7" s="37"/>
    </row>
    <row r="8" spans="4:25" x14ac:dyDescent="0.15">
      <c r="D8" s="13" t="s">
        <v>194</v>
      </c>
      <c r="F8" s="1" t="s">
        <v>174</v>
      </c>
      <c r="G8" s="1">
        <f t="shared" si="1"/>
        <v>319.45312499999994</v>
      </c>
      <c r="H8" s="1" t="s">
        <v>159</v>
      </c>
      <c r="I8" s="1">
        <f t="shared" si="2"/>
        <v>180</v>
      </c>
      <c r="J8" s="1" t="s">
        <v>193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38</v>
      </c>
      <c r="V8" s="38">
        <v>121.94999999999997</v>
      </c>
      <c r="W8" s="1"/>
      <c r="Y8" s="37"/>
    </row>
    <row r="9" spans="4:25" x14ac:dyDescent="0.15">
      <c r="D9" s="13" t="s">
        <v>195</v>
      </c>
      <c r="F9" s="1" t="s">
        <v>174</v>
      </c>
      <c r="G9" s="1">
        <f t="shared" si="1"/>
        <v>319.45312499999994</v>
      </c>
      <c r="H9" s="1" t="s">
        <v>206</v>
      </c>
      <c r="I9" s="1">
        <f t="shared" si="2"/>
        <v>446.5</v>
      </c>
      <c r="J9" s="1" t="s">
        <v>53</v>
      </c>
      <c r="K9" s="1">
        <f t="shared" si="3"/>
        <v>194.1</v>
      </c>
      <c r="L9" s="1" t="s">
        <v>161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39</v>
      </c>
      <c r="V9" s="38">
        <v>135.5</v>
      </c>
      <c r="W9" s="1"/>
      <c r="Y9" s="37"/>
    </row>
    <row r="10" spans="4:25" x14ac:dyDescent="0.15">
      <c r="D10" s="13" t="s">
        <v>165</v>
      </c>
      <c r="F10" s="1" t="s">
        <v>37</v>
      </c>
      <c r="G10" s="1">
        <f t="shared" si="1"/>
        <v>86.5</v>
      </c>
      <c r="H10" s="1" t="s">
        <v>189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167</v>
      </c>
      <c r="F11" s="1" t="s">
        <v>38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40</v>
      </c>
      <c r="V11" s="38">
        <v>127.2</v>
      </c>
      <c r="W11" s="1"/>
      <c r="Y11" s="37"/>
    </row>
    <row r="12" spans="4:25" x14ac:dyDescent="0.15">
      <c r="D12" s="13" t="s">
        <v>196</v>
      </c>
      <c r="F12" s="1" t="s">
        <v>159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41</v>
      </c>
      <c r="V12" s="38">
        <v>105.99999999999999</v>
      </c>
      <c r="W12" s="1"/>
      <c r="Y12" s="37"/>
    </row>
    <row r="13" spans="4:25" x14ac:dyDescent="0.15">
      <c r="D13" s="13" t="s">
        <v>164</v>
      </c>
      <c r="F13" s="1" t="s">
        <v>921</v>
      </c>
      <c r="G13" s="1">
        <f t="shared" si="1"/>
        <v>43.125</v>
      </c>
      <c r="H13" s="1" t="s">
        <v>161</v>
      </c>
      <c r="I13" s="1">
        <f t="shared" si="2"/>
        <v>405</v>
      </c>
      <c r="J13" s="1" t="s">
        <v>41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42</v>
      </c>
      <c r="V13" s="38">
        <v>275.59999999999997</v>
      </c>
      <c r="W13" s="1"/>
      <c r="Y13" s="37"/>
    </row>
    <row r="14" spans="4:25" x14ac:dyDescent="0.15">
      <c r="D14" s="13" t="s">
        <v>197</v>
      </c>
      <c r="F14" s="1" t="s">
        <v>198</v>
      </c>
      <c r="G14" s="1">
        <f t="shared" si="1"/>
        <v>121.94999999999997</v>
      </c>
      <c r="H14" s="1" t="s">
        <v>187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53</v>
      </c>
      <c r="V14" s="38">
        <v>194.1</v>
      </c>
      <c r="W14" s="1"/>
      <c r="Y14" s="37"/>
    </row>
    <row r="15" spans="4:25" x14ac:dyDescent="0.15">
      <c r="D15" s="13" t="s">
        <v>249</v>
      </c>
      <c r="F15" s="1" t="s">
        <v>174</v>
      </c>
      <c r="G15" s="1">
        <f t="shared" si="1"/>
        <v>319.45312499999994</v>
      </c>
      <c r="H15" s="1" t="s">
        <v>829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54</v>
      </c>
      <c r="V15" s="38">
        <v>339.67500000000001</v>
      </c>
      <c r="W15" s="1"/>
      <c r="Y15" s="37"/>
    </row>
    <row r="16" spans="4:25" x14ac:dyDescent="0.15">
      <c r="D16" s="13" t="s">
        <v>198</v>
      </c>
      <c r="F16" s="1" t="s">
        <v>250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44</v>
      </c>
      <c r="V16" s="38">
        <v>226.45</v>
      </c>
      <c r="W16" s="1"/>
      <c r="Y16" s="37"/>
    </row>
    <row r="17" spans="4:25" x14ac:dyDescent="0.15">
      <c r="D17" s="13" t="s">
        <v>171</v>
      </c>
      <c r="F17" s="1" t="s">
        <v>25</v>
      </c>
      <c r="G17" s="1">
        <f t="shared" si="1"/>
        <v>429.75</v>
      </c>
      <c r="H17" s="1" t="s">
        <v>161</v>
      </c>
      <c r="I17" s="1">
        <f t="shared" si="2"/>
        <v>405</v>
      </c>
      <c r="J17" s="1" t="s">
        <v>189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199</v>
      </c>
      <c r="F18" s="1" t="s">
        <v>796</v>
      </c>
      <c r="G18" s="1">
        <f t="shared" si="1"/>
        <v>344.45312499999994</v>
      </c>
      <c r="H18" s="1" t="s">
        <v>39</v>
      </c>
      <c r="I18" s="1">
        <f t="shared" si="2"/>
        <v>135.5</v>
      </c>
      <c r="J18" s="1" t="s">
        <v>171</v>
      </c>
      <c r="K18" s="1">
        <f t="shared" si="3"/>
        <v>859.75</v>
      </c>
      <c r="L18" s="1" t="s">
        <v>206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45</v>
      </c>
      <c r="V18" s="42">
        <v>382</v>
      </c>
      <c r="W18" s="1"/>
      <c r="Y18" s="37"/>
    </row>
    <row r="19" spans="4:25" x14ac:dyDescent="0.15">
      <c r="D19" s="13" t="s">
        <v>200</v>
      </c>
      <c r="F19" s="1" t="s">
        <v>796</v>
      </c>
      <c r="G19" s="1">
        <f t="shared" si="1"/>
        <v>344.45312499999994</v>
      </c>
      <c r="H19" s="1" t="s">
        <v>236</v>
      </c>
      <c r="I19" s="1">
        <f t="shared" si="2"/>
        <v>0</v>
      </c>
      <c r="J19" s="1" t="s">
        <v>41</v>
      </c>
      <c r="K19" s="1">
        <f t="shared" si="3"/>
        <v>105.99999999999999</v>
      </c>
      <c r="L19" s="1" t="s">
        <v>206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170</v>
      </c>
      <c r="F20" s="1" t="s">
        <v>44</v>
      </c>
      <c r="G20" s="1">
        <f t="shared" si="1"/>
        <v>226.45</v>
      </c>
      <c r="H20" s="1" t="s">
        <v>205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43</v>
      </c>
      <c r="V20" s="38">
        <v>408.9</v>
      </c>
      <c r="W20" s="1"/>
      <c r="Y20" s="37"/>
    </row>
    <row r="21" spans="4:25" x14ac:dyDescent="0.15">
      <c r="D21" s="13" t="s">
        <v>201</v>
      </c>
      <c r="F21" s="1" t="s">
        <v>187</v>
      </c>
      <c r="G21" s="1">
        <f t="shared" si="1"/>
        <v>30</v>
      </c>
      <c r="H21" s="1" t="s">
        <v>192</v>
      </c>
      <c r="I21" s="1">
        <f t="shared" si="2"/>
        <v>318.39999999999998</v>
      </c>
      <c r="J21" s="1" t="s">
        <v>150</v>
      </c>
      <c r="K21" s="1">
        <f t="shared" si="3"/>
        <v>1942</v>
      </c>
      <c r="L21" s="1" t="s">
        <v>162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772</v>
      </c>
      <c r="V21" s="38">
        <v>319.45312499999994</v>
      </c>
      <c r="W21" s="1"/>
      <c r="Y21" s="37"/>
    </row>
    <row r="22" spans="4:25" x14ac:dyDescent="0.15">
      <c r="D22" s="13" t="s">
        <v>172</v>
      </c>
      <c r="F22" s="1" t="s">
        <v>43</v>
      </c>
      <c r="G22" s="1">
        <f t="shared" si="1"/>
        <v>408.9</v>
      </c>
      <c r="H22" s="1" t="s">
        <v>205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50</v>
      </c>
      <c r="V22" s="38">
        <v>340.74999999999994</v>
      </c>
      <c r="W22" s="1"/>
      <c r="Y22" s="37"/>
    </row>
    <row r="23" spans="4:25" x14ac:dyDescent="0.15">
      <c r="D23" s="13" t="s">
        <v>202</v>
      </c>
      <c r="F23" s="1" t="s">
        <v>33</v>
      </c>
      <c r="G23" s="1">
        <f t="shared" si="1"/>
        <v>40.999999999999993</v>
      </c>
      <c r="H23" s="1" t="s">
        <v>37</v>
      </c>
      <c r="I23" s="1">
        <f t="shared" si="2"/>
        <v>86.5</v>
      </c>
      <c r="J23" s="1" t="s">
        <v>35</v>
      </c>
      <c r="K23" s="1">
        <f t="shared" si="3"/>
        <v>86.5</v>
      </c>
      <c r="L23" s="1" t="s">
        <v>36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185</v>
      </c>
      <c r="F24" s="1" t="s">
        <v>40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51</v>
      </c>
      <c r="V24" s="38">
        <v>589.37499999999989</v>
      </c>
      <c r="W24" s="1"/>
      <c r="Y24" s="37"/>
    </row>
    <row r="25" spans="4:25" x14ac:dyDescent="0.15">
      <c r="D25" s="13" t="s">
        <v>168</v>
      </c>
      <c r="F25" s="1" t="s">
        <v>42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52</v>
      </c>
      <c r="V25" s="38">
        <v>660.09999999999991</v>
      </c>
      <c r="W25" s="1"/>
      <c r="Y25" s="37"/>
    </row>
    <row r="26" spans="4:25" x14ac:dyDescent="0.15">
      <c r="D26" s="13" t="s">
        <v>175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46</v>
      </c>
      <c r="V26" s="38">
        <v>761.69999999999993</v>
      </c>
      <c r="W26" s="1"/>
      <c r="Y26" s="37"/>
    </row>
    <row r="27" spans="4:25" x14ac:dyDescent="0.15">
      <c r="D27" s="13" t="s">
        <v>177</v>
      </c>
      <c r="F27" s="1" t="s">
        <v>51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47</v>
      </c>
      <c r="V27" s="38">
        <v>761.7</v>
      </c>
      <c r="W27" s="1"/>
      <c r="Y27" s="37"/>
    </row>
    <row r="28" spans="4:25" x14ac:dyDescent="0.15">
      <c r="D28" s="13" t="s">
        <v>179</v>
      </c>
      <c r="F28" s="1" t="s">
        <v>46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48</v>
      </c>
      <c r="V28" s="38">
        <v>761.7</v>
      </c>
      <c r="W28" s="1"/>
      <c r="Y28" s="37"/>
    </row>
    <row r="29" spans="4:25" x14ac:dyDescent="0.15">
      <c r="D29" s="13" t="s">
        <v>180</v>
      </c>
      <c r="F29" s="1" t="s">
        <v>47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49</v>
      </c>
      <c r="V29" s="38">
        <v>761.7</v>
      </c>
      <c r="W29" s="1"/>
      <c r="Y29" s="37"/>
    </row>
    <row r="30" spans="4:25" x14ac:dyDescent="0.15">
      <c r="D30" s="13" t="s">
        <v>203</v>
      </c>
      <c r="F30" s="1" t="s">
        <v>43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944</v>
      </c>
      <c r="V30" s="38">
        <v>180</v>
      </c>
      <c r="W30" s="1"/>
      <c r="Y30" s="37"/>
    </row>
    <row r="31" spans="4:25" x14ac:dyDescent="0.15">
      <c r="D31" s="13" t="s">
        <v>204</v>
      </c>
      <c r="F31" s="1" t="s">
        <v>48</v>
      </c>
      <c r="G31" s="1">
        <f t="shared" si="1"/>
        <v>761.7</v>
      </c>
      <c r="H31" s="1" t="s">
        <v>193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945</v>
      </c>
      <c r="V31" s="38">
        <v>405</v>
      </c>
      <c r="W31" s="1"/>
      <c r="Y31" s="37"/>
    </row>
    <row r="32" spans="4:25" x14ac:dyDescent="0.15">
      <c r="D32" s="13" t="s">
        <v>181</v>
      </c>
      <c r="F32" s="1" t="s">
        <v>49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946</v>
      </c>
      <c r="V32" s="38">
        <v>360</v>
      </c>
      <c r="W32" s="1"/>
      <c r="Y32" s="37"/>
    </row>
    <row r="33" spans="4:25" x14ac:dyDescent="0.15">
      <c r="D33" s="13" t="s">
        <v>206</v>
      </c>
      <c r="F33" s="1" t="s">
        <v>162</v>
      </c>
      <c r="G33" s="1">
        <f t="shared" si="1"/>
        <v>360</v>
      </c>
      <c r="H33" s="1" t="s">
        <v>188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949</v>
      </c>
      <c r="V33" s="38">
        <v>360</v>
      </c>
      <c r="W33" s="1"/>
      <c r="Y33" s="37"/>
    </row>
    <row r="34" spans="4:25" x14ac:dyDescent="0.15">
      <c r="D34" s="13" t="s">
        <v>207</v>
      </c>
      <c r="F34" s="1" t="s">
        <v>53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921</v>
      </c>
      <c r="K34" s="1">
        <f t="shared" si="3"/>
        <v>43.125</v>
      </c>
      <c r="L34" s="1" t="s">
        <v>189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187</v>
      </c>
      <c r="V34" s="38">
        <v>30</v>
      </c>
      <c r="W34" s="1"/>
      <c r="Y34" s="37"/>
    </row>
    <row r="35" spans="4:25" x14ac:dyDescent="0.15">
      <c r="D35" s="13" t="s">
        <v>183</v>
      </c>
      <c r="F35" s="1" t="s">
        <v>174</v>
      </c>
      <c r="G35" s="1">
        <f t="shared" si="1"/>
        <v>319.45312499999994</v>
      </c>
      <c r="H35" s="1" t="s">
        <v>161</v>
      </c>
      <c r="I35" s="1">
        <f t="shared" si="2"/>
        <v>405</v>
      </c>
      <c r="J35" s="1" t="s">
        <v>34</v>
      </c>
      <c r="K35" s="1">
        <f t="shared" si="3"/>
        <v>43.125</v>
      </c>
      <c r="L35" s="1" t="s">
        <v>921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188</v>
      </c>
      <c r="V35" s="38">
        <v>86.5</v>
      </c>
      <c r="W35" s="1"/>
      <c r="Y35" s="37"/>
    </row>
    <row r="36" spans="4:25" x14ac:dyDescent="0.15">
      <c r="D36" s="13" t="s">
        <v>208</v>
      </c>
      <c r="F36" s="1" t="s">
        <v>36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49</v>
      </c>
      <c r="K36" s="1">
        <f t="shared" si="3"/>
        <v>761.7</v>
      </c>
      <c r="L36" s="1" t="s">
        <v>205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189</v>
      </c>
      <c r="V36" s="38">
        <v>25</v>
      </c>
      <c r="W36" s="1"/>
      <c r="Y36" s="37"/>
    </row>
    <row r="37" spans="4:25" x14ac:dyDescent="0.15">
      <c r="D37" s="13" t="s">
        <v>209</v>
      </c>
      <c r="F37" s="1" t="s">
        <v>45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858</v>
      </c>
      <c r="V37" s="38">
        <v>51.9</v>
      </c>
      <c r="W37" s="1"/>
      <c r="Y37" s="37"/>
    </row>
    <row r="38" spans="4:25" x14ac:dyDescent="0.15">
      <c r="D38" s="13" t="s">
        <v>210</v>
      </c>
      <c r="F38" s="1" t="s">
        <v>49</v>
      </c>
      <c r="G38" s="1">
        <f t="shared" si="1"/>
        <v>761.7</v>
      </c>
      <c r="H38" s="1" t="s">
        <v>36</v>
      </c>
      <c r="I38" s="1">
        <f t="shared" si="2"/>
        <v>51.9</v>
      </c>
      <c r="J38" s="1" t="s">
        <v>39</v>
      </c>
      <c r="K38" s="1">
        <f t="shared" si="3"/>
        <v>135.5</v>
      </c>
      <c r="L38" s="1" t="s">
        <v>829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193</v>
      </c>
      <c r="V38" s="34">
        <v>179</v>
      </c>
      <c r="W38" s="1"/>
      <c r="Y38" s="37"/>
    </row>
    <row r="39" spans="4:25" x14ac:dyDescent="0.15">
      <c r="D39" s="13" t="s">
        <v>169</v>
      </c>
      <c r="F39" s="1" t="s">
        <v>54</v>
      </c>
      <c r="G39" s="1">
        <f t="shared" si="1"/>
        <v>339.67500000000001</v>
      </c>
      <c r="H39" s="1" t="s">
        <v>161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829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174</v>
      </c>
      <c r="V39" s="38">
        <v>319.45312499999994</v>
      </c>
      <c r="W39" s="1"/>
      <c r="Y39" s="37"/>
    </row>
    <row r="40" spans="4:25" x14ac:dyDescent="0.15">
      <c r="D40" s="13" t="s">
        <v>211</v>
      </c>
      <c r="F40" s="1" t="s">
        <v>162</v>
      </c>
      <c r="G40" s="1">
        <f t="shared" si="1"/>
        <v>360</v>
      </c>
      <c r="H40" s="1" t="s">
        <v>179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178</v>
      </c>
      <c r="V40" s="38">
        <v>660.09999999999991</v>
      </c>
      <c r="W40" s="1"/>
      <c r="Y40" s="37"/>
    </row>
    <row r="41" spans="4:25" x14ac:dyDescent="0.15">
      <c r="D41" s="13" t="s">
        <v>212</v>
      </c>
      <c r="F41" s="1" t="s">
        <v>47</v>
      </c>
      <c r="G41" s="1">
        <f t="shared" si="1"/>
        <v>761.7</v>
      </c>
      <c r="H41" s="1" t="s">
        <v>46</v>
      </c>
      <c r="I41" s="1">
        <f t="shared" si="2"/>
        <v>761.69999999999993</v>
      </c>
      <c r="J41" s="1" t="s">
        <v>193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250</v>
      </c>
      <c r="V41" s="38">
        <v>121.94999999999997</v>
      </c>
      <c r="W41" s="1"/>
      <c r="Y41" s="37"/>
    </row>
    <row r="42" spans="4:25" x14ac:dyDescent="0.15">
      <c r="D42" s="13" t="s">
        <v>213</v>
      </c>
      <c r="F42" s="1" t="s">
        <v>187</v>
      </c>
      <c r="G42" s="1">
        <f t="shared" si="1"/>
        <v>30</v>
      </c>
      <c r="H42" s="1" t="s">
        <v>136</v>
      </c>
      <c r="I42" s="1">
        <f t="shared" si="2"/>
        <v>1781.25</v>
      </c>
      <c r="J42" s="1" t="s">
        <v>198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829</v>
      </c>
      <c r="V42" s="34">
        <v>25</v>
      </c>
      <c r="W42" s="1"/>
      <c r="Y42" s="37"/>
    </row>
    <row r="43" spans="4:25" x14ac:dyDescent="0.15">
      <c r="D43" s="13" t="s">
        <v>214</v>
      </c>
      <c r="F43" s="1" t="s">
        <v>178</v>
      </c>
      <c r="G43" s="1">
        <f t="shared" si="1"/>
        <v>660.09999999999991</v>
      </c>
      <c r="H43" s="1" t="s">
        <v>162</v>
      </c>
      <c r="I43" s="1">
        <f t="shared" si="2"/>
        <v>360</v>
      </c>
      <c r="J43" s="1" t="s">
        <v>829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446</v>
      </c>
      <c r="V43" s="34">
        <v>179</v>
      </c>
      <c r="W43" s="1"/>
      <c r="Y43" s="37"/>
    </row>
    <row r="44" spans="4:25" x14ac:dyDescent="0.15">
      <c r="D44" s="13" t="s">
        <v>215</v>
      </c>
      <c r="F44" s="1" t="s">
        <v>178</v>
      </c>
      <c r="G44" s="1">
        <f t="shared" si="1"/>
        <v>660.09999999999991</v>
      </c>
      <c r="H44" s="1" t="s">
        <v>829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249</v>
      </c>
      <c r="V44" s="46">
        <v>344.45312499999994</v>
      </c>
      <c r="W44" s="1"/>
      <c r="Y44" s="37"/>
    </row>
    <row r="45" spans="4:25" x14ac:dyDescent="0.15">
      <c r="D45" s="13" t="s">
        <v>176</v>
      </c>
      <c r="F45" s="1" t="s">
        <v>175</v>
      </c>
      <c r="G45" s="1">
        <f t="shared" si="1"/>
        <v>754.4</v>
      </c>
      <c r="H45" s="1" t="s">
        <v>188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196</v>
      </c>
      <c r="V45" s="46">
        <v>180</v>
      </c>
      <c r="W45" s="1"/>
      <c r="Y45" s="37"/>
    </row>
    <row r="46" spans="4:25" x14ac:dyDescent="0.15">
      <c r="D46" s="13" t="s">
        <v>186</v>
      </c>
      <c r="F46" s="1" t="s">
        <v>44</v>
      </c>
      <c r="G46" s="1">
        <f t="shared" si="1"/>
        <v>226.45</v>
      </c>
      <c r="H46" s="1" t="s">
        <v>188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206</v>
      </c>
      <c r="V46" s="46">
        <v>446.5</v>
      </c>
      <c r="W46" s="1"/>
      <c r="Y46" s="37"/>
    </row>
    <row r="47" spans="4:25" x14ac:dyDescent="0.15">
      <c r="D47" s="13" t="s">
        <v>173</v>
      </c>
      <c r="F47" s="1" t="s">
        <v>956</v>
      </c>
      <c r="G47" s="1">
        <f t="shared" si="1"/>
        <v>319.45312499999994</v>
      </c>
      <c r="H47" s="1" t="s">
        <v>50</v>
      </c>
      <c r="I47" s="1">
        <f t="shared" si="2"/>
        <v>340.74999999999994</v>
      </c>
      <c r="J47" s="1" t="s">
        <v>188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198</v>
      </c>
      <c r="V47" s="38">
        <v>121.94999999999997</v>
      </c>
      <c r="W47" s="1"/>
      <c r="Y47" s="37"/>
    </row>
    <row r="48" spans="4:25" x14ac:dyDescent="0.15">
      <c r="D48" s="13" t="s">
        <v>216</v>
      </c>
      <c r="F48" s="1" t="s">
        <v>181</v>
      </c>
      <c r="G48" s="1">
        <f t="shared" si="1"/>
        <v>761.7</v>
      </c>
      <c r="H48" s="1" t="s">
        <v>188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171</v>
      </c>
      <c r="V48" s="46">
        <v>859.75</v>
      </c>
      <c r="W48" s="1"/>
      <c r="Y48" s="37"/>
    </row>
    <row r="49" spans="4:25" x14ac:dyDescent="0.15">
      <c r="D49" s="13" t="s">
        <v>217</v>
      </c>
      <c r="F49" s="1" t="s">
        <v>193</v>
      </c>
      <c r="G49" s="1">
        <f t="shared" si="1"/>
        <v>179</v>
      </c>
      <c r="H49" s="1" t="s">
        <v>50</v>
      </c>
      <c r="I49" s="1">
        <f t="shared" si="2"/>
        <v>340.74999999999994</v>
      </c>
      <c r="J49" s="1" t="s">
        <v>188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236</v>
      </c>
      <c r="V49" s="34"/>
      <c r="W49" s="1"/>
      <c r="Y49" s="37"/>
    </row>
    <row r="50" spans="4:25" x14ac:dyDescent="0.15">
      <c r="D50" s="13" t="s">
        <v>218</v>
      </c>
      <c r="F50" s="1" t="s">
        <v>180</v>
      </c>
      <c r="G50" s="1">
        <f t="shared" si="1"/>
        <v>761.7</v>
      </c>
      <c r="H50" s="1" t="s">
        <v>179</v>
      </c>
      <c r="I50" s="1">
        <f t="shared" si="2"/>
        <v>761.69999999999993</v>
      </c>
      <c r="J50" s="1" t="s">
        <v>188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205</v>
      </c>
      <c r="V50" s="38">
        <v>360</v>
      </c>
      <c r="W50" s="1"/>
      <c r="Y50" s="37"/>
    </row>
    <row r="51" spans="4:25" x14ac:dyDescent="0.15">
      <c r="D51" s="13" t="s">
        <v>219</v>
      </c>
      <c r="F51" s="1" t="s">
        <v>179</v>
      </c>
      <c r="G51" s="1">
        <f t="shared" si="1"/>
        <v>761.69999999999993</v>
      </c>
      <c r="H51" s="1" t="s">
        <v>175</v>
      </c>
      <c r="I51" s="1">
        <f t="shared" si="2"/>
        <v>754.4</v>
      </c>
      <c r="J51" s="1" t="s">
        <v>185</v>
      </c>
      <c r="K51" s="1">
        <f t="shared" si="3"/>
        <v>127.2</v>
      </c>
      <c r="L51" s="1" t="s">
        <v>188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179</v>
      </c>
      <c r="V51" s="34">
        <v>761.69999999999993</v>
      </c>
      <c r="W51" s="1"/>
      <c r="Y51" s="37"/>
    </row>
    <row r="52" spans="4:25" x14ac:dyDescent="0.15">
      <c r="D52" s="13" t="s">
        <v>286</v>
      </c>
      <c r="F52" s="1" t="s">
        <v>168</v>
      </c>
      <c r="G52" s="1">
        <f t="shared" si="1"/>
        <v>275.59999999999997</v>
      </c>
      <c r="H52" s="1" t="s">
        <v>177</v>
      </c>
      <c r="I52" s="1">
        <f t="shared" si="2"/>
        <v>589.37499999999989</v>
      </c>
      <c r="J52" s="1" t="s">
        <v>203</v>
      </c>
      <c r="K52" s="1">
        <f t="shared" si="3"/>
        <v>408.9</v>
      </c>
      <c r="L52" s="1" t="s">
        <v>188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175</v>
      </c>
      <c r="V52" s="34">
        <v>754.4</v>
      </c>
      <c r="W52" s="1"/>
      <c r="Y52" s="37"/>
    </row>
    <row r="53" spans="4:25" x14ac:dyDescent="0.15">
      <c r="D53" s="13" t="s">
        <v>220</v>
      </c>
      <c r="F53" s="1" t="s">
        <v>123</v>
      </c>
      <c r="G53" s="1">
        <f t="shared" si="1"/>
        <v>209.2</v>
      </c>
      <c r="H53" s="1" t="s">
        <v>189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181</v>
      </c>
      <c r="V53" s="34">
        <v>761.7</v>
      </c>
      <c r="W53" s="1"/>
      <c r="Y53" s="37"/>
    </row>
    <row r="54" spans="4:25" x14ac:dyDescent="0.15">
      <c r="D54" s="13" t="s">
        <v>221</v>
      </c>
      <c r="F54" s="1" t="s">
        <v>125</v>
      </c>
      <c r="G54" s="1">
        <f t="shared" si="1"/>
        <v>266</v>
      </c>
      <c r="H54" s="1" t="s">
        <v>189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180</v>
      </c>
      <c r="V54" s="34">
        <v>761.7</v>
      </c>
      <c r="W54" s="1"/>
      <c r="Y54" s="37"/>
    </row>
    <row r="55" spans="4:25" x14ac:dyDescent="0.15">
      <c r="D55" s="13" t="s">
        <v>222</v>
      </c>
      <c r="F55" s="1" t="s">
        <v>131</v>
      </c>
      <c r="G55" s="1">
        <f t="shared" si="1"/>
        <v>538.65</v>
      </c>
      <c r="H55" s="1" t="s">
        <v>189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185</v>
      </c>
      <c r="V55" s="34">
        <v>127.2</v>
      </c>
      <c r="W55" s="1"/>
      <c r="Y55" s="37"/>
    </row>
    <row r="56" spans="4:25" x14ac:dyDescent="0.15">
      <c r="D56" s="13" t="s">
        <v>223</v>
      </c>
      <c r="F56" s="1" t="s">
        <v>132</v>
      </c>
      <c r="G56" s="1">
        <f t="shared" si="1"/>
        <v>916.40000000000009</v>
      </c>
      <c r="H56" s="1" t="s">
        <v>858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203</v>
      </c>
      <c r="V56" s="34">
        <v>408.9</v>
      </c>
      <c r="W56" s="1"/>
      <c r="Y56" s="37"/>
    </row>
    <row r="57" spans="4:25" x14ac:dyDescent="0.15">
      <c r="D57" s="13" t="s">
        <v>224</v>
      </c>
      <c r="F57" s="1" t="s">
        <v>133</v>
      </c>
      <c r="G57" s="1">
        <f t="shared" si="1"/>
        <v>1120</v>
      </c>
      <c r="H57" s="1" t="s">
        <v>189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177</v>
      </c>
      <c r="V57" s="34">
        <v>589.37499999999989</v>
      </c>
      <c r="W57" s="1"/>
      <c r="Y57" s="37"/>
    </row>
    <row r="58" spans="4:25" x14ac:dyDescent="0.15">
      <c r="D58" s="13" t="s">
        <v>225</v>
      </c>
      <c r="F58" s="1" t="s">
        <v>136</v>
      </c>
      <c r="G58" s="1">
        <f t="shared" si="1"/>
        <v>1781.25</v>
      </c>
      <c r="H58" s="1" t="s">
        <v>189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168</v>
      </c>
      <c r="V58" s="34">
        <v>275.59999999999997</v>
      </c>
      <c r="W58" s="1"/>
      <c r="Y58" s="37"/>
    </row>
    <row r="59" spans="4:25" x14ac:dyDescent="0.15">
      <c r="D59" s="13" t="s">
        <v>226</v>
      </c>
      <c r="F59" s="1" t="s">
        <v>140</v>
      </c>
      <c r="G59" s="1">
        <f t="shared" si="1"/>
        <v>218.15</v>
      </c>
      <c r="H59" s="1" t="s">
        <v>858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120</v>
      </c>
      <c r="V59" s="34">
        <v>203.25</v>
      </c>
      <c r="W59" s="1"/>
      <c r="Y59" s="37"/>
    </row>
    <row r="60" spans="4:25" x14ac:dyDescent="0.15">
      <c r="D60" s="13" t="s">
        <v>227</v>
      </c>
      <c r="F60" s="1" t="s">
        <v>141</v>
      </c>
      <c r="G60" s="1">
        <f t="shared" si="1"/>
        <v>246.25</v>
      </c>
      <c r="H60" s="1" t="s">
        <v>858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123</v>
      </c>
      <c r="V60" s="34">
        <v>209.2</v>
      </c>
      <c r="W60" s="1"/>
      <c r="Y60" s="37"/>
    </row>
    <row r="61" spans="4:25" x14ac:dyDescent="0.15">
      <c r="D61" s="13" t="s">
        <v>228</v>
      </c>
      <c r="F61" s="1" t="s">
        <v>142</v>
      </c>
      <c r="G61" s="1">
        <f t="shared" si="1"/>
        <v>289.95</v>
      </c>
      <c r="H61" s="1" t="s">
        <v>858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140</v>
      </c>
      <c r="V61" s="34">
        <v>218.15</v>
      </c>
      <c r="W61" s="1"/>
      <c r="Y61" s="37"/>
    </row>
    <row r="62" spans="4:25" x14ac:dyDescent="0.15">
      <c r="D62" s="13" t="s">
        <v>229</v>
      </c>
      <c r="F62" s="1" t="s">
        <v>143</v>
      </c>
      <c r="G62" s="1">
        <f t="shared" si="1"/>
        <v>483.2</v>
      </c>
      <c r="H62" s="1" t="s">
        <v>858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923</v>
      </c>
      <c r="V62" s="34">
        <v>230.4</v>
      </c>
      <c r="W62" s="1"/>
      <c r="Y62" s="37"/>
    </row>
    <row r="63" spans="4:25" x14ac:dyDescent="0.15">
      <c r="D63" s="13" t="s">
        <v>230</v>
      </c>
      <c r="F63" s="1" t="s">
        <v>144</v>
      </c>
      <c r="G63" s="1">
        <f t="shared" si="1"/>
        <v>433.75</v>
      </c>
      <c r="H63" s="1" t="s">
        <v>858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141</v>
      </c>
      <c r="V63" s="34">
        <v>246.25</v>
      </c>
      <c r="W63" s="1"/>
      <c r="Y63" s="37"/>
    </row>
    <row r="64" spans="4:25" x14ac:dyDescent="0.15">
      <c r="D64" s="13" t="s">
        <v>231</v>
      </c>
      <c r="F64" s="1" t="s">
        <v>146</v>
      </c>
      <c r="G64" s="1">
        <f t="shared" si="1"/>
        <v>826.45</v>
      </c>
      <c r="H64" s="1" t="s">
        <v>858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125</v>
      </c>
      <c r="V64" s="34">
        <v>266</v>
      </c>
      <c r="W64" s="1"/>
      <c r="Y64" s="37"/>
    </row>
    <row r="65" spans="4:25" x14ac:dyDescent="0.15">
      <c r="D65" s="13" t="s">
        <v>232</v>
      </c>
      <c r="F65" s="1" t="s">
        <v>147</v>
      </c>
      <c r="G65" s="1">
        <f t="shared" si="1"/>
        <v>1014.1500000000001</v>
      </c>
      <c r="H65" s="1" t="s">
        <v>858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142</v>
      </c>
      <c r="V65" s="34">
        <v>289.95</v>
      </c>
      <c r="W65" s="1"/>
      <c r="Y65" s="37"/>
    </row>
    <row r="66" spans="4:25" x14ac:dyDescent="0.15">
      <c r="D66" s="13" t="s">
        <v>233</v>
      </c>
      <c r="F66" s="1" t="s">
        <v>148</v>
      </c>
      <c r="G66" s="1">
        <f t="shared" si="1"/>
        <v>1357.1999999999998</v>
      </c>
      <c r="H66" s="1" t="s">
        <v>858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192</v>
      </c>
      <c r="V66" s="34">
        <v>318.39999999999998</v>
      </c>
      <c r="W66" s="1"/>
      <c r="Y66" s="37"/>
    </row>
    <row r="67" spans="4:25" x14ac:dyDescent="0.15">
      <c r="D67" s="13" t="s">
        <v>234</v>
      </c>
      <c r="F67" s="1" t="s">
        <v>150</v>
      </c>
      <c r="G67" s="1">
        <f t="shared" si="1"/>
        <v>1942</v>
      </c>
      <c r="H67" s="1" t="s">
        <v>858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126</v>
      </c>
      <c r="V67" s="34">
        <v>351.65</v>
      </c>
      <c r="W67" s="1"/>
      <c r="Y67" s="37"/>
    </row>
    <row r="68" spans="4:25" x14ac:dyDescent="0.15">
      <c r="D68" s="13" t="s">
        <v>235</v>
      </c>
      <c r="F68" s="1" t="s">
        <v>151</v>
      </c>
      <c r="G68" s="1">
        <f t="shared" ref="G68:G82" si="11">IF(F68&lt;&gt;"",VLOOKUP(F68,$U$2:$V$123,2,FALSE),0)</f>
        <v>2486.65</v>
      </c>
      <c r="H68" s="1" t="s">
        <v>858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127</v>
      </c>
      <c r="V68" s="34">
        <v>390</v>
      </c>
      <c r="W68" s="1"/>
      <c r="Y68" s="37"/>
    </row>
    <row r="69" spans="4:25" x14ac:dyDescent="0.15">
      <c r="D69" s="13" t="s">
        <v>236</v>
      </c>
      <c r="F69" s="1" t="s">
        <v>923</v>
      </c>
      <c r="G69" s="1">
        <f t="shared" si="11"/>
        <v>230.4</v>
      </c>
      <c r="H69" s="1" t="s">
        <v>829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144</v>
      </c>
      <c r="V69" s="34">
        <v>433.75</v>
      </c>
      <c r="W69" s="1"/>
      <c r="Y69" s="37"/>
    </row>
    <row r="70" spans="4:25" x14ac:dyDescent="0.15">
      <c r="D70" s="13" t="s">
        <v>237</v>
      </c>
      <c r="F70" s="1" t="s">
        <v>22</v>
      </c>
      <c r="G70" s="1">
        <f t="shared" si="11"/>
        <v>358.125</v>
      </c>
      <c r="H70" s="1" t="s">
        <v>829</v>
      </c>
      <c r="I70" s="1">
        <f t="shared" si="12"/>
        <v>25</v>
      </c>
      <c r="J70" s="1" t="s">
        <v>140</v>
      </c>
      <c r="K70" s="1">
        <f t="shared" si="13"/>
        <v>218.15</v>
      </c>
      <c r="L70" s="1" t="s">
        <v>148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143</v>
      </c>
      <c r="V70" s="34">
        <v>483.2</v>
      </c>
      <c r="W70" s="1"/>
      <c r="Y70" s="37"/>
    </row>
    <row r="71" spans="4:25" x14ac:dyDescent="0.15">
      <c r="D71" s="13" t="s">
        <v>238</v>
      </c>
      <c r="F71" s="1" t="s">
        <v>228</v>
      </c>
      <c r="G71" s="1">
        <f t="shared" si="11"/>
        <v>341.84999999999997</v>
      </c>
      <c r="H71" s="1" t="s">
        <v>187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131</v>
      </c>
      <c r="V71" s="34">
        <v>538.65</v>
      </c>
      <c r="W71" s="1"/>
      <c r="Y71" s="37"/>
    </row>
    <row r="72" spans="4:25" x14ac:dyDescent="0.15">
      <c r="D72" s="13" t="s">
        <v>239</v>
      </c>
      <c r="F72" s="1" t="s">
        <v>120</v>
      </c>
      <c r="G72" s="1">
        <f t="shared" si="11"/>
        <v>203.25</v>
      </c>
      <c r="H72" s="1" t="s">
        <v>54</v>
      </c>
      <c r="I72" s="1">
        <f t="shared" si="12"/>
        <v>339.67500000000001</v>
      </c>
      <c r="J72" s="1" t="s">
        <v>829</v>
      </c>
      <c r="K72" s="1">
        <f t="shared" si="13"/>
        <v>25</v>
      </c>
      <c r="L72" s="1" t="s">
        <v>45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129</v>
      </c>
      <c r="V72" s="34">
        <v>600.4</v>
      </c>
      <c r="W72" s="1"/>
      <c r="Y72" s="37"/>
    </row>
    <row r="73" spans="4:25" x14ac:dyDescent="0.15">
      <c r="D73" s="13" t="s">
        <v>240</v>
      </c>
      <c r="F73" s="1" t="s">
        <v>123</v>
      </c>
      <c r="G73" s="1">
        <f t="shared" si="11"/>
        <v>209.2</v>
      </c>
      <c r="H73" s="1" t="s">
        <v>48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958</v>
      </c>
      <c r="V73" s="34">
        <v>668.75</v>
      </c>
      <c r="W73" s="1"/>
      <c r="Y73" s="37"/>
    </row>
    <row r="74" spans="4:25" x14ac:dyDescent="0.15">
      <c r="D74" s="13" t="s">
        <v>309</v>
      </c>
      <c r="F74" s="1" t="s">
        <v>136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130</v>
      </c>
      <c r="V74" s="34">
        <v>744</v>
      </c>
      <c r="W74" s="1"/>
      <c r="Y74" s="37"/>
    </row>
    <row r="75" spans="4:25" x14ac:dyDescent="0.15">
      <c r="D75" s="13" t="s">
        <v>308</v>
      </c>
      <c r="F75" s="1" t="s">
        <v>192</v>
      </c>
      <c r="G75" s="1">
        <f t="shared" si="11"/>
        <v>318.39999999999998</v>
      </c>
      <c r="H75" s="1" t="s">
        <v>159</v>
      </c>
      <c r="I75" s="1">
        <f t="shared" si="12"/>
        <v>180</v>
      </c>
      <c r="J75" s="1" t="s">
        <v>250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146</v>
      </c>
      <c r="V75" s="34">
        <v>826.45</v>
      </c>
      <c r="W75" s="1"/>
      <c r="Y75" s="37"/>
    </row>
    <row r="76" spans="4:25" x14ac:dyDescent="0.15">
      <c r="D76" s="13" t="s">
        <v>310</v>
      </c>
      <c r="F76" s="1" t="s">
        <v>146</v>
      </c>
      <c r="G76" s="1">
        <f t="shared" si="11"/>
        <v>826.45</v>
      </c>
      <c r="H76" s="1" t="s">
        <v>35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132</v>
      </c>
      <c r="V76" s="34">
        <v>916.40000000000009</v>
      </c>
      <c r="W76" s="1"/>
      <c r="Y76" s="37"/>
    </row>
    <row r="77" spans="4:25" x14ac:dyDescent="0.15">
      <c r="D77" s="13" t="s">
        <v>244</v>
      </c>
      <c r="F77" s="1" t="s">
        <v>147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147</v>
      </c>
      <c r="V77" s="34">
        <v>1014.1500000000001</v>
      </c>
      <c r="W77" s="1"/>
      <c r="Y77" s="37"/>
    </row>
    <row r="78" spans="4:25" x14ac:dyDescent="0.15">
      <c r="D78" s="13" t="s">
        <v>312</v>
      </c>
      <c r="F78" s="1" t="s">
        <v>144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133</v>
      </c>
      <c r="V78" s="34">
        <v>1120</v>
      </c>
      <c r="W78" s="1"/>
      <c r="Y78" s="37"/>
    </row>
    <row r="79" spans="4:25" x14ac:dyDescent="0.15">
      <c r="D79" s="13" t="s">
        <v>246</v>
      </c>
      <c r="F79" s="1" t="s">
        <v>148</v>
      </c>
      <c r="G79" s="1">
        <f t="shared" si="11"/>
        <v>1357.1999999999998</v>
      </c>
      <c r="H79" s="1" t="s">
        <v>41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38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134</v>
      </c>
      <c r="V79" s="34">
        <v>1234.25</v>
      </c>
      <c r="W79" s="1"/>
      <c r="Y79" s="37"/>
    </row>
    <row r="80" spans="4:25" x14ac:dyDescent="0.15">
      <c r="D80" s="13" t="s">
        <v>314</v>
      </c>
      <c r="F80" s="1" t="s">
        <v>151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148</v>
      </c>
      <c r="V80" s="34">
        <v>1357.1999999999998</v>
      </c>
      <c r="W80" s="1"/>
      <c r="Y80" s="37"/>
    </row>
    <row r="81" spans="4:25" x14ac:dyDescent="0.15">
      <c r="D81" s="13" t="s">
        <v>960</v>
      </c>
      <c r="F81" t="s">
        <v>234</v>
      </c>
      <c r="G81" s="1">
        <f t="shared" si="11"/>
        <v>1993.9</v>
      </c>
      <c r="H81" t="s">
        <v>209</v>
      </c>
      <c r="I81" s="1">
        <f t="shared" si="12"/>
        <v>382</v>
      </c>
      <c r="J81" t="s">
        <v>37</v>
      </c>
      <c r="K81" s="1">
        <f t="shared" si="13"/>
        <v>86.5</v>
      </c>
      <c r="L81" t="s">
        <v>131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149</v>
      </c>
      <c r="V81" s="34">
        <v>1489.15</v>
      </c>
      <c r="W81" s="1"/>
      <c r="Y81" s="37"/>
    </row>
    <row r="82" spans="4:25" x14ac:dyDescent="0.15">
      <c r="D82" s="45" t="s">
        <v>955</v>
      </c>
      <c r="F82" t="s">
        <v>829</v>
      </c>
      <c r="G82" s="1">
        <f t="shared" si="11"/>
        <v>25</v>
      </c>
      <c r="H82" t="s">
        <v>446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957</v>
      </c>
      <c r="V82">
        <v>1630.4</v>
      </c>
    </row>
    <row r="83" spans="4:25" x14ac:dyDescent="0.15">
      <c r="U83" t="s">
        <v>136</v>
      </c>
      <c r="V83">
        <v>1781.25</v>
      </c>
    </row>
    <row r="84" spans="4:25" x14ac:dyDescent="0.15">
      <c r="U84" t="s">
        <v>150</v>
      </c>
      <c r="V84">
        <v>1942</v>
      </c>
    </row>
    <row r="85" spans="4:25" x14ac:dyDescent="0.15">
      <c r="U85" t="s">
        <v>137</v>
      </c>
      <c r="V85">
        <v>2112.9499999999998</v>
      </c>
    </row>
    <row r="86" spans="4:25" x14ac:dyDescent="0.15">
      <c r="U86" t="s">
        <v>138</v>
      </c>
      <c r="V86">
        <v>2294.4</v>
      </c>
    </row>
    <row r="87" spans="4:25" x14ac:dyDescent="0.15">
      <c r="U87" t="s">
        <v>151</v>
      </c>
      <c r="V87">
        <v>2486.65</v>
      </c>
    </row>
    <row r="88" spans="4:25" x14ac:dyDescent="0.15">
      <c r="U88" t="s">
        <v>152</v>
      </c>
      <c r="V88">
        <v>2690</v>
      </c>
    </row>
    <row r="89" spans="4:25" x14ac:dyDescent="0.15">
      <c r="U89" t="s">
        <v>139</v>
      </c>
      <c r="V89">
        <v>2904.75</v>
      </c>
    </row>
    <row r="90" spans="4:25" x14ac:dyDescent="0.15">
      <c r="U90" s="13" t="s">
        <v>228</v>
      </c>
      <c r="V90" s="46">
        <v>341.84999999999997</v>
      </c>
    </row>
    <row r="91" spans="4:25" x14ac:dyDescent="0.15">
      <c r="U91" s="13" t="s">
        <v>234</v>
      </c>
      <c r="V91">
        <v>1993.9</v>
      </c>
    </row>
    <row r="92" spans="4:25" x14ac:dyDescent="0.15">
      <c r="U92" s="34" t="s">
        <v>209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120</v>
      </c>
      <c r="I2">
        <v>1</v>
      </c>
      <c r="J2" s="6" t="s">
        <v>120</v>
      </c>
      <c r="K2" s="38">
        <f>I2*I2*I2*0.05+I2*I2*1.2+I2*2+200</f>
        <v>203.25</v>
      </c>
    </row>
    <row r="3" spans="7:15" x14ac:dyDescent="0.15">
      <c r="G3" t="s">
        <v>123</v>
      </c>
      <c r="I3" s="34">
        <v>2</v>
      </c>
      <c r="J3" s="7" t="s">
        <v>123</v>
      </c>
      <c r="K3" s="38">
        <f t="shared" ref="K3:K32" si="0">I3*I3*I3*0.05+I3*I3*1.2+I3*2+200</f>
        <v>209.2</v>
      </c>
    </row>
    <row r="4" spans="7:15" x14ac:dyDescent="0.15">
      <c r="G4" s="7" t="s">
        <v>1536</v>
      </c>
      <c r="I4" s="34">
        <v>3</v>
      </c>
      <c r="J4" s="8" t="s">
        <v>140</v>
      </c>
      <c r="K4" s="38">
        <f t="shared" si="0"/>
        <v>218.15</v>
      </c>
    </row>
    <row r="5" spans="7:15" x14ac:dyDescent="0.15">
      <c r="G5" t="s">
        <v>125</v>
      </c>
      <c r="I5" s="34">
        <v>4</v>
      </c>
      <c r="J5" s="7" t="s">
        <v>1536</v>
      </c>
      <c r="K5" s="38">
        <f t="shared" si="0"/>
        <v>230.4</v>
      </c>
    </row>
    <row r="6" spans="7:15" x14ac:dyDescent="0.15">
      <c r="G6" t="s">
        <v>126</v>
      </c>
      <c r="I6" s="34">
        <v>5</v>
      </c>
      <c r="J6" s="8" t="s">
        <v>141</v>
      </c>
      <c r="K6" s="38">
        <f t="shared" si="0"/>
        <v>246.25</v>
      </c>
    </row>
    <row r="7" spans="7:15" x14ac:dyDescent="0.15">
      <c r="G7" s="7" t="s">
        <v>1537</v>
      </c>
      <c r="I7" s="34">
        <v>6</v>
      </c>
      <c r="J7" s="7" t="s">
        <v>125</v>
      </c>
      <c r="K7" s="38">
        <f t="shared" si="0"/>
        <v>266</v>
      </c>
    </row>
    <row r="8" spans="7:15" x14ac:dyDescent="0.15">
      <c r="G8" t="s">
        <v>129</v>
      </c>
      <c r="I8" s="34">
        <v>7</v>
      </c>
      <c r="J8" s="8" t="s">
        <v>142</v>
      </c>
      <c r="K8" s="38">
        <f t="shared" si="0"/>
        <v>289.95</v>
      </c>
    </row>
    <row r="9" spans="7:15" x14ac:dyDescent="0.15">
      <c r="G9" t="s">
        <v>130</v>
      </c>
      <c r="I9" s="34">
        <v>8</v>
      </c>
      <c r="J9" s="8" t="s">
        <v>959</v>
      </c>
      <c r="K9" s="38">
        <f t="shared" si="0"/>
        <v>318.39999999999998</v>
      </c>
    </row>
    <row r="10" spans="7:15" x14ac:dyDescent="0.15">
      <c r="G10" t="s">
        <v>131</v>
      </c>
      <c r="I10" s="34">
        <v>9</v>
      </c>
      <c r="J10" s="8" t="s">
        <v>126</v>
      </c>
      <c r="K10" s="38">
        <f t="shared" si="0"/>
        <v>351.65</v>
      </c>
    </row>
    <row r="11" spans="7:15" x14ac:dyDescent="0.15">
      <c r="G11" t="s">
        <v>132</v>
      </c>
      <c r="I11" s="34">
        <v>10</v>
      </c>
      <c r="J11" s="7" t="s">
        <v>1537</v>
      </c>
      <c r="K11" s="38">
        <f t="shared" si="0"/>
        <v>390</v>
      </c>
    </row>
    <row r="12" spans="7:15" x14ac:dyDescent="0.15">
      <c r="G12" t="s">
        <v>133</v>
      </c>
      <c r="I12" s="34">
        <v>11</v>
      </c>
      <c r="J12" s="8" t="s">
        <v>144</v>
      </c>
      <c r="K12" s="38">
        <f t="shared" si="0"/>
        <v>433.75</v>
      </c>
    </row>
    <row r="13" spans="7:15" x14ac:dyDescent="0.15">
      <c r="G13" t="s">
        <v>134</v>
      </c>
      <c r="I13" s="34">
        <v>12</v>
      </c>
      <c r="J13" s="8" t="s">
        <v>143</v>
      </c>
      <c r="K13" s="38">
        <f t="shared" si="0"/>
        <v>483.2</v>
      </c>
      <c r="N13" s="34"/>
      <c r="O13" s="34"/>
    </row>
    <row r="14" spans="7:15" x14ac:dyDescent="0.15">
      <c r="G14" t="s">
        <v>957</v>
      </c>
      <c r="I14" s="34">
        <v>13</v>
      </c>
      <c r="J14" s="7" t="s">
        <v>131</v>
      </c>
      <c r="K14" s="38">
        <f t="shared" si="0"/>
        <v>538.65</v>
      </c>
      <c r="N14" s="34"/>
      <c r="O14" s="34"/>
    </row>
    <row r="15" spans="7:15" x14ac:dyDescent="0.15">
      <c r="G15" t="s">
        <v>136</v>
      </c>
      <c r="I15" s="34">
        <v>14</v>
      </c>
      <c r="J15" s="7" t="s">
        <v>129</v>
      </c>
      <c r="K15" s="38">
        <f t="shared" si="0"/>
        <v>600.4</v>
      </c>
    </row>
    <row r="16" spans="7:15" x14ac:dyDescent="0.15">
      <c r="G16" t="s">
        <v>137</v>
      </c>
      <c r="I16" s="34">
        <v>15</v>
      </c>
      <c r="J16" s="8" t="s">
        <v>145</v>
      </c>
      <c r="K16" s="38">
        <f t="shared" si="0"/>
        <v>668.75</v>
      </c>
    </row>
    <row r="17" spans="7:11" x14ac:dyDescent="0.15">
      <c r="G17" t="s">
        <v>138</v>
      </c>
      <c r="I17" s="34">
        <v>16</v>
      </c>
      <c r="J17" s="7" t="s">
        <v>130</v>
      </c>
      <c r="K17" s="38">
        <f t="shared" si="0"/>
        <v>744</v>
      </c>
    </row>
    <row r="18" spans="7:11" x14ac:dyDescent="0.15">
      <c r="G18" t="s">
        <v>139</v>
      </c>
      <c r="I18" s="34">
        <v>17</v>
      </c>
      <c r="J18" s="8" t="s">
        <v>146</v>
      </c>
      <c r="K18" s="38">
        <f t="shared" si="0"/>
        <v>826.45</v>
      </c>
    </row>
    <row r="19" spans="7:11" x14ac:dyDescent="0.15">
      <c r="G19" t="s">
        <v>140</v>
      </c>
      <c r="I19" s="34">
        <v>18</v>
      </c>
      <c r="J19" s="7" t="s">
        <v>132</v>
      </c>
      <c r="K19" s="38">
        <f t="shared" si="0"/>
        <v>916.40000000000009</v>
      </c>
    </row>
    <row r="20" spans="7:11" x14ac:dyDescent="0.15">
      <c r="G20" t="s">
        <v>141</v>
      </c>
      <c r="I20" s="34">
        <v>19</v>
      </c>
      <c r="J20" s="8" t="s">
        <v>147</v>
      </c>
      <c r="K20" s="38">
        <f t="shared" si="0"/>
        <v>1014.1500000000001</v>
      </c>
    </row>
    <row r="21" spans="7:11" x14ac:dyDescent="0.15">
      <c r="G21" t="s">
        <v>142</v>
      </c>
      <c r="I21" s="34">
        <v>20</v>
      </c>
      <c r="J21" s="7" t="s">
        <v>133</v>
      </c>
      <c r="K21" s="38">
        <f t="shared" si="0"/>
        <v>1120</v>
      </c>
    </row>
    <row r="22" spans="7:11" x14ac:dyDescent="0.15">
      <c r="G22" t="s">
        <v>192</v>
      </c>
      <c r="I22" s="34">
        <v>21</v>
      </c>
      <c r="J22" s="7" t="s">
        <v>134</v>
      </c>
      <c r="K22" s="38">
        <f t="shared" si="0"/>
        <v>1234.25</v>
      </c>
    </row>
    <row r="23" spans="7:11" x14ac:dyDescent="0.15">
      <c r="G23" t="s">
        <v>143</v>
      </c>
      <c r="I23" s="34">
        <v>22</v>
      </c>
      <c r="J23" s="8" t="s">
        <v>148</v>
      </c>
      <c r="K23" s="38">
        <f t="shared" si="0"/>
        <v>1357.1999999999998</v>
      </c>
    </row>
    <row r="24" spans="7:11" x14ac:dyDescent="0.15">
      <c r="G24" t="s">
        <v>144</v>
      </c>
      <c r="I24" s="34">
        <v>23</v>
      </c>
      <c r="J24" s="8" t="s">
        <v>149</v>
      </c>
      <c r="K24" s="38">
        <f t="shared" si="0"/>
        <v>1489.15</v>
      </c>
    </row>
    <row r="25" spans="7:11" x14ac:dyDescent="0.15">
      <c r="G25" t="s">
        <v>958</v>
      </c>
      <c r="I25" s="34">
        <v>24</v>
      </c>
      <c r="J25" s="8" t="s">
        <v>135</v>
      </c>
      <c r="K25" s="38">
        <f t="shared" si="0"/>
        <v>1630.4</v>
      </c>
    </row>
    <row r="26" spans="7:11" x14ac:dyDescent="0.15">
      <c r="G26" t="s">
        <v>146</v>
      </c>
      <c r="I26" s="34">
        <v>25</v>
      </c>
      <c r="J26" s="7" t="s">
        <v>136</v>
      </c>
      <c r="K26" s="38">
        <f t="shared" si="0"/>
        <v>1781.25</v>
      </c>
    </row>
    <row r="27" spans="7:11" x14ac:dyDescent="0.15">
      <c r="G27" t="s">
        <v>147</v>
      </c>
      <c r="I27" s="34">
        <v>26</v>
      </c>
      <c r="J27" s="8" t="s">
        <v>150</v>
      </c>
      <c r="K27" s="38">
        <f t="shared" si="0"/>
        <v>1942</v>
      </c>
    </row>
    <row r="28" spans="7:11" x14ac:dyDescent="0.15">
      <c r="G28" t="s">
        <v>148</v>
      </c>
      <c r="I28" s="34">
        <v>27</v>
      </c>
      <c r="J28" s="7" t="s">
        <v>137</v>
      </c>
      <c r="K28" s="38">
        <f t="shared" si="0"/>
        <v>2112.9499999999998</v>
      </c>
    </row>
    <row r="29" spans="7:11" x14ac:dyDescent="0.15">
      <c r="G29" t="s">
        <v>149</v>
      </c>
      <c r="I29" s="34">
        <v>28</v>
      </c>
      <c r="J29" s="7" t="s">
        <v>138</v>
      </c>
      <c r="K29" s="38">
        <f t="shared" si="0"/>
        <v>2294.4</v>
      </c>
    </row>
    <row r="30" spans="7:11" x14ac:dyDescent="0.15">
      <c r="G30" t="s">
        <v>150</v>
      </c>
      <c r="I30" s="34">
        <v>29</v>
      </c>
      <c r="J30" s="8" t="s">
        <v>151</v>
      </c>
      <c r="K30" s="38">
        <f t="shared" si="0"/>
        <v>2486.65</v>
      </c>
    </row>
    <row r="31" spans="7:11" x14ac:dyDescent="0.15">
      <c r="G31" t="s">
        <v>151</v>
      </c>
      <c r="I31" s="34">
        <v>30</v>
      </c>
      <c r="J31" s="8" t="s">
        <v>152</v>
      </c>
      <c r="K31" s="38">
        <f t="shared" si="0"/>
        <v>2690</v>
      </c>
    </row>
    <row r="32" spans="7:11" x14ac:dyDescent="0.15">
      <c r="G32" t="s">
        <v>152</v>
      </c>
      <c r="I32" s="34">
        <v>31</v>
      </c>
      <c r="J32" s="7" t="s">
        <v>139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2024-12-23T12:03:16Z</dcterms:modified>
</cp:coreProperties>
</file>