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MapNpcData" sheetId="1" r:id="rId1"/>
    <sheet name="Sheet1" sheetId="2" r:id="rId2"/>
  </sheets>
  <definedNames>
    <definedName name="_xlnm._FilterDatabase" localSheetId="0" hidden="1">MapNpcData!$A$3:$C$3</definedName>
  </definedNames>
  <calcPr calcId="162913"/>
</workbook>
</file>

<file path=xl/calcChain.xml><?xml version="1.0" encoding="utf-8"?>
<calcChain xmlns="http://schemas.openxmlformats.org/spreadsheetml/2006/main">
  <c r="C16" i="1" l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5" i="1"/>
  <c r="C6" i="1"/>
  <c r="C7" i="1"/>
  <c r="C8" i="1"/>
  <c r="C9" i="1"/>
  <c r="C10" i="1"/>
  <c r="C11" i="1"/>
  <c r="C12" i="1"/>
  <c r="C13" i="1"/>
  <c r="C14" i="1"/>
  <c r="C15" i="1"/>
  <c r="C4" i="1"/>
</calcChain>
</file>

<file path=xl/sharedStrings.xml><?xml version="1.0" encoding="utf-8"?>
<sst xmlns="http://schemas.openxmlformats.org/spreadsheetml/2006/main" count="121" uniqueCount="101">
  <si>
    <t>int</t>
    <phoneticPr fontId="1" type="noConversion"/>
  </si>
  <si>
    <t>string</t>
    <phoneticPr fontId="1" type="noConversion"/>
  </si>
  <si>
    <t>id</t>
    <phoneticPr fontId="1" type="noConversion"/>
  </si>
  <si>
    <t>npcName</t>
    <phoneticPr fontId="1" type="noConversion"/>
  </si>
  <si>
    <t>dataId</t>
    <phoneticPr fontId="1" type="noConversion"/>
  </si>
  <si>
    <t>bool</t>
    <phoneticPr fontId="1" type="noConversion"/>
  </si>
  <si>
    <t>initialBegin</t>
    <phoneticPr fontId="1" type="noConversion"/>
  </si>
  <si>
    <t>beginMap</t>
    <phoneticPr fontId="1" type="noConversion"/>
  </si>
  <si>
    <t>马</t>
    <phoneticPr fontId="1" type="noConversion"/>
  </si>
  <si>
    <t>布莱兹</t>
    <phoneticPr fontId="1" type="noConversion"/>
  </si>
  <si>
    <t>int2</t>
    <phoneticPr fontId="1" type="noConversion"/>
  </si>
  <si>
    <t>beginCoordinate</t>
  </si>
  <si>
    <t>2,3</t>
  </si>
  <si>
    <t>-10,12</t>
    <phoneticPr fontId="1" type="noConversion"/>
  </si>
  <si>
    <t>玛德琳</t>
    <phoneticPr fontId="1" type="noConversion"/>
  </si>
  <si>
    <t>-50,20</t>
    <phoneticPr fontId="1" type="noConversion"/>
  </si>
  <si>
    <t>44,33</t>
    <phoneticPr fontId="1" type="noConversion"/>
  </si>
  <si>
    <t>班尼迪克</t>
    <phoneticPr fontId="1" type="noConversion"/>
  </si>
  <si>
    <t>丝特芬妮</t>
  </si>
  <si>
    <t>格吉尔</t>
  </si>
  <si>
    <t>-60,33</t>
    <phoneticPr fontId="1" type="noConversion"/>
  </si>
  <si>
    <t>-68,15</t>
    <phoneticPr fontId="1" type="noConversion"/>
  </si>
  <si>
    <t>琼</t>
  </si>
  <si>
    <t>强尼</t>
  </si>
  <si>
    <t>坎蒂丝</t>
  </si>
  <si>
    <t>6,5</t>
    <phoneticPr fontId="1" type="noConversion"/>
  </si>
  <si>
    <t>希拉</t>
  </si>
  <si>
    <t>0,37</t>
    <phoneticPr fontId="1" type="noConversion"/>
  </si>
  <si>
    <t>奥蒂莉亚</t>
  </si>
  <si>
    <t>0,23</t>
    <phoneticPr fontId="1" type="noConversion"/>
  </si>
  <si>
    <t>黛芙妮</t>
  </si>
  <si>
    <t>15,5</t>
    <phoneticPr fontId="1" type="noConversion"/>
  </si>
  <si>
    <t>艾琳娜</t>
  </si>
  <si>
    <t>-20,6</t>
    <phoneticPr fontId="1" type="noConversion"/>
  </si>
  <si>
    <t>希贝儿</t>
  </si>
  <si>
    <t>0,10</t>
    <phoneticPr fontId="1" type="noConversion"/>
  </si>
  <si>
    <t>梅林</t>
  </si>
  <si>
    <t>-4,16</t>
    <phoneticPr fontId="1" type="noConversion"/>
  </si>
  <si>
    <t>0,0</t>
    <phoneticPr fontId="1" type="noConversion"/>
  </si>
  <si>
    <t>帕特里克</t>
  </si>
  <si>
    <t>摩尔根</t>
  </si>
  <si>
    <t>0,9</t>
    <phoneticPr fontId="1" type="noConversion"/>
  </si>
  <si>
    <t>-8,-11</t>
    <phoneticPr fontId="1" type="noConversion"/>
  </si>
  <si>
    <t>瓦尔特</t>
  </si>
  <si>
    <t>布拉德利</t>
  </si>
  <si>
    <t>-6,-10</t>
    <phoneticPr fontId="1" type="noConversion"/>
  </si>
  <si>
    <t>莱特</t>
  </si>
  <si>
    <t>-27,16</t>
    <phoneticPr fontId="1" type="noConversion"/>
  </si>
  <si>
    <t>阿尔杰农</t>
  </si>
  <si>
    <t>-8,0</t>
    <phoneticPr fontId="1" type="noConversion"/>
  </si>
  <si>
    <t>亚度尼斯</t>
    <phoneticPr fontId="2" type="noConversion"/>
  </si>
  <si>
    <t>占卜婆婆</t>
    <phoneticPr fontId="2" type="noConversion"/>
  </si>
  <si>
    <t>夏佐</t>
    <phoneticPr fontId="2" type="noConversion"/>
  </si>
  <si>
    <t>希尔达</t>
    <phoneticPr fontId="2" type="noConversion"/>
  </si>
  <si>
    <t>爱丽丝</t>
    <phoneticPr fontId="2" type="noConversion"/>
  </si>
  <si>
    <t>布蓝达</t>
    <phoneticPr fontId="2" type="noConversion"/>
  </si>
  <si>
    <t>朵儿洁</t>
    <phoneticPr fontId="2" type="noConversion"/>
  </si>
  <si>
    <t>阿普敦</t>
    <phoneticPr fontId="2" type="noConversion"/>
  </si>
  <si>
    <t>考波特</t>
    <phoneticPr fontId="2" type="noConversion"/>
  </si>
  <si>
    <t>马勒第兹</t>
    <phoneticPr fontId="2" type="noConversion"/>
  </si>
  <si>
    <t>爱格伯特</t>
    <phoneticPr fontId="2" type="noConversion"/>
  </si>
  <si>
    <t>-2,15</t>
    <phoneticPr fontId="1" type="noConversion"/>
  </si>
  <si>
    <t>-2,-20</t>
    <phoneticPr fontId="1" type="noConversion"/>
  </si>
  <si>
    <t>-26,6</t>
    <phoneticPr fontId="1" type="noConversion"/>
  </si>
  <si>
    <t>22,5</t>
    <phoneticPr fontId="1" type="noConversion"/>
  </si>
  <si>
    <t>9,90</t>
    <phoneticPr fontId="1" type="noConversion"/>
  </si>
  <si>
    <t>-13,37</t>
    <phoneticPr fontId="1" type="noConversion"/>
  </si>
  <si>
    <t>-10,33</t>
    <phoneticPr fontId="1" type="noConversion"/>
  </si>
  <si>
    <t>-3,8</t>
    <phoneticPr fontId="1" type="noConversion"/>
  </si>
  <si>
    <t>0,10</t>
    <phoneticPr fontId="1" type="noConversion"/>
  </si>
  <si>
    <t>28,3</t>
    <phoneticPr fontId="1" type="noConversion"/>
  </si>
  <si>
    <t>-5,0</t>
    <phoneticPr fontId="1" type="noConversion"/>
  </si>
  <si>
    <t>0,36</t>
    <phoneticPr fontId="1" type="noConversion"/>
  </si>
  <si>
    <t>纺织婆婆</t>
    <phoneticPr fontId="1" type="noConversion"/>
  </si>
  <si>
    <t>10,14</t>
    <phoneticPr fontId="1" type="noConversion"/>
  </si>
  <si>
    <t>班尼迪克</t>
  </si>
  <si>
    <t>马</t>
  </si>
  <si>
    <t>玛德琳</t>
  </si>
  <si>
    <t>布莱兹</t>
  </si>
  <si>
    <t>亚度尼斯</t>
  </si>
  <si>
    <t>莎拉</t>
  </si>
  <si>
    <t>占卜婆婆</t>
  </si>
  <si>
    <t>罗伊</t>
  </si>
  <si>
    <t>天使</t>
  </si>
  <si>
    <t>希尔达</t>
  </si>
  <si>
    <t>布蓝达</t>
  </si>
  <si>
    <t>朵儿洁</t>
  </si>
  <si>
    <t>马勒第兹</t>
  </si>
  <si>
    <t>考波特</t>
  </si>
  <si>
    <t>夏佐</t>
  </si>
  <si>
    <t>爱格伯特</t>
  </si>
  <si>
    <t>杰克</t>
  </si>
  <si>
    <t>黛娜</t>
  </si>
  <si>
    <t>阿普敦</t>
  </si>
  <si>
    <t>爱丽丝</t>
  </si>
  <si>
    <t>纺织婆婆</t>
  </si>
  <si>
    <t>id</t>
    <phoneticPr fontId="2" type="noConversion"/>
  </si>
  <si>
    <t>npcName</t>
    <phoneticPr fontId="2" type="noConversion"/>
  </si>
  <si>
    <t>11,2</t>
    <phoneticPr fontId="1" type="noConversion"/>
  </si>
  <si>
    <t>mapNpcDatas</t>
  </si>
  <si>
    <t>MapNpcData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</si>
</sst>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36"/>
  <sheetViews>
    <sheetView tabSelected="1" zoomScaleNormal="100" workbookViewId="0">
      <pane xSplit="1" ySplit="3" topLeftCell="B7" activePane="bottomRight" state="frozen"/>
      <selection pane="topRight" activeCell="B1" sqref="B1"/>
      <selection pane="bottomLeft" activeCell="A4" sqref="A4"/>
      <selection pane="bottomRight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16.125" style="2" customWidth="1"/>
    <col min="7" max="16384" width="7.75" style="1"/>
  </cols>
  <sheetData>
    <row r="1" spans="1:6" x14ac:dyDescent="0.15">
      <c r="A1" s="1" t="s">
        <v>100</v>
      </c>
      <c r="B1" s="1" t="s">
        <v>99</v>
      </c>
    </row>
    <row r="2" spans="1:6" x14ac:dyDescent="0.15">
      <c r="A2" s="1" t="s">
        <v>1</v>
      </c>
      <c r="B2" s="1" t="s">
        <v>0</v>
      </c>
      <c r="C2" s="1" t="s">
        <v>0</v>
      </c>
      <c r="D2" s="1" t="s">
        <v>5</v>
      </c>
      <c r="E2" s="1" t="s">
        <v>0</v>
      </c>
      <c r="F2" s="2" t="s">
        <v>10</v>
      </c>
    </row>
    <row r="3" spans="1:6" x14ac:dyDescent="0.15">
      <c r="A3" s="1" t="s">
        <v>3</v>
      </c>
      <c r="B3" s="1" t="s">
        <v>2</v>
      </c>
      <c r="C3" s="1" t="s">
        <v>4</v>
      </c>
      <c r="D3" s="1" t="s">
        <v>6</v>
      </c>
      <c r="E3" s="1" t="s">
        <v>7</v>
      </c>
      <c r="F3" s="2" t="s">
        <v>11</v>
      </c>
    </row>
    <row r="4" spans="1:6" x14ac:dyDescent="0.15">
      <c r="A4" s="1" t="s">
        <v>17</v>
      </c>
      <c r="B4" s="1">
        <v>3000</v>
      </c>
      <c r="C4" s="1">
        <f>VLOOKUP(A4,Sheet1!$E$16:$F$55,2,FALSE)</f>
        <v>3</v>
      </c>
      <c r="D4" s="1" t="b">
        <v>1</v>
      </c>
      <c r="E4" s="1">
        <v>1014</v>
      </c>
      <c r="F4" s="2" t="s">
        <v>16</v>
      </c>
    </row>
    <row r="5" spans="1:6" x14ac:dyDescent="0.15">
      <c r="A5" s="1" t="s">
        <v>8</v>
      </c>
      <c r="B5" s="1">
        <v>3001</v>
      </c>
      <c r="C5" s="1">
        <f>VLOOKUP(A5,Sheet1!$E$16:$F$55,2,FALSE)</f>
        <v>4</v>
      </c>
      <c r="D5" s="1" t="b">
        <v>1</v>
      </c>
      <c r="E5" s="1">
        <v>-1000</v>
      </c>
      <c r="F5" s="2" t="s">
        <v>12</v>
      </c>
    </row>
    <row r="6" spans="1:6" x14ac:dyDescent="0.15">
      <c r="A6" s="1" t="s">
        <v>9</v>
      </c>
      <c r="B6" s="1">
        <v>2000</v>
      </c>
      <c r="C6" s="1">
        <f>VLOOKUP(A6,Sheet1!$E$16:$F$55,2,FALSE)</f>
        <v>6</v>
      </c>
      <c r="D6" s="1" t="b">
        <v>1</v>
      </c>
      <c r="E6" s="1">
        <v>948</v>
      </c>
      <c r="F6" s="2" t="s">
        <v>13</v>
      </c>
    </row>
    <row r="7" spans="1:6" x14ac:dyDescent="0.15">
      <c r="A7" s="1" t="s">
        <v>14</v>
      </c>
      <c r="B7" s="1">
        <v>2001</v>
      </c>
      <c r="C7" s="1">
        <f>VLOOKUP(A7,Sheet1!$E$16:$F$55,2,FALSE)</f>
        <v>5</v>
      </c>
      <c r="D7" s="1" t="b">
        <v>1</v>
      </c>
      <c r="E7" s="1">
        <v>948</v>
      </c>
      <c r="F7" s="2" t="s">
        <v>15</v>
      </c>
    </row>
    <row r="8" spans="1:6" x14ac:dyDescent="0.15">
      <c r="A8" s="1" t="s">
        <v>18</v>
      </c>
      <c r="B8" s="1">
        <v>2002</v>
      </c>
      <c r="C8" s="1">
        <f>VLOOKUP(A8,Sheet1!$E$16:$F$55,2,FALSE)</f>
        <v>7</v>
      </c>
      <c r="D8" s="1" t="b">
        <v>1</v>
      </c>
      <c r="E8" s="1">
        <v>900</v>
      </c>
      <c r="F8" s="2" t="s">
        <v>21</v>
      </c>
    </row>
    <row r="9" spans="1:6" x14ac:dyDescent="0.15">
      <c r="A9" s="1" t="s">
        <v>19</v>
      </c>
      <c r="B9" s="1">
        <v>2003</v>
      </c>
      <c r="C9" s="1">
        <f>VLOOKUP(A9,Sheet1!$E$16:$F$55,2,FALSE)</f>
        <v>8</v>
      </c>
      <c r="D9" s="1" t="b">
        <v>1</v>
      </c>
      <c r="E9" s="1">
        <v>900</v>
      </c>
      <c r="F9" s="2" t="s">
        <v>20</v>
      </c>
    </row>
    <row r="10" spans="1:6" x14ac:dyDescent="0.15">
      <c r="A10" s="3" t="s">
        <v>22</v>
      </c>
      <c r="B10" s="1">
        <v>2004</v>
      </c>
      <c r="C10" s="1">
        <f>VLOOKUP(A10,Sheet1!$E$16:$F$55,2,FALSE)</f>
        <v>10</v>
      </c>
      <c r="D10" s="1" t="b">
        <v>1</v>
      </c>
      <c r="E10" s="1">
        <v>5170</v>
      </c>
      <c r="F10" s="2" t="s">
        <v>63</v>
      </c>
    </row>
    <row r="11" spans="1:6" x14ac:dyDescent="0.15">
      <c r="A11" s="1" t="s">
        <v>23</v>
      </c>
      <c r="B11" s="1">
        <v>2005</v>
      </c>
      <c r="C11" s="1">
        <f>VLOOKUP(A11,Sheet1!$E$16:$F$55,2,FALSE)</f>
        <v>31</v>
      </c>
      <c r="D11" s="1" t="b">
        <v>1</v>
      </c>
      <c r="E11" s="1">
        <v>5170</v>
      </c>
      <c r="F11" s="2" t="s">
        <v>64</v>
      </c>
    </row>
    <row r="12" spans="1:6" x14ac:dyDescent="0.15">
      <c r="A12" s="1" t="s">
        <v>28</v>
      </c>
      <c r="B12" s="1">
        <v>2006</v>
      </c>
      <c r="C12" s="1">
        <f>VLOOKUP(A12,Sheet1!$E$16:$F$55,2,FALSE)</f>
        <v>16</v>
      </c>
      <c r="D12" s="1" t="b">
        <v>1</v>
      </c>
      <c r="E12" s="1">
        <v>1014</v>
      </c>
      <c r="F12" s="2" t="s">
        <v>25</v>
      </c>
    </row>
    <row r="13" spans="1:6" x14ac:dyDescent="0.15">
      <c r="A13" s="1" t="s">
        <v>26</v>
      </c>
      <c r="B13" s="1">
        <v>2007</v>
      </c>
      <c r="C13" s="1">
        <f>VLOOKUP(A13,Sheet1!$E$16:$F$55,2,FALSE)</f>
        <v>17</v>
      </c>
      <c r="D13" s="1" t="b">
        <v>1</v>
      </c>
      <c r="E13" s="1">
        <v>1014</v>
      </c>
      <c r="F13" s="2" t="s">
        <v>27</v>
      </c>
    </row>
    <row r="14" spans="1:6" x14ac:dyDescent="0.15">
      <c r="A14" s="1" t="s">
        <v>24</v>
      </c>
      <c r="B14" s="1">
        <v>2008</v>
      </c>
      <c r="C14" s="1">
        <f>VLOOKUP(A14,Sheet1!$E$16:$F$55,2,FALSE)</f>
        <v>14</v>
      </c>
      <c r="D14" s="1" t="b">
        <v>1</v>
      </c>
      <c r="E14" s="1">
        <v>2180</v>
      </c>
      <c r="F14" s="2" t="s">
        <v>29</v>
      </c>
    </row>
    <row r="15" spans="1:6" x14ac:dyDescent="0.15">
      <c r="A15" s="1" t="s">
        <v>30</v>
      </c>
      <c r="B15" s="1">
        <v>2009</v>
      </c>
      <c r="C15" s="1">
        <f>VLOOKUP(A15,Sheet1!$E$16:$F$55,2,FALSE)</f>
        <v>40</v>
      </c>
      <c r="D15" s="1" t="b">
        <v>1</v>
      </c>
      <c r="E15" s="1">
        <v>2180</v>
      </c>
      <c r="F15" s="2" t="s">
        <v>31</v>
      </c>
    </row>
    <row r="16" spans="1:6" x14ac:dyDescent="0.15">
      <c r="A16" s="1" t="s">
        <v>32</v>
      </c>
      <c r="B16" s="1">
        <v>2010</v>
      </c>
      <c r="C16" s="1">
        <f>VLOOKUP(A16,Sheet1!$E$16:$F$55,2,FALSE)</f>
        <v>36</v>
      </c>
      <c r="D16" s="1" t="b">
        <v>1</v>
      </c>
      <c r="E16" s="1">
        <v>2180</v>
      </c>
      <c r="F16" s="2" t="s">
        <v>33</v>
      </c>
    </row>
    <row r="17" spans="1:6" x14ac:dyDescent="0.15">
      <c r="A17" s="1" t="s">
        <v>34</v>
      </c>
      <c r="B17" s="1">
        <v>2011</v>
      </c>
      <c r="C17" s="1">
        <f>VLOOKUP(A17,Sheet1!$E$16:$F$55,2,FALSE)</f>
        <v>22</v>
      </c>
      <c r="D17" s="1" t="b">
        <v>1</v>
      </c>
      <c r="E17" s="1">
        <v>3056</v>
      </c>
      <c r="F17" s="2" t="s">
        <v>35</v>
      </c>
    </row>
    <row r="18" spans="1:6" x14ac:dyDescent="0.15">
      <c r="A18" s="1" t="s">
        <v>36</v>
      </c>
      <c r="B18" s="1">
        <v>2012</v>
      </c>
      <c r="C18" s="1">
        <f>VLOOKUP(A18,Sheet1!$E$16:$F$55,2,FALSE)</f>
        <v>25</v>
      </c>
      <c r="D18" s="1" t="b">
        <v>1</v>
      </c>
      <c r="E18" s="1">
        <v>3056</v>
      </c>
      <c r="F18" s="2" t="s">
        <v>37</v>
      </c>
    </row>
    <row r="19" spans="1:6" x14ac:dyDescent="0.15">
      <c r="A19" s="1" t="s">
        <v>39</v>
      </c>
      <c r="B19" s="1">
        <v>2013</v>
      </c>
      <c r="C19" s="1">
        <f>VLOOKUP(A19,Sheet1!$E$16:$F$55,2,FALSE)</f>
        <v>23</v>
      </c>
      <c r="D19" s="1" t="b">
        <v>1</v>
      </c>
      <c r="E19" s="1">
        <v>2015</v>
      </c>
      <c r="F19" s="2" t="s">
        <v>38</v>
      </c>
    </row>
    <row r="20" spans="1:6" x14ac:dyDescent="0.15">
      <c r="A20" s="1" t="s">
        <v>40</v>
      </c>
      <c r="B20" s="1">
        <v>2014</v>
      </c>
      <c r="C20" s="1">
        <f>VLOOKUP(A20,Sheet1!$E$16:$F$55,2,FALSE)</f>
        <v>26</v>
      </c>
      <c r="D20" s="1" t="b">
        <v>1</v>
      </c>
      <c r="E20" s="1">
        <v>2902</v>
      </c>
      <c r="F20" s="2" t="s">
        <v>41</v>
      </c>
    </row>
    <row r="21" spans="1:6" x14ac:dyDescent="0.15">
      <c r="A21" s="1" t="s">
        <v>43</v>
      </c>
      <c r="B21" s="1">
        <v>2015</v>
      </c>
      <c r="C21" s="1">
        <f>VLOOKUP(A21,Sheet1!$E$16:$F$55,2,FALSE)</f>
        <v>34</v>
      </c>
      <c r="D21" s="1" t="b">
        <v>1</v>
      </c>
      <c r="E21" s="1">
        <v>1912</v>
      </c>
      <c r="F21" s="2" t="s">
        <v>42</v>
      </c>
    </row>
    <row r="22" spans="1:6" x14ac:dyDescent="0.15">
      <c r="A22" s="1" t="s">
        <v>44</v>
      </c>
      <c r="B22" s="1">
        <v>2016</v>
      </c>
      <c r="C22" s="1">
        <f>VLOOKUP(A22,Sheet1!$E$16:$F$55,2,FALSE)</f>
        <v>19</v>
      </c>
      <c r="D22" s="1" t="b">
        <v>1</v>
      </c>
      <c r="E22" s="1">
        <v>1756</v>
      </c>
      <c r="F22" s="2" t="s">
        <v>45</v>
      </c>
    </row>
    <row r="23" spans="1:6" x14ac:dyDescent="0.15">
      <c r="A23" s="1" t="s">
        <v>46</v>
      </c>
      <c r="B23" s="1">
        <v>2017</v>
      </c>
      <c r="C23" s="1">
        <f>VLOOKUP(A23,Sheet1!$E$16:$F$55,2,FALSE)</f>
        <v>37</v>
      </c>
      <c r="D23" s="1" t="b">
        <v>1</v>
      </c>
      <c r="E23" s="1">
        <v>1756</v>
      </c>
      <c r="F23" s="2" t="s">
        <v>47</v>
      </c>
    </row>
    <row r="24" spans="1:6" x14ac:dyDescent="0.15">
      <c r="A24" s="1" t="s">
        <v>48</v>
      </c>
      <c r="B24" s="1">
        <v>2018</v>
      </c>
      <c r="C24" s="1">
        <f>VLOOKUP(A24,Sheet1!$E$16:$F$55,2,FALSE)</f>
        <v>39</v>
      </c>
      <c r="D24" s="1" t="b">
        <v>1</v>
      </c>
      <c r="E24" s="1">
        <v>1912</v>
      </c>
      <c r="F24" s="2" t="s">
        <v>49</v>
      </c>
    </row>
    <row r="25" spans="1:6" x14ac:dyDescent="0.15">
      <c r="A25" s="1" t="s">
        <v>50</v>
      </c>
      <c r="B25" s="1">
        <v>2019</v>
      </c>
      <c r="C25" s="1">
        <f>VLOOKUP(A25,Sheet1!$E$16:$F$55,2,FALSE)</f>
        <v>9</v>
      </c>
      <c r="D25" s="1" t="b">
        <v>1</v>
      </c>
      <c r="E25" s="1">
        <v>5170</v>
      </c>
      <c r="F25" s="2" t="s">
        <v>62</v>
      </c>
    </row>
    <row r="26" spans="1:6" x14ac:dyDescent="0.15">
      <c r="A26" s="1" t="s">
        <v>51</v>
      </c>
      <c r="B26" s="1">
        <v>2020</v>
      </c>
      <c r="C26" s="1">
        <f>VLOOKUP(A26,Sheet1!$E$16:$F$55,2,FALSE)</f>
        <v>12</v>
      </c>
      <c r="D26" s="1" t="b">
        <v>1</v>
      </c>
      <c r="E26" s="1">
        <v>4800</v>
      </c>
      <c r="F26" s="2" t="s">
        <v>61</v>
      </c>
    </row>
    <row r="27" spans="1:6" x14ac:dyDescent="0.15">
      <c r="A27" s="1" t="s">
        <v>52</v>
      </c>
      <c r="B27" s="1">
        <v>2021</v>
      </c>
      <c r="C27" s="1">
        <f>VLOOKUP(A27,Sheet1!$E$16:$F$55,2,FALSE)</f>
        <v>29</v>
      </c>
      <c r="D27" s="1" t="b">
        <v>1</v>
      </c>
      <c r="E27" s="1">
        <v>4918</v>
      </c>
      <c r="F27" s="2" t="s">
        <v>65</v>
      </c>
    </row>
    <row r="28" spans="1:6" x14ac:dyDescent="0.15">
      <c r="A28" s="1" t="s">
        <v>53</v>
      </c>
      <c r="B28" s="1">
        <v>2022</v>
      </c>
      <c r="C28" s="1">
        <f>VLOOKUP(A28,Sheet1!$E$16:$F$55,2,FALSE)</f>
        <v>18</v>
      </c>
      <c r="D28" s="1" t="b">
        <v>1</v>
      </c>
      <c r="E28" s="1">
        <v>5013</v>
      </c>
      <c r="F28" s="2" t="s">
        <v>66</v>
      </c>
    </row>
    <row r="29" spans="1:6" x14ac:dyDescent="0.15">
      <c r="A29" s="1" t="s">
        <v>54</v>
      </c>
      <c r="B29" s="1">
        <v>2023</v>
      </c>
      <c r="C29" s="1">
        <f>VLOOKUP(A29,Sheet1!$E$16:$F$55,2,FALSE)</f>
        <v>38</v>
      </c>
      <c r="D29" s="1" t="b">
        <v>1</v>
      </c>
      <c r="E29" s="1">
        <v>5013</v>
      </c>
      <c r="F29" s="2" t="s">
        <v>67</v>
      </c>
    </row>
    <row r="30" spans="1:6" x14ac:dyDescent="0.15">
      <c r="A30" s="1" t="s">
        <v>55</v>
      </c>
      <c r="B30" s="1">
        <v>2024</v>
      </c>
      <c r="C30" s="1">
        <f>VLOOKUP(A30,Sheet1!$E$16:$F$55,2,FALSE)</f>
        <v>21</v>
      </c>
      <c r="D30" s="1" t="b">
        <v>1</v>
      </c>
      <c r="E30" s="1">
        <v>3300</v>
      </c>
      <c r="F30" s="2" t="s">
        <v>68</v>
      </c>
    </row>
    <row r="31" spans="1:6" x14ac:dyDescent="0.15">
      <c r="A31" s="1" t="s">
        <v>56</v>
      </c>
      <c r="B31" s="1">
        <v>2025</v>
      </c>
      <c r="C31" s="1">
        <f>VLOOKUP(A31,Sheet1!$E$16:$F$55,2,FALSE)</f>
        <v>24</v>
      </c>
      <c r="D31" s="1" t="b">
        <v>1</v>
      </c>
      <c r="E31" s="1">
        <v>4765</v>
      </c>
      <c r="F31" s="2" t="s">
        <v>69</v>
      </c>
    </row>
    <row r="32" spans="1:6" x14ac:dyDescent="0.15">
      <c r="A32" s="1" t="s">
        <v>57</v>
      </c>
      <c r="B32" s="1">
        <v>2026</v>
      </c>
      <c r="C32" s="1">
        <f>VLOOKUP(A32,Sheet1!$E$16:$F$55,2,FALSE)</f>
        <v>35</v>
      </c>
      <c r="D32" s="1" t="b">
        <v>1</v>
      </c>
      <c r="E32" s="1">
        <v>4696</v>
      </c>
      <c r="F32" s="2" t="s">
        <v>70</v>
      </c>
    </row>
    <row r="33" spans="1:6" x14ac:dyDescent="0.15">
      <c r="A33" s="1" t="s">
        <v>58</v>
      </c>
      <c r="B33" s="1">
        <v>2027</v>
      </c>
      <c r="C33" s="1">
        <f>VLOOKUP(A33,Sheet1!$E$16:$F$55,2,FALSE)</f>
        <v>28</v>
      </c>
      <c r="D33" s="1" t="b">
        <v>1</v>
      </c>
      <c r="E33" s="1">
        <v>5476</v>
      </c>
      <c r="F33" s="2" t="s">
        <v>98</v>
      </c>
    </row>
    <row r="34" spans="1:6" x14ac:dyDescent="0.15">
      <c r="A34" s="1" t="s">
        <v>59</v>
      </c>
      <c r="B34" s="1">
        <v>2028</v>
      </c>
      <c r="C34" s="1">
        <f>VLOOKUP(A34,Sheet1!$E$16:$F$55,2,FALSE)</f>
        <v>27</v>
      </c>
      <c r="D34" s="1" t="b">
        <v>1</v>
      </c>
      <c r="E34" s="1">
        <v>5476</v>
      </c>
      <c r="F34" s="2" t="s">
        <v>72</v>
      </c>
    </row>
    <row r="35" spans="1:6" x14ac:dyDescent="0.15">
      <c r="A35" s="1" t="s">
        <v>60</v>
      </c>
      <c r="B35" s="1">
        <v>2029</v>
      </c>
      <c r="C35" s="1">
        <f>VLOOKUP(A35,Sheet1!$E$16:$F$55,2,FALSE)</f>
        <v>30</v>
      </c>
      <c r="D35" s="1" t="b">
        <v>1</v>
      </c>
      <c r="E35" s="1">
        <v>5293</v>
      </c>
      <c r="F35" s="2" t="s">
        <v>71</v>
      </c>
    </row>
    <row r="36" spans="1:6" x14ac:dyDescent="0.15">
      <c r="A36" s="4" t="s">
        <v>73</v>
      </c>
      <c r="B36" s="1">
        <v>2030</v>
      </c>
      <c r="C36" s="1">
        <f>VLOOKUP(A36,Sheet1!$E$16:$F$55,2,FALSE)</f>
        <v>41</v>
      </c>
      <c r="D36" s="1" t="b">
        <v>1</v>
      </c>
      <c r="E36" s="1">
        <v>5309</v>
      </c>
      <c r="F36" s="2" t="s">
        <v>74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E16:F55"/>
  <sheetViews>
    <sheetView workbookViewId="0">
      <selection activeCell="J20" sqref="J20:J21"/>
    </sheetView>
  </sheetViews>
  <sheetFormatPr defaultRowHeight="13.5" x14ac:dyDescent="0.15"/>
  <sheetData>
    <row r="16" spans="5:6" x14ac:dyDescent="0.15">
      <c r="E16" s="3" t="s">
        <v>97</v>
      </c>
      <c r="F16" s="3" t="s">
        <v>96</v>
      </c>
    </row>
    <row r="17" spans="5:6" x14ac:dyDescent="0.15">
      <c r="E17" t="s">
        <v>75</v>
      </c>
      <c r="F17">
        <v>3</v>
      </c>
    </row>
    <row r="18" spans="5:6" x14ac:dyDescent="0.15">
      <c r="E18" t="s">
        <v>76</v>
      </c>
      <c r="F18">
        <v>4</v>
      </c>
    </row>
    <row r="19" spans="5:6" x14ac:dyDescent="0.15">
      <c r="E19" t="s">
        <v>77</v>
      </c>
      <c r="F19">
        <v>5</v>
      </c>
    </row>
    <row r="20" spans="5:6" x14ac:dyDescent="0.15">
      <c r="E20" t="s">
        <v>78</v>
      </c>
      <c r="F20">
        <v>6</v>
      </c>
    </row>
    <row r="21" spans="5:6" x14ac:dyDescent="0.15">
      <c r="E21" t="s">
        <v>18</v>
      </c>
      <c r="F21">
        <v>7</v>
      </c>
    </row>
    <row r="22" spans="5:6" x14ac:dyDescent="0.15">
      <c r="E22" t="s">
        <v>19</v>
      </c>
      <c r="F22">
        <v>8</v>
      </c>
    </row>
    <row r="23" spans="5:6" x14ac:dyDescent="0.15">
      <c r="E23" t="s">
        <v>79</v>
      </c>
      <c r="F23">
        <v>9</v>
      </c>
    </row>
    <row r="24" spans="5:6" x14ac:dyDescent="0.15">
      <c r="E24" t="s">
        <v>22</v>
      </c>
      <c r="F24">
        <v>10</v>
      </c>
    </row>
    <row r="25" spans="5:6" x14ac:dyDescent="0.15">
      <c r="E25" t="s">
        <v>80</v>
      </c>
      <c r="F25">
        <v>11</v>
      </c>
    </row>
    <row r="26" spans="5:6" x14ac:dyDescent="0.15">
      <c r="E26" t="s">
        <v>81</v>
      </c>
      <c r="F26">
        <v>12</v>
      </c>
    </row>
    <row r="27" spans="5:6" x14ac:dyDescent="0.15">
      <c r="E27" t="s">
        <v>82</v>
      </c>
      <c r="F27">
        <v>13</v>
      </c>
    </row>
    <row r="28" spans="5:6" x14ac:dyDescent="0.15">
      <c r="E28" t="s">
        <v>24</v>
      </c>
      <c r="F28">
        <v>14</v>
      </c>
    </row>
    <row r="29" spans="5:6" x14ac:dyDescent="0.15">
      <c r="E29" t="s">
        <v>83</v>
      </c>
      <c r="F29">
        <v>15</v>
      </c>
    </row>
    <row r="30" spans="5:6" x14ac:dyDescent="0.15">
      <c r="E30" t="s">
        <v>28</v>
      </c>
      <c r="F30">
        <v>16</v>
      </c>
    </row>
    <row r="31" spans="5:6" x14ac:dyDescent="0.15">
      <c r="E31" t="s">
        <v>26</v>
      </c>
      <c r="F31">
        <v>17</v>
      </c>
    </row>
    <row r="32" spans="5:6" x14ac:dyDescent="0.15">
      <c r="E32" t="s">
        <v>84</v>
      </c>
      <c r="F32">
        <v>18</v>
      </c>
    </row>
    <row r="33" spans="5:6" x14ac:dyDescent="0.15">
      <c r="E33" t="s">
        <v>44</v>
      </c>
      <c r="F33">
        <v>19</v>
      </c>
    </row>
    <row r="34" spans="5:6" x14ac:dyDescent="0.15">
      <c r="E34" t="s">
        <v>78</v>
      </c>
      <c r="F34">
        <v>20</v>
      </c>
    </row>
    <row r="35" spans="5:6" x14ac:dyDescent="0.15">
      <c r="E35" t="s">
        <v>85</v>
      </c>
      <c r="F35">
        <v>21</v>
      </c>
    </row>
    <row r="36" spans="5:6" x14ac:dyDescent="0.15">
      <c r="E36" t="s">
        <v>34</v>
      </c>
      <c r="F36">
        <v>22</v>
      </c>
    </row>
    <row r="37" spans="5:6" x14ac:dyDescent="0.15">
      <c r="E37" t="s">
        <v>39</v>
      </c>
      <c r="F37">
        <v>23</v>
      </c>
    </row>
    <row r="38" spans="5:6" x14ac:dyDescent="0.15">
      <c r="E38" t="s">
        <v>86</v>
      </c>
      <c r="F38">
        <v>24</v>
      </c>
    </row>
    <row r="39" spans="5:6" x14ac:dyDescent="0.15">
      <c r="E39" t="s">
        <v>36</v>
      </c>
      <c r="F39">
        <v>25</v>
      </c>
    </row>
    <row r="40" spans="5:6" x14ac:dyDescent="0.15">
      <c r="E40" t="s">
        <v>40</v>
      </c>
      <c r="F40">
        <v>26</v>
      </c>
    </row>
    <row r="41" spans="5:6" x14ac:dyDescent="0.15">
      <c r="E41" t="s">
        <v>87</v>
      </c>
      <c r="F41">
        <v>27</v>
      </c>
    </row>
    <row r="42" spans="5:6" x14ac:dyDescent="0.15">
      <c r="E42" t="s">
        <v>88</v>
      </c>
      <c r="F42">
        <v>28</v>
      </c>
    </row>
    <row r="43" spans="5:6" x14ac:dyDescent="0.15">
      <c r="E43" t="s">
        <v>89</v>
      </c>
      <c r="F43">
        <v>29</v>
      </c>
    </row>
    <row r="44" spans="5:6" x14ac:dyDescent="0.15">
      <c r="E44" t="s">
        <v>90</v>
      </c>
      <c r="F44">
        <v>30</v>
      </c>
    </row>
    <row r="45" spans="5:6" x14ac:dyDescent="0.15">
      <c r="E45" t="s">
        <v>23</v>
      </c>
      <c r="F45">
        <v>31</v>
      </c>
    </row>
    <row r="46" spans="5:6" x14ac:dyDescent="0.15">
      <c r="E46" t="s">
        <v>91</v>
      </c>
      <c r="F46">
        <v>32</v>
      </c>
    </row>
    <row r="47" spans="5:6" x14ac:dyDescent="0.15">
      <c r="E47" t="s">
        <v>92</v>
      </c>
      <c r="F47">
        <v>33</v>
      </c>
    </row>
    <row r="48" spans="5:6" x14ac:dyDescent="0.15">
      <c r="E48" t="s">
        <v>43</v>
      </c>
      <c r="F48">
        <v>34</v>
      </c>
    </row>
    <row r="49" spans="5:6" x14ac:dyDescent="0.15">
      <c r="E49" t="s">
        <v>93</v>
      </c>
      <c r="F49">
        <v>35</v>
      </c>
    </row>
    <row r="50" spans="5:6" x14ac:dyDescent="0.15">
      <c r="E50" t="s">
        <v>32</v>
      </c>
      <c r="F50">
        <v>36</v>
      </c>
    </row>
    <row r="51" spans="5:6" x14ac:dyDescent="0.15">
      <c r="E51" t="s">
        <v>46</v>
      </c>
      <c r="F51">
        <v>37</v>
      </c>
    </row>
    <row r="52" spans="5:6" x14ac:dyDescent="0.15">
      <c r="E52" t="s">
        <v>94</v>
      </c>
      <c r="F52">
        <v>38</v>
      </c>
    </row>
    <row r="53" spans="5:6" x14ac:dyDescent="0.15">
      <c r="E53" t="s">
        <v>48</v>
      </c>
      <c r="F53">
        <v>39</v>
      </c>
    </row>
    <row r="54" spans="5:6" x14ac:dyDescent="0.15">
      <c r="E54" t="s">
        <v>30</v>
      </c>
      <c r="F54">
        <v>40</v>
      </c>
    </row>
    <row r="55" spans="5:6" x14ac:dyDescent="0.15">
      <c r="E55" t="s">
        <v>95</v>
      </c>
      <c r="F55">
        <v>41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MapNpcData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2024-08-07T04:38:02Z</dcterms:modified>
</cp:coreProperties>
</file>