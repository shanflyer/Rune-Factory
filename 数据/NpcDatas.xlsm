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NpcDatas" sheetId="1" r:id="rId1"/>
    <sheet name="Sheet3" sheetId="4" r:id="rId2"/>
    <sheet name="Sheet4" sheetId="5" r:id="rId3"/>
    <sheet name="Sheet1" sheetId="2" r:id="rId4"/>
    <sheet name="Sheet5" sheetId="6" r:id="rId5"/>
    <sheet name="Sheet2" sheetId="3" r:id="rId6"/>
  </sheets>
  <definedNames>
    <definedName name="_xlnm._FilterDatabase" localSheetId="0" hidden="1">NpcDatas!$A$3:$F$60</definedName>
    <definedName name="_xlnm._FilterDatabase" localSheetId="3" hidden="1">Sheet1!$A$2:$Z$22</definedName>
    <definedName name="_xlnm._FilterDatabase" localSheetId="5" hidden="1">Sheet2!$H$1:$L$112</definedName>
  </definedNames>
  <calcPr calcId="152511"/>
  <pivotCaches>
    <pivotCache cacheId="8" r:id="rId7"/>
    <pivotCache cacheId="9" r:id="rId8"/>
  </pivotCaches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3" i="2"/>
  <c r="N4" i="2" l="1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3" i="2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" i="3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1" i="6"/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3" i="2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" i="3"/>
  <c r="S23" i="2" l="1"/>
</calcChain>
</file>

<file path=xl/comments1.xml><?xml version="1.0" encoding="utf-8"?>
<comments xmlns="http://schemas.openxmlformats.org/spreadsheetml/2006/main">
  <authors>
    <author>Administrator</author>
  </authors>
  <commentList>
    <comment ref="AM2" authorId="0" shapeId="0">
      <text>
        <r>
          <rPr>
            <b/>
            <sz val="9"/>
            <color indexed="81"/>
            <rFont val="宋体"/>
            <family val="3"/>
            <charset val="134"/>
          </rPr>
          <t>无=0,火=1,光 =2,  暗 =3,风 =4,冰 =5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<sst xmlns="http://schemas.openxmlformats.org/spreadsheetml/2006/main" count="935" uniqueCount="589">
  <si>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</si>
  <si>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</si>
  <si>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</si>
  <si>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</si>
  <si>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professionId</t>
  </si>
  <si>
    <t>int</t>
    <phoneticPr fontId="1" type="noConversion"/>
  </si>
  <si>
    <t>level</t>
  </si>
  <si>
    <t>exp</t>
    <phoneticPr fontId="1" type="noConversion"/>
  </si>
  <si>
    <t>hp</t>
    <phoneticPr fontId="1" type="noConversion"/>
  </si>
  <si>
    <t>npcStatus</t>
    <phoneticPr fontId="1" type="noConversion"/>
  </si>
  <si>
    <t>ObjName</t>
  </si>
  <si>
    <t>ImageName</t>
  </si>
  <si>
    <t>headName</t>
  </si>
  <si>
    <t>brothSeason</t>
  </si>
  <si>
    <t>brothDate</t>
  </si>
  <si>
    <t>nowAge</t>
  </si>
  <si>
    <t>deathAge</t>
  </si>
  <si>
    <t>beahaveData</t>
  </si>
  <si>
    <t>friendlyLevel</t>
  </si>
  <si>
    <t>frienflyExp</t>
  </si>
  <si>
    <t>NoticeText</t>
  </si>
  <si>
    <t>failureTalk</t>
  </si>
  <si>
    <t>successfulTalk</t>
  </si>
  <si>
    <t>teamSuccessfulTalk</t>
  </si>
  <si>
    <t>teamfailureTalk0</t>
  </si>
  <si>
    <t>teamfailureTalk1</t>
  </si>
  <si>
    <t>LoveHobby</t>
  </si>
  <si>
    <t>LikeHobby</t>
  </si>
  <si>
    <t>loveGiftTalk</t>
  </si>
  <si>
    <t>likeGiftTalk</t>
  </si>
  <si>
    <t>normalGiftTalk</t>
  </si>
  <si>
    <t>normalTalks</t>
  </si>
  <si>
    <t>string</t>
    <phoneticPr fontId="1" type="noConversion"/>
  </si>
  <si>
    <t>布莱兹</t>
  </si>
  <si>
    <t>布拉德利</t>
  </si>
  <si>
    <t>格吉尔</t>
  </si>
  <si>
    <t>爱格伯特</t>
  </si>
  <si>
    <t>亚度尼斯</t>
  </si>
  <si>
    <t>梅林</t>
    <phoneticPr fontId="1" type="noConversion"/>
  </si>
  <si>
    <t>阿尔杰农</t>
  </si>
  <si>
    <t>奥蒂莉亚</t>
  </si>
  <si>
    <t>坎蒂丝</t>
  </si>
  <si>
    <t>丝特芬妮</t>
  </si>
  <si>
    <t>黛芙妮</t>
  </si>
  <si>
    <t>布蓝达</t>
  </si>
  <si>
    <t>希贝儿</t>
  </si>
  <si>
    <t>莱特</t>
  </si>
  <si>
    <t>班尼迪克</t>
  </si>
  <si>
    <t>帕特里克</t>
  </si>
  <si>
    <t>玛德琳</t>
  </si>
  <si>
    <t>多莉丝</t>
  </si>
  <si>
    <t>瓦尔特</t>
  </si>
  <si>
    <t>艾琳娜</t>
  </si>
  <si>
    <t>Boy</t>
    <phoneticPr fontId="1" type="noConversion"/>
  </si>
  <si>
    <t>boy1</t>
    <phoneticPr fontId="1" type="noConversion"/>
  </si>
  <si>
    <t>boy2</t>
  </si>
  <si>
    <t>boy3</t>
  </si>
  <si>
    <t>boy4</t>
  </si>
  <si>
    <t>FemaleMage</t>
  </si>
  <si>
    <t>general</t>
  </si>
  <si>
    <t>gril0</t>
  </si>
  <si>
    <t>gril1</t>
  </si>
  <si>
    <t>gril3</t>
    <phoneticPr fontId="1" type="noConversion"/>
  </si>
  <si>
    <t>gril4</t>
  </si>
  <si>
    <t>gril5</t>
  </si>
  <si>
    <t>gril6</t>
  </si>
  <si>
    <t>man</t>
    <phoneticPr fontId="1" type="noConversion"/>
  </si>
  <si>
    <t>oldMan1</t>
    <phoneticPr fontId="1" type="noConversion"/>
  </si>
  <si>
    <t>oldWoman</t>
    <phoneticPr fontId="1" type="noConversion"/>
  </si>
  <si>
    <t>Renyu</t>
    <phoneticPr fontId="1" type="noConversion"/>
  </si>
  <si>
    <t>Solider</t>
    <phoneticPr fontId="1" type="noConversion"/>
  </si>
  <si>
    <t>woman</t>
    <phoneticPr fontId="1" type="noConversion"/>
  </si>
  <si>
    <t>1_13</t>
    <phoneticPr fontId="1" type="noConversion"/>
  </si>
  <si>
    <t>1_57</t>
    <phoneticPr fontId="1" type="noConversion"/>
  </si>
  <si>
    <t>1_51</t>
    <phoneticPr fontId="1" type="noConversion"/>
  </si>
  <si>
    <t>1_64</t>
    <phoneticPr fontId="1" type="noConversion"/>
  </si>
  <si>
    <t>1_43</t>
    <phoneticPr fontId="1" type="noConversion"/>
  </si>
  <si>
    <t>1_40</t>
    <phoneticPr fontId="1" type="noConversion"/>
  </si>
  <si>
    <t>1_67</t>
    <phoneticPr fontId="1" type="noConversion"/>
  </si>
  <si>
    <t>1_16</t>
    <phoneticPr fontId="1" type="noConversion"/>
  </si>
  <si>
    <t>1_22</t>
    <phoneticPr fontId="1" type="noConversion"/>
  </si>
  <si>
    <t>1_46</t>
    <phoneticPr fontId="1" type="noConversion"/>
  </si>
  <si>
    <t>1_5</t>
    <phoneticPr fontId="1" type="noConversion"/>
  </si>
  <si>
    <t>1_11</t>
    <phoneticPr fontId="1" type="noConversion"/>
  </si>
  <si>
    <t>1_60</t>
    <phoneticPr fontId="1" type="noConversion"/>
  </si>
  <si>
    <t>1_50</t>
    <phoneticPr fontId="1" type="noConversion"/>
  </si>
  <si>
    <t>1_61</t>
    <phoneticPr fontId="1" type="noConversion"/>
  </si>
  <si>
    <t>1_56</t>
    <phoneticPr fontId="1" type="noConversion"/>
  </si>
  <si>
    <t>1_53</t>
    <phoneticPr fontId="1" type="noConversion"/>
  </si>
  <si>
    <t>1_59</t>
    <phoneticPr fontId="1" type="noConversion"/>
  </si>
  <si>
    <t>1_70</t>
    <phoneticPr fontId="1" type="noConversion"/>
  </si>
  <si>
    <t>1_26</t>
    <phoneticPr fontId="1" type="noConversion"/>
  </si>
  <si>
    <t>head_12</t>
    <phoneticPr fontId="1" type="noConversion"/>
  </si>
  <si>
    <t>head_10</t>
    <phoneticPr fontId="1" type="noConversion"/>
  </si>
  <si>
    <t>head_8</t>
    <phoneticPr fontId="1" type="noConversion"/>
  </si>
  <si>
    <t>head_21</t>
    <phoneticPr fontId="1" type="noConversion"/>
  </si>
  <si>
    <t>head_6</t>
    <phoneticPr fontId="1" type="noConversion"/>
  </si>
  <si>
    <t>head_5</t>
    <phoneticPr fontId="1" type="noConversion"/>
  </si>
  <si>
    <t>head_22</t>
    <phoneticPr fontId="1" type="noConversion"/>
  </si>
  <si>
    <t>head_13</t>
    <phoneticPr fontId="1" type="noConversion"/>
  </si>
  <si>
    <t>head_15</t>
    <phoneticPr fontId="1" type="noConversion"/>
  </si>
  <si>
    <t>head_14</t>
    <phoneticPr fontId="1" type="noConversion"/>
  </si>
  <si>
    <t>head_23</t>
    <phoneticPr fontId="1" type="noConversion"/>
  </si>
  <si>
    <t>head_4</t>
    <phoneticPr fontId="1" type="noConversion"/>
  </si>
  <si>
    <t>head_3</t>
    <phoneticPr fontId="1" type="noConversion"/>
  </si>
  <si>
    <t>head_11</t>
    <phoneticPr fontId="1" type="noConversion"/>
  </si>
  <si>
    <t>head_16</t>
    <phoneticPr fontId="1" type="noConversion"/>
  </si>
  <si>
    <t>head_19</t>
    <phoneticPr fontId="1" type="noConversion"/>
  </si>
  <si>
    <t>head_9</t>
    <phoneticPr fontId="1" type="noConversion"/>
  </si>
  <si>
    <t>head_17</t>
    <phoneticPr fontId="1" type="noConversion"/>
  </si>
  <si>
    <t>1;2002;5,6;8,6</t>
    <phoneticPr fontId="1" type="noConversion"/>
  </si>
  <si>
    <t>0;2003;6,8;6,8</t>
    <phoneticPr fontId="1" type="noConversion"/>
  </si>
  <si>
    <t>1;2003;5,10;7,10</t>
    <phoneticPr fontId="1" type="noConversion"/>
  </si>
  <si>
    <t>0;2006;7,9;7,9</t>
    <phoneticPr fontId="1" type="noConversion"/>
  </si>
  <si>
    <t>0;2005;7,8;7,8</t>
    <phoneticPr fontId="1" type="noConversion"/>
  </si>
  <si>
    <t>1;2006;8,10;10,10</t>
    <phoneticPr fontId="1" type="noConversion"/>
  </si>
  <si>
    <t>0;2007;4,4;4,4</t>
    <phoneticPr fontId="1" type="noConversion"/>
  </si>
  <si>
    <t>0;2007;9,10;9,10</t>
    <phoneticPr fontId="1" type="noConversion"/>
  </si>
  <si>
    <t>0;2008;6,7;6,7</t>
    <phoneticPr fontId="1" type="noConversion"/>
  </si>
  <si>
    <t>1;2008;4,8;7,8</t>
    <phoneticPr fontId="1" type="noConversion"/>
  </si>
  <si>
    <t>0;2009;8,5;8,5</t>
    <phoneticPr fontId="1" type="noConversion"/>
  </si>
  <si>
    <t>1;2006;6,6;9,6</t>
    <phoneticPr fontId="1" type="noConversion"/>
  </si>
  <si>
    <t>1;2000;6,4;8,5</t>
    <phoneticPr fontId="1" type="noConversion"/>
  </si>
  <si>
    <t>0;2001;6,10;6,10</t>
    <phoneticPr fontId="1" type="noConversion"/>
  </si>
  <si>
    <t>1;2007;6,11;8,11</t>
    <phoneticPr fontId="1" type="noConversion"/>
  </si>
  <si>
    <t>道具屋的老奶奶，无论对待谁都很和蔼，除了帕特里克爷爷，不知道他们年轻时发生了什么呢？</t>
    <phoneticPr fontId="1" type="noConversion"/>
  </si>
  <si>
    <t>小镇的镇长，对年轻一辈很照顾，常常一个人在广场上回忆逝去的时光。</t>
    <phoneticPr fontId="1" type="noConversion"/>
  </si>
  <si>
    <t>跟着叔叔在工具店工作，但对这份工作很没有兴趣，整日里打不起精神，实际上是一个很聪明的男孩。</t>
    <phoneticPr fontId="1" type="noConversion"/>
  </si>
  <si>
    <t>热心肠的男孩，干什么事都很热血，住在道具屋，很在意玛德琳奶奶。</t>
    <phoneticPr fontId="1" type="noConversion"/>
  </si>
  <si>
    <t>工具店的老板，因为大哥一家在一场意外中逝去，立下誓言要守护自己的侄子，经常会对侄子的行为而感到无奈。</t>
    <phoneticPr fontId="1" type="noConversion"/>
  </si>
  <si>
    <t>和姐姐一起生活在动物店，每日都重复着平静的生活，一直幻想着成为传说中的英雄。</t>
    <phoneticPr fontId="1" type="noConversion"/>
  </si>
  <si>
    <t>在很多年前因为未知的原因迁入小镇，独自抚养弟弟长大，是一个安静的美人。</t>
    <phoneticPr fontId="1" type="noConversion"/>
  </si>
  <si>
    <t>热衷于考古的学者，在小镇附近发现了古代帝国遗址的线索，所以留在小镇中。</t>
    <phoneticPr fontId="1" type="noConversion"/>
  </si>
  <si>
    <t>小镇中的吟游诗人，对自然的关注远远大于人。</t>
    <phoneticPr fontId="1" type="noConversion"/>
  </si>
  <si>
    <t>神秘的女魔法师，虽然看起来很年轻，实际却是在小镇形成之前就已经在此生活了。</t>
    <phoneticPr fontId="1" type="noConversion"/>
  </si>
  <si>
    <t>小镇的防卫官，从王国精锐部队退役的将军，管理者总共只有两人的防卫队。</t>
    <phoneticPr fontId="1" type="noConversion"/>
  </si>
  <si>
    <t>饮食店的姐妹花妹妹，是一个天真快乐的小姑娘。</t>
    <phoneticPr fontId="1" type="noConversion"/>
  </si>
  <si>
    <t>饮食店的姐妹花姐姐，做事情很认真，是饮食店的看板娘。</t>
    <phoneticPr fontId="1" type="noConversion"/>
  </si>
  <si>
    <t>作为单亲妈妈抚养了一对双胞胎成长，厨艺十分精湛，她的料理很受人们欢迎。</t>
    <phoneticPr fontId="1" type="noConversion"/>
  </si>
  <si>
    <t>冒失的魔法学徒，在婴儿时期被梅林捡到，对师父很崇拜，时常对自己的笨拙的魔法天赋感到苦恼。</t>
    <phoneticPr fontId="1" type="noConversion"/>
  </si>
  <si>
    <t>家具店可爱的前台小姐，只要看到了她的笑脸，任何人都会被感染。</t>
    <phoneticPr fontId="1" type="noConversion"/>
  </si>
  <si>
    <t>小镇上的富商，经营家具生意，年轻时曾游走大陆，交友很广泛。</t>
    <phoneticPr fontId="1" type="noConversion"/>
  </si>
  <si>
    <t>人鱼族的公主，因为未知的原因，生活在城外的水井里，似乎在守护着什么。</t>
    <phoneticPr fontId="1" type="noConversion"/>
  </si>
  <si>
    <t>年轻的士兵，责任感很强，虽然防卫队只有两个人，但他每天都会非常勤奋的巡视。</t>
    <phoneticPr fontId="1" type="noConversion"/>
  </si>
  <si>
    <t>流浪的舞女，最近对无尽的旅行感到厌烦而停在小镇上修整。</t>
    <phoneticPr fontId="1" type="noConversion"/>
  </si>
  <si>
    <t>zeroTalk</t>
    <phoneticPr fontId="1" type="noConversion"/>
  </si>
  <si>
    <t>黛芙妮</t>
    <phoneticPr fontId="1" type="noConversion"/>
  </si>
  <si>
    <t>布莱兹</t>
    <phoneticPr fontId="1" type="noConversion"/>
  </si>
  <si>
    <t>蔬菜</t>
    <phoneticPr fontId="1" type="noConversion"/>
  </si>
  <si>
    <t>鱼</t>
    <phoneticPr fontId="1" type="noConversion"/>
  </si>
  <si>
    <t>酒</t>
    <phoneticPr fontId="1" type="noConversion"/>
  </si>
  <si>
    <t>神秘物质</t>
    <phoneticPr fontId="1" type="noConversion"/>
  </si>
  <si>
    <t>水果</t>
    <phoneticPr fontId="1" type="noConversion"/>
  </si>
  <si>
    <t>烧烤</t>
    <phoneticPr fontId="1" type="noConversion"/>
  </si>
  <si>
    <t>凉餐</t>
    <phoneticPr fontId="1" type="noConversion"/>
  </si>
  <si>
    <t>刀剑</t>
    <phoneticPr fontId="1" type="noConversion"/>
  </si>
  <si>
    <t>鞭子</t>
    <phoneticPr fontId="1" type="noConversion"/>
  </si>
  <si>
    <t>铠甲</t>
    <phoneticPr fontId="1" type="noConversion"/>
  </si>
  <si>
    <t>衣服</t>
    <phoneticPr fontId="1" type="noConversion"/>
  </si>
  <si>
    <t>法杖</t>
    <phoneticPr fontId="1" type="noConversion"/>
  </si>
  <si>
    <t>石头</t>
    <phoneticPr fontId="1" type="noConversion"/>
  </si>
  <si>
    <t>兽血</t>
    <phoneticPr fontId="1" type="noConversion"/>
  </si>
  <si>
    <t>长枪</t>
    <phoneticPr fontId="1" type="noConversion"/>
  </si>
  <si>
    <t>罐头</t>
    <phoneticPr fontId="1" type="noConversion"/>
  </si>
  <si>
    <t>元素结晶</t>
    <phoneticPr fontId="1" type="noConversion"/>
  </si>
  <si>
    <t>花</t>
    <phoneticPr fontId="1" type="noConversion"/>
  </si>
  <si>
    <t>溶剂</t>
    <phoneticPr fontId="1" type="noConversion"/>
  </si>
  <si>
    <t>动物食材</t>
    <phoneticPr fontId="1" type="noConversion"/>
  </si>
  <si>
    <t>奥蒂莉亚</t>
    <phoneticPr fontId="1" type="noConversion"/>
  </si>
  <si>
    <t>格吉尔</t>
    <phoneticPr fontId="1" type="noConversion"/>
  </si>
  <si>
    <t>布拉德利</t>
    <phoneticPr fontId="1" type="noConversion"/>
  </si>
  <si>
    <t>多莉丝</t>
    <phoneticPr fontId="1" type="noConversion"/>
  </si>
  <si>
    <t>1100,1200,1300</t>
  </si>
  <si>
    <t>1101,1201,1301</t>
  </si>
  <si>
    <t>1102,1202,1302</t>
  </si>
  <si>
    <t>1103,1203,1303</t>
  </si>
  <si>
    <t>1104,1204,1304</t>
  </si>
  <si>
    <t>1105,1205,1305</t>
  </si>
  <si>
    <t>1106,1206,1306</t>
  </si>
  <si>
    <t>1107,1207,1307</t>
  </si>
  <si>
    <t>1108,1208,1308</t>
  </si>
  <si>
    <t>1109,1209,1309</t>
  </si>
  <si>
    <t>1110,1210,1310</t>
  </si>
  <si>
    <t>1111,1211,1311</t>
  </si>
  <si>
    <t>1112,1212,1312</t>
  </si>
  <si>
    <t>1113,1213,1313</t>
  </si>
  <si>
    <t>1114,1214,1314</t>
  </si>
  <si>
    <t>1115,1215,1315</t>
  </si>
  <si>
    <t>1116,1216,1316</t>
  </si>
  <si>
    <t>1117,1217,1317</t>
  </si>
  <si>
    <t>1118,1218,1318</t>
  </si>
  <si>
    <t>1119,1219,1319</t>
  </si>
  <si>
    <t>5,6</t>
    <phoneticPr fontId="1" type="noConversion"/>
  </si>
  <si>
    <t>5,1</t>
    <phoneticPr fontId="1" type="noConversion"/>
  </si>
  <si>
    <t>1,1</t>
    <phoneticPr fontId="1" type="noConversion"/>
  </si>
  <si>
    <t>6,9</t>
    <phoneticPr fontId="1" type="noConversion"/>
  </si>
  <si>
    <t>8,4</t>
    <phoneticPr fontId="1" type="noConversion"/>
  </si>
  <si>
    <t>5,8</t>
    <phoneticPr fontId="1" type="noConversion"/>
  </si>
  <si>
    <t>5,7</t>
    <phoneticPr fontId="1" type="noConversion"/>
  </si>
  <si>
    <t>5,2</t>
    <phoneticPr fontId="1" type="noConversion"/>
  </si>
  <si>
    <t>6,5</t>
    <phoneticPr fontId="1" type="noConversion"/>
  </si>
  <si>
    <t>8,2</t>
    <phoneticPr fontId="1" type="noConversion"/>
  </si>
  <si>
    <t>8,3</t>
    <phoneticPr fontId="1" type="noConversion"/>
  </si>
  <si>
    <t>8,1</t>
    <phoneticPr fontId="1" type="noConversion"/>
  </si>
  <si>
    <t>2,2</t>
    <phoneticPr fontId="1" type="noConversion"/>
  </si>
  <si>
    <t>2,1</t>
    <phoneticPr fontId="1" type="noConversion"/>
  </si>
  <si>
    <t>1,3</t>
    <phoneticPr fontId="1" type="noConversion"/>
  </si>
  <si>
    <t>1,4</t>
    <phoneticPr fontId="1" type="noConversion"/>
  </si>
  <si>
    <t>1,2</t>
    <phoneticPr fontId="1" type="noConversion"/>
  </si>
  <si>
    <t>6,7</t>
    <phoneticPr fontId="1" type="noConversion"/>
  </si>
  <si>
    <t>6,4</t>
    <phoneticPr fontId="1" type="noConversion"/>
  </si>
  <si>
    <t>6,6</t>
    <phoneticPr fontId="1" type="noConversion"/>
  </si>
  <si>
    <t>0;2004;7,9;7,9</t>
    <phoneticPr fontId="1" type="noConversion"/>
  </si>
  <si>
    <t>1;2001;5,6;8,7</t>
    <phoneticPr fontId="1" type="noConversion"/>
  </si>
  <si>
    <t>1;2005;3,4;5,6</t>
    <phoneticPr fontId="1" type="noConversion"/>
  </si>
  <si>
    <t>热心肠的男孩，干什么事都很热血，住在道具屋，很在意玛德琳奶奶。</t>
    <phoneticPr fontId="1" type="noConversion"/>
  </si>
  <si>
    <t>属性</t>
    <phoneticPr fontId="1" type="noConversion"/>
  </si>
  <si>
    <t>雷</t>
  </si>
  <si>
    <t>雷</t>
    <phoneticPr fontId="1" type="noConversion"/>
  </si>
  <si>
    <t>火</t>
  </si>
  <si>
    <t>火</t>
    <phoneticPr fontId="1" type="noConversion"/>
  </si>
  <si>
    <t>光</t>
  </si>
  <si>
    <t>光</t>
    <phoneticPr fontId="1" type="noConversion"/>
  </si>
  <si>
    <t>无</t>
  </si>
  <si>
    <t>无</t>
    <phoneticPr fontId="1" type="noConversion"/>
  </si>
  <si>
    <t>冰</t>
  </si>
  <si>
    <t>冰</t>
    <phoneticPr fontId="1" type="noConversion"/>
  </si>
  <si>
    <t>行标签</t>
  </si>
  <si>
    <t>总计</t>
  </si>
  <si>
    <t>回春之光</t>
    <phoneticPr fontId="1" type="noConversion"/>
  </si>
  <si>
    <t>计数项:属性</t>
  </si>
  <si>
    <t>(空白)</t>
  </si>
  <si>
    <t>光之矢</t>
    <phoneticPr fontId="1" type="noConversion"/>
  </si>
  <si>
    <t>炎之柱</t>
    <phoneticPr fontId="1" type="noConversion"/>
  </si>
  <si>
    <t>冰结之心</t>
    <phoneticPr fontId="1" type="noConversion"/>
  </si>
  <si>
    <t>天雷</t>
    <phoneticPr fontId="1" type="noConversion"/>
  </si>
  <si>
    <t>乱斩</t>
    <phoneticPr fontId="1" type="noConversion"/>
  </si>
  <si>
    <t>暴烈之爪</t>
    <phoneticPr fontId="1" type="noConversion"/>
  </si>
  <si>
    <t>南瓜</t>
  </si>
  <si>
    <t>番茄</t>
  </si>
  <si>
    <t>马铃薯</t>
  </si>
  <si>
    <t>胡萝卜</t>
  </si>
  <si>
    <t>芜菁</t>
  </si>
  <si>
    <t>大葱</t>
  </si>
  <si>
    <t>葡萄</t>
  </si>
  <si>
    <t>大蒜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</si>
  <si>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</si>
  <si>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</si>
  <si>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</si>
  <si>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</si>
  <si>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</si>
  <si>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</si>
  <si>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</si>
  <si>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蛇皮鞭</t>
  </si>
  <si>
    <t>藤鞭</t>
  </si>
  <si>
    <t>女王鞭</t>
  </si>
  <si>
    <t>蛇牙鞭</t>
  </si>
  <si>
    <t>红莲之铠</t>
  </si>
  <si>
    <t>疾风背心</t>
  </si>
  <si>
    <t>魔法铠甲</t>
  </si>
  <si>
    <t>丝织长袍</t>
  </si>
  <si>
    <t>兔女郎装</t>
  </si>
  <si>
    <t>水之羽衣</t>
  </si>
  <si>
    <t>竹笋饭</t>
  </si>
  <si>
    <t>鲑鱼饭团</t>
  </si>
  <si>
    <t>奶酪</t>
  </si>
  <si>
    <t>鲑鱼刺身</t>
  </si>
  <si>
    <t>烤蟹肉</t>
  </si>
  <si>
    <t>卷心菜</t>
  </si>
  <si>
    <t>黄瓜</t>
  </si>
  <si>
    <t>玉米</t>
  </si>
  <si>
    <t>茄子</t>
  </si>
  <si>
    <t>萝卜</t>
  </si>
  <si>
    <t>紫甘蓝</t>
  </si>
  <si>
    <t>蓝莓</t>
  </si>
  <si>
    <t>辣椒</t>
  </si>
  <si>
    <t>草莓</t>
  </si>
  <si>
    <t>布衣</t>
  </si>
  <si>
    <t>皮铠</t>
  </si>
  <si>
    <t>锁子甲</t>
  </si>
  <si>
    <t>毛皮斗篷</t>
  </si>
  <si>
    <t>铁铠甲</t>
  </si>
  <si>
    <t>华丽背心</t>
  </si>
  <si>
    <t>鳞铠</t>
  </si>
  <si>
    <t>暗之袍</t>
  </si>
  <si>
    <t>钢刃锁甲</t>
  </si>
  <si>
    <t>饭团</t>
  </si>
  <si>
    <t>海鲜饭</t>
  </si>
  <si>
    <t>煎蛋</t>
  </si>
  <si>
    <t>蛋包饭</t>
  </si>
  <si>
    <t>鳗鱼饭</t>
  </si>
  <si>
    <t>鲱鱼罐头</t>
  </si>
  <si>
    <t>沙丁鱼罐头</t>
  </si>
  <si>
    <t>汉堡</t>
  </si>
  <si>
    <t>烤鳗鱼</t>
  </si>
  <si>
    <t>鱼子酱</t>
  </si>
  <si>
    <t>烤面包</t>
  </si>
  <si>
    <t>烤鱿鱼</t>
  </si>
  <si>
    <t>河豚汤</t>
  </si>
  <si>
    <t>烤龙虾</t>
  </si>
  <si>
    <t>烤土豆</t>
  </si>
  <si>
    <t>炸肉饼</t>
  </si>
  <si>
    <t>河蚌汤</t>
  </si>
  <si>
    <t>海鲜浓汤</t>
  </si>
  <si>
    <t>肉丸子</t>
  </si>
  <si>
    <t>葡萄酒</t>
  </si>
  <si>
    <t>苹果酒</t>
  </si>
  <si>
    <t>蓝莓酒</t>
  </si>
  <si>
    <t>格瓦斯</t>
  </si>
  <si>
    <t>酸奶</t>
  </si>
  <si>
    <t>椰奶</t>
  </si>
  <si>
    <t>竹笋</t>
  </si>
  <si>
    <t>苹果</t>
  </si>
  <si>
    <t>樱桃</t>
  </si>
  <si>
    <t>椰子</t>
  </si>
  <si>
    <t>鸡蛋</t>
  </si>
  <si>
    <t>兽角</t>
  </si>
  <si>
    <t>风元素结晶</t>
  </si>
  <si>
    <t>蛛丝</t>
  </si>
  <si>
    <t>蜂刺</t>
  </si>
  <si>
    <t>蛇皮</t>
  </si>
  <si>
    <t>狼牙</t>
  </si>
  <si>
    <t>蝎尾</t>
  </si>
  <si>
    <t>土元素结晶</t>
  </si>
  <si>
    <t>水元素结晶</t>
  </si>
  <si>
    <t>暗元素结晶</t>
  </si>
  <si>
    <t>兽皮</t>
  </si>
  <si>
    <t>蜂蜜</t>
  </si>
  <si>
    <t>魔兽皮毛</t>
  </si>
  <si>
    <t>牛奶制品</t>
  </si>
  <si>
    <t>牛奶制品</t>
    <phoneticPr fontId="1" type="noConversion"/>
  </si>
  <si>
    <t>鱼料理</t>
  </si>
  <si>
    <t>鱼料理</t>
    <phoneticPr fontId="1" type="noConversion"/>
  </si>
  <si>
    <t>生海鲜</t>
  </si>
  <si>
    <t>生海鲜</t>
    <phoneticPr fontId="1" type="noConversion"/>
  </si>
  <si>
    <t>肉料理</t>
  </si>
  <si>
    <t>肉料理</t>
    <phoneticPr fontId="1" type="noConversion"/>
  </si>
  <si>
    <t>汤</t>
  </si>
  <si>
    <t>汤</t>
    <phoneticPr fontId="1" type="noConversion"/>
  </si>
  <si>
    <t>酒</t>
  </si>
  <si>
    <t>酒</t>
    <phoneticPr fontId="1" type="noConversion"/>
  </si>
  <si>
    <t>水果</t>
  </si>
  <si>
    <t>水果</t>
    <phoneticPr fontId="1" type="noConversion"/>
  </si>
  <si>
    <t>米饭料理</t>
  </si>
  <si>
    <t>米饭料理</t>
    <phoneticPr fontId="1" type="noConversion"/>
  </si>
  <si>
    <t>烧烤</t>
  </si>
  <si>
    <t>烧烤</t>
    <phoneticPr fontId="1" type="noConversion"/>
  </si>
  <si>
    <t>刀剑</t>
  </si>
  <si>
    <t>刀剑</t>
    <phoneticPr fontId="1" type="noConversion"/>
  </si>
  <si>
    <t>长枪</t>
  </si>
  <si>
    <t>长枪</t>
    <phoneticPr fontId="1" type="noConversion"/>
  </si>
  <si>
    <t>鸡蛋料理</t>
  </si>
  <si>
    <t>鸡蛋料理</t>
    <phoneticPr fontId="1" type="noConversion"/>
  </si>
  <si>
    <t>鞭子</t>
  </si>
  <si>
    <t>鞭子</t>
    <phoneticPr fontId="1" type="noConversion"/>
  </si>
  <si>
    <t>铠甲</t>
  </si>
  <si>
    <t>铠甲</t>
    <phoneticPr fontId="1" type="noConversion"/>
  </si>
  <si>
    <t>衣服</t>
  </si>
  <si>
    <t>衣服</t>
    <phoneticPr fontId="1" type="noConversion"/>
  </si>
  <si>
    <t>元素结晶</t>
  </si>
  <si>
    <t>元素结晶</t>
    <phoneticPr fontId="1" type="noConversion"/>
  </si>
  <si>
    <t>昆虫产物</t>
  </si>
  <si>
    <t>昆虫产物</t>
    <phoneticPr fontId="1" type="noConversion"/>
  </si>
  <si>
    <t>野兽产物</t>
  </si>
  <si>
    <t>野兽产物</t>
    <phoneticPr fontId="1" type="noConversion"/>
  </si>
  <si>
    <t>蔬菜</t>
  </si>
  <si>
    <t>蔬菜</t>
    <phoneticPr fontId="1" type="noConversion"/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</si>
  <si>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</si>
  <si>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</si>
  <si>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</si>
  <si>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</si>
  <si>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</si>
  <si>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</si>
  <si>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</si>
  <si>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</si>
  <si>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</si>
  <si>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</si>
  <si>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</si>
  <si>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鲶鱼</t>
  </si>
  <si>
    <t>鳟鱼</t>
  </si>
  <si>
    <t>河豚</t>
  </si>
  <si>
    <t>螃蟹</t>
  </si>
  <si>
    <t>1029,1030</t>
  </si>
  <si>
    <t>1029,1030,1031</t>
  </si>
  <si>
    <t>1029,1030,1031,1032</t>
  </si>
  <si>
    <t>1019,1020</t>
  </si>
  <si>
    <t>1019,1020,1021</t>
  </si>
  <si>
    <t>1019,1020,1021,1022</t>
  </si>
  <si>
    <t>1090,1051</t>
  </si>
  <si>
    <t>1090,1051,1052</t>
  </si>
  <si>
    <t>1078,1079</t>
  </si>
  <si>
    <t>1078,1079,1080</t>
  </si>
  <si>
    <t>1078,1079,1080,1083</t>
  </si>
  <si>
    <t>1035,1036</t>
  </si>
  <si>
    <t>1035,1036,1038</t>
  </si>
  <si>
    <t>1035,1036,1038,1039</t>
  </si>
  <si>
    <t>1035,1036,1038,1039,1041</t>
  </si>
  <si>
    <t>1035,1036,1038,1039,1041,1044</t>
  </si>
  <si>
    <t>1035,1036,1038,1039,1041,1044,1045</t>
  </si>
  <si>
    <t>1098,1102</t>
  </si>
  <si>
    <t>1098,1102,1105</t>
  </si>
  <si>
    <t>1098,1102,1105,1121</t>
  </si>
  <si>
    <t>1049,1050</t>
  </si>
  <si>
    <t>1049,1050,1052</t>
  </si>
  <si>
    <t>1049,1050,1052,1054</t>
  </si>
  <si>
    <t>1049,1050,1052,1054,1056</t>
  </si>
  <si>
    <t>1057,1084</t>
  </si>
  <si>
    <t>1057,1084,1085</t>
  </si>
  <si>
    <t>1064,1073</t>
  </si>
  <si>
    <t>1064,1073,1077</t>
  </si>
  <si>
    <t>1065,1067</t>
  </si>
  <si>
    <t>1065,1067,1068</t>
  </si>
  <si>
    <t>1065,1067,1068,1070</t>
  </si>
  <si>
    <t>1065,1067,1068,1070,1071</t>
  </si>
  <si>
    <t>1065,1067,1068,1070,1071,1072</t>
  </si>
  <si>
    <t>1238,1239</t>
  </si>
  <si>
    <t>1238,1239,1240</t>
  </si>
  <si>
    <t>1238,1239,1240,1241</t>
  </si>
  <si>
    <t>1238,1239,1240,1241,1242</t>
  </si>
  <si>
    <t>1238,1239,1240,1241,1242,1243</t>
  </si>
  <si>
    <t>1238,1239,1240,1241,1242,1243,1244</t>
  </si>
  <si>
    <t>1238,1239,1240,1241,1242,1243,1244,1245</t>
  </si>
  <si>
    <t>1238,1239,1240,1241,1242,1243,1244,1245,1246</t>
  </si>
  <si>
    <t>1238,1239,1240,1241,1242,1243,1244,1245,1246,1247</t>
  </si>
  <si>
    <t>1238,1239,1240,1241,1242,1243,1244,1245,1246,1247,1248</t>
  </si>
  <si>
    <t>1238,1239,1240,1241,1242,1243,1244,1245,1246,1247,1248,1249</t>
  </si>
  <si>
    <t>1238,1239,1240,1241,1242,1243,1244,1245,1246,1247,1248,1249,1250</t>
  </si>
  <si>
    <t>1238,1239,1240,1241,1242,1243,1244,1245,1246,1247,1248,1249,1250,1251</t>
  </si>
  <si>
    <t>1238,1239,1240,1241,1242,1243,1244,1245,1246,1247,1248,1249,1250,1251,1252</t>
  </si>
  <si>
    <t>1001,1002</t>
  </si>
  <si>
    <t>1001,1002,1003</t>
  </si>
  <si>
    <t>1001,1002,1003,1004</t>
  </si>
  <si>
    <t>1001,1002,1003,1004,1005</t>
  </si>
  <si>
    <t>1001,1002,1003,1004,1005,1006</t>
  </si>
  <si>
    <t>1001,1002,1003,1004,1005,1006,1007</t>
  </si>
  <si>
    <t>1001,1002,1003,1004,1005,1006,1007,1008</t>
  </si>
  <si>
    <t>1001,1002,1003,1004,1005,1006,1007,1008,1009</t>
  </si>
  <si>
    <t>1001,1002,1003,1004,1005,1006,1007,1008,1009,1010</t>
  </si>
  <si>
    <t>1001,1002,1003,1004,1005,1006,1007,1008,1009,1010,1011</t>
  </si>
  <si>
    <t>1001,1002,1003,1004,1005,1006,1007,1008,1009,1010,1011,1012</t>
  </si>
  <si>
    <t>1001,1002,1003,1004,1005,1006,1007,1008,1009,1010,1011,1012,1015</t>
  </si>
  <si>
    <t>1001,1002,1003,1004,1005,1006,1007,1008,1009,1010,1011,1012,1015,1016</t>
  </si>
  <si>
    <t>1001,1002,1003,1004,1005,1006,1007,1008,1009,1010,1011,1012,1015,1016,1086</t>
  </si>
  <si>
    <t>1013,1014</t>
  </si>
  <si>
    <t>1013,1014,1017</t>
  </si>
  <si>
    <t>1013,1014,1017,1087</t>
  </si>
  <si>
    <t>1013,1014,1017,1087,1088</t>
  </si>
  <si>
    <t>1013,1014,1017,1087,1088,1089</t>
  </si>
  <si>
    <t>1069,1075</t>
  </si>
  <si>
    <t>1069,1075,1076</t>
  </si>
  <si>
    <t>1096,1103</t>
  </si>
  <si>
    <t>1096,1103,1104</t>
  </si>
  <si>
    <t>1096,1103,1104,1118</t>
  </si>
  <si>
    <t>1096,1103,1104,1118,1123</t>
  </si>
  <si>
    <t>1034,1037</t>
  </si>
  <si>
    <t>1034,1037,1040</t>
  </si>
  <si>
    <t>1034,1037,1040,1042</t>
  </si>
  <si>
    <t>1034,1037,1040,1042,1043</t>
  </si>
  <si>
    <t>1034,1037,1040,1042,1043,1046</t>
  </si>
  <si>
    <t>1034,1037,1040,1042,1043,1046,1047</t>
  </si>
  <si>
    <t>1034,1037,1040,1042,1043,1046,1047,1048</t>
  </si>
  <si>
    <t>1056,1060</t>
  </si>
  <si>
    <t>1056,1060,1061</t>
  </si>
  <si>
    <t>1056,1060,1061,1062</t>
  </si>
  <si>
    <t>1056,1060,1061,1062,1063</t>
  </si>
  <si>
    <t>1056,1060,1061,1062,1063,1065</t>
  </si>
  <si>
    <t>1056,1060,1061,1062,1063,1065,1066</t>
  </si>
  <si>
    <t>1056,1060,1061,1062,1063,1065,1066,1068</t>
  </si>
  <si>
    <t>1056,1060,1061,1062,1063,1065,1066,1068,1069</t>
  </si>
  <si>
    <t>1097,1107</t>
  </si>
  <si>
    <t>1097,1107,1108</t>
  </si>
  <si>
    <t>1097,1107,1108,1114</t>
  </si>
  <si>
    <t>1023,1024</t>
  </si>
  <si>
    <t>1023,1024,1025</t>
  </si>
  <si>
    <t>谢谢，其实我更喜欢</t>
  </si>
  <si>
    <t>鱼</t>
  </si>
  <si>
    <t>神秘物质</t>
  </si>
  <si>
    <t>溶剂</t>
  </si>
  <si>
    <t>凉餐</t>
  </si>
  <si>
    <t>石头</t>
  </si>
  <si>
    <t>法杖</t>
  </si>
  <si>
    <t>兽血</t>
  </si>
  <si>
    <t>罐头</t>
  </si>
  <si>
    <t>花</t>
  </si>
  <si>
    <t>种子</t>
    <phoneticPr fontId="1" type="noConversion"/>
  </si>
  <si>
    <t>蔬菜</t>
    <phoneticPr fontId="1" type="noConversion"/>
  </si>
  <si>
    <t>废铁</t>
  </si>
  <si>
    <t>废铁</t>
    <phoneticPr fontId="1" type="noConversion"/>
  </si>
  <si>
    <t>材料</t>
    <phoneticPr fontId="1" type="noConversion"/>
  </si>
  <si>
    <t>动物制品</t>
    <phoneticPr fontId="1" type="noConversion"/>
  </si>
  <si>
    <t>水果</t>
    <phoneticPr fontId="1" type="noConversion"/>
  </si>
  <si>
    <t>酒</t>
    <phoneticPr fontId="1" type="noConversion"/>
  </si>
  <si>
    <t>牛奶</t>
  </si>
  <si>
    <t>牛奶</t>
    <phoneticPr fontId="1" type="noConversion"/>
  </si>
  <si>
    <t>米饭</t>
  </si>
  <si>
    <t>鱼</t>
    <phoneticPr fontId="1" type="noConversion"/>
  </si>
  <si>
    <t>食物</t>
    <phoneticPr fontId="1" type="noConversion"/>
  </si>
  <si>
    <t>鸡蛋料理</t>
    <phoneticPr fontId="1" type="noConversion"/>
  </si>
  <si>
    <t>魔兽</t>
    <phoneticPr fontId="1" type="noConversion"/>
  </si>
  <si>
    <t>甘蓝种子</t>
  </si>
  <si>
    <t>猪肉</t>
  </si>
  <si>
    <t>刀刃</t>
  </si>
  <si>
    <t>鱼饵</t>
  </si>
  <si>
    <t>金块</t>
  </si>
  <si>
    <t>番茄种子</t>
  </si>
  <si>
    <t>胡萝卜种子</t>
  </si>
  <si>
    <t>盐</t>
  </si>
  <si>
    <t>奇美拉之翼</t>
  </si>
  <si>
    <t>亡者之土</t>
  </si>
  <si>
    <t>冰晶</t>
  </si>
  <si>
    <t>彩色羽毛</t>
  </si>
  <si>
    <t>纯净之水</t>
  </si>
  <si>
    <t>阿莫尔之水</t>
  </si>
  <si>
    <t>钢</t>
  </si>
  <si>
    <t>珊瑚</t>
  </si>
  <si>
    <t>木棒</t>
  </si>
  <si>
    <t>植物的茎</t>
  </si>
  <si>
    <t>腌芜菁</t>
  </si>
  <si>
    <t>腌黄瓜</t>
  </si>
  <si>
    <t>蔬菜沙拉</t>
  </si>
  <si>
    <t>3,5,7</t>
    <phoneticPr fontId="1" type="noConversion"/>
  </si>
  <si>
    <t>brothDayGift</t>
    <phoneticPr fontId="1" type="noConversion"/>
  </si>
  <si>
    <t>1143,3;1136,5;1139,7</t>
  </si>
  <si>
    <t>1121,3;1159,5;1162,7</t>
  </si>
  <si>
    <t>1102,3;1105,5;1111,7</t>
  </si>
  <si>
    <t>1125,3;1094,5</t>
  </si>
  <si>
    <t>1089,3;1087,5;1017,7</t>
  </si>
  <si>
    <t>1079,3;1080,5</t>
  </si>
  <si>
    <t>1118,3;1096,5;1093,7</t>
  </si>
  <si>
    <t>1131,3;1057,5</t>
  </si>
  <si>
    <t>1108,3;1095,5</t>
  </si>
  <si>
    <t>1129,3;1077,5</t>
  </si>
  <si>
    <t>1051,3;1052,5</t>
  </si>
  <si>
    <t>1098,3;1101,5</t>
  </si>
  <si>
    <t>1109,3;1117,5</t>
  </si>
  <si>
    <t>1091,3;1120,5;1095,7</t>
  </si>
  <si>
    <t>1106,3;1114,5</t>
  </si>
  <si>
    <t>1119,3;1122,5</t>
  </si>
  <si>
    <t>1003,3;1006,5;1004,7</t>
  </si>
  <si>
    <t>1240,3;1239,5;1243,7</t>
  </si>
  <si>
    <t>1112,3;1107,5</t>
  </si>
  <si>
    <t>1053,3;1055,5;1059,7</t>
  </si>
  <si>
    <t>今天是你的生日吧，这是我送你的生日礼物。</t>
  </si>
  <si>
    <t>今天是你的生日吧，这是我送你的生日礼物。</t>
    <phoneticPr fontId="1" type="noConversion"/>
  </si>
  <si>
    <t>正好这个用不到了，就送你吧。</t>
    <phoneticPr fontId="1" type="noConversion"/>
  </si>
  <si>
    <t>一直都收你的礼物，这个就表达一下我的心意吧。</t>
    <phoneticPr fontId="1" type="noConversion"/>
  </si>
  <si>
    <t>这些东西，希望你能用的上。</t>
    <phoneticPr fontId="1" type="noConversion"/>
  </si>
  <si>
    <t>生日快乐哟，希望你喜欢我的礼物。</t>
  </si>
  <si>
    <t>生日快乐哟，希望你喜欢我的礼物。</t>
    <phoneticPr fontId="1" type="noConversion"/>
  </si>
  <si>
    <t>你是来向我讨礼物的吗？好吧，这个就给你吧。</t>
    <phoneticPr fontId="1" type="noConversion"/>
  </si>
  <si>
    <t>孩子，恭喜你又长大一岁了，给你我的礼物。</t>
    <phoneticPr fontId="1" type="noConversion"/>
  </si>
  <si>
    <t>生日快乐！</t>
    <phoneticPr fontId="1" type="noConversion"/>
  </si>
  <si>
    <t>我记得今天是你的生日，给你的礼物。</t>
  </si>
  <si>
    <t>我记得今天是你的生日，给你的礼物。</t>
    <phoneticPr fontId="1" type="noConversion"/>
  </si>
  <si>
    <t>希望幸运之神能日日降临于你。</t>
    <phoneticPr fontId="1" type="noConversion"/>
  </si>
  <si>
    <t>希望你能喜欢我送你的礼物。</t>
    <phoneticPr fontId="1" type="noConversion"/>
  </si>
  <si>
    <t>咦，今天是你的生日吗？那这个可以作为生日礼物吗？</t>
    <phoneticPr fontId="1" type="noConversion"/>
  </si>
  <si>
    <t>这是我的一点心意，虽然我没有什么其他东西。</t>
    <phoneticPr fontId="1" type="noConversion"/>
  </si>
  <si>
    <t>今天对你是重要的一天，收下我的礼物吧。</t>
    <phoneticPr fontId="1" type="noConversion"/>
  </si>
  <si>
    <t>我只有这些东西，应该能有点用。</t>
    <phoneticPr fontId="1" type="noConversion"/>
  </si>
  <si>
    <t>我这里有一些基础材料，送你一些作为生日礼物吧。</t>
    <phoneticPr fontId="1" type="noConversion"/>
  </si>
  <si>
    <t>brothDayTalk</t>
    <phoneticPr fontId="1" type="noConversion"/>
  </si>
  <si>
    <t>班尼迪克</t>
    <phoneticPr fontId="1" type="noConversion"/>
  </si>
  <si>
    <t>man1</t>
    <phoneticPr fontId="1" type="noConversion"/>
  </si>
  <si>
    <t>head_20</t>
    <phoneticPr fontId="1" type="noConversion"/>
  </si>
  <si>
    <t>帕特里克</t>
    <phoneticPr fontId="1" type="noConversion"/>
  </si>
  <si>
    <t>head_18</t>
    <phoneticPr fontId="1" type="noConversion"/>
  </si>
  <si>
    <t>1;2002;6,8;7,9</t>
    <phoneticPr fontId="1" type="noConversion"/>
  </si>
  <si>
    <t>noFlowerTalk</t>
  </si>
  <si>
    <t>0;2004;4,7;4,7</t>
    <phoneticPr fontId="1" type="noConversion"/>
  </si>
  <si>
    <t>flowerTalk</t>
    <phoneticPr fontId="1" type="noConversion"/>
  </si>
  <si>
    <t>loveZeroTalk</t>
    <phoneticPr fontId="1" type="noConversion"/>
  </si>
  <si>
    <t>xinlang1</t>
    <phoneticPr fontId="1" type="noConversion"/>
  </si>
  <si>
    <t>xinlang3</t>
    <phoneticPr fontId="1" type="noConversion"/>
  </si>
  <si>
    <t>xinlang2</t>
    <phoneticPr fontId="1" type="noConversion"/>
  </si>
  <si>
    <t>xinlang4</t>
    <phoneticPr fontId="1" type="noConversion"/>
  </si>
  <si>
    <t>xin8</t>
    <phoneticPr fontId="1" type="noConversion"/>
  </si>
  <si>
    <t>xin0</t>
    <phoneticPr fontId="1" type="noConversion"/>
  </si>
  <si>
    <t>xin2</t>
    <phoneticPr fontId="1" type="noConversion"/>
  </si>
  <si>
    <t>xin3</t>
    <phoneticPr fontId="1" type="noConversion"/>
  </si>
  <si>
    <t>xin4</t>
    <phoneticPr fontId="1" type="noConversion"/>
  </si>
  <si>
    <t>xin5</t>
    <phoneticPr fontId="1" type="noConversion"/>
  </si>
  <si>
    <t>xin6</t>
    <phoneticPr fontId="1" type="noConversion"/>
  </si>
  <si>
    <t>xin7</t>
    <phoneticPr fontId="1" type="noConversion"/>
  </si>
  <si>
    <t>marriedObj</t>
  </si>
  <si>
    <t>leaveTalk</t>
    <phoneticPr fontId="1" type="noConversion"/>
  </si>
  <si>
    <t>sex</t>
    <phoneticPr fontId="1" type="noConversion"/>
  </si>
  <si>
    <t>attributeType</t>
  </si>
  <si>
    <t>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</si>
</sst>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  <scheme val="minor"/>
    </font>
    <font>
      <sz val="10"/>
      <color rgb="FF2F2F2F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 readingOrder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6" fillId="0" borderId="0" xfId="0" applyNumberFormat="1" applyFont="1">
      <alignment vertical="center"/>
    </xf>
    <xf numFmtId="0" fontId="6" fillId="0" borderId="0" xfId="0" applyNumberFormat="1" applyFont="1" applyAlignment="1">
      <alignment vertical="center" wrapText="1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0" fillId="0" borderId="0" xfId="0" applyFill="1" applyAlignment="1">
      <alignment vertical="center" wrapText="1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4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horizontal="left" vertical="center" readingOrder="1"/>
    </xf>
    <xf numFmtId="0" fontId="2" fillId="2" borderId="0" xfId="0" applyFont="1" applyFill="1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5" fillId="2" borderId="0" xfId="0" applyFont="1" applyFill="1">
      <alignment vertical="center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3252.711631712962" createdVersion="5" refreshedVersion="5" minRefreshableVersion="3" recordCount="19">
  <cacheSource type="worksheet">
    <worksheetSource ref="S3:S22" sheet="Sheet1"/>
  </cacheSource>
  <cacheFields count="1">
    <cacheField name="冰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istrator" refreshedDate="43252.715346527781" createdVersion="5" refreshedVersion="5" minRefreshableVersion="3" recordCount="21">
  <cacheSource type="worksheet">
    <worksheetSource ref="S1:S22" sheet="Sheet1"/>
  </cacheSource>
  <cacheFields count="1">
    <cacheField name="属性" numFmtId="0">
      <sharedItems containsBlank="1" count="6">
        <m/>
        <s v="冰"/>
        <s v="雷"/>
        <s v="无"/>
        <s v="火"/>
        <s v="光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s v="雷"/>
  </r>
  <r>
    <s v="无"/>
  </r>
  <r>
    <s v="光"/>
  </r>
  <r>
    <s v="冰"/>
  </r>
  <r>
    <s v="火"/>
  </r>
  <r>
    <s v="无"/>
  </r>
  <r>
    <s v="冰"/>
  </r>
  <r>
    <s v="无"/>
  </r>
  <r>
    <s v="光"/>
  </r>
  <r>
    <s v="光"/>
  </r>
  <r>
    <s v="雷"/>
  </r>
  <r>
    <s v="光"/>
  </r>
  <r>
    <s v="火"/>
  </r>
  <r>
    <s v="无"/>
  </r>
  <r>
    <s v="雷"/>
  </r>
  <r>
    <s v="火"/>
  </r>
  <r>
    <s v="冰"/>
  </r>
  <r>
    <s v="光"/>
  </r>
  <r>
    <s v="火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</r>
  <r>
    <x v="1"/>
  </r>
  <r>
    <x v="2"/>
  </r>
  <r>
    <x v="3"/>
  </r>
  <r>
    <x v="2"/>
  </r>
  <r>
    <x v="1"/>
  </r>
  <r>
    <x v="4"/>
  </r>
  <r>
    <x v="3"/>
  </r>
  <r>
    <x v="1"/>
  </r>
  <r>
    <x v="3"/>
  </r>
  <r>
    <x v="5"/>
  </r>
  <r>
    <x v="5"/>
  </r>
  <r>
    <x v="2"/>
  </r>
  <r>
    <x v="5"/>
  </r>
  <r>
    <x v="4"/>
  </r>
  <r>
    <x v="5"/>
  </r>
  <r>
    <x v="2"/>
  </r>
  <r>
    <x v="4"/>
  </r>
  <r>
    <x v="1"/>
  </r>
  <r>
    <x v="3"/>
  </r>
  <r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8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20" firstHeaderRow="1" firstDataRow="1" firstDataCol="0"/>
  <pivotFields count="1"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8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10" firstHeaderRow="1" firstDataRow="1" firstDataCol="1"/>
  <pivotFields count="1">
    <pivotField axis="axisRow" dataField="1" showAll="0">
      <items count="7">
        <item x="1"/>
        <item x="5"/>
        <item x="4"/>
        <item x="2"/>
        <item x="3"/>
        <item x="0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属性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9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Y3:Z10" firstHeaderRow="1" firstDataRow="1" firstDataCol="1"/>
  <pivotFields count="1">
    <pivotField axis="axisRow" dataField="1" showAll="0">
      <items count="7">
        <item x="1"/>
        <item x="5"/>
        <item x="4"/>
        <item x="2"/>
        <item x="3"/>
        <item x="0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属性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3"/>
  <sheetViews>
    <sheetView tabSelected="1" topLeftCell="U1" workbookViewId="0">
      <pane ySplit="3" topLeftCell="A16" activePane="bottomLeft" state="frozen"/>
      <selection activeCell="B1" sqref="B1"/>
      <selection pane="bottomLeft" activeCell="AO3" sqref="AO3"/>
    </sheetView>
  </sheetViews>
  <sheetFormatPr defaultColWidth="7.75" defaultRowHeight="13.5" x14ac:dyDescent="0.15"/>
  <cols>
    <col min="1" max="1" width="8.625" style="21" customWidth="1"/>
    <col min="2" max="2" width="5.625" style="21" customWidth="1"/>
    <col min="3" max="5" width="7.375" style="21" customWidth="1"/>
    <col min="6" max="9" width="7.75" style="21" customWidth="1"/>
    <col min="10" max="10" width="11.125" style="21" customWidth="1"/>
    <col min="11" max="19" width="7.75" style="21" customWidth="1"/>
    <col min="20" max="20" width="18.75" style="21" customWidth="1"/>
    <col min="21" max="37" width="7.75" style="21" customWidth="1"/>
    <col min="38" max="38" width="14.25" style="21" customWidth="1"/>
    <col min="39" max="16384" width="7.75" style="21"/>
  </cols>
  <sheetData>
    <row r="2" spans="1:39" x14ac:dyDescent="0.15">
      <c r="A2" s="21" t="s">
        <v>1</v>
      </c>
      <c r="B2" s="21" t="s">
        <v>0</v>
      </c>
      <c r="C2" s="21" t="s">
        <v>0</v>
      </c>
      <c r="D2" s="21" t="s">
        <v>0</v>
      </c>
      <c r="E2" s="21" t="s">
        <v>5</v>
      </c>
      <c r="F2" s="21" t="s">
        <v>0</v>
      </c>
      <c r="G2" s="21" t="s">
        <v>5</v>
      </c>
      <c r="H2" s="21" t="s">
        <v>5</v>
      </c>
      <c r="I2" s="21" t="s">
        <v>32</v>
      </c>
      <c r="J2" s="21" t="s">
        <v>32</v>
      </c>
      <c r="K2" s="21" t="s">
        <v>32</v>
      </c>
      <c r="L2" s="21" t="s">
        <v>32</v>
      </c>
      <c r="M2" s="21" t="s">
        <v>5</v>
      </c>
      <c r="N2" s="21" t="s">
        <v>5</v>
      </c>
      <c r="O2" s="21" t="s">
        <v>5</v>
      </c>
      <c r="P2" s="21" t="s">
        <v>5</v>
      </c>
      <c r="Q2" s="21" t="s">
        <v>32</v>
      </c>
      <c r="R2" s="21" t="s">
        <v>5</v>
      </c>
      <c r="S2" s="21" t="s">
        <v>5</v>
      </c>
      <c r="T2" s="21" t="s">
        <v>32</v>
      </c>
      <c r="U2" s="21" t="s">
        <v>5</v>
      </c>
      <c r="V2" s="21" t="s">
        <v>0</v>
      </c>
      <c r="W2" s="21" t="s">
        <v>0</v>
      </c>
      <c r="X2" s="21" t="s">
        <v>0</v>
      </c>
      <c r="Y2" s="21" t="s">
        <v>0</v>
      </c>
      <c r="Z2" s="21" t="s">
        <v>0</v>
      </c>
      <c r="AA2" s="21" t="s">
        <v>0</v>
      </c>
      <c r="AB2" s="21" t="s">
        <v>1</v>
      </c>
      <c r="AC2" s="21" t="s">
        <v>1</v>
      </c>
      <c r="AD2" s="21" t="s">
        <v>1</v>
      </c>
      <c r="AE2" s="21" t="s">
        <v>0</v>
      </c>
      <c r="AF2" s="21" t="s">
        <v>0</v>
      </c>
      <c r="AG2" s="21" t="s">
        <v>0</v>
      </c>
      <c r="AH2" s="21" t="s">
        <v>0</v>
      </c>
      <c r="AI2" s="21" t="s">
        <v>0</v>
      </c>
      <c r="AJ2" s="21" t="s">
        <v>0</v>
      </c>
      <c r="AK2" s="21" t="s">
        <v>588</v>
      </c>
      <c r="AL2" s="21" t="s">
        <v>0</v>
      </c>
      <c r="AM2" s="21" t="s">
        <v>0</v>
      </c>
    </row>
    <row r="3" spans="1:39" ht="40.5" x14ac:dyDescent="0.15">
      <c r="A3" s="21" t="s">
        <v>2</v>
      </c>
      <c r="B3" s="21" t="s">
        <v>3</v>
      </c>
      <c r="C3" s="21" t="s">
        <v>4</v>
      </c>
      <c r="D3" s="21" t="s">
        <v>586</v>
      </c>
      <c r="E3" s="21" t="s">
        <v>6</v>
      </c>
      <c r="F3" s="21" t="s">
        <v>7</v>
      </c>
      <c r="G3" s="21" t="s">
        <v>8</v>
      </c>
      <c r="H3" s="21" t="s">
        <v>9</v>
      </c>
      <c r="I3" s="21" t="s">
        <v>10</v>
      </c>
      <c r="J3" s="21" t="s">
        <v>584</v>
      </c>
      <c r="K3" s="21" t="s">
        <v>11</v>
      </c>
      <c r="L3" s="21" t="s">
        <v>12</v>
      </c>
      <c r="M3" s="21" t="s">
        <v>13</v>
      </c>
      <c r="N3" s="21" t="s">
        <v>14</v>
      </c>
      <c r="O3" s="21" t="s">
        <v>15</v>
      </c>
      <c r="P3" s="21" t="s">
        <v>16</v>
      </c>
      <c r="Q3" s="21" t="s">
        <v>17</v>
      </c>
      <c r="R3" s="21" t="s">
        <v>18</v>
      </c>
      <c r="S3" s="21" t="s">
        <v>19</v>
      </c>
      <c r="T3" s="21" t="s">
        <v>20</v>
      </c>
      <c r="U3" s="21" t="s">
        <v>145</v>
      </c>
      <c r="V3" s="21" t="s">
        <v>571</v>
      </c>
      <c r="W3" s="21" t="s">
        <v>21</v>
      </c>
      <c r="X3" s="21" t="s">
        <v>22</v>
      </c>
      <c r="Y3" s="21" t="s">
        <v>23</v>
      </c>
      <c r="Z3" s="21" t="s">
        <v>24</v>
      </c>
      <c r="AA3" s="21" t="s">
        <v>25</v>
      </c>
      <c r="AB3" s="21" t="s">
        <v>26</v>
      </c>
      <c r="AC3" s="21" t="s">
        <v>27</v>
      </c>
      <c r="AD3" s="21" t="s">
        <v>521</v>
      </c>
      <c r="AE3" s="21" t="s">
        <v>28</v>
      </c>
      <c r="AF3" s="21" t="s">
        <v>29</v>
      </c>
      <c r="AG3" s="21" t="s">
        <v>30</v>
      </c>
      <c r="AH3" s="21" t="s">
        <v>570</v>
      </c>
      <c r="AI3" s="21" t="s">
        <v>568</v>
      </c>
      <c r="AJ3" s="21" t="s">
        <v>585</v>
      </c>
      <c r="AK3" s="21" t="s">
        <v>31</v>
      </c>
      <c r="AL3" s="21" t="s">
        <v>561</v>
      </c>
      <c r="AM3" s="21" t="s">
        <v>587</v>
      </c>
    </row>
    <row r="4" spans="1:39" ht="54" x14ac:dyDescent="0.15">
      <c r="A4" s="22" t="s">
        <v>565</v>
      </c>
      <c r="B4" s="21">
        <v>3016</v>
      </c>
      <c r="C4" s="21">
        <v>10</v>
      </c>
      <c r="D4" s="23">
        <v>0</v>
      </c>
      <c r="E4" s="23">
        <v>1</v>
      </c>
      <c r="F4" s="21">
        <v>0</v>
      </c>
      <c r="G4" s="21">
        <v>100</v>
      </c>
      <c r="H4" s="21">
        <v>1</v>
      </c>
      <c r="I4" s="21" t="s">
        <v>67</v>
      </c>
      <c r="J4" s="21">
        <v>0</v>
      </c>
      <c r="K4" s="21" t="s">
        <v>87</v>
      </c>
      <c r="L4" s="21" t="s">
        <v>566</v>
      </c>
      <c r="M4" s="21">
        <v>2</v>
      </c>
      <c r="N4" s="21">
        <v>22</v>
      </c>
      <c r="O4" s="21">
        <v>20</v>
      </c>
      <c r="P4" s="21">
        <v>90</v>
      </c>
      <c r="Q4" s="21" t="s">
        <v>213</v>
      </c>
      <c r="R4" s="21">
        <v>10</v>
      </c>
      <c r="S4" s="21">
        <v>0</v>
      </c>
      <c r="T4" s="21" t="s">
        <v>126</v>
      </c>
      <c r="U4" s="23">
        <v>1018</v>
      </c>
      <c r="V4" s="21">
        <v>0</v>
      </c>
      <c r="W4" s="23">
        <v>1038</v>
      </c>
      <c r="X4" s="21">
        <v>0</v>
      </c>
      <c r="Y4" s="23">
        <v>1060</v>
      </c>
      <c r="Z4" s="21">
        <v>1043</v>
      </c>
      <c r="AA4" s="21">
        <v>1044</v>
      </c>
      <c r="AB4" s="24" t="s">
        <v>414</v>
      </c>
      <c r="AC4" s="24" t="s">
        <v>384</v>
      </c>
      <c r="AD4" s="24" t="s">
        <v>537</v>
      </c>
      <c r="AE4" s="23">
        <v>1085</v>
      </c>
      <c r="AF4" s="23">
        <v>1086</v>
      </c>
      <c r="AG4" s="21">
        <v>1073</v>
      </c>
      <c r="AH4" s="21">
        <v>1405</v>
      </c>
      <c r="AI4" s="21">
        <v>1420</v>
      </c>
      <c r="AJ4" s="21">
        <v>0</v>
      </c>
      <c r="AK4" s="21" t="s">
        <v>187</v>
      </c>
      <c r="AL4" s="21">
        <v>1335</v>
      </c>
      <c r="AM4" s="21">
        <v>0</v>
      </c>
    </row>
    <row r="5" spans="1:39" ht="67.5" x14ac:dyDescent="0.15">
      <c r="A5" s="25" t="s">
        <v>49</v>
      </c>
      <c r="B5" s="21">
        <v>3017</v>
      </c>
      <c r="C5" s="21">
        <v>10</v>
      </c>
      <c r="D5" s="21">
        <v>1</v>
      </c>
      <c r="E5" s="23">
        <v>1</v>
      </c>
      <c r="F5" s="21">
        <v>0</v>
      </c>
      <c r="G5" s="21">
        <v>100</v>
      </c>
      <c r="H5" s="21">
        <v>1</v>
      </c>
      <c r="I5" s="21" t="s">
        <v>68</v>
      </c>
      <c r="J5" s="21">
        <v>0</v>
      </c>
      <c r="K5" s="21" t="s">
        <v>89</v>
      </c>
      <c r="L5" s="21" t="s">
        <v>107</v>
      </c>
      <c r="M5" s="21">
        <v>3</v>
      </c>
      <c r="N5" s="21">
        <v>10</v>
      </c>
      <c r="O5" s="21">
        <v>20</v>
      </c>
      <c r="P5" s="21">
        <v>90</v>
      </c>
      <c r="Q5" s="21" t="s">
        <v>212</v>
      </c>
      <c r="R5" s="21">
        <v>6</v>
      </c>
      <c r="S5" s="21">
        <v>0</v>
      </c>
      <c r="T5" s="21" t="s">
        <v>125</v>
      </c>
      <c r="U5" s="23">
        <v>1019</v>
      </c>
      <c r="V5" s="21">
        <v>0</v>
      </c>
      <c r="W5" s="23">
        <v>1039</v>
      </c>
      <c r="X5" s="21">
        <v>0</v>
      </c>
      <c r="Y5" s="23">
        <v>1061</v>
      </c>
      <c r="Z5" s="21">
        <v>1043</v>
      </c>
      <c r="AA5" s="21">
        <v>1044</v>
      </c>
      <c r="AB5" s="24" t="s">
        <v>409</v>
      </c>
      <c r="AC5" s="24" t="s">
        <v>392</v>
      </c>
      <c r="AD5" s="24" t="s">
        <v>538</v>
      </c>
      <c r="AE5" s="23">
        <v>1085</v>
      </c>
      <c r="AF5" s="23">
        <v>1086</v>
      </c>
      <c r="AG5" s="21">
        <v>1068</v>
      </c>
      <c r="AH5" s="21">
        <v>1412</v>
      </c>
      <c r="AI5" s="21">
        <v>1420</v>
      </c>
      <c r="AJ5" s="21">
        <v>0</v>
      </c>
      <c r="AK5" s="21" t="s">
        <v>188</v>
      </c>
      <c r="AL5" s="21">
        <v>1336</v>
      </c>
      <c r="AM5" s="21">
        <v>0</v>
      </c>
    </row>
    <row r="6" spans="1:39" s="29" customFormat="1" ht="54" x14ac:dyDescent="0.15">
      <c r="A6" s="28" t="s">
        <v>39</v>
      </c>
      <c r="B6" s="29">
        <v>3007</v>
      </c>
      <c r="C6" s="19">
        <v>1002</v>
      </c>
      <c r="D6" s="19">
        <v>0</v>
      </c>
      <c r="E6" s="19">
        <v>1</v>
      </c>
      <c r="F6" s="29">
        <v>0</v>
      </c>
      <c r="G6" s="29">
        <v>100</v>
      </c>
      <c r="H6" s="29">
        <v>1</v>
      </c>
      <c r="I6" s="29" t="s">
        <v>59</v>
      </c>
      <c r="J6" s="29">
        <v>0</v>
      </c>
      <c r="K6" s="29" t="s">
        <v>78</v>
      </c>
      <c r="L6" s="29" t="s">
        <v>98</v>
      </c>
      <c r="M6" s="29">
        <v>4</v>
      </c>
      <c r="N6" s="29">
        <v>29</v>
      </c>
      <c r="O6" s="29">
        <v>20</v>
      </c>
      <c r="P6" s="29">
        <v>90</v>
      </c>
      <c r="Q6" s="29" t="s">
        <v>567</v>
      </c>
      <c r="R6" s="29">
        <v>3</v>
      </c>
      <c r="S6" s="21">
        <v>0</v>
      </c>
      <c r="T6" s="29" t="s">
        <v>135</v>
      </c>
      <c r="U6" s="19">
        <v>1009</v>
      </c>
      <c r="V6" s="29">
        <v>0</v>
      </c>
      <c r="W6" s="19">
        <v>1029</v>
      </c>
      <c r="X6" s="29">
        <v>0</v>
      </c>
      <c r="Y6" s="19">
        <v>1051</v>
      </c>
      <c r="Z6" s="29">
        <v>1043</v>
      </c>
      <c r="AA6" s="29">
        <v>1044</v>
      </c>
      <c r="AB6" s="30" t="s">
        <v>460</v>
      </c>
      <c r="AC6" s="30" t="s">
        <v>398</v>
      </c>
      <c r="AD6" s="30" t="s">
        <v>528</v>
      </c>
      <c r="AE6" s="19">
        <v>1085</v>
      </c>
      <c r="AF6" s="19">
        <v>1086</v>
      </c>
      <c r="AG6" s="29">
        <v>1079</v>
      </c>
      <c r="AH6" s="29">
        <v>1413</v>
      </c>
      <c r="AI6" s="29">
        <v>1420</v>
      </c>
      <c r="AJ6" s="29">
        <v>0</v>
      </c>
      <c r="AK6" s="29" t="s">
        <v>178</v>
      </c>
      <c r="AL6" s="29">
        <v>1326</v>
      </c>
      <c r="AM6" s="29">
        <v>5</v>
      </c>
    </row>
    <row r="7" spans="1:39" s="29" customFormat="1" ht="54" x14ac:dyDescent="0.15">
      <c r="A7" s="31" t="s">
        <v>562</v>
      </c>
      <c r="B7" s="29">
        <v>3015</v>
      </c>
      <c r="C7" s="19">
        <v>1002</v>
      </c>
      <c r="D7" s="19">
        <v>0</v>
      </c>
      <c r="E7" s="19">
        <v>1</v>
      </c>
      <c r="F7" s="29">
        <v>0</v>
      </c>
      <c r="G7" s="29">
        <v>100</v>
      </c>
      <c r="H7" s="29">
        <v>1</v>
      </c>
      <c r="I7" s="29" t="s">
        <v>563</v>
      </c>
      <c r="J7" s="29">
        <v>0</v>
      </c>
      <c r="K7" s="29" t="s">
        <v>86</v>
      </c>
      <c r="L7" s="29" t="s">
        <v>564</v>
      </c>
      <c r="M7" s="29">
        <v>3</v>
      </c>
      <c r="N7" s="29">
        <v>17</v>
      </c>
      <c r="O7" s="29">
        <v>20</v>
      </c>
      <c r="P7" s="29">
        <v>90</v>
      </c>
      <c r="Q7" s="29" t="s">
        <v>117</v>
      </c>
      <c r="R7" s="29">
        <v>3</v>
      </c>
      <c r="S7" s="21">
        <v>0</v>
      </c>
      <c r="T7" s="29" t="s">
        <v>141</v>
      </c>
      <c r="U7" s="19">
        <v>1017</v>
      </c>
      <c r="V7" s="29">
        <v>0</v>
      </c>
      <c r="W7" s="19">
        <v>1037</v>
      </c>
      <c r="X7" s="29">
        <v>0</v>
      </c>
      <c r="Y7" s="19">
        <v>1059</v>
      </c>
      <c r="Z7" s="29">
        <v>1043</v>
      </c>
      <c r="AA7" s="29">
        <v>1044</v>
      </c>
      <c r="AB7" s="30" t="s">
        <v>401</v>
      </c>
      <c r="AC7" s="30" t="s">
        <v>453</v>
      </c>
      <c r="AD7" s="30" t="s">
        <v>536</v>
      </c>
      <c r="AE7" s="19">
        <v>1085</v>
      </c>
      <c r="AF7" s="19">
        <v>1086</v>
      </c>
      <c r="AG7" s="29">
        <v>1081</v>
      </c>
      <c r="AH7" s="29">
        <v>1419</v>
      </c>
      <c r="AI7" s="29">
        <v>1420</v>
      </c>
      <c r="AJ7" s="29">
        <v>0</v>
      </c>
      <c r="AK7" s="29" t="s">
        <v>186</v>
      </c>
      <c r="AL7" s="29">
        <v>1334</v>
      </c>
      <c r="AM7" s="29">
        <v>3</v>
      </c>
    </row>
    <row r="8" spans="1:39" s="29" customFormat="1" ht="54" x14ac:dyDescent="0.15">
      <c r="A8" s="20" t="s">
        <v>52</v>
      </c>
      <c r="B8" s="29">
        <v>3020</v>
      </c>
      <c r="C8" s="29">
        <v>1005</v>
      </c>
      <c r="D8" s="29">
        <v>1</v>
      </c>
      <c r="E8" s="19">
        <v>1</v>
      </c>
      <c r="F8" s="29">
        <v>0</v>
      </c>
      <c r="G8" s="29">
        <v>100</v>
      </c>
      <c r="H8" s="29">
        <v>1</v>
      </c>
      <c r="I8" s="29" t="s">
        <v>71</v>
      </c>
      <c r="J8" s="29">
        <v>0</v>
      </c>
      <c r="K8" s="29" t="s">
        <v>88</v>
      </c>
      <c r="L8" s="29" t="s">
        <v>109</v>
      </c>
      <c r="M8" s="29">
        <v>4</v>
      </c>
      <c r="N8" s="29">
        <v>13</v>
      </c>
      <c r="O8" s="29">
        <v>20</v>
      </c>
      <c r="P8" s="29">
        <v>90</v>
      </c>
      <c r="Q8" s="29" t="s">
        <v>115</v>
      </c>
      <c r="R8" s="29">
        <v>2</v>
      </c>
      <c r="S8" s="21">
        <v>0</v>
      </c>
      <c r="T8" s="29" t="s">
        <v>138</v>
      </c>
      <c r="U8" s="19">
        <v>1022</v>
      </c>
      <c r="V8" s="29">
        <v>0</v>
      </c>
      <c r="W8" s="19">
        <v>1042</v>
      </c>
      <c r="X8" s="29">
        <v>0</v>
      </c>
      <c r="Y8" s="19">
        <v>1064</v>
      </c>
      <c r="Z8" s="29">
        <v>1043</v>
      </c>
      <c r="AA8" s="29">
        <v>1044</v>
      </c>
      <c r="AB8" s="30" t="s">
        <v>442</v>
      </c>
      <c r="AC8" s="30" t="s">
        <v>447</v>
      </c>
      <c r="AD8" s="30" t="s">
        <v>541</v>
      </c>
      <c r="AE8" s="19">
        <v>1085</v>
      </c>
      <c r="AF8" s="19">
        <v>1086</v>
      </c>
      <c r="AG8" s="29">
        <v>1083</v>
      </c>
      <c r="AH8" s="29">
        <v>1418</v>
      </c>
      <c r="AI8" s="29">
        <v>1420</v>
      </c>
      <c r="AJ8" s="29">
        <v>0</v>
      </c>
      <c r="AK8" s="29" t="s">
        <v>191</v>
      </c>
      <c r="AL8" s="29">
        <v>1339</v>
      </c>
      <c r="AM8" s="29">
        <v>2</v>
      </c>
    </row>
    <row r="9" spans="1:39" s="29" customFormat="1" ht="81" x14ac:dyDescent="0.15">
      <c r="A9" s="19" t="s">
        <v>46</v>
      </c>
      <c r="B9" s="29">
        <v>3014</v>
      </c>
      <c r="C9" s="19">
        <v>1002</v>
      </c>
      <c r="D9" s="19">
        <v>0</v>
      </c>
      <c r="E9" s="19">
        <v>1</v>
      </c>
      <c r="F9" s="29">
        <v>0</v>
      </c>
      <c r="G9" s="29">
        <v>100</v>
      </c>
      <c r="H9" s="29">
        <v>1</v>
      </c>
      <c r="I9" s="29" t="s">
        <v>66</v>
      </c>
      <c r="J9" s="29">
        <v>0</v>
      </c>
      <c r="K9" s="29" t="s">
        <v>85</v>
      </c>
      <c r="L9" s="29" t="s">
        <v>106</v>
      </c>
      <c r="M9" s="29">
        <v>4</v>
      </c>
      <c r="N9" s="29">
        <v>24</v>
      </c>
      <c r="O9" s="29">
        <v>20</v>
      </c>
      <c r="P9" s="29">
        <v>90</v>
      </c>
      <c r="Q9" s="29" t="s">
        <v>112</v>
      </c>
      <c r="R9" s="29">
        <v>2</v>
      </c>
      <c r="S9" s="21">
        <v>0</v>
      </c>
      <c r="T9" s="29" t="s">
        <v>129</v>
      </c>
      <c r="U9" s="19">
        <v>1016</v>
      </c>
      <c r="V9" s="29">
        <v>0</v>
      </c>
      <c r="W9" s="19">
        <v>1036</v>
      </c>
      <c r="X9" s="29">
        <v>0</v>
      </c>
      <c r="Y9" s="19">
        <v>1058</v>
      </c>
      <c r="Z9" s="29">
        <v>1043</v>
      </c>
      <c r="AA9" s="29">
        <v>1044</v>
      </c>
      <c r="AB9" s="30" t="s">
        <v>453</v>
      </c>
      <c r="AC9" s="30" t="s">
        <v>401</v>
      </c>
      <c r="AD9" s="30" t="s">
        <v>535</v>
      </c>
      <c r="AE9" s="19">
        <v>1085</v>
      </c>
      <c r="AF9" s="19">
        <v>1086</v>
      </c>
      <c r="AG9" s="29">
        <v>1082</v>
      </c>
      <c r="AH9" s="29">
        <v>1417</v>
      </c>
      <c r="AI9" s="29">
        <v>1420</v>
      </c>
      <c r="AJ9" s="29">
        <v>0</v>
      </c>
      <c r="AK9" s="29" t="s">
        <v>185</v>
      </c>
      <c r="AL9" s="29">
        <v>1333</v>
      </c>
      <c r="AM9" s="29">
        <v>4</v>
      </c>
    </row>
    <row r="10" spans="1:39" ht="54" x14ac:dyDescent="0.15">
      <c r="A10" s="22" t="s">
        <v>147</v>
      </c>
      <c r="B10" s="21">
        <v>3001</v>
      </c>
      <c r="C10" s="23">
        <v>1000</v>
      </c>
      <c r="D10" s="23">
        <v>0</v>
      </c>
      <c r="E10" s="23">
        <v>1</v>
      </c>
      <c r="F10" s="21">
        <v>0</v>
      </c>
      <c r="G10" s="21">
        <v>100</v>
      </c>
      <c r="H10" s="21">
        <v>1</v>
      </c>
      <c r="I10" s="21" t="s">
        <v>53</v>
      </c>
      <c r="J10" s="21" t="s">
        <v>572</v>
      </c>
      <c r="K10" s="21" t="s">
        <v>72</v>
      </c>
      <c r="L10" s="21" t="s">
        <v>92</v>
      </c>
      <c r="M10" s="21">
        <v>2</v>
      </c>
      <c r="N10" s="21">
        <v>27</v>
      </c>
      <c r="O10" s="21">
        <v>20</v>
      </c>
      <c r="P10" s="21">
        <v>90</v>
      </c>
      <c r="Q10" s="21" t="s">
        <v>569</v>
      </c>
      <c r="R10" s="21">
        <v>0</v>
      </c>
      <c r="S10" s="21">
        <v>0</v>
      </c>
      <c r="T10" s="21" t="s">
        <v>215</v>
      </c>
      <c r="U10" s="23">
        <v>1003</v>
      </c>
      <c r="V10" s="21">
        <v>1434</v>
      </c>
      <c r="W10" s="23">
        <v>1023</v>
      </c>
      <c r="X10" s="21">
        <v>1421</v>
      </c>
      <c r="Y10" s="23">
        <v>1045</v>
      </c>
      <c r="Z10" s="21">
        <v>1043</v>
      </c>
      <c r="AA10" s="21">
        <v>1044</v>
      </c>
      <c r="AB10" s="24" t="s">
        <v>471</v>
      </c>
      <c r="AC10" s="24" t="s">
        <v>428</v>
      </c>
      <c r="AD10" s="24" t="s">
        <v>522</v>
      </c>
      <c r="AE10" s="23">
        <v>1085</v>
      </c>
      <c r="AF10" s="23">
        <v>1086</v>
      </c>
      <c r="AG10" s="21">
        <v>1080</v>
      </c>
      <c r="AH10" s="21">
        <v>1404</v>
      </c>
      <c r="AI10" s="21">
        <v>1420</v>
      </c>
      <c r="AJ10" s="21">
        <v>1449</v>
      </c>
      <c r="AK10" s="21" t="s">
        <v>172</v>
      </c>
      <c r="AL10" s="21">
        <v>1320</v>
      </c>
      <c r="AM10" s="21">
        <v>1</v>
      </c>
    </row>
    <row r="11" spans="1:39" ht="67.5" x14ac:dyDescent="0.15">
      <c r="A11" s="23" t="s">
        <v>170</v>
      </c>
      <c r="B11" s="21">
        <v>3002</v>
      </c>
      <c r="C11" s="23">
        <v>1005</v>
      </c>
      <c r="D11" s="23">
        <v>0</v>
      </c>
      <c r="E11" s="23">
        <v>1</v>
      </c>
      <c r="F11" s="21">
        <v>0</v>
      </c>
      <c r="G11" s="21">
        <v>100</v>
      </c>
      <c r="H11" s="21">
        <v>1</v>
      </c>
      <c r="I11" s="21" t="s">
        <v>54</v>
      </c>
      <c r="J11" s="21" t="s">
        <v>573</v>
      </c>
      <c r="K11" s="21" t="s">
        <v>73</v>
      </c>
      <c r="L11" s="21" t="s">
        <v>93</v>
      </c>
      <c r="M11" s="21">
        <v>3</v>
      </c>
      <c r="N11" s="21">
        <v>13</v>
      </c>
      <c r="O11" s="21">
        <v>20</v>
      </c>
      <c r="P11" s="21">
        <v>90</v>
      </c>
      <c r="Q11" s="21" t="s">
        <v>111</v>
      </c>
      <c r="R11" s="21">
        <v>0</v>
      </c>
      <c r="S11" s="21">
        <v>0</v>
      </c>
      <c r="T11" s="21" t="s">
        <v>127</v>
      </c>
      <c r="U11" s="23">
        <v>1004</v>
      </c>
      <c r="V11" s="21">
        <v>1435</v>
      </c>
      <c r="W11" s="23">
        <v>1024</v>
      </c>
      <c r="X11" s="21">
        <v>1422</v>
      </c>
      <c r="Y11" s="23">
        <v>1046</v>
      </c>
      <c r="Z11" s="21">
        <v>1043</v>
      </c>
      <c r="AA11" s="21">
        <v>1044</v>
      </c>
      <c r="AB11" s="24" t="s">
        <v>387</v>
      </c>
      <c r="AC11" s="24" t="s">
        <v>473</v>
      </c>
      <c r="AD11" s="24" t="s">
        <v>523</v>
      </c>
      <c r="AE11" s="23">
        <v>1085</v>
      </c>
      <c r="AF11" s="23">
        <v>1086</v>
      </c>
      <c r="AG11" s="21">
        <v>1074</v>
      </c>
      <c r="AH11" s="21">
        <v>1403</v>
      </c>
      <c r="AI11" s="21">
        <v>1420</v>
      </c>
      <c r="AJ11" s="21">
        <v>1450</v>
      </c>
      <c r="AK11" s="21" t="s">
        <v>173</v>
      </c>
      <c r="AL11" s="21">
        <v>1321</v>
      </c>
      <c r="AM11" s="21">
        <v>2</v>
      </c>
    </row>
    <row r="12" spans="1:39" ht="67.5" x14ac:dyDescent="0.15">
      <c r="A12" s="23" t="s">
        <v>169</v>
      </c>
      <c r="B12" s="21">
        <v>3003</v>
      </c>
      <c r="C12" s="23">
        <v>1001</v>
      </c>
      <c r="D12" s="23">
        <v>0</v>
      </c>
      <c r="E12" s="23">
        <v>1</v>
      </c>
      <c r="F12" s="21">
        <v>0</v>
      </c>
      <c r="G12" s="21">
        <v>100</v>
      </c>
      <c r="H12" s="21">
        <v>1</v>
      </c>
      <c r="I12" s="21" t="s">
        <v>55</v>
      </c>
      <c r="J12" s="21" t="s">
        <v>574</v>
      </c>
      <c r="K12" s="21" t="s">
        <v>74</v>
      </c>
      <c r="L12" s="21" t="s">
        <v>94</v>
      </c>
      <c r="M12" s="21">
        <v>2</v>
      </c>
      <c r="N12" s="21">
        <v>3</v>
      </c>
      <c r="O12" s="21">
        <v>20</v>
      </c>
      <c r="P12" s="21">
        <v>90</v>
      </c>
      <c r="Q12" s="21" t="s">
        <v>214</v>
      </c>
      <c r="R12" s="21">
        <v>0</v>
      </c>
      <c r="S12" s="21">
        <v>0</v>
      </c>
      <c r="T12" s="21" t="s">
        <v>130</v>
      </c>
      <c r="U12" s="23">
        <v>1005</v>
      </c>
      <c r="V12" s="21">
        <v>1436</v>
      </c>
      <c r="W12" s="23">
        <v>1025</v>
      </c>
      <c r="X12" s="21">
        <v>1423</v>
      </c>
      <c r="Y12" s="23">
        <v>1047</v>
      </c>
      <c r="Z12" s="21">
        <v>1043</v>
      </c>
      <c r="AA12" s="21">
        <v>1044</v>
      </c>
      <c r="AB12" s="24" t="s">
        <v>473</v>
      </c>
      <c r="AC12" s="24" t="s">
        <v>387</v>
      </c>
      <c r="AD12" s="24" t="s">
        <v>524</v>
      </c>
      <c r="AE12" s="23">
        <v>1085</v>
      </c>
      <c r="AF12" s="23">
        <v>1086</v>
      </c>
      <c r="AG12" s="21">
        <v>1075</v>
      </c>
      <c r="AH12" s="21">
        <v>1409</v>
      </c>
      <c r="AI12" s="21">
        <v>1420</v>
      </c>
      <c r="AJ12" s="21">
        <v>1451</v>
      </c>
      <c r="AK12" s="21" t="s">
        <v>174</v>
      </c>
      <c r="AL12" s="21">
        <v>1322</v>
      </c>
      <c r="AM12" s="21">
        <v>4</v>
      </c>
    </row>
    <row r="13" spans="1:39" ht="54" x14ac:dyDescent="0.15">
      <c r="A13" s="26" t="s">
        <v>36</v>
      </c>
      <c r="B13" s="21">
        <v>3004</v>
      </c>
      <c r="C13" s="23">
        <v>1003</v>
      </c>
      <c r="D13" s="23">
        <v>0</v>
      </c>
      <c r="E13" s="23">
        <v>1</v>
      </c>
      <c r="F13" s="21">
        <v>0</v>
      </c>
      <c r="G13" s="21">
        <v>100</v>
      </c>
      <c r="H13" s="21">
        <v>1</v>
      </c>
      <c r="I13" s="21" t="s">
        <v>56</v>
      </c>
      <c r="J13" s="21" t="s">
        <v>575</v>
      </c>
      <c r="K13" s="21" t="s">
        <v>75</v>
      </c>
      <c r="L13" s="21" t="s">
        <v>95</v>
      </c>
      <c r="M13" s="21">
        <v>4</v>
      </c>
      <c r="N13" s="21">
        <v>12</v>
      </c>
      <c r="O13" s="21">
        <v>20</v>
      </c>
      <c r="P13" s="21">
        <v>90</v>
      </c>
      <c r="Q13" s="21" t="s">
        <v>124</v>
      </c>
      <c r="R13" s="21">
        <v>0</v>
      </c>
      <c r="S13" s="21">
        <v>0</v>
      </c>
      <c r="T13" s="21" t="s">
        <v>132</v>
      </c>
      <c r="U13" s="23">
        <v>1006</v>
      </c>
      <c r="V13" s="21">
        <v>1437</v>
      </c>
      <c r="W13" s="23">
        <v>1026</v>
      </c>
      <c r="X13" s="21">
        <v>1424</v>
      </c>
      <c r="Y13" s="23">
        <v>1048</v>
      </c>
      <c r="Z13" s="21">
        <v>1043</v>
      </c>
      <c r="AA13" s="21">
        <v>1044</v>
      </c>
      <c r="AB13" s="24" t="s">
        <v>398</v>
      </c>
      <c r="AC13" s="24" t="s">
        <v>460</v>
      </c>
      <c r="AD13" s="24" t="s">
        <v>525</v>
      </c>
      <c r="AE13" s="23">
        <v>1085</v>
      </c>
      <c r="AF13" s="23">
        <v>1086</v>
      </c>
      <c r="AG13" s="21">
        <v>1078</v>
      </c>
      <c r="AH13" s="21">
        <v>1416</v>
      </c>
      <c r="AI13" s="21">
        <v>1420</v>
      </c>
      <c r="AJ13" s="21">
        <v>1452</v>
      </c>
      <c r="AK13" s="21" t="s">
        <v>175</v>
      </c>
      <c r="AL13" s="21">
        <v>1323</v>
      </c>
      <c r="AM13" s="21">
        <v>2</v>
      </c>
    </row>
    <row r="14" spans="1:39" ht="40.5" x14ac:dyDescent="0.15">
      <c r="A14" s="27" t="s">
        <v>37</v>
      </c>
      <c r="B14" s="21">
        <v>3005</v>
      </c>
      <c r="C14" s="23">
        <v>1005</v>
      </c>
      <c r="D14" s="23">
        <v>0</v>
      </c>
      <c r="E14" s="23">
        <v>1</v>
      </c>
      <c r="F14" s="21">
        <v>0</v>
      </c>
      <c r="G14" s="21">
        <v>100</v>
      </c>
      <c r="H14" s="21">
        <v>1</v>
      </c>
      <c r="I14" s="21" t="s">
        <v>57</v>
      </c>
      <c r="J14" s="21" t="s">
        <v>574</v>
      </c>
      <c r="K14" s="21" t="s">
        <v>76</v>
      </c>
      <c r="L14" s="21" t="s">
        <v>96</v>
      </c>
      <c r="M14" s="21">
        <v>1</v>
      </c>
      <c r="N14" s="21">
        <v>27</v>
      </c>
      <c r="O14" s="21">
        <v>20</v>
      </c>
      <c r="P14" s="21">
        <v>90</v>
      </c>
      <c r="Q14" s="21" t="s">
        <v>123</v>
      </c>
      <c r="R14" s="21">
        <v>0</v>
      </c>
      <c r="S14" s="21">
        <v>0</v>
      </c>
      <c r="T14" s="21" t="s">
        <v>133</v>
      </c>
      <c r="U14" s="23">
        <v>1007</v>
      </c>
      <c r="V14" s="21">
        <v>1438</v>
      </c>
      <c r="W14" s="23">
        <v>1027</v>
      </c>
      <c r="X14" s="21">
        <v>1425</v>
      </c>
      <c r="Y14" s="23">
        <v>1049</v>
      </c>
      <c r="Z14" s="21">
        <v>1043</v>
      </c>
      <c r="AA14" s="21">
        <v>1044</v>
      </c>
      <c r="AB14" s="24" t="s">
        <v>442</v>
      </c>
      <c r="AC14" s="24" t="s">
        <v>447</v>
      </c>
      <c r="AD14" s="24" t="s">
        <v>526</v>
      </c>
      <c r="AE14" s="23">
        <v>1085</v>
      </c>
      <c r="AF14" s="23">
        <v>1086</v>
      </c>
      <c r="AG14" s="21">
        <v>1083</v>
      </c>
      <c r="AH14" s="21">
        <v>1408</v>
      </c>
      <c r="AI14" s="21">
        <v>1420</v>
      </c>
      <c r="AJ14" s="21">
        <v>1453</v>
      </c>
      <c r="AK14" s="21" t="s">
        <v>176</v>
      </c>
      <c r="AL14" s="21">
        <v>1324</v>
      </c>
      <c r="AM14" s="21">
        <v>4</v>
      </c>
    </row>
    <row r="15" spans="1:39" ht="67.5" x14ac:dyDescent="0.15">
      <c r="A15" s="23" t="s">
        <v>38</v>
      </c>
      <c r="B15" s="21">
        <v>3006</v>
      </c>
      <c r="C15" s="23">
        <v>1000</v>
      </c>
      <c r="D15" s="23">
        <v>1</v>
      </c>
      <c r="E15" s="23">
        <v>1</v>
      </c>
      <c r="F15" s="21">
        <v>0</v>
      </c>
      <c r="G15" s="21">
        <v>100</v>
      </c>
      <c r="H15" s="21">
        <v>1</v>
      </c>
      <c r="I15" s="21" t="s">
        <v>58</v>
      </c>
      <c r="J15" s="21" t="s">
        <v>576</v>
      </c>
      <c r="K15" s="21" t="s">
        <v>77</v>
      </c>
      <c r="L15" s="21" t="s">
        <v>97</v>
      </c>
      <c r="M15" s="21">
        <v>2</v>
      </c>
      <c r="N15" s="21">
        <v>8</v>
      </c>
      <c r="O15" s="21">
        <v>20</v>
      </c>
      <c r="P15" s="21">
        <v>90</v>
      </c>
      <c r="Q15" s="21" t="s">
        <v>118</v>
      </c>
      <c r="R15" s="21">
        <v>0</v>
      </c>
      <c r="S15" s="21">
        <v>0</v>
      </c>
      <c r="T15" s="21" t="s">
        <v>134</v>
      </c>
      <c r="U15" s="23">
        <v>1008</v>
      </c>
      <c r="V15" s="21">
        <v>1439</v>
      </c>
      <c r="W15" s="23">
        <v>1028</v>
      </c>
      <c r="X15" s="21">
        <v>1426</v>
      </c>
      <c r="Y15" s="23">
        <v>1050</v>
      </c>
      <c r="Z15" s="21">
        <v>1043</v>
      </c>
      <c r="AA15" s="21">
        <v>1044</v>
      </c>
      <c r="AB15" s="24" t="s">
        <v>392</v>
      </c>
      <c r="AC15" s="24" t="s">
        <v>409</v>
      </c>
      <c r="AD15" s="24" t="s">
        <v>527</v>
      </c>
      <c r="AE15" s="23">
        <v>1085</v>
      </c>
      <c r="AF15" s="23">
        <v>1086</v>
      </c>
      <c r="AG15" s="21">
        <v>1070</v>
      </c>
      <c r="AH15" s="21">
        <v>1411</v>
      </c>
      <c r="AI15" s="21">
        <v>1420</v>
      </c>
      <c r="AJ15" s="21">
        <v>1454</v>
      </c>
      <c r="AK15" s="21" t="s">
        <v>177</v>
      </c>
      <c r="AL15" s="21">
        <v>1325</v>
      </c>
      <c r="AM15" s="21">
        <v>1</v>
      </c>
    </row>
    <row r="16" spans="1:39" ht="40.5" x14ac:dyDescent="0.15">
      <c r="A16" s="25" t="s">
        <v>168</v>
      </c>
      <c r="B16" s="21">
        <v>3008</v>
      </c>
      <c r="C16" s="23">
        <v>1003</v>
      </c>
      <c r="D16" s="23">
        <v>1</v>
      </c>
      <c r="E16" s="23">
        <v>1</v>
      </c>
      <c r="F16" s="21">
        <v>0</v>
      </c>
      <c r="G16" s="21">
        <v>100</v>
      </c>
      <c r="H16" s="21">
        <v>1</v>
      </c>
      <c r="I16" s="21" t="s">
        <v>60</v>
      </c>
      <c r="J16" s="21" t="s">
        <v>577</v>
      </c>
      <c r="K16" s="21" t="s">
        <v>79</v>
      </c>
      <c r="L16" s="21" t="s">
        <v>99</v>
      </c>
      <c r="M16" s="21">
        <v>3</v>
      </c>
      <c r="N16" s="21">
        <v>23</v>
      </c>
      <c r="O16" s="21">
        <v>20</v>
      </c>
      <c r="P16" s="21">
        <v>90</v>
      </c>
      <c r="Q16" s="21" t="s">
        <v>121</v>
      </c>
      <c r="R16" s="21">
        <v>0</v>
      </c>
      <c r="S16" s="21">
        <v>0</v>
      </c>
      <c r="T16" s="21" t="s">
        <v>136</v>
      </c>
      <c r="U16" s="23">
        <v>1010</v>
      </c>
      <c r="V16" s="21">
        <v>1440</v>
      </c>
      <c r="W16" s="23">
        <v>1030</v>
      </c>
      <c r="X16" s="21">
        <v>1427</v>
      </c>
      <c r="Y16" s="23">
        <v>1052</v>
      </c>
      <c r="Z16" s="21">
        <v>1043</v>
      </c>
      <c r="AA16" s="21">
        <v>1044</v>
      </c>
      <c r="AB16" s="24" t="s">
        <v>407</v>
      </c>
      <c r="AC16" s="24" t="s">
        <v>389</v>
      </c>
      <c r="AD16" s="24" t="s">
        <v>529</v>
      </c>
      <c r="AE16" s="23">
        <v>1085</v>
      </c>
      <c r="AF16" s="23">
        <v>1086</v>
      </c>
      <c r="AG16" s="21">
        <v>1065</v>
      </c>
      <c r="AH16" s="21">
        <v>1410</v>
      </c>
      <c r="AI16" s="21">
        <v>1420</v>
      </c>
      <c r="AJ16" s="21">
        <v>1455</v>
      </c>
      <c r="AK16" s="21" t="s">
        <v>179</v>
      </c>
      <c r="AL16" s="21">
        <v>1327</v>
      </c>
      <c r="AM16" s="21">
        <v>1</v>
      </c>
    </row>
    <row r="17" spans="1:39" ht="54" x14ac:dyDescent="0.15">
      <c r="A17" s="25" t="s">
        <v>41</v>
      </c>
      <c r="B17" s="21">
        <v>3009</v>
      </c>
      <c r="C17" s="23">
        <v>1000</v>
      </c>
      <c r="D17" s="23">
        <v>1</v>
      </c>
      <c r="E17" s="23">
        <v>1</v>
      </c>
      <c r="F17" s="21">
        <v>0</v>
      </c>
      <c r="G17" s="21">
        <v>100</v>
      </c>
      <c r="H17" s="21">
        <v>1</v>
      </c>
      <c r="I17" s="21" t="s">
        <v>61</v>
      </c>
      <c r="J17" s="21" t="s">
        <v>578</v>
      </c>
      <c r="K17" s="21" t="s">
        <v>80</v>
      </c>
      <c r="L17" s="21" t="s">
        <v>100</v>
      </c>
      <c r="M17" s="21">
        <v>4</v>
      </c>
      <c r="N17" s="21">
        <v>17</v>
      </c>
      <c r="O17" s="21">
        <v>20</v>
      </c>
      <c r="P17" s="21">
        <v>90</v>
      </c>
      <c r="Q17" s="21" t="s">
        <v>116</v>
      </c>
      <c r="R17" s="21">
        <v>0</v>
      </c>
      <c r="S17" s="21">
        <v>0</v>
      </c>
      <c r="T17" s="21" t="s">
        <v>140</v>
      </c>
      <c r="U17" s="23">
        <v>1011</v>
      </c>
      <c r="V17" s="21">
        <v>1441</v>
      </c>
      <c r="W17" s="23">
        <v>1031</v>
      </c>
      <c r="X17" s="21">
        <v>1428</v>
      </c>
      <c r="Y17" s="23">
        <v>1053</v>
      </c>
      <c r="Z17" s="21">
        <v>1043</v>
      </c>
      <c r="AA17" s="21">
        <v>1044</v>
      </c>
      <c r="AB17" s="24" t="s">
        <v>449</v>
      </c>
      <c r="AC17" s="24" t="s">
        <v>405</v>
      </c>
      <c r="AD17" s="24" t="s">
        <v>530</v>
      </c>
      <c r="AE17" s="23">
        <v>1085</v>
      </c>
      <c r="AF17" s="23">
        <v>1086</v>
      </c>
      <c r="AG17" s="21">
        <v>1069</v>
      </c>
      <c r="AH17" s="21">
        <v>1402</v>
      </c>
      <c r="AI17" s="21">
        <v>1420</v>
      </c>
      <c r="AJ17" s="21">
        <v>1456</v>
      </c>
      <c r="AK17" s="21" t="s">
        <v>180</v>
      </c>
      <c r="AL17" s="21">
        <v>1328</v>
      </c>
      <c r="AM17" s="21">
        <v>3</v>
      </c>
    </row>
    <row r="18" spans="1:39" ht="54" x14ac:dyDescent="0.15">
      <c r="A18" s="25" t="s">
        <v>42</v>
      </c>
      <c r="B18" s="21">
        <v>3010</v>
      </c>
      <c r="C18" s="23">
        <v>1004</v>
      </c>
      <c r="D18" s="23">
        <v>1</v>
      </c>
      <c r="E18" s="23">
        <v>1</v>
      </c>
      <c r="F18" s="21">
        <v>0</v>
      </c>
      <c r="G18" s="21">
        <v>100</v>
      </c>
      <c r="H18" s="21">
        <v>1</v>
      </c>
      <c r="I18" s="21" t="s">
        <v>62</v>
      </c>
      <c r="J18" s="21" t="s">
        <v>579</v>
      </c>
      <c r="K18" s="21" t="s">
        <v>81</v>
      </c>
      <c r="L18" s="21" t="s">
        <v>104</v>
      </c>
      <c r="M18" s="21">
        <v>3</v>
      </c>
      <c r="N18" s="21">
        <v>16</v>
      </c>
      <c r="O18" s="21">
        <v>20</v>
      </c>
      <c r="P18" s="21">
        <v>90</v>
      </c>
      <c r="Q18" s="21" t="s">
        <v>114</v>
      </c>
      <c r="R18" s="21">
        <v>0</v>
      </c>
      <c r="S18" s="21">
        <v>0</v>
      </c>
      <c r="T18" s="21" t="s">
        <v>131</v>
      </c>
      <c r="U18" s="23">
        <v>1012</v>
      </c>
      <c r="V18" s="21">
        <v>1442</v>
      </c>
      <c r="W18" s="23">
        <v>1032</v>
      </c>
      <c r="X18" s="21">
        <v>1429</v>
      </c>
      <c r="Y18" s="23">
        <v>1054</v>
      </c>
      <c r="Z18" s="21">
        <v>1043</v>
      </c>
      <c r="AA18" s="21">
        <v>1044</v>
      </c>
      <c r="AB18" s="24" t="s">
        <v>468</v>
      </c>
      <c r="AC18" s="24" t="s">
        <v>392</v>
      </c>
      <c r="AD18" s="24" t="s">
        <v>531</v>
      </c>
      <c r="AE18" s="23">
        <v>1085</v>
      </c>
      <c r="AF18" s="23">
        <v>1086</v>
      </c>
      <c r="AG18" s="21">
        <v>1066</v>
      </c>
      <c r="AH18" s="21">
        <v>1406</v>
      </c>
      <c r="AI18" s="21">
        <v>1420</v>
      </c>
      <c r="AJ18" s="21">
        <v>1457</v>
      </c>
      <c r="AK18" s="21" t="s">
        <v>181</v>
      </c>
      <c r="AL18" s="21">
        <v>1329</v>
      </c>
      <c r="AM18" s="21">
        <v>4</v>
      </c>
    </row>
    <row r="19" spans="1:39" ht="40.5" x14ac:dyDescent="0.15">
      <c r="A19" s="25" t="s">
        <v>146</v>
      </c>
      <c r="B19" s="21">
        <v>3011</v>
      </c>
      <c r="C19" s="23">
        <v>1000</v>
      </c>
      <c r="D19" s="23">
        <v>1</v>
      </c>
      <c r="E19" s="23">
        <v>1</v>
      </c>
      <c r="F19" s="21">
        <v>0</v>
      </c>
      <c r="G19" s="21">
        <v>100</v>
      </c>
      <c r="H19" s="21">
        <v>1</v>
      </c>
      <c r="I19" s="21" t="s">
        <v>63</v>
      </c>
      <c r="J19" s="21" t="s">
        <v>580</v>
      </c>
      <c r="K19" s="21" t="s">
        <v>82</v>
      </c>
      <c r="L19" s="21" t="s">
        <v>101</v>
      </c>
      <c r="M19" s="21">
        <v>1</v>
      </c>
      <c r="N19" s="21">
        <v>15</v>
      </c>
      <c r="O19" s="21">
        <v>20</v>
      </c>
      <c r="P19" s="21">
        <v>90</v>
      </c>
      <c r="Q19" s="21" t="s">
        <v>113</v>
      </c>
      <c r="R19" s="21">
        <v>0</v>
      </c>
      <c r="S19" s="21">
        <v>0</v>
      </c>
      <c r="T19" s="21" t="s">
        <v>137</v>
      </c>
      <c r="U19" s="23">
        <v>1013</v>
      </c>
      <c r="V19" s="21">
        <v>1443</v>
      </c>
      <c r="W19" s="23">
        <v>1033</v>
      </c>
      <c r="X19" s="21">
        <v>1430</v>
      </c>
      <c r="Y19" s="23">
        <v>1055</v>
      </c>
      <c r="Z19" s="21">
        <v>1043</v>
      </c>
      <c r="AA19" s="21">
        <v>1044</v>
      </c>
      <c r="AB19" s="24" t="s">
        <v>405</v>
      </c>
      <c r="AC19" s="24" t="s">
        <v>449</v>
      </c>
      <c r="AD19" s="24" t="s">
        <v>532</v>
      </c>
      <c r="AE19" s="23">
        <v>1085</v>
      </c>
      <c r="AF19" s="23">
        <v>1086</v>
      </c>
      <c r="AG19" s="21">
        <v>1072</v>
      </c>
      <c r="AH19" s="21">
        <v>1400</v>
      </c>
      <c r="AI19" s="21">
        <v>1420</v>
      </c>
      <c r="AJ19" s="21">
        <v>1458</v>
      </c>
      <c r="AK19" s="21" t="s">
        <v>182</v>
      </c>
      <c r="AL19" s="21">
        <v>1330</v>
      </c>
      <c r="AM19" s="21">
        <v>5</v>
      </c>
    </row>
    <row r="20" spans="1:39" ht="40.5" x14ac:dyDescent="0.15">
      <c r="A20" s="25" t="s">
        <v>44</v>
      </c>
      <c r="B20" s="21">
        <v>3012</v>
      </c>
      <c r="C20" s="23">
        <v>1005</v>
      </c>
      <c r="D20" s="23">
        <v>1</v>
      </c>
      <c r="E20" s="23">
        <v>1</v>
      </c>
      <c r="F20" s="21">
        <v>0</v>
      </c>
      <c r="G20" s="21">
        <v>100</v>
      </c>
      <c r="H20" s="21">
        <v>1</v>
      </c>
      <c r="I20" s="21" t="s">
        <v>64</v>
      </c>
      <c r="J20" s="21" t="s">
        <v>581</v>
      </c>
      <c r="K20" s="21" t="s">
        <v>83</v>
      </c>
      <c r="L20" s="21" t="s">
        <v>103</v>
      </c>
      <c r="M20" s="21">
        <v>3</v>
      </c>
      <c r="N20" s="21">
        <v>30</v>
      </c>
      <c r="O20" s="21">
        <v>20</v>
      </c>
      <c r="P20" s="21">
        <v>90</v>
      </c>
      <c r="Q20" s="21" t="s">
        <v>122</v>
      </c>
      <c r="R20" s="21">
        <v>0</v>
      </c>
      <c r="S20" s="21">
        <v>0</v>
      </c>
      <c r="T20" s="21" t="s">
        <v>144</v>
      </c>
      <c r="U20" s="23">
        <v>1014</v>
      </c>
      <c r="V20" s="21">
        <v>1444</v>
      </c>
      <c r="W20" s="23">
        <v>1034</v>
      </c>
      <c r="X20" s="21">
        <v>1431</v>
      </c>
      <c r="Y20" s="23">
        <v>1056</v>
      </c>
      <c r="Z20" s="21">
        <v>1043</v>
      </c>
      <c r="AA20" s="21">
        <v>1044</v>
      </c>
      <c r="AB20" s="24" t="s">
        <v>447</v>
      </c>
      <c r="AC20" s="24" t="s">
        <v>442</v>
      </c>
      <c r="AD20" s="24" t="s">
        <v>533</v>
      </c>
      <c r="AE20" s="23">
        <v>1085</v>
      </c>
      <c r="AF20" s="23">
        <v>1086</v>
      </c>
      <c r="AG20" s="21">
        <v>1071</v>
      </c>
      <c r="AH20" s="21">
        <v>1401</v>
      </c>
      <c r="AI20" s="21">
        <v>1420</v>
      </c>
      <c r="AJ20" s="21">
        <v>1459</v>
      </c>
      <c r="AK20" s="21" t="s">
        <v>183</v>
      </c>
      <c r="AL20" s="21">
        <v>1331</v>
      </c>
      <c r="AM20" s="21">
        <v>3</v>
      </c>
    </row>
    <row r="21" spans="1:39" ht="67.5" x14ac:dyDescent="0.15">
      <c r="A21" s="25" t="s">
        <v>45</v>
      </c>
      <c r="B21" s="21">
        <v>3013</v>
      </c>
      <c r="C21" s="23">
        <v>1005</v>
      </c>
      <c r="D21" s="23">
        <v>1</v>
      </c>
      <c r="E21" s="23">
        <v>1</v>
      </c>
      <c r="F21" s="21">
        <v>0</v>
      </c>
      <c r="G21" s="21">
        <v>100</v>
      </c>
      <c r="H21" s="21">
        <v>1</v>
      </c>
      <c r="I21" s="21" t="s">
        <v>65</v>
      </c>
      <c r="J21" s="21" t="s">
        <v>582</v>
      </c>
      <c r="K21" s="21" t="s">
        <v>84</v>
      </c>
      <c r="L21" s="21" t="s">
        <v>105</v>
      </c>
      <c r="M21" s="21">
        <v>1</v>
      </c>
      <c r="N21" s="21">
        <v>1</v>
      </c>
      <c r="O21" s="21">
        <v>20</v>
      </c>
      <c r="P21" s="21">
        <v>90</v>
      </c>
      <c r="Q21" s="21" t="s">
        <v>119</v>
      </c>
      <c r="R21" s="21">
        <v>0</v>
      </c>
      <c r="S21" s="21">
        <v>0</v>
      </c>
      <c r="T21" s="21" t="s">
        <v>139</v>
      </c>
      <c r="U21" s="23">
        <v>1015</v>
      </c>
      <c r="V21" s="21">
        <v>1445</v>
      </c>
      <c r="W21" s="23">
        <v>1035</v>
      </c>
      <c r="X21" s="21">
        <v>1432</v>
      </c>
      <c r="Y21" s="23">
        <v>1057</v>
      </c>
      <c r="Z21" s="21">
        <v>1043</v>
      </c>
      <c r="AA21" s="21">
        <v>1044</v>
      </c>
      <c r="AB21" s="24" t="s">
        <v>389</v>
      </c>
      <c r="AC21" s="24" t="s">
        <v>407</v>
      </c>
      <c r="AD21" s="24" t="s">
        <v>534</v>
      </c>
      <c r="AE21" s="23">
        <v>1085</v>
      </c>
      <c r="AF21" s="23">
        <v>1086</v>
      </c>
      <c r="AG21" s="21">
        <v>1076</v>
      </c>
      <c r="AH21" s="21">
        <v>1415</v>
      </c>
      <c r="AI21" s="21">
        <v>1420</v>
      </c>
      <c r="AJ21" s="21">
        <v>1460</v>
      </c>
      <c r="AK21" s="21" t="s">
        <v>184</v>
      </c>
      <c r="AL21" s="21">
        <v>1332</v>
      </c>
      <c r="AM21" s="21">
        <v>2</v>
      </c>
    </row>
    <row r="22" spans="1:39" ht="54" x14ac:dyDescent="0.15">
      <c r="A22" s="25" t="s">
        <v>171</v>
      </c>
      <c r="B22" s="21">
        <v>3018</v>
      </c>
      <c r="C22" s="21">
        <v>1003</v>
      </c>
      <c r="D22" s="21">
        <v>1</v>
      </c>
      <c r="E22" s="23">
        <v>1</v>
      </c>
      <c r="F22" s="21">
        <v>0</v>
      </c>
      <c r="G22" s="21">
        <v>100</v>
      </c>
      <c r="H22" s="21">
        <v>1</v>
      </c>
      <c r="I22" s="21" t="s">
        <v>69</v>
      </c>
      <c r="J22" s="21" t="s">
        <v>583</v>
      </c>
      <c r="K22" s="21" t="s">
        <v>91</v>
      </c>
      <c r="L22" s="21" t="s">
        <v>108</v>
      </c>
      <c r="M22" s="21">
        <v>3</v>
      </c>
      <c r="N22" s="21">
        <v>9</v>
      </c>
      <c r="O22" s="21">
        <v>20</v>
      </c>
      <c r="P22" s="21">
        <v>90</v>
      </c>
      <c r="Q22" s="21" t="s">
        <v>120</v>
      </c>
      <c r="R22" s="21">
        <v>0</v>
      </c>
      <c r="S22" s="21">
        <v>0</v>
      </c>
      <c r="T22" s="21" t="s">
        <v>142</v>
      </c>
      <c r="U22" s="23">
        <v>1020</v>
      </c>
      <c r="V22" s="21">
        <v>1446</v>
      </c>
      <c r="W22" s="23">
        <v>1040</v>
      </c>
      <c r="X22" s="21">
        <v>1433</v>
      </c>
      <c r="Y22" s="23">
        <v>1062</v>
      </c>
      <c r="Z22" s="21">
        <v>1043</v>
      </c>
      <c r="AA22" s="21">
        <v>1044</v>
      </c>
      <c r="AB22" s="24" t="s">
        <v>428</v>
      </c>
      <c r="AC22" s="24" t="s">
        <v>471</v>
      </c>
      <c r="AD22" s="24" t="s">
        <v>539</v>
      </c>
      <c r="AE22" s="23">
        <v>1085</v>
      </c>
      <c r="AF22" s="23">
        <v>1086</v>
      </c>
      <c r="AG22" s="21">
        <v>1067</v>
      </c>
      <c r="AH22" s="21">
        <v>1407</v>
      </c>
      <c r="AI22" s="21">
        <v>1420</v>
      </c>
      <c r="AJ22" s="21">
        <v>1461</v>
      </c>
      <c r="AK22" s="21" t="s">
        <v>189</v>
      </c>
      <c r="AL22" s="21">
        <v>1337</v>
      </c>
      <c r="AM22" s="21">
        <v>5</v>
      </c>
    </row>
    <row r="23" spans="1:39" ht="67.5" x14ac:dyDescent="0.15">
      <c r="A23" s="26" t="s">
        <v>51</v>
      </c>
      <c r="B23" s="21">
        <v>3019</v>
      </c>
      <c r="C23" s="21">
        <v>1000</v>
      </c>
      <c r="D23" s="21">
        <v>0</v>
      </c>
      <c r="E23" s="23">
        <v>1</v>
      </c>
      <c r="F23" s="21">
        <v>0</v>
      </c>
      <c r="G23" s="21">
        <v>100</v>
      </c>
      <c r="H23" s="21">
        <v>1</v>
      </c>
      <c r="I23" s="21" t="s">
        <v>70</v>
      </c>
      <c r="J23" s="21">
        <v>0</v>
      </c>
      <c r="K23" s="21" t="s">
        <v>90</v>
      </c>
      <c r="L23" s="21" t="s">
        <v>102</v>
      </c>
      <c r="M23" s="21">
        <v>4</v>
      </c>
      <c r="N23" s="21">
        <v>1</v>
      </c>
      <c r="O23" s="21">
        <v>20</v>
      </c>
      <c r="P23" s="21">
        <v>90</v>
      </c>
      <c r="Q23" s="21" t="s">
        <v>110</v>
      </c>
      <c r="R23" s="21">
        <v>0</v>
      </c>
      <c r="S23" s="21">
        <v>0</v>
      </c>
      <c r="T23" s="21" t="s">
        <v>143</v>
      </c>
      <c r="U23" s="23">
        <v>1021</v>
      </c>
      <c r="V23" s="21">
        <v>1448</v>
      </c>
      <c r="W23" s="23">
        <v>1041</v>
      </c>
      <c r="X23" s="21">
        <v>1447</v>
      </c>
      <c r="Y23" s="23">
        <v>1063</v>
      </c>
      <c r="Z23" s="21">
        <v>1043</v>
      </c>
      <c r="AA23" s="21">
        <v>1044</v>
      </c>
      <c r="AB23" s="24" t="s">
        <v>384</v>
      </c>
      <c r="AC23" s="24" t="s">
        <v>414</v>
      </c>
      <c r="AD23" s="24" t="s">
        <v>540</v>
      </c>
      <c r="AE23" s="23">
        <v>1085</v>
      </c>
      <c r="AF23" s="23">
        <v>1086</v>
      </c>
      <c r="AG23" s="21">
        <v>1077</v>
      </c>
      <c r="AH23" s="21">
        <v>1414</v>
      </c>
      <c r="AI23" s="21">
        <v>1420</v>
      </c>
      <c r="AJ23" s="21">
        <v>0</v>
      </c>
      <c r="AK23" s="21" t="s">
        <v>190</v>
      </c>
      <c r="AL23" s="21">
        <v>1338</v>
      </c>
      <c r="AM23" s="21">
        <v>1</v>
      </c>
    </row>
  </sheetData>
  <autoFilter ref="A3:F60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workbookViewId="0">
      <selection activeCell="A3" sqref="A3:B10"/>
    </sheetView>
  </sheetViews>
  <sheetFormatPr defaultRowHeight="13.5" x14ac:dyDescent="0.15"/>
  <cols>
    <col min="1" max="1" width="9.75" bestFit="1" customWidth="1"/>
    <col min="2" max="2" width="10.875" bestFit="1" customWidth="1"/>
  </cols>
  <sheetData>
    <row r="3" spans="1:3" x14ac:dyDescent="0.15">
      <c r="A3" s="5"/>
      <c r="B3" s="6"/>
      <c r="C3" s="7"/>
    </row>
    <row r="4" spans="1:3" x14ac:dyDescent="0.15">
      <c r="A4" s="8"/>
      <c r="B4" s="9"/>
      <c r="C4" s="10"/>
    </row>
    <row r="5" spans="1:3" x14ac:dyDescent="0.15">
      <c r="A5" s="8"/>
      <c r="B5" s="9"/>
      <c r="C5" s="10"/>
    </row>
    <row r="6" spans="1:3" x14ac:dyDescent="0.15">
      <c r="A6" s="8"/>
      <c r="B6" s="9"/>
      <c r="C6" s="10"/>
    </row>
    <row r="7" spans="1:3" x14ac:dyDescent="0.15">
      <c r="A7" s="8"/>
      <c r="B7" s="9"/>
      <c r="C7" s="10"/>
    </row>
    <row r="8" spans="1:3" x14ac:dyDescent="0.15">
      <c r="A8" s="8"/>
      <c r="B8" s="9"/>
      <c r="C8" s="10"/>
    </row>
    <row r="9" spans="1:3" x14ac:dyDescent="0.15">
      <c r="A9" s="8"/>
      <c r="B9" s="9"/>
      <c r="C9" s="10"/>
    </row>
    <row r="10" spans="1:3" x14ac:dyDescent="0.15">
      <c r="A10" s="8"/>
      <c r="B10" s="9"/>
      <c r="C10" s="10"/>
    </row>
    <row r="11" spans="1:3" x14ac:dyDescent="0.15">
      <c r="A11" s="8"/>
      <c r="B11" s="9"/>
      <c r="C11" s="10"/>
    </row>
    <row r="12" spans="1:3" x14ac:dyDescent="0.15">
      <c r="A12" s="8"/>
      <c r="B12" s="9"/>
      <c r="C12" s="10"/>
    </row>
    <row r="13" spans="1:3" x14ac:dyDescent="0.15">
      <c r="A13" s="8"/>
      <c r="B13" s="9"/>
      <c r="C13" s="10"/>
    </row>
    <row r="14" spans="1:3" x14ac:dyDescent="0.15">
      <c r="A14" s="8"/>
      <c r="B14" s="9"/>
      <c r="C14" s="10"/>
    </row>
    <row r="15" spans="1:3" x14ac:dyDescent="0.15">
      <c r="A15" s="8"/>
      <c r="B15" s="9"/>
      <c r="C15" s="10"/>
    </row>
    <row r="16" spans="1:3" x14ac:dyDescent="0.15">
      <c r="A16" s="8"/>
      <c r="B16" s="9"/>
      <c r="C16" s="10"/>
    </row>
    <row r="17" spans="1:3" x14ac:dyDescent="0.15">
      <c r="A17" s="8"/>
      <c r="B17" s="9"/>
      <c r="C17" s="10"/>
    </row>
    <row r="18" spans="1:3" x14ac:dyDescent="0.15">
      <c r="A18" s="8"/>
      <c r="B18" s="9"/>
      <c r="C18" s="10"/>
    </row>
    <row r="19" spans="1:3" x14ac:dyDescent="0.15">
      <c r="A19" s="8"/>
      <c r="B19" s="9"/>
      <c r="C19" s="10"/>
    </row>
    <row r="20" spans="1:3" x14ac:dyDescent="0.15">
      <c r="A20" s="11"/>
      <c r="B20" s="12"/>
      <c r="C20" s="1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"/>
  <sheetViews>
    <sheetView workbookViewId="0">
      <selection activeCell="B10" sqref="A3:B10"/>
    </sheetView>
  </sheetViews>
  <sheetFormatPr defaultRowHeight="13.5" x14ac:dyDescent="0.15"/>
  <cols>
    <col min="1" max="1" width="9.75" bestFit="1" customWidth="1"/>
    <col min="2" max="2" width="13.125" bestFit="1" customWidth="1"/>
  </cols>
  <sheetData>
    <row r="3" spans="1:2" x14ac:dyDescent="0.15">
      <c r="A3" s="14" t="s">
        <v>227</v>
      </c>
      <c r="B3" t="s">
        <v>230</v>
      </c>
    </row>
    <row r="4" spans="1:2" x14ac:dyDescent="0.15">
      <c r="A4" s="15" t="s">
        <v>225</v>
      </c>
      <c r="B4" s="16">
        <v>4</v>
      </c>
    </row>
    <row r="5" spans="1:2" x14ac:dyDescent="0.15">
      <c r="A5" s="15" t="s">
        <v>221</v>
      </c>
      <c r="B5" s="16">
        <v>4</v>
      </c>
    </row>
    <row r="6" spans="1:2" x14ac:dyDescent="0.15">
      <c r="A6" s="15" t="s">
        <v>219</v>
      </c>
      <c r="B6" s="16">
        <v>4</v>
      </c>
    </row>
    <row r="7" spans="1:2" x14ac:dyDescent="0.15">
      <c r="A7" s="15" t="s">
        <v>217</v>
      </c>
      <c r="B7" s="16">
        <v>4</v>
      </c>
    </row>
    <row r="8" spans="1:2" x14ac:dyDescent="0.15">
      <c r="A8" s="15" t="s">
        <v>223</v>
      </c>
      <c r="B8" s="16">
        <v>4</v>
      </c>
    </row>
    <row r="9" spans="1:2" x14ac:dyDescent="0.15">
      <c r="A9" s="15" t="s">
        <v>231</v>
      </c>
      <c r="B9" s="16"/>
    </row>
    <row r="10" spans="1:2" x14ac:dyDescent="0.15">
      <c r="A10" s="15" t="s">
        <v>228</v>
      </c>
      <c r="B10" s="16">
        <v>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Z29"/>
  <sheetViews>
    <sheetView workbookViewId="0">
      <selection activeCell="G6" sqref="G6"/>
    </sheetView>
  </sheetViews>
  <sheetFormatPr defaultRowHeight="13.5" x14ac:dyDescent="0.15"/>
  <cols>
    <col min="2" max="3" width="32.75" style="1" customWidth="1"/>
    <col min="4" max="4" width="12.25" style="1" customWidth="1"/>
    <col min="5" max="5" width="11.25" style="1" customWidth="1"/>
    <col min="6" max="6" width="11.875" style="1" customWidth="1"/>
    <col min="7" max="11" width="10.875" style="1" customWidth="1"/>
    <col min="12" max="14" width="7.375" style="1" customWidth="1"/>
    <col min="15" max="15" width="17.75" style="1" customWidth="1"/>
    <col min="16" max="16" width="17.25" style="1" customWidth="1"/>
    <col min="25" max="25" width="9.75" bestFit="1" customWidth="1"/>
    <col min="26" max="26" width="13.125" bestFit="1" customWidth="1"/>
  </cols>
  <sheetData>
    <row r="1" spans="1:26" x14ac:dyDescent="0.15">
      <c r="J1" s="1" t="s">
        <v>520</v>
      </c>
      <c r="S1" t="s">
        <v>216</v>
      </c>
    </row>
    <row r="3" spans="1:26" ht="67.5" x14ac:dyDescent="0.15">
      <c r="A3" s="2" t="s">
        <v>33</v>
      </c>
      <c r="B3" s="1" t="s">
        <v>128</v>
      </c>
      <c r="C3" s="1" t="s">
        <v>543</v>
      </c>
      <c r="D3" s="1" t="s">
        <v>484</v>
      </c>
      <c r="E3" s="1" t="s">
        <v>499</v>
      </c>
      <c r="F3" s="1" t="s">
        <v>504</v>
      </c>
      <c r="G3" s="1" t="s">
        <v>505</v>
      </c>
      <c r="H3" s="1">
        <v>1143</v>
      </c>
      <c r="I3" s="1">
        <v>1136</v>
      </c>
      <c r="J3" s="1">
        <v>1139</v>
      </c>
      <c r="K3" s="1" t="str">
        <f>IF(H3="",,H3&amp;",3"&amp;IF(I3&lt;&gt;"",";"&amp;I3&amp;",5"&amp;IF(J3&lt;&gt;0,";"&amp;J3&amp;",7",""),""))</f>
        <v>1143,3;1136,5;1139,7</v>
      </c>
      <c r="L3" s="1" t="s">
        <v>359</v>
      </c>
      <c r="M3" s="1">
        <f>VLOOKUP(L3,Sheet2!$P$2:$U$20,5,FALSE)</f>
        <v>1080</v>
      </c>
      <c r="N3" s="1">
        <f>VLOOKUP(L3,Sheet2!$P$2:$U$20,6,FALSE)</f>
        <v>1067</v>
      </c>
      <c r="O3" s="1" t="str">
        <f>VLOOKUP(L3,Sheet2!$P$2:$S$20,3,FALSE)</f>
        <v>1097,1107,1108,1114</v>
      </c>
      <c r="P3" s="1" t="str">
        <f>VLOOKUP(L3,Sheet2!$P$2:$S$20,4,FALSE)</f>
        <v>1238,1239,1240,1241,1242,1243,1244,1245,1246,1247,1248,1249,1250,1251,1252</v>
      </c>
      <c r="S3" t="s">
        <v>225</v>
      </c>
      <c r="T3">
        <v>1</v>
      </c>
      <c r="W3" t="s">
        <v>218</v>
      </c>
      <c r="Y3" s="14" t="s">
        <v>227</v>
      </c>
      <c r="Z3" t="s">
        <v>230</v>
      </c>
    </row>
    <row r="4" spans="1:26" ht="40.5" x14ac:dyDescent="0.15">
      <c r="A4" t="s">
        <v>34</v>
      </c>
      <c r="B4" s="1" t="s">
        <v>127</v>
      </c>
      <c r="C4" s="1" t="s">
        <v>544</v>
      </c>
      <c r="D4" s="1" t="s">
        <v>488</v>
      </c>
      <c r="E4" s="1" t="s">
        <v>327</v>
      </c>
      <c r="F4" s="1" t="s">
        <v>494</v>
      </c>
      <c r="G4" s="1" t="s">
        <v>506</v>
      </c>
      <c r="H4" s="1">
        <v>1121</v>
      </c>
      <c r="I4" s="1">
        <v>1159</v>
      </c>
      <c r="J4" s="1">
        <v>1162</v>
      </c>
      <c r="K4" s="1" t="str">
        <f t="shared" ref="K4:K22" si="0">IF(H4="",,H4&amp;",3"&amp;IF(I4&lt;&gt;"",";"&amp;I4&amp;",5"&amp;IF(J4&lt;&gt;0,";"&amp;J4&amp;",7",""),""))</f>
        <v>1121,3;1159,5;1162,7</v>
      </c>
      <c r="L4" s="1" t="s">
        <v>347</v>
      </c>
      <c r="M4" s="1">
        <f>VLOOKUP(L4,Sheet2!$P$2:$U$20,5,FALSE)</f>
        <v>1074</v>
      </c>
      <c r="N4" s="1">
        <f>VLOOKUP(L4,Sheet2!$P$2:$U$20,6,FALSE)</f>
        <v>1075</v>
      </c>
      <c r="O4" s="1" t="str">
        <f>VLOOKUP(L4,Sheet2!$P$2:$S$20,3,FALSE)</f>
        <v>1019,1020,1021,1022</v>
      </c>
      <c r="P4" s="1" t="str">
        <f>VLOOKUP(L4,Sheet2!$P$2:$S$20,4,FALSE)</f>
        <v>1023,1024,1025</v>
      </c>
      <c r="S4" t="s">
        <v>217</v>
      </c>
      <c r="T4">
        <v>1</v>
      </c>
      <c r="W4" t="s">
        <v>226</v>
      </c>
      <c r="Y4" s="15" t="s">
        <v>225</v>
      </c>
      <c r="Z4" s="16">
        <v>4</v>
      </c>
    </row>
    <row r="5" spans="1:26" ht="40.5" x14ac:dyDescent="0.15">
      <c r="A5" t="s">
        <v>35</v>
      </c>
      <c r="B5" s="1" t="s">
        <v>130</v>
      </c>
      <c r="C5" s="1" t="s">
        <v>545</v>
      </c>
      <c r="D5" s="1" t="s">
        <v>361</v>
      </c>
      <c r="E5" s="1" t="s">
        <v>319</v>
      </c>
      <c r="F5" s="1" t="s">
        <v>322</v>
      </c>
      <c r="G5" s="1" t="s">
        <v>507</v>
      </c>
      <c r="H5" s="1">
        <v>1102</v>
      </c>
      <c r="I5" s="1">
        <v>1105</v>
      </c>
      <c r="J5" s="1">
        <v>1111</v>
      </c>
      <c r="K5" s="1" t="str">
        <f t="shared" si="0"/>
        <v>1102,3;1105,5;1111,7</v>
      </c>
      <c r="L5" s="1" t="s">
        <v>349</v>
      </c>
      <c r="M5" s="1">
        <f>VLOOKUP(L5,Sheet2!$P$2:$U$20,5,FALSE)</f>
        <v>1075</v>
      </c>
      <c r="N5" s="1">
        <f>VLOOKUP(L5,Sheet2!$P$2:$U$20,6,FALSE)</f>
        <v>1074</v>
      </c>
      <c r="O5" s="1" t="str">
        <f>VLOOKUP(L5,Sheet2!$P$2:$S$20,3,FALSE)</f>
        <v>1023,1024,1025</v>
      </c>
      <c r="P5" s="1" t="str">
        <f>VLOOKUP(L5,Sheet2!$P$2:$S$20,4,FALSE)</f>
        <v>1019,1020,1021,1022</v>
      </c>
      <c r="S5" t="s">
        <v>223</v>
      </c>
      <c r="T5">
        <v>1</v>
      </c>
      <c r="W5" t="s">
        <v>220</v>
      </c>
      <c r="Y5" s="15" t="s">
        <v>221</v>
      </c>
      <c r="Z5" s="16">
        <v>4</v>
      </c>
    </row>
    <row r="6" spans="1:26" ht="40.5" x14ac:dyDescent="0.15">
      <c r="A6" s="2" t="s">
        <v>36</v>
      </c>
      <c r="B6" s="1" t="s">
        <v>132</v>
      </c>
      <c r="C6" s="1" t="s">
        <v>546</v>
      </c>
      <c r="E6" s="1" t="s">
        <v>502</v>
      </c>
      <c r="F6" s="1" t="s">
        <v>508</v>
      </c>
      <c r="H6" s="1">
        <v>1125</v>
      </c>
      <c r="I6" s="1">
        <v>1094</v>
      </c>
      <c r="K6" s="1" t="str">
        <f t="shared" si="0"/>
        <v>1125,3;1094,5</v>
      </c>
      <c r="L6" s="1" t="s">
        <v>355</v>
      </c>
      <c r="M6" s="1">
        <f>VLOOKUP(L6,Sheet2!$P$2:$U$20,5,FALSE)</f>
        <v>1078</v>
      </c>
      <c r="N6" s="1">
        <f>VLOOKUP(L6,Sheet2!$P$2:$U$20,6,FALSE)</f>
        <v>1079</v>
      </c>
      <c r="O6" s="1" t="str">
        <f>VLOOKUP(L6,Sheet2!$P$2:$S$20,3,FALSE)</f>
        <v>1035,1036,1038,1039,1041,1044,1045</v>
      </c>
      <c r="P6" s="1" t="str">
        <f>VLOOKUP(L6,Sheet2!$P$2:$S$20,4,FALSE)</f>
        <v>1034,1037,1040,1042,1043,1046,1047,1048</v>
      </c>
      <c r="S6" t="s">
        <v>217</v>
      </c>
      <c r="T6">
        <v>1</v>
      </c>
      <c r="W6" t="s">
        <v>222</v>
      </c>
      <c r="Y6" s="15" t="s">
        <v>219</v>
      </c>
      <c r="Z6" s="16">
        <v>4</v>
      </c>
    </row>
    <row r="7" spans="1:26" ht="67.5" x14ac:dyDescent="0.15">
      <c r="A7" s="3" t="s">
        <v>37</v>
      </c>
      <c r="B7" s="1" t="s">
        <v>133</v>
      </c>
      <c r="C7" s="1" t="s">
        <v>548</v>
      </c>
      <c r="D7" s="1" t="s">
        <v>490</v>
      </c>
      <c r="E7" s="1" t="s">
        <v>314</v>
      </c>
      <c r="F7" s="1" t="s">
        <v>312</v>
      </c>
      <c r="G7" s="1" t="s">
        <v>276</v>
      </c>
      <c r="H7" s="1">
        <v>1089</v>
      </c>
      <c r="I7" s="1">
        <v>1087</v>
      </c>
      <c r="J7" s="1">
        <v>1017</v>
      </c>
      <c r="K7" s="1" t="str">
        <f t="shared" si="0"/>
        <v>1089,3;1087,5;1017,7</v>
      </c>
      <c r="L7" s="1" t="s">
        <v>365</v>
      </c>
      <c r="M7" s="1">
        <f>VLOOKUP(L7,Sheet2!$P$2:$U$20,5,FALSE)</f>
        <v>1083</v>
      </c>
      <c r="N7" s="1">
        <f>VLOOKUP(L7,Sheet2!$P$2:$U$20,6,FALSE)</f>
        <v>1071</v>
      </c>
      <c r="O7" s="1" t="str">
        <f>VLOOKUP(L7,Sheet2!$P$2:$S$20,3,FALSE)</f>
        <v>1001,1002,1003,1004,1005,1006,1007,1008,1009,1010,1011,1012,1015,1016,1086</v>
      </c>
      <c r="P7" s="1" t="str">
        <f>VLOOKUP(L7,Sheet2!$P$2:$S$20,4,FALSE)</f>
        <v>1013,1014,1017,1087,1088,1089</v>
      </c>
      <c r="S7" t="s">
        <v>225</v>
      </c>
      <c r="T7">
        <v>1</v>
      </c>
      <c r="W7" t="s">
        <v>224</v>
      </c>
      <c r="Y7" s="15" t="s">
        <v>217</v>
      </c>
      <c r="Z7" s="16">
        <v>4</v>
      </c>
    </row>
    <row r="8" spans="1:26" ht="40.5" x14ac:dyDescent="0.15">
      <c r="A8" t="s">
        <v>38</v>
      </c>
      <c r="B8" s="1" t="s">
        <v>134</v>
      </c>
      <c r="C8" s="1" t="s">
        <v>549</v>
      </c>
      <c r="D8" s="1" t="s">
        <v>491</v>
      </c>
      <c r="E8" s="1" t="s">
        <v>306</v>
      </c>
      <c r="F8" s="1" t="s">
        <v>307</v>
      </c>
      <c r="H8" s="1">
        <v>1079</v>
      </c>
      <c r="I8" s="1">
        <v>1080</v>
      </c>
      <c r="K8" s="1" t="str">
        <f t="shared" si="0"/>
        <v>1079,3;1080,5</v>
      </c>
      <c r="L8" s="1" t="s">
        <v>339</v>
      </c>
      <c r="M8" s="1">
        <f>VLOOKUP(L8,Sheet2!$P$2:$U$20,5,FALSE)</f>
        <v>1070</v>
      </c>
      <c r="N8" s="1">
        <f>VLOOKUP(L8,Sheet2!$P$2:$U$20,6,FALSE)</f>
        <v>1068</v>
      </c>
      <c r="O8" s="1" t="str">
        <f>VLOOKUP(L8,Sheet2!$P$2:$S$20,3,FALSE)</f>
        <v>1078,1079,1080,1083</v>
      </c>
      <c r="P8" s="1" t="str">
        <f>VLOOKUP(L8,Sheet2!$P$2:$S$20,4,FALSE)</f>
        <v>1064,1073,1077</v>
      </c>
      <c r="S8" t="s">
        <v>219</v>
      </c>
      <c r="T8">
        <v>1</v>
      </c>
      <c r="Y8" s="15" t="s">
        <v>223</v>
      </c>
      <c r="Z8" s="16">
        <v>4</v>
      </c>
    </row>
    <row r="9" spans="1:26" ht="40.5" x14ac:dyDescent="0.15">
      <c r="A9" s="2" t="s">
        <v>39</v>
      </c>
      <c r="B9" s="1" t="s">
        <v>135</v>
      </c>
      <c r="C9" s="1" t="s">
        <v>550</v>
      </c>
      <c r="D9" s="1" t="s">
        <v>498</v>
      </c>
      <c r="E9" s="1" t="s">
        <v>326</v>
      </c>
      <c r="F9" s="1" t="s">
        <v>316</v>
      </c>
      <c r="G9" s="1" t="s">
        <v>509</v>
      </c>
      <c r="H9" s="1">
        <v>1118</v>
      </c>
      <c r="I9" s="1">
        <v>1096</v>
      </c>
      <c r="J9" s="1">
        <v>1093</v>
      </c>
      <c r="K9" s="1" t="str">
        <f t="shared" si="0"/>
        <v>1118,3;1096,5;1093,7</v>
      </c>
      <c r="L9" s="1" t="s">
        <v>357</v>
      </c>
      <c r="M9" s="1">
        <f>VLOOKUP(L9,Sheet2!$P$2:$U$20,5,FALSE)</f>
        <v>1079</v>
      </c>
      <c r="N9" s="1">
        <f>VLOOKUP(L9,Sheet2!$P$2:$U$20,6,FALSE)</f>
        <v>1078</v>
      </c>
      <c r="O9" s="1" t="str">
        <f>VLOOKUP(L9,Sheet2!$P$2:$S$20,3,FALSE)</f>
        <v>1034,1037,1040,1042,1043,1046,1047,1048</v>
      </c>
      <c r="P9" s="1" t="str">
        <f>VLOOKUP(L9,Sheet2!$P$2:$S$20,4,FALSE)</f>
        <v>1035,1036,1038,1039,1041,1044,1045</v>
      </c>
      <c r="S9" t="s">
        <v>223</v>
      </c>
      <c r="T9">
        <v>1</v>
      </c>
      <c r="Y9" s="15" t="s">
        <v>231</v>
      </c>
      <c r="Z9" s="16"/>
    </row>
    <row r="10" spans="1:26" ht="27" x14ac:dyDescent="0.15">
      <c r="A10" s="4" t="s">
        <v>40</v>
      </c>
      <c r="B10" s="1" t="s">
        <v>136</v>
      </c>
      <c r="C10" s="1" t="s">
        <v>551</v>
      </c>
      <c r="D10" s="1" t="s">
        <v>493</v>
      </c>
      <c r="E10" s="1" t="s">
        <v>492</v>
      </c>
      <c r="F10" s="1" t="s">
        <v>265</v>
      </c>
      <c r="H10" s="1">
        <v>1131</v>
      </c>
      <c r="I10" s="1">
        <v>1057</v>
      </c>
      <c r="K10" s="1" t="str">
        <f t="shared" si="0"/>
        <v>1131,3;1057,5</v>
      </c>
      <c r="L10" s="1" t="s">
        <v>329</v>
      </c>
      <c r="M10" s="1">
        <f>VLOOKUP(L10,Sheet2!$P$2:$U$20,5,FALSE)</f>
        <v>1065</v>
      </c>
      <c r="N10" s="1">
        <f>VLOOKUP(L10,Sheet2!$P$2:$U$20,6,FALSE)</f>
        <v>1076</v>
      </c>
      <c r="O10" s="1" t="str">
        <f>VLOOKUP(L10,Sheet2!$P$2:$S$20,3,FALSE)</f>
        <v>1057,1084,1085</v>
      </c>
      <c r="P10" s="1" t="str">
        <f>VLOOKUP(L10,Sheet2!$P$2:$S$20,4,FALSE)</f>
        <v>1090,1051,1052</v>
      </c>
      <c r="S10" t="s">
        <v>225</v>
      </c>
      <c r="T10">
        <v>1</v>
      </c>
      <c r="Y10" s="15" t="s">
        <v>228</v>
      </c>
      <c r="Z10" s="16">
        <v>20</v>
      </c>
    </row>
    <row r="11" spans="1:26" ht="27" x14ac:dyDescent="0.15">
      <c r="A11" s="4" t="s">
        <v>41</v>
      </c>
      <c r="B11" s="1" t="s">
        <v>140</v>
      </c>
      <c r="C11" s="1" t="s">
        <v>555</v>
      </c>
      <c r="E11" s="1" t="s">
        <v>324</v>
      </c>
      <c r="F11" s="1" t="s">
        <v>503</v>
      </c>
      <c r="H11" s="1">
        <v>1108</v>
      </c>
      <c r="I11" s="1">
        <v>1095</v>
      </c>
      <c r="K11" s="1" t="str">
        <f t="shared" si="0"/>
        <v>1108,3;1095,5</v>
      </c>
      <c r="L11" s="1" t="s">
        <v>337</v>
      </c>
      <c r="M11" s="1">
        <f>VLOOKUP(L11,Sheet2!$P$2:$U$20,5,FALSE)</f>
        <v>1069</v>
      </c>
      <c r="N11" s="1">
        <f>VLOOKUP(L11,Sheet2!$P$2:$U$20,6,FALSE)</f>
        <v>1072</v>
      </c>
      <c r="O11" s="1" t="str">
        <f>VLOOKUP(L11,Sheet2!$P$2:$S$20,3,FALSE)</f>
        <v>1069,1075,1076</v>
      </c>
      <c r="P11" s="1" t="str">
        <f>VLOOKUP(L11,Sheet2!$P$2:$S$20,4,FALSE)</f>
        <v>1049,1050,1052,1054,1056</v>
      </c>
      <c r="S11" t="s">
        <v>223</v>
      </c>
      <c r="T11">
        <v>1</v>
      </c>
    </row>
    <row r="12" spans="1:26" ht="40.5" x14ac:dyDescent="0.15">
      <c r="A12" s="4" t="s">
        <v>42</v>
      </c>
      <c r="B12" s="1" t="s">
        <v>131</v>
      </c>
      <c r="C12" s="1" t="s">
        <v>553</v>
      </c>
      <c r="D12" s="1" t="s">
        <v>489</v>
      </c>
      <c r="E12" s="1" t="s">
        <v>500</v>
      </c>
      <c r="F12" s="1" t="s">
        <v>304</v>
      </c>
      <c r="H12" s="1">
        <v>1129</v>
      </c>
      <c r="I12" s="1">
        <v>1077</v>
      </c>
      <c r="K12" s="1" t="str">
        <f t="shared" si="0"/>
        <v>1129,3;1077,5</v>
      </c>
      <c r="L12" s="1" t="s">
        <v>331</v>
      </c>
      <c r="M12" s="1">
        <f>VLOOKUP(L12,Sheet2!$P$2:$U$20,5,FALSE)</f>
        <v>1066</v>
      </c>
      <c r="N12" s="1">
        <f>VLOOKUP(L12,Sheet2!$P$2:$U$20,6,FALSE)</f>
        <v>1070</v>
      </c>
      <c r="O12" s="1" t="str">
        <f>VLOOKUP(L12,Sheet2!$P$2:$S$20,3,FALSE)</f>
        <v>1056,1060,1061,1062,1063,1065,1066,1068,1069</v>
      </c>
      <c r="P12" s="1" t="str">
        <f>VLOOKUP(L12,Sheet2!$P$2:$S$20,4,FALSE)</f>
        <v>1078,1079,1080,1083</v>
      </c>
      <c r="S12" t="s">
        <v>221</v>
      </c>
      <c r="T12">
        <v>1</v>
      </c>
    </row>
    <row r="13" spans="1:26" ht="27" x14ac:dyDescent="0.15">
      <c r="A13" s="4" t="s">
        <v>43</v>
      </c>
      <c r="B13" s="1" t="s">
        <v>137</v>
      </c>
      <c r="C13" s="1" t="s">
        <v>551</v>
      </c>
      <c r="D13" s="1" t="s">
        <v>497</v>
      </c>
      <c r="E13" s="1" t="s">
        <v>288</v>
      </c>
      <c r="F13" s="1" t="s">
        <v>289</v>
      </c>
      <c r="H13" s="1">
        <v>1051</v>
      </c>
      <c r="I13" s="1">
        <v>1052</v>
      </c>
      <c r="K13" s="1" t="str">
        <f t="shared" si="0"/>
        <v>1051,3;1052,5</v>
      </c>
      <c r="L13" s="1" t="s">
        <v>343</v>
      </c>
      <c r="M13" s="1">
        <f>VLOOKUP(L13,Sheet2!$P$2:$U$20,5,FALSE)</f>
        <v>1072</v>
      </c>
      <c r="N13" s="1">
        <f>VLOOKUP(L13,Sheet2!$P$2:$U$20,6,FALSE)</f>
        <v>1069</v>
      </c>
      <c r="O13" s="1" t="str">
        <f>VLOOKUP(L13,Sheet2!$P$2:$S$20,3,FALSE)</f>
        <v>1049,1050,1052,1054,1056</v>
      </c>
      <c r="P13" s="1" t="str">
        <f>VLOOKUP(L13,Sheet2!$P$2:$S$20,4,FALSE)</f>
        <v>1069,1075,1076</v>
      </c>
      <c r="S13" t="s">
        <v>221</v>
      </c>
      <c r="T13">
        <v>1</v>
      </c>
    </row>
    <row r="14" spans="1:26" ht="67.5" x14ac:dyDescent="0.15">
      <c r="A14" s="4" t="s">
        <v>44</v>
      </c>
      <c r="B14" s="1" t="s">
        <v>144</v>
      </c>
      <c r="C14" s="1" t="s">
        <v>554</v>
      </c>
      <c r="E14" s="1" t="s">
        <v>318</v>
      </c>
      <c r="F14" s="1" t="s">
        <v>510</v>
      </c>
      <c r="H14" s="1">
        <v>1098</v>
      </c>
      <c r="I14" s="1">
        <v>1101</v>
      </c>
      <c r="K14" s="1" t="str">
        <f t="shared" si="0"/>
        <v>1098,3;1101,5</v>
      </c>
      <c r="L14" s="1" t="s">
        <v>341</v>
      </c>
      <c r="M14" s="1">
        <f>VLOOKUP(L14,Sheet2!$P$2:$U$20,5,FALSE)</f>
        <v>1071</v>
      </c>
      <c r="N14" s="1">
        <f>VLOOKUP(L14,Sheet2!$P$2:$U$20,6,FALSE)</f>
        <v>1083</v>
      </c>
      <c r="O14" s="1" t="str">
        <f>VLOOKUP(L14,Sheet2!$P$2:$S$20,3,FALSE)</f>
        <v>1013,1014,1017,1087,1088,1089</v>
      </c>
      <c r="P14" s="1" t="str">
        <f>VLOOKUP(L14,Sheet2!$P$2:$S$20,4,FALSE)</f>
        <v>1001,1002,1003,1004,1005,1006,1007,1008,1009,1010,1011,1012,1015,1016,1086</v>
      </c>
      <c r="S14" t="s">
        <v>217</v>
      </c>
      <c r="T14">
        <v>1</v>
      </c>
    </row>
    <row r="15" spans="1:26" ht="40.5" x14ac:dyDescent="0.15">
      <c r="A15" s="4" t="s">
        <v>45</v>
      </c>
      <c r="B15" s="1" t="s">
        <v>139</v>
      </c>
      <c r="C15" s="1" t="s">
        <v>556</v>
      </c>
      <c r="E15" s="1" t="s">
        <v>511</v>
      </c>
      <c r="F15" s="1" t="s">
        <v>512</v>
      </c>
      <c r="H15" s="1">
        <v>1109</v>
      </c>
      <c r="I15" s="1">
        <v>1117</v>
      </c>
      <c r="K15" s="1" t="str">
        <f t="shared" si="0"/>
        <v>1109,3;1117,5</v>
      </c>
      <c r="L15" s="1" t="s">
        <v>351</v>
      </c>
      <c r="M15" s="1">
        <f>VLOOKUP(L15,Sheet2!$P$2:$U$20,5,FALSE)</f>
        <v>1076</v>
      </c>
      <c r="N15" s="1">
        <f>VLOOKUP(L15,Sheet2!$P$2:$U$20,6,FALSE)</f>
        <v>1065</v>
      </c>
      <c r="O15" s="1" t="str">
        <f>VLOOKUP(L15,Sheet2!$P$2:$S$20,3,FALSE)</f>
        <v>1090,1051,1052</v>
      </c>
      <c r="P15" s="1" t="str">
        <f>VLOOKUP(L15,Sheet2!$P$2:$S$20,4,FALSE)</f>
        <v>1057,1084,1085</v>
      </c>
      <c r="S15" t="s">
        <v>221</v>
      </c>
      <c r="T15">
        <v>1</v>
      </c>
    </row>
    <row r="16" spans="1:26" ht="40.5" x14ac:dyDescent="0.15">
      <c r="A16" t="s">
        <v>46</v>
      </c>
      <c r="B16" s="1" t="s">
        <v>129</v>
      </c>
      <c r="C16" s="1" t="s">
        <v>560</v>
      </c>
      <c r="D16" s="1" t="s">
        <v>487</v>
      </c>
      <c r="E16" s="1" t="s">
        <v>486</v>
      </c>
      <c r="F16" s="1" t="s">
        <v>513</v>
      </c>
      <c r="G16" s="1" t="s">
        <v>503</v>
      </c>
      <c r="H16" s="1">
        <v>1091</v>
      </c>
      <c r="I16" s="1">
        <v>1120</v>
      </c>
      <c r="J16" s="1">
        <v>1095</v>
      </c>
      <c r="K16" s="1" t="str">
        <f t="shared" si="0"/>
        <v>1091,3;1120,5;1095,7</v>
      </c>
      <c r="L16" s="1" t="s">
        <v>363</v>
      </c>
      <c r="M16" s="1">
        <f>VLOOKUP(L16,Sheet2!$P$2:$U$20,5,FALSE)</f>
        <v>1082</v>
      </c>
      <c r="N16" s="1">
        <f>VLOOKUP(L16,Sheet2!$P$2:$U$20,6,FALSE)</f>
        <v>1081</v>
      </c>
      <c r="O16" s="1" t="str">
        <f>VLOOKUP(L16,Sheet2!$P$2:$S$20,3,FALSE)</f>
        <v>1096,1103,1104,1118,1123</v>
      </c>
      <c r="P16" s="1" t="str">
        <f>VLOOKUP(L16,Sheet2!$P$2:$S$20,4,FALSE)</f>
        <v>1098,1102,1105,1121</v>
      </c>
      <c r="S16" t="s">
        <v>219</v>
      </c>
      <c r="T16">
        <v>1</v>
      </c>
    </row>
    <row r="17" spans="1:25" ht="27" x14ac:dyDescent="0.15">
      <c r="A17" s="2" t="s">
        <v>47</v>
      </c>
      <c r="B17" s="1" t="s">
        <v>141</v>
      </c>
      <c r="C17" s="1" t="s">
        <v>552</v>
      </c>
      <c r="E17" s="1" t="s">
        <v>514</v>
      </c>
      <c r="F17" s="1" t="s">
        <v>325</v>
      </c>
      <c r="H17" s="1">
        <v>1106</v>
      </c>
      <c r="I17" s="1">
        <v>1114</v>
      </c>
      <c r="K17" s="1" t="str">
        <f t="shared" si="0"/>
        <v>1106,3;1114,5</v>
      </c>
      <c r="L17" s="1" t="s">
        <v>361</v>
      </c>
      <c r="M17" s="1">
        <f>VLOOKUP(L17,Sheet2!$P$2:$U$20,5,FALSE)</f>
        <v>1081</v>
      </c>
      <c r="N17" s="1">
        <f>VLOOKUP(L17,Sheet2!$P$2:$U$20,6,FALSE)</f>
        <v>1082</v>
      </c>
      <c r="O17" s="1" t="str">
        <f>VLOOKUP(L17,Sheet2!$P$2:$S$20,3,FALSE)</f>
        <v>1098,1102,1105,1121</v>
      </c>
      <c r="P17" s="1" t="str">
        <f>VLOOKUP(L17,Sheet2!$P$2:$S$20,4,FALSE)</f>
        <v>1096,1103,1104,1118,1123</v>
      </c>
      <c r="S17" t="s">
        <v>221</v>
      </c>
      <c r="T17">
        <v>1</v>
      </c>
    </row>
    <row r="18" spans="1:25" ht="27" x14ac:dyDescent="0.15">
      <c r="A18" s="2" t="s">
        <v>48</v>
      </c>
      <c r="B18" s="1" t="s">
        <v>126</v>
      </c>
      <c r="C18" s="1" t="s">
        <v>547</v>
      </c>
      <c r="E18" s="1" t="s">
        <v>515</v>
      </c>
      <c r="F18" s="1" t="s">
        <v>516</v>
      </c>
      <c r="H18" s="1">
        <v>1119</v>
      </c>
      <c r="I18" s="1">
        <v>1122</v>
      </c>
      <c r="K18" s="1" t="str">
        <f t="shared" si="0"/>
        <v>1119,3;1122,5</v>
      </c>
      <c r="L18" s="1" t="s">
        <v>345</v>
      </c>
      <c r="M18" s="1">
        <f>VLOOKUP(L18,Sheet2!$P$2:$U$20,5,FALSE)</f>
        <v>1073</v>
      </c>
      <c r="N18" s="1">
        <f>VLOOKUP(L18,Sheet2!$P$2:$U$20,6,FALSE)</f>
        <v>1077</v>
      </c>
      <c r="O18" s="1" t="str">
        <f>VLOOKUP(L18,Sheet2!$P$2:$S$20,3,FALSE)</f>
        <v>1065,1067,1068,1070,1071,1072</v>
      </c>
      <c r="P18" s="1" t="str">
        <f>VLOOKUP(L18,Sheet2!$P$2:$S$20,4,FALSE)</f>
        <v>1029,1030,1031,1032</v>
      </c>
      <c r="S18" t="s">
        <v>217</v>
      </c>
      <c r="T18">
        <v>1</v>
      </c>
    </row>
    <row r="19" spans="1:25" ht="40.5" x14ac:dyDescent="0.15">
      <c r="A19" s="4" t="s">
        <v>49</v>
      </c>
      <c r="B19" s="1" t="s">
        <v>125</v>
      </c>
      <c r="C19" s="1" t="s">
        <v>558</v>
      </c>
      <c r="D19" s="1" t="s">
        <v>485</v>
      </c>
      <c r="E19" s="1" t="s">
        <v>269</v>
      </c>
      <c r="F19" s="1" t="s">
        <v>271</v>
      </c>
      <c r="G19" s="1" t="s">
        <v>270</v>
      </c>
      <c r="H19" s="1">
        <v>1003</v>
      </c>
      <c r="I19" s="1">
        <v>1006</v>
      </c>
      <c r="J19" s="1">
        <v>1004</v>
      </c>
      <c r="K19" s="1" t="str">
        <f t="shared" si="0"/>
        <v>1003,3;1006,5;1004,7</v>
      </c>
      <c r="L19" s="1" t="s">
        <v>335</v>
      </c>
      <c r="M19" s="1">
        <f>VLOOKUP(L19,Sheet2!$P$2:$U$20,5,FALSE)</f>
        <v>1068</v>
      </c>
      <c r="N19" s="1">
        <f>VLOOKUP(L19,Sheet2!$P$2:$U$20,6,FALSE)</f>
        <v>1070</v>
      </c>
      <c r="O19" s="1" t="str">
        <f>VLOOKUP(L19,Sheet2!$P$2:$S$20,3,FALSE)</f>
        <v>1064,1073,1077</v>
      </c>
      <c r="P19" s="1" t="str">
        <f>VLOOKUP(L19,Sheet2!$P$2:$S$20,4,FALSE)</f>
        <v>1078,1079,1080,1083</v>
      </c>
      <c r="S19" t="s">
        <v>219</v>
      </c>
      <c r="T19">
        <v>1</v>
      </c>
    </row>
    <row r="20" spans="1:25" ht="67.5" x14ac:dyDescent="0.15">
      <c r="A20" s="4" t="s">
        <v>50</v>
      </c>
      <c r="B20" s="1" t="s">
        <v>142</v>
      </c>
      <c r="C20" s="1" t="s">
        <v>557</v>
      </c>
      <c r="D20" s="1" t="s">
        <v>495</v>
      </c>
      <c r="E20" s="1" t="s">
        <v>369</v>
      </c>
      <c r="F20" s="1" t="s">
        <v>368</v>
      </c>
      <c r="G20" s="1" t="s">
        <v>372</v>
      </c>
      <c r="H20" s="1">
        <v>1240</v>
      </c>
      <c r="I20" s="1">
        <v>1239</v>
      </c>
      <c r="J20" s="1">
        <v>1243</v>
      </c>
      <c r="K20" s="1" t="str">
        <f t="shared" si="0"/>
        <v>1240,3;1239,5;1243,7</v>
      </c>
      <c r="L20" s="1" t="s">
        <v>333</v>
      </c>
      <c r="M20" s="1">
        <f>VLOOKUP(L20,Sheet2!$P$2:$U$20,5,FALSE)</f>
        <v>1067</v>
      </c>
      <c r="N20" s="1">
        <f>VLOOKUP(L20,Sheet2!$P$2:$U$20,6,FALSE)</f>
        <v>1080</v>
      </c>
      <c r="O20" s="1" t="str">
        <f>VLOOKUP(L20,Sheet2!$P$2:$S$20,3,FALSE)</f>
        <v>1238,1239,1240,1241,1242,1243,1244,1245,1246,1247,1248,1249,1250,1251,1252</v>
      </c>
      <c r="P20" s="1" t="str">
        <f>VLOOKUP(L20,Sheet2!$P$2:$S$20,4,FALSE)</f>
        <v>1097,1107,1108,1114</v>
      </c>
      <c r="S20" t="s">
        <v>225</v>
      </c>
      <c r="T20">
        <v>1</v>
      </c>
    </row>
    <row r="21" spans="1:25" ht="40.5" x14ac:dyDescent="0.15">
      <c r="A21" s="2" t="s">
        <v>51</v>
      </c>
      <c r="B21" s="1" t="s">
        <v>143</v>
      </c>
      <c r="C21" s="1" t="s">
        <v>559</v>
      </c>
      <c r="D21" s="1" t="s">
        <v>488</v>
      </c>
      <c r="E21" s="1" t="s">
        <v>501</v>
      </c>
      <c r="F21" s="1" t="s">
        <v>323</v>
      </c>
      <c r="H21" s="1">
        <v>1112</v>
      </c>
      <c r="I21" s="1">
        <v>1107</v>
      </c>
      <c r="K21" s="1" t="str">
        <f t="shared" si="0"/>
        <v>1112,3;1107,5</v>
      </c>
      <c r="L21" s="1" t="s">
        <v>353</v>
      </c>
      <c r="M21" s="1">
        <f>VLOOKUP(L21,Sheet2!$P$2:$U$20,5,FALSE)</f>
        <v>1077</v>
      </c>
      <c r="N21" s="1">
        <f>VLOOKUP(L21,Sheet2!$P$2:$U$20,6,FALSE)</f>
        <v>1073</v>
      </c>
      <c r="O21" s="1" t="str">
        <f>VLOOKUP(L21,Sheet2!$P$2:$S$20,3,FALSE)</f>
        <v>1029,1030,1031,1032</v>
      </c>
      <c r="P21" s="1" t="str">
        <f>VLOOKUP(L21,Sheet2!$P$2:$S$20,4,FALSE)</f>
        <v>1065,1067,1068,1070,1071,1072</v>
      </c>
      <c r="S21" t="s">
        <v>223</v>
      </c>
      <c r="T21">
        <v>1</v>
      </c>
    </row>
    <row r="22" spans="1:25" ht="67.5" x14ac:dyDescent="0.15">
      <c r="A22" s="4" t="s">
        <v>52</v>
      </c>
      <c r="B22" s="1" t="s">
        <v>138</v>
      </c>
      <c r="C22" s="1" t="s">
        <v>542</v>
      </c>
      <c r="D22" s="1" t="s">
        <v>496</v>
      </c>
      <c r="E22" s="1" t="s">
        <v>517</v>
      </c>
      <c r="F22" s="1" t="s">
        <v>518</v>
      </c>
      <c r="G22" s="1" t="s">
        <v>519</v>
      </c>
      <c r="H22" s="1">
        <v>1053</v>
      </c>
      <c r="I22" s="1">
        <v>1055</v>
      </c>
      <c r="J22" s="1">
        <v>1059</v>
      </c>
      <c r="K22" s="1" t="str">
        <f t="shared" si="0"/>
        <v>1053,3;1055,5;1059,7</v>
      </c>
      <c r="L22" s="1" t="s">
        <v>365</v>
      </c>
      <c r="M22" s="1">
        <f>VLOOKUP(L22,Sheet2!$P$2:$U$20,5,FALSE)</f>
        <v>1083</v>
      </c>
      <c r="N22" s="1">
        <f>VLOOKUP(L22,Sheet2!$P$2:$U$20,6,FALSE)</f>
        <v>1071</v>
      </c>
      <c r="O22" s="1" t="str">
        <f>VLOOKUP(L22,Sheet2!$P$2:$S$20,3,FALSE)</f>
        <v>1001,1002,1003,1004,1005,1006,1007,1008,1009,1010,1011,1012,1015,1016,1086</v>
      </c>
      <c r="P22" s="1" t="str">
        <f>VLOOKUP(L22,Sheet2!$P$2:$S$20,4,FALSE)</f>
        <v>1013,1014,1017,1087,1088,1089</v>
      </c>
      <c r="S22" t="s">
        <v>219</v>
      </c>
      <c r="T22">
        <v>1</v>
      </c>
    </row>
    <row r="23" spans="1:25" x14ac:dyDescent="0.15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>
        <f>COUNTA(S1:S22)</f>
        <v>21</v>
      </c>
      <c r="Y23" t="s">
        <v>232</v>
      </c>
    </row>
    <row r="24" spans="1:25" x14ac:dyDescent="0.15">
      <c r="Y24" t="s">
        <v>229</v>
      </c>
    </row>
    <row r="25" spans="1:25" x14ac:dyDescent="0.15">
      <c r="Y25" t="s">
        <v>233</v>
      </c>
    </row>
    <row r="26" spans="1:25" x14ac:dyDescent="0.15">
      <c r="Y26" t="s">
        <v>234</v>
      </c>
    </row>
    <row r="27" spans="1:25" x14ac:dyDescent="0.15">
      <c r="Y27" t="s">
        <v>235</v>
      </c>
    </row>
    <row r="28" spans="1:25" x14ac:dyDescent="0.15">
      <c r="Y28" t="s">
        <v>236</v>
      </c>
    </row>
    <row r="29" spans="1:25" x14ac:dyDescent="0.15">
      <c r="Y29" t="s">
        <v>237</v>
      </c>
    </row>
  </sheetData>
  <autoFilter ref="A2:Z22"/>
  <dataConsolidate/>
  <phoneticPr fontId="1" type="noConversion"/>
  <conditionalFormatting sqref="L3:L22">
    <cfRule type="duplicateValues" dxfId="1" priority="3"/>
  </conditionalFormatting>
  <conditionalFormatting sqref="D5">
    <cfRule type="duplicateValues" dxfId="0" priority="1"/>
  </conditionalFormatting>
  <dataValidations count="1">
    <dataValidation type="list" allowBlank="1" showInputMessage="1" showErrorMessage="1" sqref="S2:S22">
      <formula1>$W$3:$W$7</formula1>
    </dataValidation>
  </dataValidation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Sheet2!$P$2:$P$20</xm:f>
          </x14:formula1>
          <xm:sqref>L3:L22 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M1" sqref="M1"/>
    </sheetView>
  </sheetViews>
  <sheetFormatPr defaultRowHeight="13.5" x14ac:dyDescent="0.15"/>
  <cols>
    <col min="6" max="6" width="19" customWidth="1"/>
  </cols>
  <sheetData>
    <row r="1" spans="1:12" x14ac:dyDescent="0.15">
      <c r="A1">
        <v>1065</v>
      </c>
      <c r="E1">
        <v>0</v>
      </c>
      <c r="F1" t="s">
        <v>474</v>
      </c>
      <c r="G1" t="s">
        <v>365</v>
      </c>
      <c r="H1" t="s">
        <v>329</v>
      </c>
      <c r="I1" t="str">
        <f>F1&amp;H1</f>
        <v>谢谢，其实我更喜欢牛奶制品</v>
      </c>
      <c r="L1">
        <v>1065</v>
      </c>
    </row>
    <row r="2" spans="1:12" x14ac:dyDescent="0.15">
      <c r="A2">
        <v>1066</v>
      </c>
      <c r="E2">
        <v>0</v>
      </c>
      <c r="F2" t="s">
        <v>474</v>
      </c>
      <c r="G2" t="s">
        <v>475</v>
      </c>
      <c r="H2" t="s">
        <v>331</v>
      </c>
      <c r="I2" t="str">
        <f t="shared" ref="I2:I19" si="0">F2&amp;H2</f>
        <v>谢谢，其实我更喜欢鱼料理</v>
      </c>
      <c r="L2">
        <v>1066</v>
      </c>
    </row>
    <row r="3" spans="1:12" x14ac:dyDescent="0.15">
      <c r="A3">
        <v>1067</v>
      </c>
      <c r="E3">
        <v>0</v>
      </c>
      <c r="F3" t="s">
        <v>474</v>
      </c>
      <c r="G3" t="s">
        <v>347</v>
      </c>
      <c r="H3" t="s">
        <v>333</v>
      </c>
      <c r="I3" t="str">
        <f t="shared" si="0"/>
        <v>谢谢，其实我更喜欢生海鲜</v>
      </c>
      <c r="L3">
        <v>1067</v>
      </c>
    </row>
    <row r="4" spans="1:12" x14ac:dyDescent="0.15">
      <c r="A4">
        <v>1068</v>
      </c>
      <c r="E4">
        <v>0</v>
      </c>
      <c r="F4" t="s">
        <v>474</v>
      </c>
      <c r="G4" t="s">
        <v>476</v>
      </c>
      <c r="H4" t="s">
        <v>335</v>
      </c>
      <c r="I4" t="str">
        <f t="shared" si="0"/>
        <v>谢谢，其实我更喜欢肉料理</v>
      </c>
      <c r="L4">
        <v>1068</v>
      </c>
    </row>
    <row r="5" spans="1:12" x14ac:dyDescent="0.15">
      <c r="A5">
        <v>1069</v>
      </c>
      <c r="E5">
        <v>0</v>
      </c>
      <c r="F5" t="s">
        <v>474</v>
      </c>
      <c r="G5" t="s">
        <v>339</v>
      </c>
      <c r="H5" t="s">
        <v>337</v>
      </c>
      <c r="I5" t="str">
        <f t="shared" si="0"/>
        <v>谢谢，其实我更喜欢汤</v>
      </c>
      <c r="L5">
        <v>1069</v>
      </c>
    </row>
    <row r="6" spans="1:12" x14ac:dyDescent="0.15">
      <c r="A6">
        <v>1070</v>
      </c>
      <c r="E6">
        <v>0</v>
      </c>
      <c r="F6" t="s">
        <v>474</v>
      </c>
      <c r="G6" t="s">
        <v>477</v>
      </c>
      <c r="H6" t="s">
        <v>339</v>
      </c>
      <c r="I6" t="str">
        <f t="shared" si="0"/>
        <v>谢谢，其实我更喜欢酒</v>
      </c>
      <c r="L6">
        <v>1070</v>
      </c>
    </row>
    <row r="7" spans="1:12" x14ac:dyDescent="0.15">
      <c r="A7">
        <v>1071</v>
      </c>
      <c r="E7">
        <v>0</v>
      </c>
      <c r="F7" t="s">
        <v>474</v>
      </c>
      <c r="G7" t="s">
        <v>355</v>
      </c>
      <c r="H7" t="s">
        <v>341</v>
      </c>
      <c r="I7" t="str">
        <f t="shared" si="0"/>
        <v>谢谢，其实我更喜欢水果</v>
      </c>
      <c r="L7">
        <v>1071</v>
      </c>
    </row>
    <row r="8" spans="1:12" x14ac:dyDescent="0.15">
      <c r="A8">
        <v>1072</v>
      </c>
      <c r="E8">
        <v>0</v>
      </c>
      <c r="F8" t="s">
        <v>474</v>
      </c>
      <c r="G8" t="s">
        <v>345</v>
      </c>
      <c r="H8" t="s">
        <v>343</v>
      </c>
      <c r="I8" t="str">
        <f t="shared" si="0"/>
        <v>谢谢，其实我更喜欢米饭料理</v>
      </c>
      <c r="L8">
        <v>1072</v>
      </c>
    </row>
    <row r="9" spans="1:12" x14ac:dyDescent="0.15">
      <c r="A9">
        <v>1073</v>
      </c>
      <c r="E9">
        <v>0</v>
      </c>
      <c r="F9" t="s">
        <v>474</v>
      </c>
      <c r="G9" t="s">
        <v>478</v>
      </c>
      <c r="H9" t="s">
        <v>345</v>
      </c>
      <c r="I9" t="str">
        <f t="shared" si="0"/>
        <v>谢谢，其实我更喜欢烧烤</v>
      </c>
      <c r="L9">
        <v>1073</v>
      </c>
    </row>
    <row r="10" spans="1:12" x14ac:dyDescent="0.15">
      <c r="A10">
        <v>1074</v>
      </c>
      <c r="E10">
        <v>0</v>
      </c>
      <c r="F10" t="s">
        <v>474</v>
      </c>
      <c r="G10" t="s">
        <v>353</v>
      </c>
      <c r="H10" t="s">
        <v>347</v>
      </c>
      <c r="I10" t="str">
        <f t="shared" si="0"/>
        <v>谢谢，其实我更喜欢刀剑</v>
      </c>
      <c r="L10">
        <v>1074</v>
      </c>
    </row>
    <row r="11" spans="1:12" x14ac:dyDescent="0.15">
      <c r="A11">
        <v>1075</v>
      </c>
      <c r="E11">
        <v>0</v>
      </c>
      <c r="F11" t="s">
        <v>474</v>
      </c>
      <c r="G11" t="s">
        <v>479</v>
      </c>
      <c r="H11" t="s">
        <v>349</v>
      </c>
      <c r="I11" t="str">
        <f t="shared" si="0"/>
        <v>谢谢，其实我更喜欢长枪</v>
      </c>
      <c r="L11">
        <v>1075</v>
      </c>
    </row>
    <row r="12" spans="1:12" x14ac:dyDescent="0.15">
      <c r="A12">
        <v>1076</v>
      </c>
      <c r="E12">
        <v>0</v>
      </c>
      <c r="F12" t="s">
        <v>474</v>
      </c>
      <c r="G12" t="s">
        <v>357</v>
      </c>
      <c r="H12" t="s">
        <v>351</v>
      </c>
      <c r="I12" t="str">
        <f t="shared" si="0"/>
        <v>谢谢，其实我更喜欢鸡蛋料理</v>
      </c>
      <c r="L12">
        <v>1076</v>
      </c>
    </row>
    <row r="13" spans="1:12" x14ac:dyDescent="0.15">
      <c r="A13">
        <v>1077</v>
      </c>
      <c r="E13">
        <v>0</v>
      </c>
      <c r="F13" t="s">
        <v>474</v>
      </c>
      <c r="G13" t="s">
        <v>480</v>
      </c>
      <c r="H13" t="s">
        <v>353</v>
      </c>
      <c r="I13" t="str">
        <f t="shared" si="0"/>
        <v>谢谢，其实我更喜欢鞭子</v>
      </c>
      <c r="L13">
        <v>1077</v>
      </c>
    </row>
    <row r="14" spans="1:12" x14ac:dyDescent="0.15">
      <c r="A14">
        <v>1078</v>
      </c>
      <c r="E14">
        <v>0</v>
      </c>
      <c r="F14" t="s">
        <v>474</v>
      </c>
      <c r="G14" t="s">
        <v>481</v>
      </c>
      <c r="H14" t="s">
        <v>355</v>
      </c>
      <c r="I14" t="str">
        <f t="shared" si="0"/>
        <v>谢谢，其实我更喜欢铠甲</v>
      </c>
      <c r="L14">
        <v>1078</v>
      </c>
    </row>
    <row r="15" spans="1:12" x14ac:dyDescent="0.15">
      <c r="A15">
        <v>1079</v>
      </c>
      <c r="E15">
        <v>0</v>
      </c>
      <c r="F15" t="s">
        <v>474</v>
      </c>
      <c r="G15" t="s">
        <v>482</v>
      </c>
      <c r="H15" t="s">
        <v>357</v>
      </c>
      <c r="I15" t="str">
        <f t="shared" si="0"/>
        <v>谢谢，其实我更喜欢衣服</v>
      </c>
      <c r="L15">
        <v>1079</v>
      </c>
    </row>
    <row r="16" spans="1:12" x14ac:dyDescent="0.15">
      <c r="A16">
        <v>1080</v>
      </c>
      <c r="E16">
        <v>0</v>
      </c>
      <c r="F16" t="s">
        <v>474</v>
      </c>
      <c r="G16" t="s">
        <v>359</v>
      </c>
      <c r="H16" t="s">
        <v>359</v>
      </c>
      <c r="I16" t="str">
        <f t="shared" si="0"/>
        <v>谢谢，其实我更喜欢元素结晶</v>
      </c>
      <c r="L16">
        <v>1080</v>
      </c>
    </row>
    <row r="17" spans="1:12" x14ac:dyDescent="0.15">
      <c r="A17">
        <v>1081</v>
      </c>
      <c r="E17">
        <v>0</v>
      </c>
      <c r="F17" t="s">
        <v>474</v>
      </c>
      <c r="G17" t="s">
        <v>341</v>
      </c>
      <c r="H17" t="s">
        <v>361</v>
      </c>
      <c r="I17" t="str">
        <f t="shared" si="0"/>
        <v>谢谢，其实我更喜欢昆虫产物</v>
      </c>
      <c r="L17">
        <v>1081</v>
      </c>
    </row>
    <row r="18" spans="1:12" x14ac:dyDescent="0.15">
      <c r="A18">
        <v>1082</v>
      </c>
      <c r="E18">
        <v>0</v>
      </c>
      <c r="F18" t="s">
        <v>474</v>
      </c>
      <c r="G18" t="s">
        <v>483</v>
      </c>
      <c r="H18" t="s">
        <v>363</v>
      </c>
      <c r="I18" t="str">
        <f t="shared" si="0"/>
        <v>谢谢，其实我更喜欢野兽产物</v>
      </c>
      <c r="L18">
        <v>1082</v>
      </c>
    </row>
    <row r="19" spans="1:12" x14ac:dyDescent="0.15">
      <c r="A19">
        <v>1083</v>
      </c>
      <c r="E19">
        <v>0</v>
      </c>
      <c r="F19" t="s">
        <v>474</v>
      </c>
      <c r="G19" t="s">
        <v>349</v>
      </c>
      <c r="H19" t="s">
        <v>365</v>
      </c>
      <c r="I19" t="str">
        <f t="shared" si="0"/>
        <v>谢谢，其实我更喜欢蔬菜</v>
      </c>
      <c r="L19">
        <v>1083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12"/>
  <sheetViews>
    <sheetView topLeftCell="H82" workbookViewId="0">
      <selection activeCell="N118" sqref="N118"/>
    </sheetView>
  </sheetViews>
  <sheetFormatPr defaultRowHeight="13.5" x14ac:dyDescent="0.15"/>
  <cols>
    <col min="11" max="11" width="27.125" customWidth="1"/>
    <col min="16" max="16" width="11.125" customWidth="1"/>
  </cols>
  <sheetData>
    <row r="1" spans="1:21" x14ac:dyDescent="0.15">
      <c r="A1" s="1" t="s">
        <v>148</v>
      </c>
      <c r="B1" t="s">
        <v>193</v>
      </c>
    </row>
    <row r="2" spans="1:21" x14ac:dyDescent="0.15">
      <c r="A2" s="1" t="s">
        <v>149</v>
      </c>
      <c r="B2" t="s">
        <v>192</v>
      </c>
      <c r="H2" t="s">
        <v>256</v>
      </c>
      <c r="I2">
        <v>1032</v>
      </c>
      <c r="J2" t="s">
        <v>353</v>
      </c>
      <c r="K2" t="s">
        <v>384</v>
      </c>
      <c r="L2">
        <v>1</v>
      </c>
      <c r="N2">
        <f>VLOOKUP(P2,Sheet5!$H$1:$L$19,5,FALSE)</f>
        <v>1065</v>
      </c>
      <c r="O2">
        <f>VLOOKUP(Q2,Sheet5!$H$1:$L$19,5,FALSE)</f>
        <v>1076</v>
      </c>
      <c r="P2" t="s">
        <v>330</v>
      </c>
      <c r="Q2" t="s">
        <v>352</v>
      </c>
      <c r="R2" t="str">
        <f>VLOOKUP(P2,$J$2:$K$20,2,FALSE)</f>
        <v>1057,1084,1085</v>
      </c>
      <c r="S2" t="str">
        <f>VLOOKUP(Q2,$J$2:$K$20,2,FALSE)</f>
        <v>1090,1051,1052</v>
      </c>
      <c r="T2">
        <v>1065</v>
      </c>
      <c r="U2">
        <v>1076</v>
      </c>
    </row>
    <row r="3" spans="1:21" x14ac:dyDescent="0.15">
      <c r="A3" s="1" t="s">
        <v>155</v>
      </c>
      <c r="B3" t="s">
        <v>194</v>
      </c>
      <c r="H3" t="s">
        <v>249</v>
      </c>
      <c r="I3">
        <v>1022</v>
      </c>
      <c r="J3" t="s">
        <v>347</v>
      </c>
      <c r="K3" t="s">
        <v>387</v>
      </c>
      <c r="L3">
        <v>1</v>
      </c>
      <c r="N3">
        <f>VLOOKUP(P3,Sheet5!$H$1:$L$19,5,FALSE)</f>
        <v>1066</v>
      </c>
      <c r="O3">
        <f>VLOOKUP(Q3,Sheet5!$H$1:$L$19,5,FALSE)</f>
        <v>1070</v>
      </c>
      <c r="P3" t="s">
        <v>332</v>
      </c>
      <c r="Q3" t="s">
        <v>340</v>
      </c>
      <c r="R3" t="str">
        <f t="shared" ref="R3:R20" si="0">VLOOKUP(P3,$J$2:$K$20,2,FALSE)</f>
        <v>1056,1060,1061,1062,1063,1065,1066,1068,1069</v>
      </c>
      <c r="S3" t="str">
        <f t="shared" ref="S3:S20" si="1">VLOOKUP(Q3,$J$2:$K$20,2,FALSE)</f>
        <v>1078,1079,1080,1083</v>
      </c>
      <c r="T3">
        <v>1066</v>
      </c>
      <c r="U3">
        <v>1070</v>
      </c>
    </row>
    <row r="4" spans="1:21" x14ac:dyDescent="0.15">
      <c r="A4" s="1" t="s">
        <v>151</v>
      </c>
      <c r="B4" t="s">
        <v>195</v>
      </c>
      <c r="H4" t="s">
        <v>289</v>
      </c>
      <c r="I4">
        <v>1052</v>
      </c>
      <c r="J4" t="s">
        <v>351</v>
      </c>
      <c r="K4" t="s">
        <v>389</v>
      </c>
      <c r="L4">
        <v>1</v>
      </c>
      <c r="N4">
        <f>VLOOKUP(P4,Sheet5!$H$1:$L$19,5,FALSE)</f>
        <v>1067</v>
      </c>
      <c r="O4">
        <f>VLOOKUP(Q4,Sheet5!$H$1:$L$19,5,FALSE)</f>
        <v>1080</v>
      </c>
      <c r="P4" t="s">
        <v>334</v>
      </c>
      <c r="Q4" t="s">
        <v>360</v>
      </c>
      <c r="R4" t="str">
        <f t="shared" si="0"/>
        <v>1238,1239,1240,1241,1242,1243,1244,1245,1246,1247,1248,1249,1250,1251,1252</v>
      </c>
      <c r="S4" t="str">
        <f t="shared" si="1"/>
        <v>1097,1107,1108,1114</v>
      </c>
      <c r="T4">
        <v>1067</v>
      </c>
      <c r="U4">
        <v>1080</v>
      </c>
    </row>
    <row r="5" spans="1:21" x14ac:dyDescent="0.15">
      <c r="A5" s="1" t="s">
        <v>150</v>
      </c>
      <c r="B5" t="s">
        <v>196</v>
      </c>
      <c r="H5" t="s">
        <v>308</v>
      </c>
      <c r="I5">
        <v>1083</v>
      </c>
      <c r="J5" t="s">
        <v>339</v>
      </c>
      <c r="K5" t="s">
        <v>392</v>
      </c>
      <c r="L5">
        <v>1</v>
      </c>
      <c r="N5">
        <f>VLOOKUP(P5,Sheet5!$H$1:$L$19,5,FALSE)</f>
        <v>1068</v>
      </c>
      <c r="O5">
        <f>VLOOKUP(Q5,Sheet5!$H$1:$L$19,5,FALSE)</f>
        <v>1070</v>
      </c>
      <c r="P5" t="s">
        <v>336</v>
      </c>
      <c r="Q5" t="s">
        <v>340</v>
      </c>
      <c r="R5" t="str">
        <f t="shared" si="0"/>
        <v>1064,1073,1077</v>
      </c>
      <c r="S5" t="str">
        <f t="shared" si="1"/>
        <v>1078,1079,1080,1083</v>
      </c>
      <c r="T5">
        <v>1068</v>
      </c>
      <c r="U5">
        <v>1070</v>
      </c>
    </row>
    <row r="6" spans="1:21" x14ac:dyDescent="0.15">
      <c r="A6" s="1" t="s">
        <v>166</v>
      </c>
      <c r="B6" t="s">
        <v>197</v>
      </c>
      <c r="H6" t="s">
        <v>285</v>
      </c>
      <c r="I6">
        <v>1045</v>
      </c>
      <c r="J6" t="s">
        <v>355</v>
      </c>
      <c r="K6" t="s">
        <v>398</v>
      </c>
      <c r="L6">
        <v>1</v>
      </c>
      <c r="N6">
        <f>VLOOKUP(P6,Sheet5!$H$1:$L$19,5,FALSE)</f>
        <v>1069</v>
      </c>
      <c r="O6">
        <f>VLOOKUP(Q6,Sheet5!$H$1:$L$19,5,FALSE)</f>
        <v>1072</v>
      </c>
      <c r="P6" t="s">
        <v>338</v>
      </c>
      <c r="Q6" t="s">
        <v>344</v>
      </c>
      <c r="R6" t="str">
        <f t="shared" si="0"/>
        <v>1069,1075,1076</v>
      </c>
      <c r="S6" t="str">
        <f t="shared" si="1"/>
        <v>1049,1050,1052,1054,1056</v>
      </c>
      <c r="T6">
        <v>1069</v>
      </c>
      <c r="U6">
        <v>1072</v>
      </c>
    </row>
    <row r="7" spans="1:21" x14ac:dyDescent="0.15">
      <c r="A7" s="1" t="s">
        <v>157</v>
      </c>
      <c r="B7" t="s">
        <v>205</v>
      </c>
      <c r="H7" t="s">
        <v>327</v>
      </c>
      <c r="I7">
        <v>1121</v>
      </c>
      <c r="J7" t="s">
        <v>361</v>
      </c>
      <c r="K7" t="s">
        <v>401</v>
      </c>
      <c r="L7">
        <v>1</v>
      </c>
      <c r="N7">
        <f>VLOOKUP(P7,Sheet5!$H$1:$L$19,5,FALSE)</f>
        <v>1070</v>
      </c>
      <c r="O7">
        <f>VLOOKUP(Q7,Sheet5!$H$1:$L$19,5,FALSE)</f>
        <v>1068</v>
      </c>
      <c r="P7" t="s">
        <v>340</v>
      </c>
      <c r="Q7" t="s">
        <v>336</v>
      </c>
      <c r="R7" t="str">
        <f t="shared" si="0"/>
        <v>1078,1079,1080,1083</v>
      </c>
      <c r="S7" t="str">
        <f t="shared" si="1"/>
        <v>1064,1073,1077</v>
      </c>
      <c r="T7">
        <v>1070</v>
      </c>
      <c r="U7">
        <v>1068</v>
      </c>
    </row>
    <row r="8" spans="1:21" x14ac:dyDescent="0.15">
      <c r="A8" s="1" t="s">
        <v>153</v>
      </c>
      <c r="B8" t="s">
        <v>202</v>
      </c>
      <c r="H8" t="s">
        <v>264</v>
      </c>
      <c r="I8">
        <v>1056</v>
      </c>
      <c r="J8" t="s">
        <v>343</v>
      </c>
      <c r="K8" t="s">
        <v>405</v>
      </c>
      <c r="L8">
        <v>1</v>
      </c>
      <c r="N8">
        <f>VLOOKUP(P8,Sheet5!$H$1:$L$19,5,FALSE)</f>
        <v>1071</v>
      </c>
      <c r="O8">
        <f>VLOOKUP(Q8,Sheet5!$H$1:$L$19,5,FALSE)</f>
        <v>1083</v>
      </c>
      <c r="P8" t="s">
        <v>342</v>
      </c>
      <c r="Q8" t="s">
        <v>366</v>
      </c>
      <c r="R8" t="str">
        <f t="shared" si="0"/>
        <v>1013,1014,1017,1087,1088,1089</v>
      </c>
      <c r="S8" t="str">
        <f t="shared" si="1"/>
        <v>1001,1002,1003,1004,1005,1006,1007,1008,1009,1010,1011,1012,1015,1016,1086</v>
      </c>
      <c r="T8">
        <v>1071</v>
      </c>
      <c r="U8">
        <v>1083</v>
      </c>
    </row>
    <row r="9" spans="1:21" x14ac:dyDescent="0.15">
      <c r="A9" s="1" t="s">
        <v>154</v>
      </c>
      <c r="B9" t="s">
        <v>203</v>
      </c>
      <c r="H9" t="s">
        <v>310</v>
      </c>
      <c r="I9">
        <v>1085</v>
      </c>
      <c r="J9" t="s">
        <v>329</v>
      </c>
      <c r="K9" t="s">
        <v>407</v>
      </c>
      <c r="L9">
        <v>1</v>
      </c>
      <c r="N9">
        <f>VLOOKUP(P9,Sheet5!$H$1:$L$19,5,FALSE)</f>
        <v>1072</v>
      </c>
      <c r="O9">
        <f>VLOOKUP(Q9,Sheet5!$H$1:$L$19,5,FALSE)</f>
        <v>1069</v>
      </c>
      <c r="P9" t="s">
        <v>344</v>
      </c>
      <c r="Q9" t="s">
        <v>338</v>
      </c>
      <c r="R9" t="str">
        <f t="shared" si="0"/>
        <v>1049,1050,1052,1054,1056</v>
      </c>
      <c r="S9" t="str">
        <f t="shared" si="1"/>
        <v>1069,1075,1076</v>
      </c>
      <c r="T9">
        <v>1072</v>
      </c>
      <c r="U9">
        <v>1069</v>
      </c>
    </row>
    <row r="10" spans="1:21" x14ac:dyDescent="0.15">
      <c r="A10" s="1" t="s">
        <v>156</v>
      </c>
      <c r="B10" t="s">
        <v>207</v>
      </c>
      <c r="H10" t="s">
        <v>304</v>
      </c>
      <c r="I10">
        <v>1077</v>
      </c>
      <c r="J10" t="s">
        <v>335</v>
      </c>
      <c r="K10" t="s">
        <v>409</v>
      </c>
      <c r="L10">
        <v>1</v>
      </c>
      <c r="N10">
        <f>VLOOKUP(P10,Sheet5!$H$1:$L$19,5,FALSE)</f>
        <v>1073</v>
      </c>
      <c r="O10">
        <f>VLOOKUP(Q10,Sheet5!$H$1:$L$19,5,FALSE)</f>
        <v>1077</v>
      </c>
      <c r="P10" t="s">
        <v>346</v>
      </c>
      <c r="Q10" t="s">
        <v>354</v>
      </c>
      <c r="R10" t="str">
        <f t="shared" si="0"/>
        <v>1065,1067,1068,1070,1071,1072</v>
      </c>
      <c r="S10" t="str">
        <f t="shared" si="1"/>
        <v>1029,1030,1031,1032</v>
      </c>
      <c r="T10">
        <v>1073</v>
      </c>
      <c r="U10">
        <v>1077</v>
      </c>
    </row>
    <row r="11" spans="1:21" x14ac:dyDescent="0.15">
      <c r="A11" s="1" t="s">
        <v>160</v>
      </c>
      <c r="B11" t="s">
        <v>209</v>
      </c>
      <c r="H11" t="s">
        <v>300</v>
      </c>
      <c r="I11">
        <v>1072</v>
      </c>
      <c r="J11" t="s">
        <v>345</v>
      </c>
      <c r="K11" t="s">
        <v>414</v>
      </c>
      <c r="L11">
        <v>1</v>
      </c>
      <c r="N11">
        <f>VLOOKUP(P11,Sheet5!$H$1:$L$19,5,FALSE)</f>
        <v>1074</v>
      </c>
      <c r="O11">
        <f>VLOOKUP(Q11,Sheet5!$H$1:$L$19,5,FALSE)</f>
        <v>1075</v>
      </c>
      <c r="P11" t="s">
        <v>348</v>
      </c>
      <c r="Q11" t="s">
        <v>350</v>
      </c>
      <c r="R11" t="str">
        <f t="shared" si="0"/>
        <v>1019,1020,1021,1022</v>
      </c>
      <c r="S11" t="str">
        <f t="shared" si="1"/>
        <v>1023,1024,1025</v>
      </c>
      <c r="T11">
        <v>1074</v>
      </c>
      <c r="U11">
        <v>1075</v>
      </c>
    </row>
    <row r="12" spans="1:21" x14ac:dyDescent="0.15">
      <c r="A12" s="1" t="s">
        <v>158</v>
      </c>
      <c r="B12" t="s">
        <v>204</v>
      </c>
      <c r="H12" t="s">
        <v>381</v>
      </c>
      <c r="I12">
        <v>1252</v>
      </c>
      <c r="J12" t="s">
        <v>333</v>
      </c>
      <c r="K12" t="s">
        <v>428</v>
      </c>
      <c r="L12">
        <v>1</v>
      </c>
      <c r="N12">
        <f>VLOOKUP(P12,Sheet5!$H$1:$L$19,5,FALSE)</f>
        <v>1075</v>
      </c>
      <c r="O12">
        <f>VLOOKUP(Q12,Sheet5!$H$1:$L$19,5,FALSE)</f>
        <v>1074</v>
      </c>
      <c r="P12" t="s">
        <v>350</v>
      </c>
      <c r="Q12" t="s">
        <v>348</v>
      </c>
      <c r="R12" t="str">
        <f t="shared" si="0"/>
        <v>1023,1024,1025</v>
      </c>
      <c r="S12" t="str">
        <f t="shared" si="1"/>
        <v>1019,1020,1021,1022</v>
      </c>
      <c r="T12">
        <v>1075</v>
      </c>
      <c r="U12">
        <v>1074</v>
      </c>
    </row>
    <row r="13" spans="1:21" x14ac:dyDescent="0.15">
      <c r="A13" s="1" t="s">
        <v>159</v>
      </c>
      <c r="B13" t="s">
        <v>206</v>
      </c>
      <c r="H13" t="s">
        <v>311</v>
      </c>
      <c r="I13">
        <v>1086</v>
      </c>
      <c r="J13" t="s">
        <v>365</v>
      </c>
      <c r="K13" t="s">
        <v>442</v>
      </c>
      <c r="L13">
        <v>1</v>
      </c>
      <c r="N13">
        <f>VLOOKUP(P13,Sheet5!$H$1:$L$19,5,FALSE)</f>
        <v>1076</v>
      </c>
      <c r="O13">
        <f>VLOOKUP(Q13,Sheet5!$H$1:$L$19,5,FALSE)</f>
        <v>1065</v>
      </c>
      <c r="P13" t="s">
        <v>352</v>
      </c>
      <c r="Q13" t="s">
        <v>330</v>
      </c>
      <c r="R13" t="str">
        <f t="shared" si="0"/>
        <v>1090,1051,1052</v>
      </c>
      <c r="S13" t="str">
        <f t="shared" si="1"/>
        <v>1057,1084,1085</v>
      </c>
      <c r="T13">
        <v>1076</v>
      </c>
      <c r="U13">
        <v>1065</v>
      </c>
    </row>
    <row r="14" spans="1:21" x14ac:dyDescent="0.15">
      <c r="A14" s="1" t="s">
        <v>161</v>
      </c>
      <c r="B14" t="s">
        <v>211</v>
      </c>
      <c r="H14" t="s">
        <v>314</v>
      </c>
      <c r="I14">
        <v>1089</v>
      </c>
      <c r="J14" t="s">
        <v>341</v>
      </c>
      <c r="K14" t="s">
        <v>447</v>
      </c>
      <c r="L14">
        <v>1</v>
      </c>
      <c r="N14">
        <f>VLOOKUP(P14,Sheet5!$H$1:$L$19,5,FALSE)</f>
        <v>1077</v>
      </c>
      <c r="O14">
        <f>VLOOKUP(Q14,Sheet5!$H$1:$L$19,5,FALSE)</f>
        <v>1073</v>
      </c>
      <c r="P14" t="s">
        <v>354</v>
      </c>
      <c r="Q14" t="s">
        <v>346</v>
      </c>
      <c r="R14" t="str">
        <f t="shared" si="0"/>
        <v>1029,1030,1031,1032</v>
      </c>
      <c r="S14" t="str">
        <f t="shared" si="1"/>
        <v>1065,1067,1068,1070,1071,1072</v>
      </c>
      <c r="T14">
        <v>1077</v>
      </c>
      <c r="U14">
        <v>1073</v>
      </c>
    </row>
    <row r="15" spans="1:21" x14ac:dyDescent="0.15">
      <c r="A15" s="1" t="s">
        <v>163</v>
      </c>
      <c r="B15" t="s">
        <v>201</v>
      </c>
      <c r="H15" t="s">
        <v>303</v>
      </c>
      <c r="I15">
        <v>1076</v>
      </c>
      <c r="J15" t="s">
        <v>337</v>
      </c>
      <c r="K15" t="s">
        <v>449</v>
      </c>
      <c r="L15">
        <v>1</v>
      </c>
      <c r="N15">
        <f>VLOOKUP(P15,Sheet5!$H$1:$L$19,5,FALSE)</f>
        <v>1078</v>
      </c>
      <c r="O15">
        <f>VLOOKUP(Q15,Sheet5!$H$1:$L$19,5,FALSE)</f>
        <v>1079</v>
      </c>
      <c r="P15" t="s">
        <v>356</v>
      </c>
      <c r="Q15" t="s">
        <v>358</v>
      </c>
      <c r="R15" t="str">
        <f t="shared" si="0"/>
        <v>1035,1036,1038,1039,1041,1044,1045</v>
      </c>
      <c r="S15" t="str">
        <f t="shared" si="1"/>
        <v>1034,1037,1040,1042,1043,1046,1047,1048</v>
      </c>
      <c r="T15">
        <v>1078</v>
      </c>
      <c r="U15">
        <v>1079</v>
      </c>
    </row>
    <row r="16" spans="1:21" x14ac:dyDescent="0.15">
      <c r="A16" s="1" t="s">
        <v>164</v>
      </c>
      <c r="B16" t="s">
        <v>210</v>
      </c>
      <c r="H16" t="s">
        <v>328</v>
      </c>
      <c r="I16">
        <v>1123</v>
      </c>
      <c r="J16" t="s">
        <v>363</v>
      </c>
      <c r="K16" t="s">
        <v>453</v>
      </c>
      <c r="L16">
        <v>1</v>
      </c>
      <c r="N16">
        <f>VLOOKUP(P16,Sheet5!$H$1:$L$19,5,FALSE)</f>
        <v>1079</v>
      </c>
      <c r="O16">
        <f>VLOOKUP(Q16,Sheet5!$H$1:$L$19,5,FALSE)</f>
        <v>1078</v>
      </c>
      <c r="P16" t="s">
        <v>358</v>
      </c>
      <c r="Q16" t="s">
        <v>356</v>
      </c>
      <c r="R16" t="str">
        <f t="shared" si="0"/>
        <v>1034,1037,1040,1042,1043,1046,1047,1048</v>
      </c>
      <c r="S16" t="str">
        <f t="shared" si="1"/>
        <v>1035,1036,1038,1039,1041,1044,1045</v>
      </c>
      <c r="T16">
        <v>1079</v>
      </c>
      <c r="U16">
        <v>1078</v>
      </c>
    </row>
    <row r="17" spans="1:21" x14ac:dyDescent="0.15">
      <c r="A17" s="1" t="s">
        <v>152</v>
      </c>
      <c r="B17" t="s">
        <v>199</v>
      </c>
      <c r="H17" t="s">
        <v>262</v>
      </c>
      <c r="I17">
        <v>1048</v>
      </c>
      <c r="J17" t="s">
        <v>357</v>
      </c>
      <c r="K17" t="s">
        <v>460</v>
      </c>
      <c r="L17">
        <v>1</v>
      </c>
      <c r="N17">
        <f>VLOOKUP(P17,Sheet5!$H$1:$L$19,5,FALSE)</f>
        <v>1080</v>
      </c>
      <c r="O17">
        <f>VLOOKUP(Q17,Sheet5!$H$1:$L$19,5,FALSE)</f>
        <v>1067</v>
      </c>
      <c r="P17" t="s">
        <v>360</v>
      </c>
      <c r="Q17" t="s">
        <v>334</v>
      </c>
      <c r="R17" t="str">
        <f t="shared" si="0"/>
        <v>1097,1107,1108,1114</v>
      </c>
      <c r="S17" t="str">
        <f t="shared" si="1"/>
        <v>1238,1239,1240,1241,1242,1243,1244,1245,1246,1247,1248,1249,1250,1251,1252</v>
      </c>
      <c r="T17">
        <v>1080</v>
      </c>
      <c r="U17">
        <v>1067</v>
      </c>
    </row>
    <row r="18" spans="1:21" x14ac:dyDescent="0.15">
      <c r="A18" s="1" t="s">
        <v>165</v>
      </c>
      <c r="B18" t="s">
        <v>200</v>
      </c>
      <c r="H18" t="s">
        <v>298</v>
      </c>
      <c r="I18">
        <v>1069</v>
      </c>
      <c r="J18" t="s">
        <v>331</v>
      </c>
      <c r="K18" t="s">
        <v>468</v>
      </c>
      <c r="L18">
        <v>1</v>
      </c>
      <c r="N18">
        <f>VLOOKUP(P18,Sheet5!$H$1:$L$19,5,FALSE)</f>
        <v>1081</v>
      </c>
      <c r="O18">
        <f>VLOOKUP(Q18,Sheet5!$H$1:$L$19,5,FALSE)</f>
        <v>1082</v>
      </c>
      <c r="P18" t="s">
        <v>362</v>
      </c>
      <c r="Q18" t="s">
        <v>364</v>
      </c>
      <c r="R18" t="str">
        <f t="shared" si="0"/>
        <v>1098,1102,1105,1121</v>
      </c>
      <c r="S18" t="str">
        <f t="shared" si="1"/>
        <v>1096,1103,1104,1118,1123</v>
      </c>
      <c r="T18">
        <v>1081</v>
      </c>
      <c r="U18">
        <v>1082</v>
      </c>
    </row>
    <row r="19" spans="1:21" x14ac:dyDescent="0.15">
      <c r="A19" s="1" t="s">
        <v>162</v>
      </c>
      <c r="B19" t="s">
        <v>208</v>
      </c>
      <c r="H19" t="s">
        <v>325</v>
      </c>
      <c r="I19">
        <v>1114</v>
      </c>
      <c r="J19" t="s">
        <v>359</v>
      </c>
      <c r="K19" t="s">
        <v>471</v>
      </c>
      <c r="L19">
        <v>1</v>
      </c>
      <c r="N19">
        <f>VLOOKUP(P19,Sheet5!$H$1:$L$19,5,FALSE)</f>
        <v>1082</v>
      </c>
      <c r="O19">
        <f>VLOOKUP(Q19,Sheet5!$H$1:$L$19,5,FALSE)</f>
        <v>1081</v>
      </c>
      <c r="P19" t="s">
        <v>364</v>
      </c>
      <c r="Q19" t="s">
        <v>362</v>
      </c>
      <c r="R19" t="str">
        <f t="shared" si="0"/>
        <v>1096,1103,1104,1118,1123</v>
      </c>
      <c r="S19" t="str">
        <f t="shared" si="1"/>
        <v>1098,1102,1105,1121</v>
      </c>
      <c r="T19">
        <v>1082</v>
      </c>
      <c r="U19">
        <v>1081</v>
      </c>
    </row>
    <row r="20" spans="1:21" x14ac:dyDescent="0.15">
      <c r="A20" s="1" t="s">
        <v>167</v>
      </c>
      <c r="B20" t="s">
        <v>198</v>
      </c>
      <c r="H20" t="s">
        <v>252</v>
      </c>
      <c r="I20">
        <v>1025</v>
      </c>
      <c r="J20" t="s">
        <v>349</v>
      </c>
      <c r="K20" t="s">
        <v>473</v>
      </c>
      <c r="L20">
        <v>1</v>
      </c>
      <c r="N20">
        <f>VLOOKUP(P20,Sheet5!$H$1:$L$19,5,FALSE)</f>
        <v>1083</v>
      </c>
      <c r="O20">
        <f>VLOOKUP(Q20,Sheet5!$H$1:$L$19,5,FALSE)</f>
        <v>1071</v>
      </c>
      <c r="P20" t="s">
        <v>366</v>
      </c>
      <c r="Q20" t="s">
        <v>342</v>
      </c>
      <c r="R20" t="str">
        <f t="shared" si="0"/>
        <v>1001,1002,1003,1004,1005,1006,1007,1008,1009,1010,1011,1012,1015,1016,1086</v>
      </c>
      <c r="S20" t="str">
        <f t="shared" si="1"/>
        <v>1013,1014,1017,1087,1088,1089</v>
      </c>
      <c r="T20">
        <v>1083</v>
      </c>
      <c r="U20">
        <v>1071</v>
      </c>
    </row>
    <row r="21" spans="1:21" x14ac:dyDescent="0.15">
      <c r="H21" t="s">
        <v>253</v>
      </c>
      <c r="I21">
        <v>1029</v>
      </c>
      <c r="J21" t="s">
        <v>353</v>
      </c>
      <c r="K21">
        <v>1029</v>
      </c>
      <c r="L21">
        <v>0</v>
      </c>
    </row>
    <row r="22" spans="1:21" x14ac:dyDescent="0.15">
      <c r="H22" t="s">
        <v>254</v>
      </c>
      <c r="I22">
        <v>1030</v>
      </c>
      <c r="J22" t="s">
        <v>353</v>
      </c>
      <c r="K22" t="s">
        <v>382</v>
      </c>
      <c r="L22">
        <v>0</v>
      </c>
    </row>
    <row r="23" spans="1:21" x14ac:dyDescent="0.15">
      <c r="H23" t="s">
        <v>255</v>
      </c>
      <c r="I23">
        <v>1031</v>
      </c>
      <c r="J23" t="s">
        <v>353</v>
      </c>
      <c r="K23" t="s">
        <v>383</v>
      </c>
      <c r="L23">
        <v>0</v>
      </c>
    </row>
    <row r="24" spans="1:21" x14ac:dyDescent="0.15">
      <c r="H24" t="s">
        <v>246</v>
      </c>
      <c r="I24">
        <v>1019</v>
      </c>
      <c r="J24" t="s">
        <v>347</v>
      </c>
      <c r="K24">
        <v>1019</v>
      </c>
      <c r="L24">
        <v>0</v>
      </c>
    </row>
    <row r="25" spans="1:21" x14ac:dyDescent="0.15">
      <c r="H25" t="s">
        <v>247</v>
      </c>
      <c r="I25">
        <v>1020</v>
      </c>
      <c r="J25" t="s">
        <v>347</v>
      </c>
      <c r="K25" t="s">
        <v>385</v>
      </c>
      <c r="L25">
        <v>0</v>
      </c>
    </row>
    <row r="26" spans="1:21" x14ac:dyDescent="0.15">
      <c r="H26" t="s">
        <v>248</v>
      </c>
      <c r="I26">
        <v>1021</v>
      </c>
      <c r="J26" t="s">
        <v>347</v>
      </c>
      <c r="K26" t="s">
        <v>386</v>
      </c>
      <c r="L26">
        <v>0</v>
      </c>
    </row>
    <row r="27" spans="1:21" x14ac:dyDescent="0.15">
      <c r="H27" t="s">
        <v>315</v>
      </c>
      <c r="I27">
        <v>1090</v>
      </c>
      <c r="J27" t="s">
        <v>351</v>
      </c>
      <c r="K27">
        <v>1090</v>
      </c>
      <c r="L27">
        <v>0</v>
      </c>
    </row>
    <row r="28" spans="1:21" x14ac:dyDescent="0.15">
      <c r="H28" t="s">
        <v>288</v>
      </c>
      <c r="I28">
        <v>1051</v>
      </c>
      <c r="J28" t="s">
        <v>351</v>
      </c>
      <c r="K28" t="s">
        <v>388</v>
      </c>
      <c r="L28">
        <v>0</v>
      </c>
    </row>
    <row r="29" spans="1:21" x14ac:dyDescent="0.15">
      <c r="H29" t="s">
        <v>305</v>
      </c>
      <c r="I29">
        <v>1078</v>
      </c>
      <c r="J29" t="s">
        <v>339</v>
      </c>
      <c r="K29">
        <v>1078</v>
      </c>
      <c r="L29">
        <v>0</v>
      </c>
    </row>
    <row r="30" spans="1:21" x14ac:dyDescent="0.15">
      <c r="H30" t="s">
        <v>306</v>
      </c>
      <c r="I30">
        <v>1079</v>
      </c>
      <c r="J30" t="s">
        <v>339</v>
      </c>
      <c r="K30" t="s">
        <v>390</v>
      </c>
      <c r="L30">
        <v>0</v>
      </c>
    </row>
    <row r="31" spans="1:21" x14ac:dyDescent="0.15">
      <c r="H31" t="s">
        <v>307</v>
      </c>
      <c r="I31">
        <v>1080</v>
      </c>
      <c r="J31" t="s">
        <v>339</v>
      </c>
      <c r="K31" t="s">
        <v>391</v>
      </c>
      <c r="L31">
        <v>0</v>
      </c>
    </row>
    <row r="32" spans="1:21" x14ac:dyDescent="0.15">
      <c r="H32" t="s">
        <v>278</v>
      </c>
      <c r="I32">
        <v>1035</v>
      </c>
      <c r="J32" t="s">
        <v>355</v>
      </c>
      <c r="K32">
        <v>1035</v>
      </c>
      <c r="L32">
        <v>0</v>
      </c>
    </row>
    <row r="33" spans="8:12" x14ac:dyDescent="0.15">
      <c r="H33" t="s">
        <v>279</v>
      </c>
      <c r="I33">
        <v>1036</v>
      </c>
      <c r="J33" t="s">
        <v>355</v>
      </c>
      <c r="K33" t="s">
        <v>393</v>
      </c>
      <c r="L33">
        <v>0</v>
      </c>
    </row>
    <row r="34" spans="8:12" x14ac:dyDescent="0.15">
      <c r="H34" t="s">
        <v>281</v>
      </c>
      <c r="I34">
        <v>1038</v>
      </c>
      <c r="J34" t="s">
        <v>355</v>
      </c>
      <c r="K34" t="s">
        <v>394</v>
      </c>
      <c r="L34">
        <v>0</v>
      </c>
    </row>
    <row r="35" spans="8:12" x14ac:dyDescent="0.15">
      <c r="H35" t="s">
        <v>257</v>
      </c>
      <c r="I35">
        <v>1039</v>
      </c>
      <c r="J35" t="s">
        <v>355</v>
      </c>
      <c r="K35" t="s">
        <v>395</v>
      </c>
      <c r="L35">
        <v>0</v>
      </c>
    </row>
    <row r="36" spans="8:12" x14ac:dyDescent="0.15">
      <c r="H36" t="s">
        <v>283</v>
      </c>
      <c r="I36">
        <v>1041</v>
      </c>
      <c r="J36" t="s">
        <v>355</v>
      </c>
      <c r="K36" t="s">
        <v>396</v>
      </c>
      <c r="L36">
        <v>0</v>
      </c>
    </row>
    <row r="37" spans="8:12" x14ac:dyDescent="0.15">
      <c r="H37" t="s">
        <v>259</v>
      </c>
      <c r="I37">
        <v>1044</v>
      </c>
      <c r="J37" t="s">
        <v>355</v>
      </c>
      <c r="K37" t="s">
        <v>397</v>
      </c>
      <c r="L37">
        <v>0</v>
      </c>
    </row>
    <row r="38" spans="8:12" x14ac:dyDescent="0.15">
      <c r="H38" t="s">
        <v>318</v>
      </c>
      <c r="I38">
        <v>1098</v>
      </c>
      <c r="J38" t="s">
        <v>361</v>
      </c>
      <c r="K38">
        <v>1098</v>
      </c>
      <c r="L38">
        <v>0</v>
      </c>
    </row>
    <row r="39" spans="8:12" x14ac:dyDescent="0.15">
      <c r="H39" t="s">
        <v>319</v>
      </c>
      <c r="I39">
        <v>1102</v>
      </c>
      <c r="J39" t="s">
        <v>361</v>
      </c>
      <c r="K39" t="s">
        <v>399</v>
      </c>
      <c r="L39">
        <v>0</v>
      </c>
    </row>
    <row r="40" spans="8:12" x14ac:dyDescent="0.15">
      <c r="H40" t="s">
        <v>322</v>
      </c>
      <c r="I40">
        <v>1105</v>
      </c>
      <c r="J40" t="s">
        <v>361</v>
      </c>
      <c r="K40" t="s">
        <v>400</v>
      </c>
      <c r="L40">
        <v>0</v>
      </c>
    </row>
    <row r="41" spans="8:12" x14ac:dyDescent="0.15">
      <c r="H41" t="s">
        <v>286</v>
      </c>
      <c r="I41">
        <v>1049</v>
      </c>
      <c r="J41" t="s">
        <v>343</v>
      </c>
      <c r="K41">
        <v>1049</v>
      </c>
      <c r="L41">
        <v>0</v>
      </c>
    </row>
    <row r="42" spans="8:12" x14ac:dyDescent="0.15">
      <c r="H42" t="s">
        <v>287</v>
      </c>
      <c r="I42">
        <v>1050</v>
      </c>
      <c r="J42" t="s">
        <v>343</v>
      </c>
      <c r="K42" t="s">
        <v>402</v>
      </c>
      <c r="L42">
        <v>0</v>
      </c>
    </row>
    <row r="43" spans="8:12" x14ac:dyDescent="0.15">
      <c r="H43" t="s">
        <v>289</v>
      </c>
      <c r="I43">
        <v>1052</v>
      </c>
      <c r="J43" t="s">
        <v>343</v>
      </c>
      <c r="K43" t="s">
        <v>403</v>
      </c>
      <c r="L43">
        <v>0</v>
      </c>
    </row>
    <row r="44" spans="8:12" x14ac:dyDescent="0.15">
      <c r="H44" t="s">
        <v>263</v>
      </c>
      <c r="I44">
        <v>1054</v>
      </c>
      <c r="J44" t="s">
        <v>343</v>
      </c>
      <c r="K44" t="s">
        <v>404</v>
      </c>
      <c r="L44">
        <v>0</v>
      </c>
    </row>
    <row r="45" spans="8:12" x14ac:dyDescent="0.15">
      <c r="H45" t="s">
        <v>265</v>
      </c>
      <c r="I45">
        <v>1057</v>
      </c>
      <c r="J45" t="s">
        <v>329</v>
      </c>
      <c r="K45">
        <v>1057</v>
      </c>
      <c r="L45">
        <v>0</v>
      </c>
    </row>
    <row r="46" spans="8:12" x14ac:dyDescent="0.15">
      <c r="H46" t="s">
        <v>309</v>
      </c>
      <c r="I46">
        <v>1084</v>
      </c>
      <c r="J46" t="s">
        <v>329</v>
      </c>
      <c r="K46" t="s">
        <v>406</v>
      </c>
      <c r="L46">
        <v>0</v>
      </c>
    </row>
    <row r="47" spans="8:12" x14ac:dyDescent="0.15">
      <c r="H47" t="s">
        <v>293</v>
      </c>
      <c r="I47">
        <v>1064</v>
      </c>
      <c r="J47" t="s">
        <v>335</v>
      </c>
      <c r="K47">
        <v>1064</v>
      </c>
      <c r="L47">
        <v>0</v>
      </c>
    </row>
    <row r="48" spans="8:12" x14ac:dyDescent="0.15">
      <c r="H48" t="s">
        <v>301</v>
      </c>
      <c r="I48">
        <v>1073</v>
      </c>
      <c r="J48" t="s">
        <v>335</v>
      </c>
      <c r="K48" t="s">
        <v>408</v>
      </c>
      <c r="L48">
        <v>0</v>
      </c>
    </row>
    <row r="49" spans="8:12" x14ac:dyDescent="0.15">
      <c r="H49" t="s">
        <v>294</v>
      </c>
      <c r="I49">
        <v>1065</v>
      </c>
      <c r="J49" t="s">
        <v>345</v>
      </c>
      <c r="K49">
        <v>1065</v>
      </c>
      <c r="L49">
        <v>0</v>
      </c>
    </row>
    <row r="50" spans="8:12" x14ac:dyDescent="0.15">
      <c r="H50" t="s">
        <v>296</v>
      </c>
      <c r="I50">
        <v>1067</v>
      </c>
      <c r="J50" t="s">
        <v>345</v>
      </c>
      <c r="K50" t="s">
        <v>410</v>
      </c>
      <c r="L50">
        <v>0</v>
      </c>
    </row>
    <row r="51" spans="8:12" x14ac:dyDescent="0.15">
      <c r="H51" t="s">
        <v>297</v>
      </c>
      <c r="I51">
        <v>1068</v>
      </c>
      <c r="J51" t="s">
        <v>345</v>
      </c>
      <c r="K51" t="s">
        <v>411</v>
      </c>
      <c r="L51">
        <v>0</v>
      </c>
    </row>
    <row r="52" spans="8:12" x14ac:dyDescent="0.15">
      <c r="H52" t="s">
        <v>299</v>
      </c>
      <c r="I52">
        <v>1070</v>
      </c>
      <c r="J52" t="s">
        <v>345</v>
      </c>
      <c r="K52" t="s">
        <v>412</v>
      </c>
      <c r="L52">
        <v>0</v>
      </c>
    </row>
    <row r="53" spans="8:12" x14ac:dyDescent="0.15">
      <c r="H53" t="s">
        <v>267</v>
      </c>
      <c r="I53">
        <v>1071</v>
      </c>
      <c r="J53" t="s">
        <v>345</v>
      </c>
      <c r="K53" t="s">
        <v>413</v>
      </c>
      <c r="L53">
        <v>0</v>
      </c>
    </row>
    <row r="54" spans="8:12" x14ac:dyDescent="0.15">
      <c r="H54" t="s">
        <v>367</v>
      </c>
      <c r="I54">
        <v>1238</v>
      </c>
      <c r="J54" t="s">
        <v>333</v>
      </c>
      <c r="K54">
        <v>1238</v>
      </c>
      <c r="L54">
        <v>0</v>
      </c>
    </row>
    <row r="55" spans="8:12" x14ac:dyDescent="0.15">
      <c r="H55" t="s">
        <v>368</v>
      </c>
      <c r="I55">
        <v>1239</v>
      </c>
      <c r="J55" t="s">
        <v>333</v>
      </c>
      <c r="K55" t="s">
        <v>415</v>
      </c>
      <c r="L55">
        <v>0</v>
      </c>
    </row>
    <row r="56" spans="8:12" x14ac:dyDescent="0.15">
      <c r="H56" t="s">
        <v>369</v>
      </c>
      <c r="I56">
        <v>1240</v>
      </c>
      <c r="J56" t="s">
        <v>333</v>
      </c>
      <c r="K56" t="s">
        <v>416</v>
      </c>
      <c r="L56">
        <v>0</v>
      </c>
    </row>
    <row r="57" spans="8:12" x14ac:dyDescent="0.15">
      <c r="H57" t="s">
        <v>370</v>
      </c>
      <c r="I57">
        <v>1241</v>
      </c>
      <c r="J57" t="s">
        <v>333</v>
      </c>
      <c r="K57" t="s">
        <v>417</v>
      </c>
      <c r="L57">
        <v>0</v>
      </c>
    </row>
    <row r="58" spans="8:12" x14ac:dyDescent="0.15">
      <c r="H58" t="s">
        <v>371</v>
      </c>
      <c r="I58">
        <v>1242</v>
      </c>
      <c r="J58" t="s">
        <v>333</v>
      </c>
      <c r="K58" t="s">
        <v>418</v>
      </c>
      <c r="L58">
        <v>0</v>
      </c>
    </row>
    <row r="59" spans="8:12" x14ac:dyDescent="0.15">
      <c r="H59" t="s">
        <v>372</v>
      </c>
      <c r="I59">
        <v>1243</v>
      </c>
      <c r="J59" t="s">
        <v>333</v>
      </c>
      <c r="K59" t="s">
        <v>419</v>
      </c>
      <c r="L59">
        <v>0</v>
      </c>
    </row>
    <row r="60" spans="8:12" x14ac:dyDescent="0.15">
      <c r="H60" t="s">
        <v>373</v>
      </c>
      <c r="I60">
        <v>1244</v>
      </c>
      <c r="J60" t="s">
        <v>333</v>
      </c>
      <c r="K60" t="s">
        <v>420</v>
      </c>
      <c r="L60">
        <v>0</v>
      </c>
    </row>
    <row r="61" spans="8:12" x14ac:dyDescent="0.15">
      <c r="H61" t="s">
        <v>374</v>
      </c>
      <c r="I61">
        <v>1245</v>
      </c>
      <c r="J61" t="s">
        <v>333</v>
      </c>
      <c r="K61" t="s">
        <v>421</v>
      </c>
      <c r="L61">
        <v>0</v>
      </c>
    </row>
    <row r="62" spans="8:12" x14ac:dyDescent="0.15">
      <c r="H62" t="s">
        <v>375</v>
      </c>
      <c r="I62">
        <v>1246</v>
      </c>
      <c r="J62" t="s">
        <v>333</v>
      </c>
      <c r="K62" t="s">
        <v>422</v>
      </c>
      <c r="L62">
        <v>0</v>
      </c>
    </row>
    <row r="63" spans="8:12" x14ac:dyDescent="0.15">
      <c r="H63" t="s">
        <v>376</v>
      </c>
      <c r="I63">
        <v>1247</v>
      </c>
      <c r="J63" t="s">
        <v>333</v>
      </c>
      <c r="K63" t="s">
        <v>423</v>
      </c>
      <c r="L63">
        <v>0</v>
      </c>
    </row>
    <row r="64" spans="8:12" x14ac:dyDescent="0.15">
      <c r="H64" t="s">
        <v>377</v>
      </c>
      <c r="I64">
        <v>1248</v>
      </c>
      <c r="J64" t="s">
        <v>333</v>
      </c>
      <c r="K64" t="s">
        <v>424</v>
      </c>
      <c r="L64">
        <v>0</v>
      </c>
    </row>
    <row r="65" spans="8:12" x14ac:dyDescent="0.15">
      <c r="H65" t="s">
        <v>378</v>
      </c>
      <c r="I65">
        <v>1249</v>
      </c>
      <c r="J65" t="s">
        <v>333</v>
      </c>
      <c r="K65" t="s">
        <v>425</v>
      </c>
      <c r="L65">
        <v>0</v>
      </c>
    </row>
    <row r="66" spans="8:12" x14ac:dyDescent="0.15">
      <c r="H66" t="s">
        <v>379</v>
      </c>
      <c r="I66">
        <v>1250</v>
      </c>
      <c r="J66" t="s">
        <v>333</v>
      </c>
      <c r="K66" t="s">
        <v>426</v>
      </c>
      <c r="L66">
        <v>0</v>
      </c>
    </row>
    <row r="67" spans="8:12" x14ac:dyDescent="0.15">
      <c r="H67" t="s">
        <v>380</v>
      </c>
      <c r="I67">
        <v>1251</v>
      </c>
      <c r="J67" t="s">
        <v>333</v>
      </c>
      <c r="K67" t="s">
        <v>427</v>
      </c>
      <c r="L67">
        <v>0</v>
      </c>
    </row>
    <row r="68" spans="8:12" x14ac:dyDescent="0.15">
      <c r="H68" t="s">
        <v>268</v>
      </c>
      <c r="I68">
        <v>1001</v>
      </c>
      <c r="J68" t="s">
        <v>365</v>
      </c>
      <c r="K68">
        <v>1001</v>
      </c>
      <c r="L68">
        <v>0</v>
      </c>
    </row>
    <row r="69" spans="8:12" x14ac:dyDescent="0.15">
      <c r="H69" t="s">
        <v>238</v>
      </c>
      <c r="I69">
        <v>1002</v>
      </c>
      <c r="J69" t="s">
        <v>365</v>
      </c>
      <c r="K69" t="s">
        <v>429</v>
      </c>
      <c r="L69">
        <v>0</v>
      </c>
    </row>
    <row r="70" spans="8:12" x14ac:dyDescent="0.15">
      <c r="H70" t="s">
        <v>269</v>
      </c>
      <c r="I70">
        <v>1003</v>
      </c>
      <c r="J70" t="s">
        <v>365</v>
      </c>
      <c r="K70" t="s">
        <v>430</v>
      </c>
      <c r="L70">
        <v>0</v>
      </c>
    </row>
    <row r="71" spans="8:12" x14ac:dyDescent="0.15">
      <c r="H71" t="s">
        <v>270</v>
      </c>
      <c r="I71">
        <v>1004</v>
      </c>
      <c r="J71" t="s">
        <v>365</v>
      </c>
      <c r="K71" t="s">
        <v>431</v>
      </c>
      <c r="L71">
        <v>0</v>
      </c>
    </row>
    <row r="72" spans="8:12" x14ac:dyDescent="0.15">
      <c r="H72" t="s">
        <v>239</v>
      </c>
      <c r="I72">
        <v>1005</v>
      </c>
      <c r="J72" t="s">
        <v>365</v>
      </c>
      <c r="K72" t="s">
        <v>432</v>
      </c>
      <c r="L72">
        <v>0</v>
      </c>
    </row>
    <row r="73" spans="8:12" x14ac:dyDescent="0.15">
      <c r="H73" t="s">
        <v>271</v>
      </c>
      <c r="I73">
        <v>1006</v>
      </c>
      <c r="J73" t="s">
        <v>365</v>
      </c>
      <c r="K73" t="s">
        <v>433</v>
      </c>
      <c r="L73">
        <v>0</v>
      </c>
    </row>
    <row r="74" spans="8:12" x14ac:dyDescent="0.15">
      <c r="H74" t="s">
        <v>240</v>
      </c>
      <c r="I74">
        <v>1007</v>
      </c>
      <c r="J74" t="s">
        <v>365</v>
      </c>
      <c r="K74" t="s">
        <v>434</v>
      </c>
      <c r="L74">
        <v>0</v>
      </c>
    </row>
    <row r="75" spans="8:12" x14ac:dyDescent="0.15">
      <c r="H75" t="s">
        <v>241</v>
      </c>
      <c r="I75">
        <v>1008</v>
      </c>
      <c r="J75" t="s">
        <v>365</v>
      </c>
      <c r="K75" t="s">
        <v>435</v>
      </c>
      <c r="L75">
        <v>0</v>
      </c>
    </row>
    <row r="76" spans="8:12" x14ac:dyDescent="0.15">
      <c r="H76" t="s">
        <v>242</v>
      </c>
      <c r="I76">
        <v>1009</v>
      </c>
      <c r="J76" t="s">
        <v>365</v>
      </c>
      <c r="K76" t="s">
        <v>436</v>
      </c>
      <c r="L76">
        <v>0</v>
      </c>
    </row>
    <row r="77" spans="8:12" x14ac:dyDescent="0.15">
      <c r="H77" t="s">
        <v>272</v>
      </c>
      <c r="I77">
        <v>1010</v>
      </c>
      <c r="J77" t="s">
        <v>365</v>
      </c>
      <c r="K77" t="s">
        <v>437</v>
      </c>
      <c r="L77">
        <v>0</v>
      </c>
    </row>
    <row r="78" spans="8:12" x14ac:dyDescent="0.15">
      <c r="H78" t="s">
        <v>243</v>
      </c>
      <c r="I78">
        <v>1011</v>
      </c>
      <c r="J78" t="s">
        <v>365</v>
      </c>
      <c r="K78" t="s">
        <v>438</v>
      </c>
      <c r="L78">
        <v>0</v>
      </c>
    </row>
    <row r="79" spans="8:12" x14ac:dyDescent="0.15">
      <c r="H79" t="s">
        <v>273</v>
      </c>
      <c r="I79">
        <v>1012</v>
      </c>
      <c r="J79" t="s">
        <v>365</v>
      </c>
      <c r="K79" t="s">
        <v>439</v>
      </c>
      <c r="L79">
        <v>0</v>
      </c>
    </row>
    <row r="80" spans="8:12" x14ac:dyDescent="0.15">
      <c r="H80" t="s">
        <v>275</v>
      </c>
      <c r="I80">
        <v>1015</v>
      </c>
      <c r="J80" t="s">
        <v>365</v>
      </c>
      <c r="K80" t="s">
        <v>440</v>
      </c>
      <c r="L80">
        <v>0</v>
      </c>
    </row>
    <row r="81" spans="8:12" x14ac:dyDescent="0.15">
      <c r="H81" t="s">
        <v>245</v>
      </c>
      <c r="I81">
        <v>1016</v>
      </c>
      <c r="J81" t="s">
        <v>365</v>
      </c>
      <c r="K81" t="s">
        <v>441</v>
      </c>
      <c r="L81">
        <v>0</v>
      </c>
    </row>
    <row r="82" spans="8:12" x14ac:dyDescent="0.15">
      <c r="H82" t="s">
        <v>244</v>
      </c>
      <c r="I82">
        <v>1013</v>
      </c>
      <c r="J82" t="s">
        <v>341</v>
      </c>
      <c r="K82">
        <v>1013</v>
      </c>
      <c r="L82">
        <v>0</v>
      </c>
    </row>
    <row r="83" spans="8:12" x14ac:dyDescent="0.15">
      <c r="H83" t="s">
        <v>274</v>
      </c>
      <c r="I83">
        <v>1014</v>
      </c>
      <c r="J83" t="s">
        <v>341</v>
      </c>
      <c r="K83" t="s">
        <v>443</v>
      </c>
      <c r="L83">
        <v>0</v>
      </c>
    </row>
    <row r="84" spans="8:12" x14ac:dyDescent="0.15">
      <c r="H84" t="s">
        <v>276</v>
      </c>
      <c r="I84">
        <v>1017</v>
      </c>
      <c r="J84" t="s">
        <v>341</v>
      </c>
      <c r="K84" t="s">
        <v>444</v>
      </c>
      <c r="L84">
        <v>0</v>
      </c>
    </row>
    <row r="85" spans="8:12" x14ac:dyDescent="0.15">
      <c r="H85" t="s">
        <v>312</v>
      </c>
      <c r="I85">
        <v>1087</v>
      </c>
      <c r="J85" t="s">
        <v>341</v>
      </c>
      <c r="K85" t="s">
        <v>445</v>
      </c>
      <c r="L85">
        <v>0</v>
      </c>
    </row>
    <row r="86" spans="8:12" x14ac:dyDescent="0.15">
      <c r="H86" t="s">
        <v>313</v>
      </c>
      <c r="I86">
        <v>1088</v>
      </c>
      <c r="J86" t="s">
        <v>341</v>
      </c>
      <c r="K86" t="s">
        <v>446</v>
      </c>
      <c r="L86">
        <v>0</v>
      </c>
    </row>
    <row r="87" spans="8:12" x14ac:dyDescent="0.15">
      <c r="H87" t="s">
        <v>298</v>
      </c>
      <c r="I87">
        <v>1069</v>
      </c>
      <c r="J87" t="s">
        <v>337</v>
      </c>
      <c r="K87">
        <v>1069</v>
      </c>
      <c r="L87">
        <v>0</v>
      </c>
    </row>
    <row r="88" spans="8:12" x14ac:dyDescent="0.15">
      <c r="H88" t="s">
        <v>302</v>
      </c>
      <c r="I88">
        <v>1075</v>
      </c>
      <c r="J88" t="s">
        <v>337</v>
      </c>
      <c r="K88" t="s">
        <v>448</v>
      </c>
      <c r="L88">
        <v>0</v>
      </c>
    </row>
    <row r="89" spans="8:12" x14ac:dyDescent="0.15">
      <c r="H89" t="s">
        <v>316</v>
      </c>
      <c r="I89">
        <v>1096</v>
      </c>
      <c r="J89" t="s">
        <v>363</v>
      </c>
      <c r="K89">
        <v>1096</v>
      </c>
      <c r="L89">
        <v>0</v>
      </c>
    </row>
    <row r="90" spans="8:12" x14ac:dyDescent="0.15">
      <c r="H90" t="s">
        <v>320</v>
      </c>
      <c r="I90">
        <v>1103</v>
      </c>
      <c r="J90" t="s">
        <v>363</v>
      </c>
      <c r="K90" t="s">
        <v>450</v>
      </c>
      <c r="L90">
        <v>0</v>
      </c>
    </row>
    <row r="91" spans="8:12" x14ac:dyDescent="0.15">
      <c r="H91" t="s">
        <v>321</v>
      </c>
      <c r="I91">
        <v>1104</v>
      </c>
      <c r="J91" t="s">
        <v>363</v>
      </c>
      <c r="K91" t="s">
        <v>451</v>
      </c>
      <c r="L91">
        <v>0</v>
      </c>
    </row>
    <row r="92" spans="8:12" x14ac:dyDescent="0.15">
      <c r="H92" t="s">
        <v>326</v>
      </c>
      <c r="I92">
        <v>1118</v>
      </c>
      <c r="J92" t="s">
        <v>363</v>
      </c>
      <c r="K92" t="s">
        <v>452</v>
      </c>
      <c r="L92">
        <v>0</v>
      </c>
    </row>
    <row r="93" spans="8:12" x14ac:dyDescent="0.15">
      <c r="H93" t="s">
        <v>277</v>
      </c>
      <c r="I93">
        <v>1034</v>
      </c>
      <c r="J93" t="s">
        <v>357</v>
      </c>
      <c r="K93">
        <v>1034</v>
      </c>
      <c r="L93">
        <v>0</v>
      </c>
    </row>
    <row r="94" spans="8:12" x14ac:dyDescent="0.15">
      <c r="H94" t="s">
        <v>280</v>
      </c>
      <c r="I94">
        <v>1037</v>
      </c>
      <c r="J94" t="s">
        <v>357</v>
      </c>
      <c r="K94" t="s">
        <v>454</v>
      </c>
      <c r="L94">
        <v>0</v>
      </c>
    </row>
    <row r="95" spans="8:12" x14ac:dyDescent="0.15">
      <c r="H95" t="s">
        <v>282</v>
      </c>
      <c r="I95">
        <v>1040</v>
      </c>
      <c r="J95" t="s">
        <v>357</v>
      </c>
      <c r="K95" t="s">
        <v>455</v>
      </c>
      <c r="L95">
        <v>0</v>
      </c>
    </row>
    <row r="96" spans="8:12" x14ac:dyDescent="0.15">
      <c r="H96" t="s">
        <v>284</v>
      </c>
      <c r="I96">
        <v>1042</v>
      </c>
      <c r="J96" t="s">
        <v>357</v>
      </c>
      <c r="K96" t="s">
        <v>456</v>
      </c>
      <c r="L96">
        <v>0</v>
      </c>
    </row>
    <row r="97" spans="8:12" x14ac:dyDescent="0.15">
      <c r="H97" t="s">
        <v>258</v>
      </c>
      <c r="I97">
        <v>1043</v>
      </c>
      <c r="J97" t="s">
        <v>357</v>
      </c>
      <c r="K97" t="s">
        <v>457</v>
      </c>
      <c r="L97">
        <v>0</v>
      </c>
    </row>
    <row r="98" spans="8:12" x14ac:dyDescent="0.15">
      <c r="H98" t="s">
        <v>260</v>
      </c>
      <c r="I98">
        <v>1046</v>
      </c>
      <c r="J98" t="s">
        <v>357</v>
      </c>
      <c r="K98" t="s">
        <v>458</v>
      </c>
      <c r="L98">
        <v>0</v>
      </c>
    </row>
    <row r="99" spans="8:12" x14ac:dyDescent="0.15">
      <c r="H99" t="s">
        <v>261</v>
      </c>
      <c r="I99">
        <v>1047</v>
      </c>
      <c r="J99" t="s">
        <v>357</v>
      </c>
      <c r="K99" t="s">
        <v>459</v>
      </c>
      <c r="L99">
        <v>0</v>
      </c>
    </row>
    <row r="100" spans="8:12" x14ac:dyDescent="0.15">
      <c r="H100" t="s">
        <v>264</v>
      </c>
      <c r="I100">
        <v>1056</v>
      </c>
      <c r="J100" t="s">
        <v>331</v>
      </c>
      <c r="K100">
        <v>1056</v>
      </c>
      <c r="L100">
        <v>0</v>
      </c>
    </row>
    <row r="101" spans="8:12" x14ac:dyDescent="0.15">
      <c r="H101" t="s">
        <v>266</v>
      </c>
      <c r="I101">
        <v>1060</v>
      </c>
      <c r="J101" t="s">
        <v>331</v>
      </c>
      <c r="K101" t="s">
        <v>461</v>
      </c>
      <c r="L101">
        <v>0</v>
      </c>
    </row>
    <row r="102" spans="8:12" x14ac:dyDescent="0.15">
      <c r="H102" t="s">
        <v>290</v>
      </c>
      <c r="I102">
        <v>1061</v>
      </c>
      <c r="J102" t="s">
        <v>331</v>
      </c>
      <c r="K102" t="s">
        <v>462</v>
      </c>
      <c r="L102">
        <v>0</v>
      </c>
    </row>
    <row r="103" spans="8:12" x14ac:dyDescent="0.15">
      <c r="H103" t="s">
        <v>291</v>
      </c>
      <c r="I103">
        <v>1062</v>
      </c>
      <c r="J103" t="s">
        <v>331</v>
      </c>
      <c r="K103" t="s">
        <v>463</v>
      </c>
      <c r="L103">
        <v>0</v>
      </c>
    </row>
    <row r="104" spans="8:12" x14ac:dyDescent="0.15">
      <c r="H104" t="s">
        <v>292</v>
      </c>
      <c r="I104">
        <v>1063</v>
      </c>
      <c r="J104" t="s">
        <v>331</v>
      </c>
      <c r="K104" t="s">
        <v>464</v>
      </c>
      <c r="L104">
        <v>0</v>
      </c>
    </row>
    <row r="105" spans="8:12" x14ac:dyDescent="0.15">
      <c r="H105" t="s">
        <v>294</v>
      </c>
      <c r="I105">
        <v>1065</v>
      </c>
      <c r="J105" t="s">
        <v>331</v>
      </c>
      <c r="K105" t="s">
        <v>465</v>
      </c>
      <c r="L105">
        <v>0</v>
      </c>
    </row>
    <row r="106" spans="8:12" x14ac:dyDescent="0.15">
      <c r="H106" t="s">
        <v>295</v>
      </c>
      <c r="I106">
        <v>1066</v>
      </c>
      <c r="J106" t="s">
        <v>331</v>
      </c>
      <c r="K106" t="s">
        <v>466</v>
      </c>
      <c r="L106">
        <v>0</v>
      </c>
    </row>
    <row r="107" spans="8:12" x14ac:dyDescent="0.15">
      <c r="H107" t="s">
        <v>297</v>
      </c>
      <c r="I107">
        <v>1068</v>
      </c>
      <c r="J107" t="s">
        <v>331</v>
      </c>
      <c r="K107" t="s">
        <v>467</v>
      </c>
      <c r="L107">
        <v>0</v>
      </c>
    </row>
    <row r="108" spans="8:12" x14ac:dyDescent="0.15">
      <c r="H108" t="s">
        <v>317</v>
      </c>
      <c r="I108">
        <v>1097</v>
      </c>
      <c r="J108" t="s">
        <v>359</v>
      </c>
      <c r="K108">
        <v>1097</v>
      </c>
      <c r="L108">
        <v>0</v>
      </c>
    </row>
    <row r="109" spans="8:12" x14ac:dyDescent="0.15">
      <c r="H109" t="s">
        <v>323</v>
      </c>
      <c r="I109">
        <v>1107</v>
      </c>
      <c r="J109" t="s">
        <v>359</v>
      </c>
      <c r="K109" t="s">
        <v>469</v>
      </c>
      <c r="L109">
        <v>0</v>
      </c>
    </row>
    <row r="110" spans="8:12" x14ac:dyDescent="0.15">
      <c r="H110" t="s">
        <v>324</v>
      </c>
      <c r="I110">
        <v>1108</v>
      </c>
      <c r="J110" t="s">
        <v>359</v>
      </c>
      <c r="K110" t="s">
        <v>470</v>
      </c>
      <c r="L110">
        <v>0</v>
      </c>
    </row>
    <row r="111" spans="8:12" x14ac:dyDescent="0.15">
      <c r="H111" t="s">
        <v>250</v>
      </c>
      <c r="I111">
        <v>1023</v>
      </c>
      <c r="J111" t="s">
        <v>349</v>
      </c>
      <c r="K111">
        <v>1023</v>
      </c>
      <c r="L111">
        <v>0</v>
      </c>
    </row>
    <row r="112" spans="8:12" x14ac:dyDescent="0.15">
      <c r="H112" t="s">
        <v>251</v>
      </c>
      <c r="I112">
        <v>1024</v>
      </c>
      <c r="J112" t="s">
        <v>349</v>
      </c>
      <c r="K112" t="s">
        <v>472</v>
      </c>
      <c r="L112">
        <v>0</v>
      </c>
    </row>
  </sheetData>
  <autoFilter ref="H1:L112">
    <sortState ref="H2:L112">
      <sortCondition descending="1" ref="L1"/>
    </sortState>
  </autoFilter>
  <phoneticPr fontId="1" type="noConversion"/>
  <dataValidations count="1">
    <dataValidation type="list" allowBlank="1" showInputMessage="1" showErrorMessage="1" sqref="J2:J112">
      <formula1>$P$1:$P$20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NpcDatas</vt:lpstr>
      <vt:lpstr>Sheet3</vt:lpstr>
      <vt:lpstr>Sheet4</vt:lpstr>
      <vt:lpstr>Sheet1</vt:lpstr>
      <vt:lpstr>Sheet5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2019-01-08T18:43:13Z</dcterms:modified>
</cp:coreProperties>
</file>