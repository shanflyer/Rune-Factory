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Game\Rune Factory_hub\数据\"/>
    </mc:Choice>
  </mc:AlternateContent>
  <bookViews>
    <workbookView xWindow="240" yWindow="135" windowWidth="9675" windowHeight="7380"/>
  </bookViews>
  <sheets>
    <sheet name="item" sheetId="1" r:id="rId1"/>
    <sheet name="Sheet1" sheetId="2" r:id="rId2"/>
    <sheet name="Sheet2" sheetId="3" r:id="rId3"/>
  </sheets>
  <definedNames>
    <definedName name="_xlnm._FilterDatabase" localSheetId="0" hidden="1">item!$A$3:$N$287</definedName>
    <definedName name="_xlnm._FilterDatabase" localSheetId="1" hidden="1">Sheet1!$H$120:$J$120</definedName>
  </definedNames>
  <calcPr calcId="162913"/>
</workbook>
</file>

<file path=xl/calcChain.xml><?xml version="1.0" encoding="utf-8"?>
<calcChain xmlns="http://schemas.openxmlformats.org/spreadsheetml/2006/main">
  <c r="N288" i="1" l="1"/>
  <c r="N289" i="1"/>
  <c r="N290" i="1"/>
  <c r="N291" i="1"/>
  <c r="N292" i="1"/>
  <c r="N293" i="1"/>
  <c r="N281" i="1" l="1"/>
  <c r="N282" i="1"/>
  <c r="N283" i="1"/>
  <c r="N284" i="1"/>
  <c r="N285" i="1"/>
  <c r="N286" i="1"/>
  <c r="N287" i="1"/>
  <c r="N280" i="1"/>
  <c r="N273" i="1" l="1"/>
  <c r="N274" i="1"/>
  <c r="N275" i="1"/>
  <c r="N276" i="1"/>
  <c r="N277" i="1"/>
  <c r="N278" i="1"/>
  <c r="N279" i="1"/>
  <c r="N272" i="1"/>
  <c r="N271" i="1" l="1"/>
  <c r="B132" i="2" l="1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26" i="2"/>
  <c r="B127" i="2"/>
  <c r="B128" i="2"/>
  <c r="B129" i="2"/>
  <c r="B130" i="2"/>
  <c r="B131" i="2"/>
  <c r="M93" i="1" l="1"/>
  <c r="M128" i="1"/>
  <c r="M130" i="1"/>
  <c r="M54" i="1"/>
  <c r="M55" i="1"/>
  <c r="M52" i="1"/>
  <c r="F122" i="2" l="1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50" i="2"/>
  <c r="F151" i="2"/>
  <c r="F152" i="2"/>
  <c r="F153" i="2"/>
  <c r="F154" i="2"/>
  <c r="F155" i="2"/>
  <c r="F156" i="2"/>
  <c r="F157" i="2"/>
  <c r="F121" i="2"/>
  <c r="O122" i="2"/>
  <c r="O123" i="2"/>
  <c r="O124" i="2"/>
  <c r="K75" i="1" s="1"/>
  <c r="O125" i="2"/>
  <c r="O126" i="2"/>
  <c r="K58" i="1" s="1"/>
  <c r="O127" i="2"/>
  <c r="O128" i="2"/>
  <c r="O129" i="2"/>
  <c r="K77" i="1" s="1"/>
  <c r="O130" i="2"/>
  <c r="O131" i="2"/>
  <c r="K69" i="1" s="1"/>
  <c r="O132" i="2"/>
  <c r="K62" i="1" s="1"/>
  <c r="O133" i="2"/>
  <c r="O134" i="2"/>
  <c r="K66" i="1" s="1"/>
  <c r="O135" i="2"/>
  <c r="O136" i="2"/>
  <c r="O137" i="2"/>
  <c r="K71" i="1" s="1"/>
  <c r="O138" i="2"/>
  <c r="O139" i="2"/>
  <c r="O140" i="2"/>
  <c r="O141" i="2"/>
  <c r="O150" i="2"/>
  <c r="O151" i="2"/>
  <c r="O152" i="2"/>
  <c r="K83" i="1" s="1"/>
  <c r="O153" i="2"/>
  <c r="K88" i="1" s="1"/>
  <c r="O154" i="2"/>
  <c r="O155" i="2"/>
  <c r="O156" i="2"/>
  <c r="O157" i="2"/>
  <c r="K84" i="1" s="1"/>
  <c r="O121" i="2"/>
  <c r="K52" i="1" s="1"/>
  <c r="K70" i="1"/>
  <c r="K54" i="1"/>
  <c r="K59" i="1"/>
  <c r="K53" i="1"/>
  <c r="K55" i="1"/>
  <c r="K56" i="1"/>
  <c r="K57" i="1"/>
  <c r="K61" i="1"/>
  <c r="K63" i="1"/>
  <c r="K64" i="1"/>
  <c r="K65" i="1"/>
  <c r="K67" i="1"/>
  <c r="K81" i="1"/>
  <c r="K82" i="1"/>
  <c r="K85" i="1"/>
  <c r="K86" i="1"/>
  <c r="K87" i="1"/>
  <c r="K60" i="1"/>
  <c r="M162" i="1" l="1"/>
  <c r="M134" i="2"/>
  <c r="N134" i="2"/>
  <c r="M135" i="2"/>
  <c r="N135" i="2"/>
  <c r="M136" i="2"/>
  <c r="N136" i="2"/>
  <c r="M137" i="2"/>
  <c r="N137" i="2"/>
  <c r="M138" i="2"/>
  <c r="N138" i="2"/>
  <c r="M139" i="2"/>
  <c r="N139" i="2"/>
  <c r="M140" i="2"/>
  <c r="N140" i="2"/>
  <c r="M141" i="2"/>
  <c r="N141" i="2"/>
  <c r="N133" i="2"/>
  <c r="M133" i="2"/>
  <c r="L143" i="2"/>
  <c r="L144" i="2"/>
  <c r="L145" i="2"/>
  <c r="L146" i="2"/>
  <c r="L147" i="2"/>
  <c r="L148" i="2"/>
  <c r="L149" i="2"/>
  <c r="L142" i="2"/>
  <c r="S122" i="2"/>
  <c r="S121" i="2"/>
  <c r="O148" i="2" l="1"/>
  <c r="K73" i="1" s="1"/>
  <c r="F148" i="2"/>
  <c r="O149" i="2"/>
  <c r="K79" i="1" s="1"/>
  <c r="F149" i="2"/>
  <c r="F147" i="2"/>
  <c r="O147" i="2"/>
  <c r="K72" i="1" s="1"/>
  <c r="F146" i="2"/>
  <c r="O146" i="2"/>
  <c r="K80" i="1" s="1"/>
  <c r="F144" i="2"/>
  <c r="O144" i="2"/>
  <c r="K78" i="1" s="1"/>
  <c r="F142" i="2"/>
  <c r="O142" i="2"/>
  <c r="K68" i="1" s="1"/>
  <c r="F145" i="2"/>
  <c r="O145" i="2"/>
  <c r="K76" i="1" s="1"/>
  <c r="F143" i="2"/>
  <c r="O143" i="2"/>
  <c r="K74" i="1" s="1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40" i="3"/>
  <c r="M171" i="1" l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84" i="2"/>
  <c r="N5" i="1"/>
  <c r="M5" i="1" s="1"/>
  <c r="N6" i="1"/>
  <c r="M6" i="1" s="1"/>
  <c r="N7" i="1"/>
  <c r="M7" i="1" s="1"/>
  <c r="N8" i="1"/>
  <c r="M8" i="1" s="1"/>
  <c r="N9" i="1"/>
  <c r="M9" i="1" s="1"/>
  <c r="N10" i="1"/>
  <c r="M10" i="1" s="1"/>
  <c r="N11" i="1"/>
  <c r="M11" i="1" s="1"/>
  <c r="N12" i="1"/>
  <c r="M12" i="1" s="1"/>
  <c r="N13" i="1"/>
  <c r="M13" i="1" s="1"/>
  <c r="N14" i="1"/>
  <c r="M14" i="1" s="1"/>
  <c r="N15" i="1"/>
  <c r="M15" i="1" s="1"/>
  <c r="N16" i="1"/>
  <c r="M16" i="1" s="1"/>
  <c r="N17" i="1"/>
  <c r="M17" i="1" s="1"/>
  <c r="N18" i="1"/>
  <c r="M18" i="1" s="1"/>
  <c r="N19" i="1"/>
  <c r="M19" i="1" s="1"/>
  <c r="N20" i="1"/>
  <c r="M20" i="1" s="1"/>
  <c r="N21" i="1"/>
  <c r="M21" i="1" s="1"/>
  <c r="N22" i="1"/>
  <c r="M22" i="1" s="1"/>
  <c r="N23" i="1"/>
  <c r="M23" i="1" s="1"/>
  <c r="N24" i="1"/>
  <c r="M24" i="1" s="1"/>
  <c r="N25" i="1"/>
  <c r="M25" i="1" s="1"/>
  <c r="N26" i="1"/>
  <c r="M26" i="1" s="1"/>
  <c r="N27" i="1"/>
  <c r="M27" i="1" s="1"/>
  <c r="N28" i="1"/>
  <c r="M28" i="1" s="1"/>
  <c r="N29" i="1"/>
  <c r="M29" i="1" s="1"/>
  <c r="N30" i="1"/>
  <c r="M30" i="1" s="1"/>
  <c r="N31" i="1"/>
  <c r="M31" i="1" s="1"/>
  <c r="N32" i="1"/>
  <c r="M32" i="1" s="1"/>
  <c r="N33" i="1"/>
  <c r="M33" i="1" s="1"/>
  <c r="N34" i="1"/>
  <c r="M34" i="1" s="1"/>
  <c r="N35" i="1"/>
  <c r="M35" i="1" s="1"/>
  <c r="N36" i="1"/>
  <c r="M36" i="1" s="1"/>
  <c r="N37" i="1"/>
  <c r="M37" i="1" s="1"/>
  <c r="N38" i="1"/>
  <c r="M38" i="1" s="1"/>
  <c r="N39" i="1"/>
  <c r="M39" i="1" s="1"/>
  <c r="N40" i="1"/>
  <c r="M40" i="1" s="1"/>
  <c r="N41" i="1"/>
  <c r="M41" i="1" s="1"/>
  <c r="N42" i="1"/>
  <c r="M42" i="1" s="1"/>
  <c r="N43" i="1"/>
  <c r="M43" i="1" s="1"/>
  <c r="N44" i="1"/>
  <c r="M44" i="1" s="1"/>
  <c r="N45" i="1"/>
  <c r="M45" i="1" s="1"/>
  <c r="N46" i="1"/>
  <c r="M46" i="1" s="1"/>
  <c r="N47" i="1"/>
  <c r="M47" i="1" s="1"/>
  <c r="N48" i="1"/>
  <c r="M48" i="1" s="1"/>
  <c r="N49" i="1"/>
  <c r="M49" i="1" s="1"/>
  <c r="N50" i="1"/>
  <c r="M50" i="1" s="1"/>
  <c r="N51" i="1"/>
  <c r="M51" i="1" s="1"/>
  <c r="M53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N89" i="1"/>
  <c r="M89" i="1" s="1"/>
  <c r="N90" i="1"/>
  <c r="M90" i="1" s="1"/>
  <c r="N91" i="1"/>
  <c r="M91" i="1" s="1"/>
  <c r="N92" i="1"/>
  <c r="M92" i="1" s="1"/>
  <c r="N94" i="1"/>
  <c r="M94" i="1" s="1"/>
  <c r="N95" i="1"/>
  <c r="M95" i="1" s="1"/>
  <c r="N96" i="1"/>
  <c r="M96" i="1" s="1"/>
  <c r="N97" i="1"/>
  <c r="M97" i="1" s="1"/>
  <c r="N98" i="1"/>
  <c r="M98" i="1" s="1"/>
  <c r="N99" i="1"/>
  <c r="M99" i="1" s="1"/>
  <c r="N100" i="1"/>
  <c r="M100" i="1" s="1"/>
  <c r="N101" i="1"/>
  <c r="M101" i="1" s="1"/>
  <c r="N102" i="1"/>
  <c r="M102" i="1" s="1"/>
  <c r="N103" i="1"/>
  <c r="M103" i="1" s="1"/>
  <c r="N104" i="1"/>
  <c r="M104" i="1" s="1"/>
  <c r="N105" i="1"/>
  <c r="M105" i="1" s="1"/>
  <c r="N106" i="1"/>
  <c r="M106" i="1" s="1"/>
  <c r="N107" i="1"/>
  <c r="M107" i="1" s="1"/>
  <c r="N108" i="1"/>
  <c r="M108" i="1" s="1"/>
  <c r="N109" i="1"/>
  <c r="M109" i="1" s="1"/>
  <c r="N110" i="1"/>
  <c r="M110" i="1" s="1"/>
  <c r="N111" i="1"/>
  <c r="M111" i="1" s="1"/>
  <c r="N112" i="1"/>
  <c r="M112" i="1" s="1"/>
  <c r="N113" i="1"/>
  <c r="M113" i="1" s="1"/>
  <c r="N114" i="1"/>
  <c r="M114" i="1" s="1"/>
  <c r="N115" i="1"/>
  <c r="M115" i="1" s="1"/>
  <c r="N116" i="1"/>
  <c r="M116" i="1" s="1"/>
  <c r="N117" i="1"/>
  <c r="M117" i="1" s="1"/>
  <c r="N118" i="1"/>
  <c r="M118" i="1" s="1"/>
  <c r="N119" i="1"/>
  <c r="M119" i="1" s="1"/>
  <c r="N120" i="1"/>
  <c r="M120" i="1" s="1"/>
  <c r="N121" i="1"/>
  <c r="M121" i="1" s="1"/>
  <c r="N122" i="1"/>
  <c r="M122" i="1" s="1"/>
  <c r="N123" i="1"/>
  <c r="M123" i="1" s="1"/>
  <c r="N124" i="1"/>
  <c r="M124" i="1" s="1"/>
  <c r="N125" i="1"/>
  <c r="M125" i="1" s="1"/>
  <c r="N126" i="1"/>
  <c r="M126" i="1" s="1"/>
  <c r="N127" i="1"/>
  <c r="M127" i="1" s="1"/>
  <c r="N129" i="1"/>
  <c r="M129" i="1" s="1"/>
  <c r="N131" i="1"/>
  <c r="M131" i="1" s="1"/>
  <c r="N132" i="1"/>
  <c r="M132" i="1" s="1"/>
  <c r="N133" i="1"/>
  <c r="M133" i="1" s="1"/>
  <c r="N134" i="1"/>
  <c r="M134" i="1" s="1"/>
  <c r="N163" i="1"/>
  <c r="M163" i="1" s="1"/>
  <c r="N164" i="1"/>
  <c r="M164" i="1" s="1"/>
  <c r="N165" i="1"/>
  <c r="M165" i="1" s="1"/>
  <c r="N4" i="1"/>
  <c r="M4" i="1" s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1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1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1" i="3"/>
  <c r="P34" i="2"/>
  <c r="P39" i="2"/>
  <c r="P42" i="2"/>
  <c r="P46" i="2"/>
  <c r="P47" i="2"/>
  <c r="N48" i="2"/>
  <c r="P48" i="2" s="1"/>
  <c r="N34" i="2"/>
  <c r="N35" i="2"/>
  <c r="P35" i="2" s="1"/>
  <c r="N36" i="2"/>
  <c r="P36" i="2" s="1"/>
  <c r="N37" i="2"/>
  <c r="P37" i="2" s="1"/>
  <c r="N38" i="2"/>
  <c r="P38" i="2" s="1"/>
  <c r="N39" i="2"/>
  <c r="N40" i="2"/>
  <c r="P40" i="2" s="1"/>
  <c r="N41" i="2"/>
  <c r="P41" i="2" s="1"/>
  <c r="N42" i="2"/>
  <c r="N43" i="2"/>
  <c r="P43" i="2" s="1"/>
  <c r="N44" i="2"/>
  <c r="P44" i="2" s="1"/>
  <c r="N45" i="2"/>
  <c r="P45" i="2" s="1"/>
  <c r="N46" i="2"/>
  <c r="N47" i="2"/>
  <c r="N33" i="2"/>
  <c r="P33" i="2" s="1"/>
  <c r="F39" i="2"/>
  <c r="F48" i="2"/>
  <c r="E34" i="2"/>
  <c r="F34" i="2" s="1"/>
  <c r="E35" i="2"/>
  <c r="F35" i="2" s="1"/>
  <c r="E36" i="2"/>
  <c r="F36" i="2" s="1"/>
  <c r="E37" i="2"/>
  <c r="F37" i="2" s="1"/>
  <c r="E38" i="2"/>
  <c r="F38" i="2" s="1"/>
  <c r="E39" i="2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E49" i="2"/>
  <c r="F49" i="2" s="1"/>
  <c r="E50" i="2"/>
  <c r="F50" i="2" s="1"/>
  <c r="E33" i="2"/>
  <c r="F33" i="2" s="1"/>
  <c r="B24" i="3" l="1"/>
  <c r="C24" i="3" s="1"/>
  <c r="B16" i="3"/>
  <c r="C16" i="3" s="1"/>
  <c r="B32" i="3"/>
  <c r="C32" i="3" s="1"/>
  <c r="B8" i="3"/>
  <c r="C8" i="3" s="1"/>
  <c r="B27" i="3"/>
  <c r="C27" i="3" s="1"/>
  <c r="B17" i="3"/>
  <c r="C17" i="3" s="1"/>
  <c r="B34" i="3"/>
  <c r="C34" i="3" s="1"/>
  <c r="B26" i="3"/>
  <c r="C26" i="3" s="1"/>
  <c r="B18" i="3"/>
  <c r="C18" i="3" s="1"/>
  <c r="B23" i="3"/>
  <c r="C23" i="3" s="1"/>
  <c r="B36" i="3"/>
  <c r="C36" i="3" s="1"/>
  <c r="B33" i="3"/>
  <c r="C33" i="3" s="1"/>
  <c r="B31" i="3"/>
  <c r="C31" i="3" s="1"/>
  <c r="B15" i="3"/>
  <c r="C15" i="3" s="1"/>
  <c r="B25" i="3"/>
  <c r="C25" i="3" s="1"/>
  <c r="B9" i="3"/>
  <c r="C9" i="3" s="1"/>
  <c r="B7" i="3"/>
  <c r="C7" i="3" s="1"/>
  <c r="B6" i="3"/>
  <c r="C6" i="3" s="1"/>
  <c r="B37" i="3"/>
  <c r="C37" i="3" s="1"/>
  <c r="B13" i="3"/>
  <c r="C13" i="3" s="1"/>
  <c r="B28" i="3"/>
  <c r="C28" i="3" s="1"/>
  <c r="B4" i="3"/>
  <c r="C4" i="3" s="1"/>
  <c r="B11" i="3"/>
  <c r="C11" i="3" s="1"/>
  <c r="B30" i="3"/>
  <c r="C30" i="3" s="1"/>
  <c r="B14" i="3"/>
  <c r="C14" i="3" s="1"/>
  <c r="B29" i="3"/>
  <c r="C29" i="3" s="1"/>
  <c r="B5" i="3"/>
  <c r="C5" i="3" s="1"/>
  <c r="B20" i="3"/>
  <c r="C20" i="3" s="1"/>
  <c r="B3" i="3"/>
  <c r="C3" i="3" s="1"/>
  <c r="B2" i="3"/>
  <c r="C2" i="3" s="1"/>
  <c r="B22" i="3"/>
  <c r="C22" i="3" s="1"/>
  <c r="B21" i="3"/>
  <c r="C21" i="3" s="1"/>
  <c r="B12" i="3"/>
  <c r="C12" i="3" s="1"/>
  <c r="B19" i="3"/>
  <c r="C19" i="3" s="1"/>
  <c r="B35" i="3"/>
  <c r="C35" i="3" s="1"/>
  <c r="B10" i="3"/>
  <c r="C10" i="3" s="1"/>
  <c r="B1" i="3"/>
  <c r="C1" i="3" s="1"/>
</calcChain>
</file>

<file path=xl/comments1.xml><?xml version="1.0" encoding="utf-8"?>
<comments xmlns="http://schemas.openxmlformats.org/spreadsheetml/2006/main">
  <authors>
    <author>Administrator</author>
  </authors>
  <commentLis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种子</t>
        </r>
        <r>
          <rPr>
            <b/>
            <sz val="9"/>
            <color indexed="81"/>
            <rFont val="Tahoma"/>
            <family val="2"/>
          </rPr>
          <t>=0,</t>
        </r>
        <r>
          <rPr>
            <b/>
            <sz val="9"/>
            <color indexed="81"/>
            <rFont val="宋体"/>
            <family val="3"/>
            <charset val="134"/>
          </rPr>
          <t>武器</t>
        </r>
        <r>
          <rPr>
            <b/>
            <sz val="9"/>
            <color indexed="81"/>
            <rFont val="Tahoma"/>
            <family val="2"/>
          </rPr>
          <t>=1,</t>
        </r>
        <r>
          <rPr>
            <b/>
            <sz val="9"/>
            <color indexed="81"/>
            <rFont val="宋体"/>
            <family val="3"/>
            <charset val="134"/>
          </rPr>
          <t>防具</t>
        </r>
        <r>
          <rPr>
            <b/>
            <sz val="9"/>
            <color indexed="81"/>
            <rFont val="Tahoma"/>
            <family val="2"/>
          </rPr>
          <t>=2,</t>
        </r>
        <r>
          <rPr>
            <b/>
            <sz val="9"/>
            <color indexed="81"/>
            <rFont val="宋体"/>
            <family val="3"/>
            <charset val="134"/>
          </rPr>
          <t>消耗物品</t>
        </r>
        <r>
          <rPr>
            <b/>
            <sz val="9"/>
            <color indexed="81"/>
            <rFont val="Tahoma"/>
            <family val="2"/>
          </rPr>
          <t xml:space="preserve">=3, </t>
        </r>
        <r>
          <rPr>
            <b/>
            <sz val="9"/>
            <color indexed="81"/>
            <rFont val="宋体"/>
            <family val="3"/>
            <charset val="134"/>
          </rPr>
          <t>其他物品</t>
        </r>
        <r>
          <rPr>
            <b/>
            <sz val="9"/>
            <color indexed="81"/>
            <rFont val="Tahoma"/>
            <family val="2"/>
          </rPr>
          <t xml:space="preserve">=4, </t>
        </r>
        <r>
          <rPr>
            <b/>
            <sz val="9"/>
            <color indexed="81"/>
            <rFont val="宋体"/>
            <family val="3"/>
            <charset val="134"/>
          </rPr>
          <t>食材</t>
        </r>
        <r>
          <rPr>
            <b/>
            <sz val="9"/>
            <color indexed="81"/>
            <rFont val="Tahoma"/>
            <family val="2"/>
          </rPr>
          <t xml:space="preserve">=5,  </t>
        </r>
        <r>
          <rPr>
            <b/>
            <sz val="9"/>
            <color indexed="81"/>
            <rFont val="宋体"/>
            <family val="3"/>
            <charset val="134"/>
          </rPr>
          <t>收集物</t>
        </r>
        <r>
          <rPr>
            <b/>
            <sz val="9"/>
            <color indexed="81"/>
            <rFont val="Tahoma"/>
            <family val="2"/>
          </rPr>
          <t xml:space="preserve">=6,   </t>
        </r>
        <r>
          <rPr>
            <b/>
            <sz val="9"/>
            <color indexed="81"/>
            <rFont val="宋体"/>
            <family val="3"/>
            <charset val="134"/>
          </rPr>
          <t>植物</t>
        </r>
        <r>
          <rPr>
            <b/>
            <sz val="9"/>
            <color indexed="81"/>
            <rFont val="Tahoma"/>
            <family val="2"/>
          </rPr>
          <t xml:space="preserve">=7,    </t>
        </r>
        <r>
          <rPr>
            <b/>
            <sz val="9"/>
            <color indexed="81"/>
            <rFont val="宋体"/>
            <family val="3"/>
            <charset val="134"/>
          </rPr>
          <t>食物</t>
        </r>
        <r>
          <rPr>
            <b/>
            <sz val="9"/>
            <color indexed="81"/>
            <rFont val="Tahoma"/>
            <family val="2"/>
          </rPr>
          <t xml:space="preserve">=8, 
    </t>
        </r>
        <r>
          <rPr>
            <b/>
            <sz val="9"/>
            <color indexed="81"/>
            <rFont val="宋体"/>
            <family val="3"/>
            <charset val="134"/>
          </rPr>
          <t>鲜花</t>
        </r>
        <r>
          <rPr>
            <b/>
            <sz val="9"/>
            <color indexed="81"/>
            <rFont val="Tahoma"/>
            <family val="2"/>
          </rPr>
          <t>=9,</t>
        </r>
        <r>
          <rPr>
            <b/>
            <sz val="9"/>
            <color indexed="81"/>
            <rFont val="宋体"/>
            <family val="3"/>
            <charset val="134"/>
          </rPr>
          <t>附魔</t>
        </r>
        <r>
          <rPr>
            <b/>
            <sz val="9"/>
            <color indexed="81"/>
            <rFont val="Tahoma"/>
            <family val="2"/>
          </rPr>
          <t>=10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 xml:space="preserve"> AT = 1,
    DF = 2,
    MaxHp = 3,
    Hp = 4,
    Exp = 5,
    Power = 6,
    MaxPower = 7,</t>
        </r>
      </text>
    </comment>
  </commentList>
</comments>
</file>

<file path=xl/sharedStrings.xml><?xml version="1.0" encoding="utf-8"?>
<sst xmlns="http://schemas.openxmlformats.org/spreadsheetml/2006/main" count="2032" uniqueCount="1016">
  <si>
    <t>Name</t>
    <phoneticPr fontId="1" type="noConversion"/>
  </si>
  <si>
    <t>Id</t>
    <phoneticPr fontId="1" type="noConversion"/>
  </si>
  <si>
    <t>Icon</t>
    <phoneticPr fontId="1" type="noConversion"/>
  </si>
  <si>
    <t>Type</t>
    <phoneticPr fontId="1" type="noConversion"/>
  </si>
  <si>
    <t>Text2</t>
    <phoneticPr fontId="1" type="noConversion"/>
  </si>
  <si>
    <t>SellPrice</t>
    <phoneticPr fontId="1" type="noConversion"/>
  </si>
  <si>
    <t>int</t>
    <phoneticPr fontId="1" type="noConversion"/>
  </si>
  <si>
    <t>PropertyValue</t>
    <phoneticPr fontId="1" type="noConversion"/>
  </si>
  <si>
    <t>string</t>
    <phoneticPr fontId="1" type="noConversion"/>
  </si>
  <si>
    <t>ShopPrice</t>
    <phoneticPr fontId="1" type="noConversion"/>
  </si>
  <si>
    <t>equipLevel</t>
    <phoneticPr fontId="1" type="noConversion"/>
  </si>
  <si>
    <t>groupNum</t>
    <phoneticPr fontId="1" type="noConversion"/>
  </si>
  <si>
    <t>南瓜</t>
  </si>
  <si>
    <t>玉米</t>
  </si>
  <si>
    <t>番茄</t>
  </si>
  <si>
    <t>马铃薯</t>
  </si>
  <si>
    <t>胡萝卜</t>
  </si>
  <si>
    <t>芜菁</t>
  </si>
  <si>
    <t>大葱</t>
  </si>
  <si>
    <t>葡萄</t>
  </si>
  <si>
    <t>大蒜</t>
  </si>
  <si>
    <t>牧草</t>
  </si>
  <si>
    <t>长剑</t>
  </si>
  <si>
    <t>诅咒之剑</t>
  </si>
  <si>
    <t>冰之刃</t>
  </si>
  <si>
    <t>大地之剑</t>
  </si>
  <si>
    <t>铁枪</t>
  </si>
  <si>
    <t>骑士长枪</t>
  </si>
  <si>
    <t>三叉戟</t>
  </si>
  <si>
    <t>战斧</t>
  </si>
  <si>
    <t>毒蜥之牙</t>
  </si>
  <si>
    <t>恶魔之斧</t>
  </si>
  <si>
    <t>蛇皮鞭</t>
  </si>
  <si>
    <t>藤鞭</t>
  </si>
  <si>
    <t>暴雪斧</t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</si>
  <si>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</si>
  <si>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</si>
  <si>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</si>
  <si>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</si>
  <si>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</si>
  <si>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华丽背心</t>
    <phoneticPr fontId="1" type="noConversion"/>
  </si>
  <si>
    <t>鳞铠</t>
    <phoneticPr fontId="1" type="noConversion"/>
  </si>
  <si>
    <t>暗之袍</t>
    <phoneticPr fontId="1" type="noConversion"/>
  </si>
  <si>
    <t>疾风背心</t>
  </si>
  <si>
    <t>魔法铠甲</t>
  </si>
  <si>
    <t>丝织长袍</t>
  </si>
  <si>
    <t>兔女郎装</t>
  </si>
  <si>
    <t>水之羽衣</t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</si>
  <si>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</si>
  <si>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</si>
  <si>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</si>
  <si>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</si>
  <si>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t>腌芜菁</t>
  </si>
  <si>
    <t>竹笋饭</t>
  </si>
  <si>
    <t>腌黄瓜</t>
  </si>
  <si>
    <t>鲑鱼饭团</t>
  </si>
  <si>
    <t>奶酪</t>
  </si>
  <si>
    <t>三明治</t>
  </si>
  <si>
    <t>沙拉</t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</si>
  <si>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</si>
  <si>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</si>
  <si>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</si>
  <si>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</si>
  <si>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</si>
  <si>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</si>
  <si>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</si>
  <si>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</si>
  <si>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炸肉饼</t>
  </si>
  <si>
    <t>爆玉米花</t>
  </si>
  <si>
    <t>河蚌汤</t>
    <phoneticPr fontId="1" type="noConversion"/>
  </si>
  <si>
    <t>肉丸子</t>
    <phoneticPr fontId="1" type="noConversion"/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</si>
  <si>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</si>
  <si>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</si>
  <si>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</si>
  <si>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</si>
  <si>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绯红之吻</t>
    <phoneticPr fontId="1" type="noConversion"/>
  </si>
  <si>
    <t>酸奶</t>
    <phoneticPr fontId="1" type="noConversion"/>
  </si>
  <si>
    <t>竹笋</t>
    <phoneticPr fontId="1" type="noConversion"/>
  </si>
  <si>
    <t>鸡蛋</t>
    <phoneticPr fontId="1" type="noConversion"/>
  </si>
  <si>
    <t>雪球</t>
    <phoneticPr fontId="1" type="noConversion"/>
  </si>
  <si>
    <t>风元素结晶</t>
    <phoneticPr fontId="1" type="noConversion"/>
  </si>
  <si>
    <t>眼球</t>
    <phoneticPr fontId="1" type="noConversion"/>
  </si>
  <si>
    <t>布片</t>
    <phoneticPr fontId="1" type="noConversion"/>
  </si>
  <si>
    <t>蛇皮</t>
    <phoneticPr fontId="1" type="noConversion"/>
  </si>
  <si>
    <t>鱼胶</t>
    <phoneticPr fontId="1" type="noConversion"/>
  </si>
  <si>
    <t>水晶球</t>
    <phoneticPr fontId="1" type="noConversion"/>
  </si>
  <si>
    <t>幽魂</t>
    <phoneticPr fontId="1" type="noConversion"/>
  </si>
  <si>
    <t>魔族之血</t>
    <phoneticPr fontId="1" type="noConversion"/>
  </si>
  <si>
    <t>石化之眼</t>
    <phoneticPr fontId="1" type="noConversion"/>
  </si>
  <si>
    <t>银块</t>
    <phoneticPr fontId="1" type="noConversion"/>
  </si>
  <si>
    <t>羊毛</t>
    <phoneticPr fontId="1" type="noConversion"/>
  </si>
  <si>
    <t>马尾</t>
    <phoneticPr fontId="1" type="noConversion"/>
  </si>
  <si>
    <t>卷心菜种子</t>
  </si>
  <si>
    <t>南瓜种子</t>
  </si>
  <si>
    <t>黄瓜种子</t>
  </si>
  <si>
    <t>玉米种子</t>
  </si>
  <si>
    <t>番茄种子</t>
  </si>
  <si>
    <t>茄子种子</t>
  </si>
  <si>
    <t>马铃薯种子</t>
  </si>
  <si>
    <t>胡萝卜种子</t>
  </si>
  <si>
    <t>芜菁种子</t>
  </si>
  <si>
    <t>萝卜种子</t>
  </si>
  <si>
    <t>大葱种子</t>
  </si>
  <si>
    <t>甘蓝种子</t>
  </si>
  <si>
    <t>葡萄种子</t>
  </si>
  <si>
    <t>蓝莓种子</t>
  </si>
  <si>
    <t>辣椒种子</t>
  </si>
  <si>
    <t>大蒜种子</t>
  </si>
  <si>
    <t>草莓种子</t>
  </si>
  <si>
    <t>牧草种子</t>
  </si>
  <si>
    <t>鸡</t>
    <phoneticPr fontId="1" type="noConversion"/>
  </si>
  <si>
    <t>兔</t>
    <phoneticPr fontId="1" type="noConversion"/>
  </si>
  <si>
    <t>猪</t>
    <phoneticPr fontId="1" type="noConversion"/>
  </si>
  <si>
    <t>牛</t>
    <phoneticPr fontId="1" type="noConversion"/>
  </si>
  <si>
    <t>羊</t>
    <phoneticPr fontId="1" type="noConversion"/>
  </si>
  <si>
    <t>狗</t>
    <phoneticPr fontId="1" type="noConversion"/>
  </si>
  <si>
    <t>马</t>
    <phoneticPr fontId="1" type="noConversion"/>
  </si>
  <si>
    <t>松鼠</t>
    <phoneticPr fontId="1" type="noConversion"/>
  </si>
  <si>
    <t>蘑菇怪</t>
    <phoneticPr fontId="1" type="noConversion"/>
  </si>
  <si>
    <t>Animal_01</t>
  </si>
  <si>
    <t>Animal_02</t>
  </si>
  <si>
    <t>Animal_03</t>
    <phoneticPr fontId="1" type="noConversion"/>
  </si>
  <si>
    <t>Animal_04</t>
    <phoneticPr fontId="1" type="noConversion"/>
  </si>
  <si>
    <t>Animal_05</t>
    <phoneticPr fontId="1" type="noConversion"/>
  </si>
  <si>
    <t>Animal_06</t>
    <phoneticPr fontId="1" type="noConversion"/>
  </si>
  <si>
    <t>Animal_07</t>
    <phoneticPr fontId="1" type="noConversion"/>
  </si>
  <si>
    <t>Animal_08</t>
    <phoneticPr fontId="1" type="noConversion"/>
  </si>
  <si>
    <t>Animal_09</t>
    <phoneticPr fontId="1" type="noConversion"/>
  </si>
  <si>
    <t>s17</t>
    <phoneticPr fontId="1" type="noConversion"/>
  </si>
  <si>
    <t>s16</t>
  </si>
  <si>
    <t>s15</t>
  </si>
  <si>
    <t>s14</t>
  </si>
  <si>
    <t>s13</t>
  </si>
  <si>
    <t>s10</t>
  </si>
  <si>
    <t>s11</t>
  </si>
  <si>
    <t>s12</t>
  </si>
  <si>
    <t>s5</t>
  </si>
  <si>
    <t>s6</t>
  </si>
  <si>
    <t>s7</t>
  </si>
  <si>
    <t>s8</t>
  </si>
  <si>
    <t>s9</t>
  </si>
  <si>
    <t>s0</t>
  </si>
  <si>
    <t>s1</t>
  </si>
  <si>
    <t>s2</t>
  </si>
  <si>
    <t>s3</t>
  </si>
  <si>
    <t>s4</t>
  </si>
  <si>
    <t>p0</t>
    <phoneticPr fontId="1" type="noConversion"/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</si>
  <si>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</si>
  <si>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</si>
  <si>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</si>
  <si>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</si>
  <si>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</si>
  <si>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</si>
  <si>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</si>
  <si>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</si>
  <si>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</si>
  <si>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</si>
  <si>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</si>
  <si>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</si>
  <si>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</si>
  <si>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</si>
  <si>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</si>
  <si>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</si>
  <si>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</si>
  <si>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w3</t>
    <phoneticPr fontId="1" type="noConversion"/>
  </si>
  <si>
    <t>w4</t>
    <phoneticPr fontId="1" type="noConversion"/>
  </si>
  <si>
    <t>w5</t>
    <phoneticPr fontId="1" type="noConversion"/>
  </si>
  <si>
    <t>w6</t>
    <phoneticPr fontId="1" type="noConversion"/>
  </si>
  <si>
    <t>w1</t>
    <phoneticPr fontId="1" type="noConversion"/>
  </si>
  <si>
    <t>w2</t>
    <phoneticPr fontId="1" type="noConversion"/>
  </si>
  <si>
    <t>w7</t>
    <phoneticPr fontId="1" type="noConversion"/>
  </si>
  <si>
    <t>w12</t>
    <phoneticPr fontId="1" type="noConversion"/>
  </si>
  <si>
    <t>w13</t>
  </si>
  <si>
    <t>w14</t>
  </si>
  <si>
    <t>w15</t>
  </si>
  <si>
    <t>w16</t>
  </si>
  <si>
    <t>w17</t>
  </si>
  <si>
    <t>w18</t>
  </si>
  <si>
    <t>w19</t>
  </si>
  <si>
    <t>e0</t>
    <phoneticPr fontId="1" type="noConversion"/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</si>
  <si>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</si>
  <si>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</si>
  <si>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</si>
  <si>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</si>
  <si>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</si>
  <si>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</si>
  <si>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</si>
  <si>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</si>
  <si>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</si>
  <si>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e11</t>
    <phoneticPr fontId="1" type="noConversion"/>
  </si>
  <si>
    <t>e12</t>
    <phoneticPr fontId="1" type="noConversion"/>
  </si>
  <si>
    <t>e13</t>
    <phoneticPr fontId="1" type="noConversion"/>
  </si>
  <si>
    <t>e14</t>
  </si>
  <si>
    <t>e16</t>
  </si>
  <si>
    <t>c1</t>
    <phoneticPr fontId="1" type="noConversion"/>
  </si>
  <si>
    <t>c9</t>
    <phoneticPr fontId="1" type="noConversion"/>
  </si>
  <si>
    <t>c8</t>
    <phoneticPr fontId="1" type="noConversion"/>
  </si>
  <si>
    <t>c4</t>
    <phoneticPr fontId="1" type="noConversion"/>
  </si>
  <si>
    <t>c3</t>
    <phoneticPr fontId="1" type="noConversion"/>
  </si>
  <si>
    <t>c2</t>
    <phoneticPr fontId="1" type="noConversion"/>
  </si>
  <si>
    <t>c5</t>
    <phoneticPr fontId="1" type="noConversion"/>
  </si>
  <si>
    <t>c6</t>
    <phoneticPr fontId="1" type="noConversion"/>
  </si>
  <si>
    <t>c7</t>
    <phoneticPr fontId="1" type="noConversion"/>
  </si>
  <si>
    <t>c10</t>
    <phoneticPr fontId="1" type="noConversion"/>
  </si>
  <si>
    <t>c11</t>
    <phoneticPr fontId="1" type="noConversion"/>
  </si>
  <si>
    <t>c12</t>
    <phoneticPr fontId="1" type="noConversion"/>
  </si>
  <si>
    <t>c13</t>
  </si>
  <si>
    <t>c14</t>
  </si>
  <si>
    <t>c15</t>
  </si>
  <si>
    <t>c24</t>
    <phoneticPr fontId="1" type="noConversion"/>
  </si>
  <si>
    <t>鱼子酱</t>
    <phoneticPr fontId="1" type="noConversion"/>
  </si>
  <si>
    <t>c23</t>
    <phoneticPr fontId="1" type="noConversion"/>
  </si>
  <si>
    <t>c19</t>
    <phoneticPr fontId="1" type="noConversion"/>
  </si>
  <si>
    <t>c21</t>
    <phoneticPr fontId="1" type="noConversion"/>
  </si>
  <si>
    <t>c17</t>
    <phoneticPr fontId="1" type="noConversion"/>
  </si>
  <si>
    <t>烤蟹肉</t>
  </si>
  <si>
    <t>c16</t>
    <phoneticPr fontId="1" type="noConversion"/>
  </si>
  <si>
    <t>烤土豆</t>
    <phoneticPr fontId="1" type="noConversion"/>
  </si>
  <si>
    <t>c25</t>
    <phoneticPr fontId="1" type="noConversion"/>
  </si>
  <si>
    <t>c20</t>
    <phoneticPr fontId="1" type="noConversion"/>
  </si>
  <si>
    <t>c26</t>
    <phoneticPr fontId="1" type="noConversion"/>
  </si>
  <si>
    <t>c22</t>
    <phoneticPr fontId="1" type="noConversion"/>
  </si>
  <si>
    <t>c27</t>
    <phoneticPr fontId="1" type="noConversion"/>
  </si>
  <si>
    <t>b3</t>
    <phoneticPr fontId="1" type="noConversion"/>
  </si>
  <si>
    <t>b1</t>
    <phoneticPr fontId="1" type="noConversion"/>
  </si>
  <si>
    <t>b2</t>
    <phoneticPr fontId="1" type="noConversion"/>
  </si>
  <si>
    <t>b5</t>
    <phoneticPr fontId="1" type="noConversion"/>
  </si>
  <si>
    <t>b6</t>
    <phoneticPr fontId="1" type="noConversion"/>
  </si>
  <si>
    <t>b0</t>
    <phoneticPr fontId="1" type="noConversion"/>
  </si>
  <si>
    <t>b4</t>
    <phoneticPr fontId="1" type="noConversion"/>
  </si>
  <si>
    <t>g2</t>
    <phoneticPr fontId="1" type="noConversion"/>
  </si>
  <si>
    <t>g9</t>
  </si>
  <si>
    <t>g10</t>
  </si>
  <si>
    <t>g11</t>
    <phoneticPr fontId="1" type="noConversion"/>
  </si>
  <si>
    <t>g21</t>
    <phoneticPr fontId="1" type="noConversion"/>
  </si>
  <si>
    <t>m9</t>
    <phoneticPr fontId="1" type="noConversion"/>
  </si>
  <si>
    <t>g16</t>
    <phoneticPr fontId="1" type="noConversion"/>
  </si>
  <si>
    <t>g17</t>
    <phoneticPr fontId="1" type="noConversion"/>
  </si>
  <si>
    <t>g19</t>
    <phoneticPr fontId="1" type="noConversion"/>
  </si>
  <si>
    <t>m2</t>
  </si>
  <si>
    <t>m3</t>
  </si>
  <si>
    <t>m5</t>
  </si>
  <si>
    <t>m6</t>
  </si>
  <si>
    <t>m8</t>
    <phoneticPr fontId="1" type="noConversion"/>
  </si>
  <si>
    <t>m10</t>
    <phoneticPr fontId="1" type="noConversion"/>
  </si>
  <si>
    <t>m12</t>
  </si>
  <si>
    <t>m15</t>
  </si>
  <si>
    <t>m16</t>
  </si>
  <si>
    <t>m17</t>
  </si>
  <si>
    <t>m18</t>
  </si>
  <si>
    <t>m19</t>
  </si>
  <si>
    <t>m20</t>
  </si>
  <si>
    <t>m23</t>
  </si>
  <si>
    <t>m26</t>
  </si>
  <si>
    <t>m27</t>
  </si>
  <si>
    <t>m28</t>
  </si>
  <si>
    <t>m52</t>
    <phoneticPr fontId="1" type="noConversion"/>
  </si>
  <si>
    <t>m35</t>
    <phoneticPr fontId="1" type="noConversion"/>
  </si>
  <si>
    <t>m41</t>
  </si>
  <si>
    <t>m42</t>
  </si>
  <si>
    <t>m43</t>
  </si>
  <si>
    <t>m44</t>
  </si>
  <si>
    <t>m45</t>
  </si>
  <si>
    <t>m46</t>
  </si>
  <si>
    <t>m47</t>
  </si>
  <si>
    <t>m49</t>
  </si>
  <si>
    <t>m51</t>
  </si>
  <si>
    <t>g22</t>
    <phoneticPr fontId="1" type="noConversion"/>
  </si>
  <si>
    <t>g23</t>
  </si>
  <si>
    <t>g24</t>
  </si>
  <si>
    <t>g25</t>
  </si>
  <si>
    <t>g26</t>
  </si>
  <si>
    <t>小麦粉</t>
    <phoneticPr fontId="1" type="noConversion"/>
  </si>
  <si>
    <t>盐</t>
    <phoneticPr fontId="1" type="noConversion"/>
  </si>
  <si>
    <t>发酵粉</t>
    <phoneticPr fontId="1" type="noConversion"/>
  </si>
  <si>
    <t>g31</t>
    <phoneticPr fontId="1" type="noConversion"/>
  </si>
  <si>
    <t>g27</t>
    <phoneticPr fontId="1" type="noConversion"/>
  </si>
  <si>
    <t>g28</t>
  </si>
  <si>
    <t>g29</t>
  </si>
  <si>
    <t>g30</t>
  </si>
  <si>
    <t>w3 (2)</t>
  </si>
  <si>
    <t>w4 (2)</t>
  </si>
  <si>
    <t>w5 (2)</t>
  </si>
  <si>
    <t>w6 (2)</t>
  </si>
  <si>
    <t>w1 (2)</t>
  </si>
  <si>
    <t>w2 (2)</t>
  </si>
  <si>
    <t>w7 (2)</t>
  </si>
  <si>
    <t>w12 (2)</t>
  </si>
  <si>
    <t>w13 (2)</t>
  </si>
  <si>
    <t>w14 (2)</t>
  </si>
  <si>
    <t>w15 (2)</t>
  </si>
  <si>
    <t>w16 (2)</t>
  </si>
  <si>
    <t>w17 (2)</t>
  </si>
  <si>
    <t>w18 (2)</t>
  </si>
  <si>
    <t>w19 (2)</t>
  </si>
  <si>
    <t>e0 (2)</t>
  </si>
  <si>
    <t>e1 (2)</t>
  </si>
  <si>
    <t>e2 (2)</t>
  </si>
  <si>
    <t>e3 (2)</t>
  </si>
  <si>
    <t>e4 (2)</t>
  </si>
  <si>
    <t>e5 (2)</t>
  </si>
  <si>
    <t>e6 (2)</t>
  </si>
  <si>
    <t>e7 (2)</t>
  </si>
  <si>
    <t>e8 (2)</t>
  </si>
  <si>
    <t>e9 (2)</t>
  </si>
  <si>
    <t>e11 (2)</t>
  </si>
  <si>
    <t>e12 (2)</t>
  </si>
  <si>
    <t>e13 (2)</t>
  </si>
  <si>
    <t>e14 (2)</t>
  </si>
  <si>
    <t>e16 (2)</t>
  </si>
  <si>
    <t>c1 (2)</t>
  </si>
  <si>
    <t>c9 (2)</t>
  </si>
  <si>
    <t>c8 (2)</t>
  </si>
  <si>
    <t>c4 (2)</t>
  </si>
  <si>
    <t>c3 (2)</t>
  </si>
  <si>
    <t>c2 (2)</t>
  </si>
  <si>
    <t>c5 (2)</t>
  </si>
  <si>
    <t>c6 (2)</t>
  </si>
  <si>
    <t>c7 (2)</t>
  </si>
  <si>
    <t>c10 (2)</t>
  </si>
  <si>
    <t>c11 (2)</t>
  </si>
  <si>
    <t>c12 (2)</t>
  </si>
  <si>
    <t>c13 (2)</t>
  </si>
  <si>
    <t>c14 (2)</t>
  </si>
  <si>
    <t>c15 (2)</t>
  </si>
  <si>
    <t>c24 (2)</t>
  </si>
  <si>
    <t>c23 (2)</t>
  </si>
  <si>
    <t>c19 (2)</t>
  </si>
  <si>
    <t>c22 (2)</t>
  </si>
  <si>
    <t>c17 (2)</t>
  </si>
  <si>
    <t>c16 (2)</t>
  </si>
  <si>
    <t>c25 (2)</t>
  </si>
  <si>
    <t>c20 (2)</t>
  </si>
  <si>
    <t>c26 (2)</t>
  </si>
  <si>
    <t>c21 (2)</t>
  </si>
  <si>
    <t>c27 (2)</t>
  </si>
  <si>
    <t>b3 (2)</t>
  </si>
  <si>
    <t>b1 (2)</t>
  </si>
  <si>
    <t>b2 (2)</t>
  </si>
  <si>
    <t>b5 (2)</t>
  </si>
  <si>
    <t>b6 (2)</t>
  </si>
  <si>
    <t>b0 (2)</t>
  </si>
  <si>
    <t>b4 (2)</t>
  </si>
  <si>
    <t>武器配方</t>
    <phoneticPr fontId="1" type="noConversion"/>
  </si>
  <si>
    <t>防具配方</t>
    <phoneticPr fontId="1" type="noConversion"/>
  </si>
  <si>
    <t>酿造配方</t>
    <phoneticPr fontId="1" type="noConversion"/>
  </si>
  <si>
    <t>冷食配方</t>
    <phoneticPr fontId="1" type="noConversion"/>
  </si>
  <si>
    <t>失败的料理</t>
    <phoneticPr fontId="1" type="noConversion"/>
  </si>
  <si>
    <t>失败的酒水</t>
    <phoneticPr fontId="1" type="noConversion"/>
  </si>
  <si>
    <t>失败的造物</t>
    <phoneticPr fontId="1" type="noConversion"/>
  </si>
  <si>
    <t>d2</t>
    <phoneticPr fontId="1" type="noConversion"/>
  </si>
  <si>
    <t>d1</t>
    <phoneticPr fontId="1" type="noConversion"/>
  </si>
  <si>
    <t>d0</t>
    <phoneticPr fontId="1" type="noConversion"/>
  </si>
  <si>
    <t>x</t>
    <phoneticPr fontId="1" type="noConversion"/>
  </si>
  <si>
    <t>卷心菜</t>
    <phoneticPr fontId="1" type="noConversion"/>
  </si>
  <si>
    <t>各地普遍培植的常见叶菜。</t>
    <phoneticPr fontId="1" type="noConversion"/>
  </si>
  <si>
    <t>能结出巨大果实的蔬菜</t>
    <phoneticPr fontId="1" type="noConversion"/>
  </si>
  <si>
    <t>生吃和料理都是非常美味哦。</t>
    <phoneticPr fontId="1" type="noConversion"/>
  </si>
  <si>
    <t>富含糖分的粮食作物。</t>
    <phoneticPr fontId="1" type="noConversion"/>
  </si>
  <si>
    <t>能够结出可爱的红色果实。</t>
    <phoneticPr fontId="1" type="noConversion"/>
  </si>
  <si>
    <t>富含能量的根茎作物。</t>
    <phoneticPr fontId="1" type="noConversion"/>
  </si>
  <si>
    <t>可以制作成各种料理的万能蔬菜。</t>
    <phoneticPr fontId="1" type="noConversion"/>
  </si>
  <si>
    <t>营养丰富的根。</t>
    <phoneticPr fontId="1" type="noConversion"/>
  </si>
  <si>
    <t>适合制作腌菜的作物。</t>
    <phoneticPr fontId="1" type="noConversion"/>
  </si>
  <si>
    <t>萝卜</t>
    <phoneticPr fontId="1" type="noConversion"/>
  </si>
  <si>
    <t>辛辣与甘甜完美结合的蔬菜。</t>
    <phoneticPr fontId="1" type="noConversion"/>
  </si>
  <si>
    <t>万能的调味剂。</t>
    <phoneticPr fontId="1" type="noConversion"/>
  </si>
  <si>
    <t>紫甘蓝</t>
    <phoneticPr fontId="1" type="noConversion"/>
  </si>
  <si>
    <t>好看又好吃的蔬菜。</t>
    <phoneticPr fontId="1" type="noConversion"/>
  </si>
  <si>
    <t>夏季代表性水果。</t>
    <phoneticPr fontId="1" type="noConversion"/>
  </si>
  <si>
    <t>蓝莓</t>
    <phoneticPr fontId="1" type="noConversion"/>
  </si>
  <si>
    <t>美味的灌木小浆果</t>
    <phoneticPr fontId="1" type="noConversion"/>
  </si>
  <si>
    <t>辣椒</t>
    <phoneticPr fontId="1" type="noConversion"/>
  </si>
  <si>
    <t>重要的料理佐料。</t>
    <phoneticPr fontId="1" type="noConversion"/>
  </si>
  <si>
    <t>常见的调味佐料。</t>
    <phoneticPr fontId="1" type="noConversion"/>
  </si>
  <si>
    <t>高营养价值的浆果</t>
    <phoneticPr fontId="1" type="noConversion"/>
  </si>
  <si>
    <t>供给牲畜的食物。</t>
    <phoneticPr fontId="1" type="noConversion"/>
  </si>
  <si>
    <t>最普通的武器。</t>
    <phoneticPr fontId="1" type="noConversion"/>
  </si>
  <si>
    <t>受到诅咒的强大武器。</t>
    <phoneticPr fontId="1" type="noConversion"/>
  </si>
  <si>
    <t>拥有冰之力的单手剑。</t>
    <phoneticPr fontId="1" type="noConversion"/>
  </si>
  <si>
    <t>拥有大地之力的单手剑。</t>
    <phoneticPr fontId="1" type="noConversion"/>
  </si>
  <si>
    <t>军队制式武器。</t>
    <phoneticPr fontId="1" type="noConversion"/>
  </si>
  <si>
    <t>骑士常用的武器。</t>
    <phoneticPr fontId="1" type="noConversion"/>
  </si>
  <si>
    <t>三叉之枪，冲击力强大。</t>
    <phoneticPr fontId="1" type="noConversion"/>
  </si>
  <si>
    <t>技巧简单但威力强大的武器。</t>
    <phoneticPr fontId="1" type="noConversion"/>
  </si>
  <si>
    <t>可以轻松撕裂坚固的铠甲。</t>
    <phoneticPr fontId="1" type="noConversion"/>
  </si>
  <si>
    <t>连恶魔都畏惧的武器。</t>
    <phoneticPr fontId="1" type="noConversion"/>
  </si>
  <si>
    <t>使用蛇皮制成的普通鞭子。</t>
    <phoneticPr fontId="1" type="noConversion"/>
  </si>
  <si>
    <t>使用荆棘编织的坚韧鞭子。</t>
    <phoneticPr fontId="1" type="noConversion"/>
  </si>
  <si>
    <t>被攻击者就行被龙的尾巴扫过一样。</t>
    <phoneticPr fontId="1" type="noConversion"/>
  </si>
  <si>
    <t>可以让被攻击者感受到寒冬的残酷。</t>
    <phoneticPr fontId="1" type="noConversion"/>
  </si>
  <si>
    <t>挥舞起来威力强大的如同暴风雪。</t>
    <phoneticPr fontId="1" type="noConversion"/>
  </si>
  <si>
    <t>最普通的布制衣物。</t>
    <phoneticPr fontId="1" type="noConversion"/>
  </si>
  <si>
    <t>使用皮革制成的初级铠甲。</t>
    <phoneticPr fontId="1" type="noConversion"/>
  </si>
  <si>
    <t>使用金属编织而成的具有良好防御力的铠甲。</t>
    <phoneticPr fontId="1" type="noConversion"/>
  </si>
  <si>
    <t>拥有很好的保暖效果。</t>
    <phoneticPr fontId="1" type="noConversion"/>
  </si>
  <si>
    <t>使用整块铁板锻造而成。</t>
    <phoneticPr fontId="1" type="noConversion"/>
  </si>
  <si>
    <t>使用龙鳞制成的顶级铠甲。</t>
    <phoneticPr fontId="1" type="noConversion"/>
  </si>
  <si>
    <t>魅力十足的衣物。</t>
    <phoneticPr fontId="1" type="noConversion"/>
  </si>
  <si>
    <t>使用坚硬的甲壳制成的铠甲。</t>
    <phoneticPr fontId="1" type="noConversion"/>
  </si>
  <si>
    <t>拥有暗之力的法袍。</t>
    <phoneticPr fontId="1" type="noConversion"/>
  </si>
  <si>
    <t>穿上的人拥有极强的速度。</t>
    <phoneticPr fontId="1" type="noConversion"/>
  </si>
  <si>
    <t>篆刻有魔法符文的铠甲。</t>
    <phoneticPr fontId="1" type="noConversion"/>
  </si>
  <si>
    <t>可以反击敌人的攻击。</t>
    <phoneticPr fontId="1" type="noConversion"/>
  </si>
  <si>
    <t>轻柔的魔法长袍。</t>
    <phoneticPr fontId="1" type="noConversion"/>
  </si>
  <si>
    <t>性感的衣物，穿着似乎并不限于女性。</t>
    <phoneticPr fontId="1" type="noConversion"/>
  </si>
  <si>
    <t>使用水之力进行防御的衣物。</t>
    <phoneticPr fontId="1" type="noConversion"/>
  </si>
  <si>
    <t>使用米饭捏成的料理，边吃边走非常方便。</t>
    <phoneticPr fontId="1" type="noConversion"/>
  </si>
  <si>
    <t>在米饭中加入盐鲑鱼捏制成的料理。</t>
    <phoneticPr fontId="1" type="noConversion"/>
  </si>
  <si>
    <t>混合着竹笋的饭。能让人感受到春天的滋味。</t>
    <phoneticPr fontId="1" type="noConversion"/>
  </si>
  <si>
    <t>芜菁腌制成的料理。吃起来非常清爽有味。</t>
    <phoneticPr fontId="1" type="noConversion"/>
  </si>
  <si>
    <t>黄瓜短时间腌制而成的料理。一口咬下的口感非常棒。</t>
    <phoneticPr fontId="1" type="noConversion"/>
  </si>
  <si>
    <t>由牛奶加工而来的食品，稍微有点腥味。</t>
    <phoneticPr fontId="1" type="noConversion"/>
  </si>
  <si>
    <t>在面包片中加入其他食材制成的料理，广受好评。</t>
    <phoneticPr fontId="1" type="noConversion"/>
  </si>
  <si>
    <t>使用各种新鲜蔬菜制成的爽口料理。</t>
    <phoneticPr fontId="1" type="noConversion"/>
  </si>
  <si>
    <t>早餐必备，黄色的身影遍布世界。</t>
    <phoneticPr fontId="1" type="noConversion"/>
  </si>
  <si>
    <t>使用鱿鱼干烧制成的料理，十分适合做零食。</t>
    <phoneticPr fontId="1" type="noConversion"/>
  </si>
  <si>
    <t>将鳗鱼抹上盐后烤制而成的料理。</t>
    <phoneticPr fontId="1" type="noConversion"/>
  </si>
  <si>
    <t>将龙虾整只烤制的料理，充满弹性的口感。</t>
    <phoneticPr fontId="1" type="noConversion"/>
  </si>
  <si>
    <t>使用螃蟹腿肉烤制而成的美味料理。</t>
    <phoneticPr fontId="1" type="noConversion"/>
  </si>
  <si>
    <t>将土豆做成的美味的小球。</t>
    <phoneticPr fontId="1" type="noConversion"/>
  </si>
  <si>
    <t>将玉米密封加热制成的料理，爽脆的口感让人无法自拔。</t>
    <phoneticPr fontId="1" type="noConversion"/>
  </si>
  <si>
    <t>加入烤鳗鱼的饭，是最受欢迎的米饭料理。</t>
    <phoneticPr fontId="1" type="noConversion"/>
  </si>
  <si>
    <t>拥有浓烈气味的食物，讨厌的人和喜欢的人一样多。</t>
    <phoneticPr fontId="1" type="noConversion"/>
  </si>
  <si>
    <t>使用沙丁鱼制成的密封食物，保存时间很长。</t>
    <phoneticPr fontId="1" type="noConversion"/>
  </si>
  <si>
    <t>加入了海鲜的米饭，海鲜的汤汁赋予了米饭梦幻的美味。</t>
    <phoneticPr fontId="1" type="noConversion"/>
  </si>
  <si>
    <t>使用煎蛋皮包裹住米饭，是鸡蛋料理中的代表作。</t>
    <phoneticPr fontId="1" type="noConversion"/>
  </si>
  <si>
    <t>使用珍贵的鲟鱼鱼子制成的稀有食物。</t>
    <phoneticPr fontId="1" type="noConversion"/>
  </si>
  <si>
    <t>同时提供面饼、肉、和蔬菜，大众化的食物。</t>
    <phoneticPr fontId="1" type="noConversion"/>
  </si>
  <si>
    <t>使用河豚制成的鲜美浓汤。</t>
    <phoneticPr fontId="1" type="noConversion"/>
  </si>
  <si>
    <t>使用猪肉制成的食物，一口下去满足感十足。</t>
    <phoneticPr fontId="1" type="noConversion"/>
  </si>
  <si>
    <t>使用河蚌制成的鲜美浓汤。</t>
    <phoneticPr fontId="1" type="noConversion"/>
  </si>
  <si>
    <t>使用肉和鸡蛋等炸成的美味料理。</t>
    <phoneticPr fontId="1" type="noConversion"/>
  </si>
  <si>
    <t>使用新鲜的葡萄酿造而成的经典饮品。</t>
    <phoneticPr fontId="1" type="noConversion"/>
  </si>
  <si>
    <t>使用新鲜的苹果酿造而成的清爽饮品。</t>
    <phoneticPr fontId="1" type="noConversion"/>
  </si>
  <si>
    <t>使用新鲜的蓝莓酿造而成的美味饮品。</t>
    <phoneticPr fontId="1" type="noConversion"/>
  </si>
  <si>
    <t>使用多种蔬菜和水果混合制成，味道和营养十分均衡。</t>
    <phoneticPr fontId="1" type="noConversion"/>
  </si>
  <si>
    <t>格瓦斯</t>
    <phoneticPr fontId="1" type="noConversion"/>
  </si>
  <si>
    <t>使用面包酿造的低酒精饮品，具有浓郁的焦糖味。</t>
    <phoneticPr fontId="1" type="noConversion"/>
  </si>
  <si>
    <t>使用牛奶发酵而成的广受欢迎的饮品。</t>
    <phoneticPr fontId="1" type="noConversion"/>
  </si>
  <si>
    <t>烤面包</t>
    <phoneticPr fontId="1" type="noConversion"/>
  </si>
  <si>
    <t>使用小麦粉烤制而成的最普通的食物。</t>
    <phoneticPr fontId="1" type="noConversion"/>
  </si>
  <si>
    <t>c28</t>
    <phoneticPr fontId="1" type="noConversion"/>
  </si>
  <si>
    <t>c28 (3)</t>
    <phoneticPr fontId="1" type="noConversion"/>
  </si>
  <si>
    <t>使用红色浆果酿造的迷情之酒。</t>
    <phoneticPr fontId="1" type="noConversion"/>
  </si>
  <si>
    <t>吃起来脆脆的蔬菜，生长十分迅速。</t>
    <phoneticPr fontId="1" type="noConversion"/>
  </si>
  <si>
    <t>美味可口的水果，广泛分布于世界各地。</t>
    <phoneticPr fontId="1" type="noConversion"/>
  </si>
  <si>
    <t>大家都喜爱的浆果，美味又可爱。</t>
    <phoneticPr fontId="1" type="noConversion"/>
  </si>
  <si>
    <t>生长在海边的一种热带水果，含有大量水分。</t>
    <phoneticPr fontId="1" type="noConversion"/>
  </si>
  <si>
    <t>废弃的铁，加工后还可以使用。</t>
    <phoneticPr fontId="1" type="noConversion"/>
  </si>
  <si>
    <t>使用雪堆积而成的球体。</t>
    <phoneticPr fontId="1" type="noConversion"/>
  </si>
  <si>
    <t>水在低温下的结晶。</t>
    <phoneticPr fontId="1" type="noConversion"/>
  </si>
  <si>
    <t>淹埋亡者的土，蕴含有大量死亡气息。</t>
    <phoneticPr fontId="1" type="noConversion"/>
  </si>
  <si>
    <t>金子熔铸而成的块状物。</t>
    <phoneticPr fontId="1" type="noConversion"/>
  </si>
  <si>
    <t>魔兽坚硬的角。</t>
    <phoneticPr fontId="1" type="noConversion"/>
  </si>
  <si>
    <t>风元素聚集而成的结晶。</t>
    <phoneticPr fontId="1" type="noConversion"/>
  </si>
  <si>
    <t>蜘蛛产出的柔软而坚韧的丝。</t>
    <phoneticPr fontId="1" type="noConversion"/>
  </si>
  <si>
    <t>独眼怪的眼球。</t>
    <phoneticPr fontId="1" type="noConversion"/>
  </si>
  <si>
    <t>破碎的布，缝补一下还可以用。</t>
    <phoneticPr fontId="1" type="noConversion"/>
  </si>
  <si>
    <t>富有魔力的羽毛。</t>
    <phoneticPr fontId="1" type="noConversion"/>
  </si>
  <si>
    <t>蜂类的尾刺，十分锋利，并且有毒。</t>
    <phoneticPr fontId="1" type="noConversion"/>
  </si>
  <si>
    <t>蛇类蜕下的表皮，可以用来制作防具。</t>
    <phoneticPr fontId="1" type="noConversion"/>
  </si>
  <si>
    <t>犬科用来撕裂肉食的牙齿。</t>
    <phoneticPr fontId="1" type="noConversion"/>
  </si>
  <si>
    <t>水元素聚集而成的结晶。</t>
    <phoneticPr fontId="1" type="noConversion"/>
  </si>
  <si>
    <t>不含杂质的纯净的水。</t>
    <phoneticPr fontId="1" type="noConversion"/>
  </si>
  <si>
    <t>鱼类身体内的粘液，具有极强的胶合作用。</t>
    <phoneticPr fontId="1" type="noConversion"/>
  </si>
  <si>
    <t>魔兽的羽翼，传说中曾有人使用它而飞行。</t>
    <phoneticPr fontId="1" type="noConversion"/>
  </si>
  <si>
    <t>破碎的刀剑，回炉后可以快速制作武器。</t>
    <phoneticPr fontId="1" type="noConversion"/>
  </si>
  <si>
    <t>用来施法的理想介质。</t>
    <phoneticPr fontId="1" type="noConversion"/>
  </si>
  <si>
    <t>暗元素凝聚的结晶。</t>
    <phoneticPr fontId="1" type="noConversion"/>
  </si>
  <si>
    <t>亡者的未消散的冤魂。</t>
    <phoneticPr fontId="1" type="noConversion"/>
  </si>
  <si>
    <t>魔族的血液，拥有特殊的成分。</t>
    <phoneticPr fontId="1" type="noConversion"/>
  </si>
  <si>
    <t>一种迷之液体，不知道为什么被命名。</t>
    <phoneticPr fontId="1" type="noConversion"/>
  </si>
  <si>
    <t>野兽的皮，常用的材料。</t>
    <phoneticPr fontId="1" type="noConversion"/>
  </si>
  <si>
    <t>木制成的长棒。</t>
    <phoneticPr fontId="1" type="noConversion"/>
  </si>
  <si>
    <t>废铁炼制而成的坚固材料。</t>
    <phoneticPr fontId="1" type="noConversion"/>
  </si>
  <si>
    <t>蜜蜂生产的美味液体。</t>
    <phoneticPr fontId="1" type="noConversion"/>
  </si>
  <si>
    <t>藤蔓植物坚韧的茎。</t>
    <phoneticPr fontId="1" type="noConversion"/>
  </si>
  <si>
    <t>带有毛发的魔兽皮，保暖性很强。</t>
    <phoneticPr fontId="1" type="noConversion"/>
  </si>
  <si>
    <t>美杜莎的眼球，拥有石化之力。</t>
    <phoneticPr fontId="1" type="noConversion"/>
  </si>
  <si>
    <t>用来引诱鱼类的道具。</t>
    <phoneticPr fontId="1" type="noConversion"/>
  </si>
  <si>
    <t>银铸造而成的块状物。</t>
    <phoneticPr fontId="1" type="noConversion"/>
  </si>
  <si>
    <t>性感可爱的装饰品。</t>
    <phoneticPr fontId="1" type="noConversion"/>
  </si>
  <si>
    <t>绵羊产出的柔软的毛团。</t>
    <phoneticPr fontId="1" type="noConversion"/>
  </si>
  <si>
    <t>常见的肉食。</t>
    <phoneticPr fontId="1" type="noConversion"/>
  </si>
  <si>
    <t>马的尾毛，长而坚韧，有很多用途。</t>
    <phoneticPr fontId="1" type="noConversion"/>
  </si>
  <si>
    <t>牛的乳汁，富有营养的白色液体。</t>
    <phoneticPr fontId="1" type="noConversion"/>
  </si>
  <si>
    <t>一种生产能力很强的禽类。</t>
    <phoneticPr fontId="1" type="noConversion"/>
  </si>
  <si>
    <t>一种胆小但很敏捷的动物。</t>
    <phoneticPr fontId="1" type="noConversion"/>
  </si>
  <si>
    <t>性格温顺，除非你激怒它，否则它不会攻击。</t>
    <phoneticPr fontId="1" type="noConversion"/>
  </si>
  <si>
    <t>随机获得一种武器配方。</t>
    <phoneticPr fontId="1" type="noConversion"/>
  </si>
  <si>
    <t>随机获得一种防具配方。</t>
    <phoneticPr fontId="1" type="noConversion"/>
  </si>
  <si>
    <t>随机获得一种冷食配方。</t>
    <phoneticPr fontId="1" type="noConversion"/>
  </si>
  <si>
    <t>随机获得一种热食配方。</t>
    <phoneticPr fontId="1" type="noConversion"/>
  </si>
  <si>
    <t>热食配方</t>
    <phoneticPr fontId="1" type="noConversion"/>
  </si>
  <si>
    <t>随机获得一种酿造配方。</t>
    <phoneticPr fontId="1" type="noConversion"/>
  </si>
  <si>
    <t>稻米煮成的饭。</t>
    <phoneticPr fontId="1" type="noConversion"/>
  </si>
  <si>
    <t>小麦研磨后制成的面粉。</t>
    <phoneticPr fontId="1" type="noConversion"/>
  </si>
  <si>
    <t>多种食物必需的药剂。</t>
    <phoneticPr fontId="1" type="noConversion"/>
  </si>
  <si>
    <t>最重要的调味剂。</t>
    <phoneticPr fontId="1" type="noConversion"/>
  </si>
  <si>
    <t>未知的一杯黑色液体。</t>
    <phoneticPr fontId="1" type="noConversion"/>
  </si>
  <si>
    <t>未知的迷之物体。</t>
    <phoneticPr fontId="1" type="noConversion"/>
  </si>
  <si>
    <t>活泼的动物，似乎永远都不知道疲惫。</t>
    <phoneticPr fontId="1" type="noConversion"/>
  </si>
  <si>
    <t>战斗力很强的动物，是人类的好帮手。</t>
    <phoneticPr fontId="1" type="noConversion"/>
  </si>
  <si>
    <t>大家都很喜欢的温顺的动物，柔软的毛发摸上去很舒服。</t>
    <phoneticPr fontId="1" type="noConversion"/>
  </si>
  <si>
    <t>一种灵活的小动物，常常储存大量橡子。</t>
    <phoneticPr fontId="1" type="noConversion"/>
  </si>
  <si>
    <t>一种奇怪的动物，是从一个废弃的古代废墟中发现的。</t>
    <phoneticPr fontId="1" type="noConversion"/>
  </si>
  <si>
    <t>具有很强的体力和速度的动物。</t>
    <phoneticPr fontId="1" type="noConversion"/>
  </si>
  <si>
    <t>空罐头盒</t>
    <phoneticPr fontId="1" type="noConversion"/>
  </si>
  <si>
    <t>f1</t>
    <phoneticPr fontId="1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</si>
  <si>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</si>
  <si>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</si>
  <si>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</si>
  <si>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</si>
  <si>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</si>
  <si>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</si>
  <si>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</si>
  <si>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</si>
  <si>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</si>
  <si>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</si>
  <si>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</si>
  <si>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</si>
  <si>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</si>
  <si>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</si>
  <si>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</si>
  <si>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双人床</t>
    <phoneticPr fontId="1" type="noConversion"/>
  </si>
  <si>
    <t>冰箱</t>
    <phoneticPr fontId="1" type="noConversion"/>
  </si>
  <si>
    <t>地毯</t>
    <phoneticPr fontId="1" type="noConversion"/>
  </si>
  <si>
    <t>沙发</t>
    <phoneticPr fontId="1" type="noConversion"/>
  </si>
  <si>
    <t>酿造桶</t>
    <phoneticPr fontId="1" type="noConversion"/>
  </si>
  <si>
    <t>锻造台</t>
    <phoneticPr fontId="1" type="noConversion"/>
  </si>
  <si>
    <t>zao</t>
    <phoneticPr fontId="1" type="noConversion"/>
  </si>
  <si>
    <t>wrobe</t>
    <phoneticPr fontId="1" type="noConversion"/>
  </si>
  <si>
    <t>tong</t>
    <phoneticPr fontId="1" type="noConversion"/>
  </si>
  <si>
    <t>shafa1</t>
    <phoneticPr fontId="1" type="noConversion"/>
  </si>
  <si>
    <t>dt</t>
    <phoneticPr fontId="1" type="noConversion"/>
  </si>
  <si>
    <t>caiban</t>
    <phoneticPr fontId="1" type="noConversion"/>
  </si>
  <si>
    <t>bingx</t>
    <phoneticPr fontId="1" type="noConversion"/>
  </si>
  <si>
    <t>bed2</t>
    <phoneticPr fontId="1" type="noConversion"/>
  </si>
  <si>
    <t>鱿鱼</t>
    <phoneticPr fontId="1" type="noConversion"/>
  </si>
  <si>
    <t>常见的软体动物，味道鲜美，是一种可口的美味。</t>
    <phoneticPr fontId="1" type="noConversion"/>
  </si>
  <si>
    <t>肉质紧致细腻，生活在清洁、无污染的水域，是世界上最纯净的水中生物。</t>
    <phoneticPr fontId="1" type="noConversion"/>
  </si>
  <si>
    <t>是一种成群存在的小型鱼类，虽然个头较小，但种群资源十分庞大。</t>
    <phoneticPr fontId="1" type="noConversion"/>
  </si>
  <si>
    <t>河蚌</t>
    <phoneticPr fontId="1" type="noConversion"/>
  </si>
  <si>
    <t>生活在淡水湖泊、池沼、河流等水底的软体动物，用来做汤再合适不过了。</t>
    <phoneticPr fontId="1" type="noConversion"/>
  </si>
  <si>
    <t>金枪鱼</t>
    <phoneticPr fontId="1" type="noConversion"/>
  </si>
  <si>
    <t>一种重要的经济性鱼类，由于捕捞过度，种群数量日渐减少。</t>
    <phoneticPr fontId="1" type="noConversion"/>
  </si>
  <si>
    <t>大型食用 虾类 , 其味道鲜美 、 营养丰富 , 倍受人们 的青睐。</t>
    <phoneticPr fontId="1" type="noConversion"/>
  </si>
  <si>
    <t>鲱鱼</t>
    <phoneticPr fontId="1" type="noConversion"/>
  </si>
  <si>
    <t>富含脂肪的经济鱼类，常用来制成罐头。</t>
    <phoneticPr fontId="1" type="noConversion"/>
  </si>
  <si>
    <t>海参</t>
    <phoneticPr fontId="1" type="noConversion"/>
  </si>
  <si>
    <t>全身长满肉刺，广布于世界各海洋中，是珍贵的食品。</t>
    <phoneticPr fontId="1" type="noConversion"/>
  </si>
  <si>
    <t>鲟鱼</t>
    <phoneticPr fontId="1" type="noConversion"/>
  </si>
  <si>
    <t>从远古生存下来的一种鱼类，拥有特殊的味道。</t>
    <phoneticPr fontId="1" type="noConversion"/>
  </si>
  <si>
    <t>比目鱼</t>
    <phoneticPr fontId="1" type="noConversion"/>
  </si>
  <si>
    <t>栖息在浅海的沙质海底，捕食小鱼虾，是重要的经济鱼类。</t>
    <phoneticPr fontId="1" type="noConversion"/>
  </si>
  <si>
    <t>鲑鱼</t>
    <phoneticPr fontId="1" type="noConversion"/>
  </si>
  <si>
    <t>肉质为粉红色并具有弹性，紧密鲜美，被称为鱼中之王。</t>
    <phoneticPr fontId="1" type="noConversion"/>
  </si>
  <si>
    <t>鲶鱼</t>
    <phoneticPr fontId="1" type="noConversion"/>
  </si>
  <si>
    <t>野生肉食性鱼类，虽然肉质不是很好，但生长速度很快。</t>
    <phoneticPr fontId="1" type="noConversion"/>
  </si>
  <si>
    <t>鳟鱼</t>
    <phoneticPr fontId="1" type="noConversion"/>
  </si>
  <si>
    <t>一类很有价值的鱼，分布于各种水域。</t>
    <phoneticPr fontId="1" type="noConversion"/>
  </si>
  <si>
    <t>河豚</t>
    <phoneticPr fontId="1" type="noConversion"/>
  </si>
  <si>
    <t>遇到外来危险时会使整个身体呈球状浮上水面，味道鲜美。</t>
    <phoneticPr fontId="1" type="noConversion"/>
  </si>
  <si>
    <t>螃蟹</t>
    <phoneticPr fontId="1" type="noConversion"/>
  </si>
  <si>
    <t>生活在浅水中的一种甲壳动物，蟹肉是一种广受欢迎的商品。</t>
    <phoneticPr fontId="1" type="noConversion"/>
  </si>
  <si>
    <t>用过的空罐头盒。</t>
    <phoneticPr fontId="1" type="noConversion"/>
  </si>
  <si>
    <t>婚姻生活必备家具。</t>
    <phoneticPr fontId="1" type="noConversion"/>
  </si>
  <si>
    <t>用于储藏生鲜物品。</t>
    <phoneticPr fontId="1" type="noConversion"/>
  </si>
  <si>
    <t>用于制作各种不需要烹饪的食物。</t>
    <phoneticPr fontId="1" type="noConversion"/>
  </si>
  <si>
    <t>用于酿造各种饮品。</t>
    <phoneticPr fontId="1" type="noConversion"/>
  </si>
  <si>
    <t>拥有制作各种装备。</t>
    <phoneticPr fontId="1" type="noConversion"/>
  </si>
  <si>
    <t>拥有烹饪各种熟食。</t>
    <phoneticPr fontId="1" type="noConversion"/>
  </si>
  <si>
    <t>红莲之铠</t>
  </si>
  <si>
    <t>钢刃锁甲</t>
    <phoneticPr fontId="1" type="noConversion"/>
  </si>
  <si>
    <t>海鲜浓汤</t>
    <phoneticPr fontId="1" type="noConversion"/>
  </si>
  <si>
    <t>鲑鱼刺身</t>
  </si>
  <si>
    <t>红莲之铠</t>
    <phoneticPr fontId="1" type="noConversion"/>
  </si>
  <si>
    <t>椰奶</t>
    <phoneticPr fontId="1" type="noConversion"/>
  </si>
  <si>
    <t>女王鞭</t>
  </si>
  <si>
    <t>兔耳</t>
    <phoneticPr fontId="1" type="noConversion"/>
  </si>
  <si>
    <t>蛇牙鞭</t>
  </si>
  <si>
    <t>女王鞭</t>
    <phoneticPr fontId="1" type="noConversion"/>
  </si>
  <si>
    <t>格瓦斯</t>
  </si>
  <si>
    <t>炸肉饼</t>
    <phoneticPr fontId="1" type="noConversion"/>
  </si>
  <si>
    <t>冷餐台</t>
    <phoneticPr fontId="1" type="noConversion"/>
  </si>
  <si>
    <t>热餐台</t>
    <phoneticPr fontId="1" type="noConversion"/>
  </si>
  <si>
    <t>可以让被攻击者感受到女王的残酷。</t>
    <phoneticPr fontId="1" type="noConversion"/>
  </si>
  <si>
    <t>被攻击者就行被蛇牙的咬过一样。</t>
    <phoneticPr fontId="1" type="noConversion"/>
  </si>
  <si>
    <t>混合各种海鲜制成的鲜美浓汤</t>
    <phoneticPr fontId="1" type="noConversion"/>
  </si>
  <si>
    <t>使用椰汁和牛奶混合制成的美味饮品。</t>
    <phoneticPr fontId="1" type="noConversion"/>
  </si>
  <si>
    <t>将新鲜的鲑鱼肉处理后制成的生鱼片。</t>
    <phoneticPr fontId="1" type="noConversion"/>
  </si>
  <si>
    <t>蝎子用来刺杀猎物的尾巴。</t>
    <phoneticPr fontId="1" type="noConversion"/>
  </si>
  <si>
    <t>海中生活的一种生物，骨骼很坚硬。</t>
    <phoneticPr fontId="1" type="noConversion"/>
  </si>
  <si>
    <t>土元素聚集而成的结晶。</t>
    <phoneticPr fontId="1" type="noConversion"/>
  </si>
  <si>
    <t>海鲜浓汤</t>
    <phoneticPr fontId="1" type="noConversion"/>
  </si>
  <si>
    <t>椰奶</t>
    <phoneticPr fontId="1" type="noConversion"/>
  </si>
  <si>
    <t>m34</t>
    <phoneticPr fontId="1" type="noConversion"/>
  </si>
  <si>
    <t>m52</t>
    <phoneticPr fontId="1" type="noConversion"/>
  </si>
  <si>
    <t>m55</t>
    <phoneticPr fontId="1" type="noConversion"/>
  </si>
  <si>
    <t>c29</t>
    <phoneticPr fontId="1" type="noConversion"/>
  </si>
  <si>
    <t>c30</t>
    <phoneticPr fontId="1" type="noConversion"/>
  </si>
  <si>
    <t>b7</t>
    <phoneticPr fontId="1" type="noConversion"/>
  </si>
  <si>
    <t>c29 (2)</t>
    <phoneticPr fontId="1" type="noConversion"/>
  </si>
  <si>
    <t>b7 (2)</t>
    <phoneticPr fontId="1" type="noConversion"/>
  </si>
  <si>
    <t>c30 (2)</t>
    <phoneticPr fontId="1" type="noConversion"/>
  </si>
  <si>
    <t>钢刃锁甲</t>
    <phoneticPr fontId="1" type="noConversion"/>
  </si>
  <si>
    <t>布衣</t>
  </si>
  <si>
    <t>皮铠</t>
  </si>
  <si>
    <t>毛皮斗篷</t>
  </si>
  <si>
    <t>铁铠甲</t>
    <phoneticPr fontId="1" type="noConversion"/>
  </si>
  <si>
    <t>蛇牙鞭</t>
    <phoneticPr fontId="1" type="noConversion"/>
  </si>
  <si>
    <t>华丽背心</t>
  </si>
  <si>
    <t>鳞铠</t>
  </si>
  <si>
    <t>锁子甲</t>
  </si>
  <si>
    <t>红莲之铠</t>
    <phoneticPr fontId="1" type="noConversion"/>
  </si>
  <si>
    <t>钢刃锁甲</t>
    <phoneticPr fontId="1" type="noConversion"/>
  </si>
  <si>
    <t>女王鞭</t>
    <phoneticPr fontId="1" type="noConversion"/>
  </si>
  <si>
    <t>暗之袍</t>
  </si>
  <si>
    <t>废铁</t>
  </si>
  <si>
    <t>布片</t>
  </si>
  <si>
    <t>竹笋</t>
  </si>
  <si>
    <t>刀刃</t>
  </si>
  <si>
    <t>风元素结晶</t>
  </si>
  <si>
    <t>纯净之水</t>
  </si>
  <si>
    <t>木棒</t>
  </si>
  <si>
    <t>蛛丝</t>
  </si>
  <si>
    <t>魔兽皮毛</t>
  </si>
  <si>
    <t>兽皮</t>
  </si>
  <si>
    <t>蛇皮</t>
  </si>
  <si>
    <t>蜂刺</t>
  </si>
  <si>
    <t>蜂蜜</t>
  </si>
  <si>
    <t>眼球</t>
  </si>
  <si>
    <t>彩色羽毛</t>
  </si>
  <si>
    <t>椰子</t>
  </si>
  <si>
    <t>珊瑚</t>
  </si>
  <si>
    <t>石化之眼</t>
  </si>
  <si>
    <t>鱼胶</t>
  </si>
  <si>
    <t>水元素结晶</t>
  </si>
  <si>
    <t>阿莫尔之水</t>
  </si>
  <si>
    <t>蝎尾</t>
  </si>
  <si>
    <t>银块</t>
  </si>
  <si>
    <t>兽角</t>
  </si>
  <si>
    <t>奇美拉之翼</t>
  </si>
  <si>
    <t>钢</t>
  </si>
  <si>
    <t>植物的茎</t>
  </si>
  <si>
    <t>苹果</t>
  </si>
  <si>
    <t>樱桃</t>
  </si>
  <si>
    <t>土元素结晶</t>
  </si>
  <si>
    <t>雪球</t>
  </si>
  <si>
    <t>水晶球</t>
  </si>
  <si>
    <t>金块</t>
  </si>
  <si>
    <t>幽魂</t>
  </si>
  <si>
    <t>冰晶</t>
  </si>
  <si>
    <t>魔族之血</t>
  </si>
  <si>
    <t>暗元素结晶</t>
  </si>
  <si>
    <t>亡者之土</t>
  </si>
  <si>
    <t>羊毛</t>
  </si>
  <si>
    <t>狼牙</t>
  </si>
  <si>
    <t>马尾</t>
  </si>
  <si>
    <t>兔耳朵</t>
  </si>
  <si>
    <t>铁铠甲</t>
  </si>
  <si>
    <t>卷心菜</t>
  </si>
  <si>
    <t>黄瓜</t>
  </si>
  <si>
    <t>茄子</t>
  </si>
  <si>
    <t>萝卜</t>
  </si>
  <si>
    <t>紫甘蓝</t>
  </si>
  <si>
    <t>蓝莓</t>
  </si>
  <si>
    <t>辣椒</t>
  </si>
  <si>
    <t>草莓</t>
  </si>
  <si>
    <t>甘蓝</t>
  </si>
  <si>
    <t>鱿鱼</t>
  </si>
  <si>
    <t>鳗鱼</t>
  </si>
  <si>
    <t>沙丁鱼</t>
  </si>
  <si>
    <t>河蚌</t>
  </si>
  <si>
    <t>金枪鱼</t>
  </si>
  <si>
    <t>龙虾</t>
  </si>
  <si>
    <t>鲱鱼</t>
  </si>
  <si>
    <t>海参</t>
  </si>
  <si>
    <t>鲟鱼</t>
  </si>
  <si>
    <t>比目鱼</t>
  </si>
  <si>
    <t>鲑鱼</t>
  </si>
  <si>
    <t>鲶鱼</t>
  </si>
  <si>
    <t>鳟鱼</t>
  </si>
  <si>
    <t>河豚</t>
  </si>
  <si>
    <t>螃蟹</t>
  </si>
  <si>
    <t>空罐头盒</t>
  </si>
  <si>
    <t>饭团</t>
  </si>
  <si>
    <t>米饭</t>
  </si>
  <si>
    <t>海鲜饭</t>
  </si>
  <si>
    <t>煎蛋</t>
  </si>
  <si>
    <t>鸡蛋</t>
  </si>
  <si>
    <t>蛋包饭</t>
  </si>
  <si>
    <t>盐</t>
  </si>
  <si>
    <t>牛奶</t>
  </si>
  <si>
    <t>蔬菜沙拉</t>
  </si>
  <si>
    <t>鳗鱼饭</t>
  </si>
  <si>
    <t>烤鳗鱼</t>
  </si>
  <si>
    <t>鲱鱼罐头</t>
  </si>
  <si>
    <t>沙丁鱼罐头</t>
  </si>
  <si>
    <t>汉堡</t>
  </si>
  <si>
    <t>鱼子酱</t>
  </si>
  <si>
    <t>烤面包</t>
  </si>
  <si>
    <t>小麦粉</t>
  </si>
  <si>
    <t>烤鱿鱼</t>
  </si>
  <si>
    <t>河豚汤</t>
  </si>
  <si>
    <t>烤龙虾</t>
  </si>
  <si>
    <t>烤土豆</t>
  </si>
  <si>
    <t>猪肉</t>
  </si>
  <si>
    <t>河蚌汤</t>
  </si>
  <si>
    <t>海鲜浓汤</t>
  </si>
  <si>
    <t>肉丸子</t>
  </si>
  <si>
    <t>葡萄酒</t>
  </si>
  <si>
    <t>苹果酒</t>
  </si>
  <si>
    <t>蓝莓酒</t>
  </si>
  <si>
    <t>混合果蔬汁</t>
  </si>
  <si>
    <t>绯红之吻</t>
  </si>
  <si>
    <t>酸奶</t>
  </si>
  <si>
    <t>椰奶</t>
  </si>
  <si>
    <t>鲑鱼</t>
    <phoneticPr fontId="1" type="noConversion"/>
  </si>
  <si>
    <t>米饭</t>
    <phoneticPr fontId="1" type="noConversion"/>
  </si>
  <si>
    <t>小麦粉</t>
    <phoneticPr fontId="1" type="noConversion"/>
  </si>
  <si>
    <t>盐</t>
    <phoneticPr fontId="1" type="noConversion"/>
  </si>
  <si>
    <t>蜂蜜</t>
    <phoneticPr fontId="1" type="noConversion"/>
  </si>
  <si>
    <t>发酵粉</t>
    <phoneticPr fontId="1" type="noConversion"/>
  </si>
  <si>
    <t>鸡蛋</t>
    <phoneticPr fontId="1" type="noConversion"/>
  </si>
  <si>
    <t>空罐头盒</t>
    <phoneticPr fontId="1" type="noConversion"/>
  </si>
  <si>
    <t>猪肉</t>
    <phoneticPr fontId="1" type="noConversion"/>
  </si>
  <si>
    <t>牛奶</t>
    <phoneticPr fontId="1" type="noConversion"/>
  </si>
  <si>
    <t>烤面包</t>
    <phoneticPr fontId="1" type="noConversion"/>
  </si>
  <si>
    <t>shopMoneyType</t>
    <phoneticPr fontId="1" type="noConversion"/>
  </si>
  <si>
    <t>1,17</t>
  </si>
  <si>
    <t>1,22;8,10</t>
  </si>
  <si>
    <t>1,29;8,4;9,6</t>
  </si>
  <si>
    <t>1,32;8,4;9,6</t>
  </si>
  <si>
    <t>1,36</t>
  </si>
  <si>
    <t>1,36;8,12</t>
  </si>
  <si>
    <t>1,43;8,12</t>
  </si>
  <si>
    <t>1,50;9,12</t>
  </si>
  <si>
    <t>1,54;9,12</t>
  </si>
  <si>
    <t>1,63</t>
  </si>
  <si>
    <t>1,51;8,6;9,6</t>
  </si>
  <si>
    <t>1,58;8,6;9,6</t>
  </si>
  <si>
    <t>1,58;9,14</t>
  </si>
  <si>
    <t>1,72</t>
  </si>
  <si>
    <t>1,65;9,14</t>
  </si>
  <si>
    <t>2,48;8,14</t>
  </si>
  <si>
    <t>2,11;8,10</t>
  </si>
  <si>
    <t>2,14</t>
  </si>
  <si>
    <t>2,18;8,10</t>
  </si>
  <si>
    <t>2,23</t>
  </si>
  <si>
    <t>2,24;8,11</t>
  </si>
  <si>
    <t>2,38</t>
  </si>
  <si>
    <t>2,42</t>
  </si>
  <si>
    <t>2,30;8,12</t>
  </si>
  <si>
    <t>2,36;8,13</t>
  </si>
  <si>
    <t>2,39;8,13</t>
  </si>
  <si>
    <t>2,45</t>
  </si>
  <si>
    <t>2,53</t>
  </si>
  <si>
    <t>2,60</t>
  </si>
  <si>
    <t>2,54;8,14</t>
  </si>
  <si>
    <t>钢刃锁甲</t>
  </si>
  <si>
    <t>卷心菜种子</t>
    <phoneticPr fontId="1" type="noConversion"/>
  </si>
  <si>
    <t>马铃薯种子</t>
    <phoneticPr fontId="1" type="noConversion"/>
  </si>
  <si>
    <t>大葱种子</t>
    <phoneticPr fontId="1" type="noConversion"/>
  </si>
  <si>
    <t>甘蓝种子</t>
    <phoneticPr fontId="1" type="noConversion"/>
  </si>
  <si>
    <t>胡萝卜种子</t>
    <phoneticPr fontId="1" type="noConversion"/>
  </si>
  <si>
    <t>番茄种子</t>
    <phoneticPr fontId="1" type="noConversion"/>
  </si>
  <si>
    <t>米饭</t>
    <phoneticPr fontId="1" type="noConversion"/>
  </si>
  <si>
    <t>蜂蜜</t>
    <phoneticPr fontId="1" type="noConversion"/>
  </si>
  <si>
    <t>蜂刺</t>
    <phoneticPr fontId="1" type="noConversion"/>
  </si>
  <si>
    <t>蝎尾</t>
    <phoneticPr fontId="1" type="noConversion"/>
  </si>
  <si>
    <t>奇美拉之翼</t>
    <phoneticPr fontId="1" type="noConversion"/>
  </si>
  <si>
    <t>椰子</t>
    <phoneticPr fontId="1" type="noConversion"/>
  </si>
  <si>
    <t>樱桃</t>
    <phoneticPr fontId="1" type="noConversion"/>
  </si>
  <si>
    <t>苹果</t>
    <phoneticPr fontId="1" type="noConversion"/>
  </si>
  <si>
    <t>草莓</t>
    <phoneticPr fontId="1" type="noConversion"/>
  </si>
  <si>
    <t>苹果酒</t>
    <phoneticPr fontId="1" type="noConversion"/>
  </si>
  <si>
    <t>蓝莓酒</t>
    <phoneticPr fontId="1" type="noConversion"/>
  </si>
  <si>
    <t>牛奶</t>
    <phoneticPr fontId="1" type="noConversion"/>
  </si>
  <si>
    <t>奶酪</t>
    <phoneticPr fontId="1" type="noConversion"/>
  </si>
  <si>
    <t>猪肉</t>
    <phoneticPr fontId="1" type="noConversion"/>
  </si>
  <si>
    <t>肉丸子</t>
    <phoneticPr fontId="1" type="noConversion"/>
  </si>
  <si>
    <t>煎蛋</t>
    <phoneticPr fontId="1" type="noConversion"/>
  </si>
  <si>
    <t>蛋包饭</t>
    <phoneticPr fontId="1" type="noConversion"/>
  </si>
  <si>
    <t>废铁</t>
    <phoneticPr fontId="1" type="noConversion"/>
  </si>
  <si>
    <t>钢</t>
    <phoneticPr fontId="1" type="noConversion"/>
  </si>
  <si>
    <t>金块</t>
    <phoneticPr fontId="1" type="noConversion"/>
  </si>
  <si>
    <t>腌芜菁</t>
    <phoneticPr fontId="1" type="noConversion"/>
  </si>
  <si>
    <t>腌黄瓜</t>
    <phoneticPr fontId="1" type="noConversion"/>
  </si>
  <si>
    <t>蔬菜沙拉</t>
    <phoneticPr fontId="1" type="noConversion"/>
  </si>
  <si>
    <t>茄子</t>
    <phoneticPr fontId="1" type="noConversion"/>
  </si>
  <si>
    <t>番茄</t>
    <phoneticPr fontId="1" type="noConversion"/>
  </si>
  <si>
    <t>黄瓜</t>
    <phoneticPr fontId="1" type="noConversion"/>
  </si>
  <si>
    <t>玉米</t>
    <phoneticPr fontId="1" type="noConversion"/>
  </si>
  <si>
    <t>沙丁鱼</t>
    <phoneticPr fontId="1" type="noConversion"/>
  </si>
  <si>
    <t>鳗鱼</t>
    <phoneticPr fontId="1" type="noConversion"/>
  </si>
  <si>
    <t>龙虾</t>
    <phoneticPr fontId="1" type="noConversion"/>
  </si>
  <si>
    <t>兽皮</t>
    <phoneticPr fontId="1" type="noConversion"/>
  </si>
  <si>
    <t>魔兽皮毛</t>
    <phoneticPr fontId="1" type="noConversion"/>
  </si>
  <si>
    <t>兽角</t>
    <phoneticPr fontId="1" type="noConversion"/>
  </si>
  <si>
    <t>冰晶</t>
    <phoneticPr fontId="1" type="noConversion"/>
  </si>
  <si>
    <t>纯净之水</t>
    <phoneticPr fontId="1" type="noConversion"/>
  </si>
  <si>
    <t>阿莫尔之水</t>
    <phoneticPr fontId="1" type="noConversion"/>
  </si>
  <si>
    <t>刀刃</t>
    <phoneticPr fontId="1" type="noConversion"/>
  </si>
  <si>
    <t>珊瑚</t>
    <phoneticPr fontId="1" type="noConversion"/>
  </si>
  <si>
    <t>暗元素结晶</t>
    <phoneticPr fontId="1" type="noConversion"/>
  </si>
  <si>
    <t>木棒</t>
    <phoneticPr fontId="1" type="noConversion"/>
  </si>
  <si>
    <t>植物的茎</t>
    <phoneticPr fontId="1" type="noConversion"/>
  </si>
  <si>
    <t>鱼饵</t>
    <phoneticPr fontId="1" type="noConversion"/>
  </si>
  <si>
    <t>狼牙</t>
    <phoneticPr fontId="1" type="noConversion"/>
  </si>
  <si>
    <t>亡者之土</t>
    <phoneticPr fontId="1" type="noConversion"/>
  </si>
  <si>
    <t>蛛丝</t>
    <phoneticPr fontId="1" type="noConversion"/>
  </si>
  <si>
    <t>彩色羽毛</t>
    <phoneticPr fontId="1" type="noConversion"/>
  </si>
  <si>
    <t>水元素结晶</t>
    <phoneticPr fontId="1" type="noConversion"/>
  </si>
  <si>
    <t>适应季节:春,夏 产物价格:73 长成天数:4</t>
  </si>
  <si>
    <t>适应季节:夏,秋 产物价格:181 长成天数:9</t>
  </si>
  <si>
    <t>适应季节:春,夏 产物价格:165 长成天数:10</t>
  </si>
  <si>
    <t>适应季节:春,夏 产物价格:220 长成天数:20</t>
  </si>
  <si>
    <t>适应季节:夏 产物价格:165 长成天数:10</t>
  </si>
  <si>
    <t>适应季节:秋 产物价格:181 长成天数:8</t>
  </si>
  <si>
    <t>适应季节:夏,秋 产物价格:208 长成天数:15</t>
  </si>
  <si>
    <t>适应季节:秋 产物价格:195 长成天数:9</t>
  </si>
  <si>
    <t>适应季节:秋 产物价格:146 长成天数:7</t>
  </si>
  <si>
    <t>适应季节:夏,秋 产物价格:101 长成天数:5</t>
  </si>
  <si>
    <t>适应季节:春,夏 产物价格:208 长成天数:45</t>
  </si>
  <si>
    <t>适应季节:春,冬 产物价格:208 长成天数:30</t>
  </si>
  <si>
    <t>适应季节:夏 产物价格:146 长成天数:7</t>
  </si>
  <si>
    <t>适应季节:夏,秋 产物价格:125 长成天数:6</t>
  </si>
  <si>
    <t>适应季节:春,夏 产物价格:208 长成天数:30</t>
  </si>
  <si>
    <t>适应季节:春,夏,秋 产物价格:44 长成天数:4</t>
  </si>
  <si>
    <t>bool</t>
    <phoneticPr fontId="1" type="noConversion"/>
  </si>
  <si>
    <t>IsFresh</t>
    <phoneticPr fontId="1" type="noConversion"/>
  </si>
  <si>
    <t>true</t>
    <phoneticPr fontId="1" type="noConversion"/>
  </si>
  <si>
    <t>false</t>
    <phoneticPr fontId="1" type="noConversion"/>
  </si>
  <si>
    <t>type</t>
    <phoneticPr fontId="1" type="noConversion"/>
  </si>
  <si>
    <t>value</t>
    <phoneticPr fontId="1" type="noConversion"/>
  </si>
  <si>
    <t>h</t>
    <phoneticPr fontId="1" type="noConversion"/>
  </si>
  <si>
    <t>p</t>
    <phoneticPr fontId="1" type="noConversion"/>
  </si>
  <si>
    <t>h&gt;p</t>
    <phoneticPr fontId="1" type="noConversion"/>
  </si>
  <si>
    <t>h&lt;p</t>
    <phoneticPr fontId="1" type="noConversion"/>
  </si>
  <si>
    <t>h=p</t>
    <phoneticPr fontId="1" type="noConversion"/>
  </si>
  <si>
    <t>芜菁种子</t>
    <phoneticPr fontId="1" type="noConversion"/>
  </si>
  <si>
    <t>未知的一团黑色物质,传说有人曾用它当做鱼饵。</t>
    <phoneticPr fontId="1" type="noConversion"/>
  </si>
  <si>
    <t>野菊</t>
    <phoneticPr fontId="1" type="noConversion"/>
  </si>
  <si>
    <t>向日葵</t>
    <phoneticPr fontId="1" type="noConversion"/>
  </si>
  <si>
    <t>蒲公英</t>
    <phoneticPr fontId="1" type="noConversion"/>
  </si>
  <si>
    <t>铃兰</t>
    <phoneticPr fontId="1" type="noConversion"/>
  </si>
  <si>
    <t>四叶草</t>
    <phoneticPr fontId="1" type="noConversion"/>
  </si>
  <si>
    <t>栀子花</t>
    <phoneticPr fontId="1" type="noConversion"/>
  </si>
  <si>
    <t>玫瑰</t>
    <phoneticPr fontId="1" type="noConversion"/>
  </si>
  <si>
    <t>紫罗兰</t>
    <phoneticPr fontId="1" type="noConversion"/>
  </si>
  <si>
    <t>flower6</t>
  </si>
  <si>
    <t>flower1</t>
    <phoneticPr fontId="1" type="noConversion"/>
  </si>
  <si>
    <t>flower5</t>
    <phoneticPr fontId="1" type="noConversion"/>
  </si>
  <si>
    <t>flower2</t>
    <phoneticPr fontId="1" type="noConversion"/>
  </si>
  <si>
    <t>flower7</t>
    <phoneticPr fontId="1" type="noConversion"/>
  </si>
  <si>
    <t>flower0</t>
    <phoneticPr fontId="1" type="noConversion"/>
  </si>
  <si>
    <t>flower4</t>
    <phoneticPr fontId="1" type="noConversion"/>
  </si>
  <si>
    <t>flower3</t>
    <phoneticPr fontId="1" type="noConversion"/>
  </si>
  <si>
    <t>坚强的野花，清净高洁的象征。</t>
  </si>
  <si>
    <t>象征阳光与坦荡，勇敢地去追求自己想要的幸福吧。</t>
  </si>
  <si>
    <t>我对你的爱无法停止。</t>
  </si>
  <si>
    <t>让我亲手奉上迟来的幸福。</t>
  </si>
  <si>
    <t>幸运与甜蜜的象征，希望你得到幸运的眷顾。</t>
  </si>
  <si>
    <t>我愿用一生的守候，等待与你的约定。</t>
  </si>
  <si>
    <t>爱与美的代表，希望与你泛起激情的爱。</t>
  </si>
  <si>
    <t>你出现在我的梦，我在梦中爱上你。</t>
  </si>
  <si>
    <t>HP+20</t>
  </si>
  <si>
    <t>HP+420,RP+420</t>
  </si>
  <si>
    <t>RP+50</t>
  </si>
  <si>
    <t>HP+60,RP+60</t>
  </si>
  <si>
    <t>HP+80</t>
  </si>
  <si>
    <t>HP+40</t>
  </si>
  <si>
    <t>HP+400</t>
  </si>
  <si>
    <t>HP+240,RP+240</t>
  </si>
  <si>
    <t>RP+200</t>
  </si>
  <si>
    <t>HP+540,RP+540</t>
  </si>
  <si>
    <t>RP+400</t>
  </si>
  <si>
    <t>HP+200</t>
  </si>
  <si>
    <t>HP+360,RP+360</t>
  </si>
  <si>
    <t>HP+180,RP+180</t>
  </si>
  <si>
    <t>HP+120,RP+120</t>
  </si>
  <si>
    <t>HP+480,RP+480</t>
  </si>
  <si>
    <t>HP+120,RP+30</t>
  </si>
  <si>
    <t>RP+300</t>
  </si>
  <si>
    <t>HP+600</t>
  </si>
  <si>
    <t>HP+300,RP+300</t>
  </si>
  <si>
    <t>HP+420,RP+180</t>
  </si>
  <si>
    <t>HP+480,RP+210</t>
  </si>
  <si>
    <t>HP+180,RP+60</t>
  </si>
  <si>
    <t>HP+120</t>
  </si>
  <si>
    <t>HP+300,RP+120</t>
  </si>
  <si>
    <t>RP+100</t>
  </si>
  <si>
    <t>HP+240,RP+90</t>
  </si>
  <si>
    <t>HP+540,RP+240</t>
  </si>
  <si>
    <t>HP+360,RP+150</t>
  </si>
  <si>
    <t>HP+60,RP+180</t>
  </si>
  <si>
    <t>HP+30,RP+120</t>
  </si>
  <si>
    <t>HP+90,RP+240</t>
  </si>
  <si>
    <t>HP+240,RP+540</t>
  </si>
  <si>
    <t>HP+180,RP+420</t>
  </si>
  <si>
    <t>HP+210,RP+480</t>
  </si>
  <si>
    <t>HP+150,RP+360</t>
  </si>
  <si>
    <t>HP+120,RP+300</t>
  </si>
  <si>
    <t>友好度+20</t>
  </si>
  <si>
    <t>友好度+40</t>
  </si>
  <si>
    <t>友好度+80</t>
  </si>
  <si>
    <t>友好度+140</t>
  </si>
  <si>
    <t>友好度+220</t>
  </si>
  <si>
    <t>友好度+320</t>
  </si>
  <si>
    <t>string</t>
  </si>
  <si>
    <t>Text1</t>
  </si>
  <si>
    <t/>
  </si>
  <si>
    <t>AT+17</t>
  </si>
  <si>
    <t>AT+36</t>
  </si>
  <si>
    <t>AT+72</t>
  </si>
  <si>
    <t>AT+63</t>
  </si>
  <si>
    <t>AT+22 DE+10</t>
  </si>
  <si>
    <t>AT+43 DE+12</t>
  </si>
  <si>
    <t>AT+36 DE+12</t>
  </si>
  <si>
    <t>AT+50 DA+12</t>
  </si>
  <si>
    <t>AT+54 DA+12</t>
  </si>
  <si>
    <t>AT+65 DA+14</t>
  </si>
  <si>
    <t>AT+29 DE+4 DA+6</t>
  </si>
  <si>
    <t>AT+51 DE+6 DA+6</t>
  </si>
  <si>
    <t>AT+58 DE+6 DA+6</t>
  </si>
  <si>
    <t>AT+32 DE+4 DA+6</t>
  </si>
  <si>
    <t>AT+58 DA+14</t>
  </si>
  <si>
    <t>DF+11 DE+10</t>
  </si>
  <si>
    <t>DF+14</t>
  </si>
  <si>
    <t>DF+42</t>
  </si>
  <si>
    <t>DF+18 DE+10</t>
  </si>
  <si>
    <t>DF+23</t>
  </si>
  <si>
    <t>DF+45</t>
  </si>
  <si>
    <t>DF+24 DE+11</t>
  </si>
  <si>
    <t>DF+38</t>
  </si>
  <si>
    <t>DF+54 DE+14</t>
  </si>
  <si>
    <t>DF+36 DE+13</t>
  </si>
  <si>
    <t>DF+60</t>
  </si>
  <si>
    <t>DF+53</t>
  </si>
  <si>
    <t>DF+39 DE+13</t>
  </si>
  <si>
    <t>DF+48 DE+14</t>
  </si>
  <si>
    <t>DF+30 DE+12</t>
  </si>
  <si>
    <t>适应季节:秋 产物价格:101 长成天数:5</t>
  </si>
  <si>
    <t>结婚戒指</t>
    <phoneticPr fontId="1" type="noConversion"/>
  </si>
  <si>
    <t>新郎礼服</t>
    <phoneticPr fontId="1" type="noConversion"/>
  </si>
  <si>
    <t>新娘礼服</t>
    <phoneticPr fontId="1" type="noConversion"/>
  </si>
  <si>
    <t>结婚必需品，忠贞不渝的象征</t>
    <phoneticPr fontId="1" type="noConversion"/>
  </si>
  <si>
    <t>结婚典礼上新郎穿的礼服。</t>
    <phoneticPr fontId="1" type="noConversion"/>
  </si>
  <si>
    <t>结婚典礼上新娘穿的礼服。</t>
    <phoneticPr fontId="1" type="noConversion"/>
  </si>
  <si>
    <t>xinlang</t>
  </si>
  <si>
    <t>xinniang</t>
  </si>
  <si>
    <t>I_Acce03</t>
  </si>
  <si>
    <t>loveFood</t>
    <phoneticPr fontId="1" type="noConversion"/>
  </si>
  <si>
    <t>true</t>
  </si>
  <si>
    <t>HP全满</t>
    <phoneticPr fontId="1" type="noConversion"/>
  </si>
  <si>
    <t>爱心甜点</t>
    <phoneticPr fontId="1" type="noConversion"/>
  </si>
  <si>
    <t>手工制成的点心，包含着满满的爱意。</t>
    <phoneticPr fontId="1" type="noConversion"/>
  </si>
  <si>
    <t>4,-1;</t>
    <phoneticPr fontId="1" type="noConversion"/>
  </si>
  <si>
    <t>鸡产下的卵，可以加工成多种食品。</t>
    <phoneticPr fontId="1" type="noConversion"/>
  </si>
  <si>
    <t>婴儿床</t>
    <phoneticPr fontId="1" type="noConversion"/>
  </si>
  <si>
    <t>childBed</t>
    <phoneticPr fontId="1" type="noConversion"/>
  </si>
  <si>
    <t>小婴儿的特制睡床</t>
    <phoneticPr fontId="1" type="noConversion"/>
  </si>
  <si>
    <t>尿布</t>
    <phoneticPr fontId="1" type="noConversion"/>
  </si>
  <si>
    <t>保险绳</t>
    <phoneticPr fontId="1" type="noConversion"/>
  </si>
  <si>
    <t>baoxian</t>
    <phoneticPr fontId="1" type="noConversion"/>
  </si>
  <si>
    <t>niaobu</t>
    <phoneticPr fontId="1" type="noConversion"/>
  </si>
  <si>
    <t>婴儿专用制品</t>
    <phoneticPr fontId="1" type="noConversion"/>
  </si>
  <si>
    <t>保证安全的细绳</t>
    <phoneticPr fontId="1" type="noConversion"/>
  </si>
  <si>
    <t>土元素结晶</t>
    <phoneticPr fontId="1" type="noConversion"/>
  </si>
  <si>
    <t>治愈药水</t>
    <phoneticPr fontId="1" type="noConversion"/>
  </si>
  <si>
    <t>复活药水</t>
    <phoneticPr fontId="1" type="noConversion"/>
  </si>
  <si>
    <t>恢复药水</t>
    <phoneticPr fontId="1" type="noConversion"/>
  </si>
  <si>
    <t>附魔药水(冰)</t>
    <phoneticPr fontId="1" type="noConversion"/>
  </si>
  <si>
    <t>附魔药水(火)</t>
    <phoneticPr fontId="1" type="noConversion"/>
  </si>
  <si>
    <t>附魔药水(光)</t>
    <phoneticPr fontId="1" type="noConversion"/>
  </si>
  <si>
    <t>附魔药水(风)</t>
    <phoneticPr fontId="1" type="noConversion"/>
  </si>
  <si>
    <t>附魔药水(暗)</t>
    <phoneticPr fontId="1" type="noConversion"/>
  </si>
  <si>
    <t>HP全满</t>
  </si>
  <si>
    <t>4,-1;</t>
  </si>
  <si>
    <t>使用特殊手法支持的秘药。</t>
    <phoneticPr fontId="1" type="noConversion"/>
  </si>
  <si>
    <t>可以使濒死的队员复活。</t>
    <phoneticPr fontId="1" type="noConversion"/>
  </si>
  <si>
    <t>使疗养中的NPC快速恢复健康。</t>
    <phoneticPr fontId="1" type="noConversion"/>
  </si>
  <si>
    <t>typeValue</t>
    <phoneticPr fontId="1" type="noConversion"/>
  </si>
  <si>
    <t>IconSet_0</t>
    <phoneticPr fontId="1" type="noConversion"/>
  </si>
  <si>
    <t>IconSet_1</t>
  </si>
  <si>
    <t>IconSet_2</t>
  </si>
  <si>
    <t>IconSet_4</t>
    <phoneticPr fontId="1" type="noConversion"/>
  </si>
  <si>
    <t>IconSet_5</t>
    <phoneticPr fontId="1" type="noConversion"/>
  </si>
  <si>
    <t>IconSet_6</t>
    <phoneticPr fontId="1" type="noConversion"/>
  </si>
  <si>
    <t>IconSet_7</t>
    <phoneticPr fontId="1" type="noConversion"/>
  </si>
  <si>
    <t>IconSet_3</t>
    <phoneticPr fontId="1" type="noConversion"/>
  </si>
  <si>
    <t>使用后暂时性使自己变为冰属性，战斗后消失。</t>
    <phoneticPr fontId="1" type="noConversion"/>
  </si>
  <si>
    <t>使用后暂时性使自己变为火属性，战斗后消失。</t>
    <phoneticPr fontId="1" type="noConversion"/>
  </si>
  <si>
    <t>使用后暂时性使自己变为光属性，战斗后消失。</t>
    <phoneticPr fontId="1" type="noConversion"/>
  </si>
  <si>
    <t>使用后暂时性使自己变为风属性，战斗后消失。</t>
    <phoneticPr fontId="1" type="noConversion"/>
  </si>
  <si>
    <t>使用后暂时性使自己变为暗属性，战斗后消失。</t>
    <phoneticPr fontId="1" type="noConversion"/>
  </si>
  <si>
    <t>友好度+440</t>
    <phoneticPr fontId="1" type="noConversion"/>
  </si>
  <si>
    <t>友好度+580</t>
    <phoneticPr fontId="1" type="noConversion"/>
  </si>
  <si>
    <t>风系魔法卷轴</t>
    <phoneticPr fontId="1" type="noConversion"/>
  </si>
  <si>
    <t>火系魔法卷轴</t>
    <phoneticPr fontId="1" type="noConversion"/>
  </si>
  <si>
    <t>冰系魔法卷轴</t>
    <phoneticPr fontId="1" type="noConversion"/>
  </si>
  <si>
    <t>光系魔法卷轴</t>
    <phoneticPr fontId="1" type="noConversion"/>
  </si>
  <si>
    <t>暗系魔法卷轴</t>
    <phoneticPr fontId="1" type="noConversion"/>
  </si>
  <si>
    <t>施放风系魔法风之残刃</t>
    <phoneticPr fontId="1" type="noConversion"/>
  </si>
  <si>
    <t>施放火系魔法火之律动</t>
    <phoneticPr fontId="1" type="noConversion"/>
  </si>
  <si>
    <t>施放冰系魔法冰之虚无</t>
    <phoneticPr fontId="1" type="noConversion"/>
  </si>
  <si>
    <t>施放光系魔法光之制裁</t>
    <phoneticPr fontId="1" type="noConversion"/>
  </si>
  <si>
    <t>施放暗系魔法暗之冥焰</t>
    <phoneticPr fontId="1" type="noConversion"/>
  </si>
  <si>
    <t>j1_0</t>
    <phoneticPr fontId="1" type="noConversion"/>
  </si>
  <si>
    <t>j1_1</t>
    <phoneticPr fontId="1" type="noConversion"/>
  </si>
  <si>
    <t>j1_2</t>
    <phoneticPr fontId="1" type="noConversion"/>
  </si>
  <si>
    <t>j1_3</t>
    <phoneticPr fontId="1" type="noConversion"/>
  </si>
  <si>
    <t>j1_4</t>
    <phoneticPr fontId="1" type="noConversion"/>
  </si>
  <si>
    <t>腌黄瓜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</si>
</sst>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Tahoma"/>
      <family val="2"/>
    </font>
    <font>
      <sz val="9"/>
      <color rgb="FF000000"/>
      <name val="Arial"/>
      <family val="2"/>
    </font>
    <font>
      <sz val="9"/>
      <color rgb="FF000000"/>
      <name val="宋体"/>
      <family val="2"/>
      <charset val="134"/>
    </font>
    <font>
      <sz val="9"/>
      <color rgb="FF00000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2" borderId="0" xfId="0" applyFill="1">
      <alignment vertical="center"/>
    </xf>
    <xf numFmtId="0" fontId="5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N293"/>
  <sheetViews>
    <sheetView tabSelected="1" workbookViewId="0">
      <pane xSplit="1" ySplit="3" topLeftCell="B151" activePane="bottomRight" state="frozen"/>
      <selection pane="topRight" activeCell="B1" sqref="B1"/>
      <selection pane="bottomLeft" activeCell="A4" sqref="A4"/>
      <selection pane="bottomRight" activeCell="A153" sqref="A153:A161"/>
    </sheetView>
  </sheetViews>
  <sheetFormatPr defaultColWidth="7.75" defaultRowHeight="13.5" x14ac:dyDescent="0.15"/>
  <cols>
    <col min="1" max="1" width="11.125" style="1" customWidth="1"/>
    <col min="2" max="2" width="7.75" style="1"/>
    <col min="3" max="3" width="7.75" style="1" customWidth="1"/>
    <col min="4" max="4" width="12.125" style="1" customWidth="1"/>
    <col min="5" max="5" width="7.75" style="8" customWidth="1"/>
    <col min="6" max="8" width="7.75" style="1" customWidth="1"/>
    <col min="9" max="9" width="11.25" style="1" customWidth="1"/>
    <col min="10" max="10" width="18.5" style="1" customWidth="1"/>
    <col min="11" max="11" width="15" style="1" customWidth="1"/>
    <col min="12" max="12" width="16.125" style="1" customWidth="1"/>
    <col min="13" max="13" width="7.75" style="1" customWidth="1"/>
    <col min="14" max="14" width="8.5" style="1" bestFit="1" customWidth="1"/>
    <col min="15" max="15" width="6.625" style="1" customWidth="1"/>
    <col min="16" max="16384" width="7.75" style="1"/>
  </cols>
  <sheetData>
    <row r="2" spans="1:14" x14ac:dyDescent="0.15">
      <c r="A2" s="1" t="s">
        <v>8</v>
      </c>
      <c r="B2" s="1" t="s">
        <v>6</v>
      </c>
      <c r="C2" s="1" t="s">
        <v>8</v>
      </c>
      <c r="D2" s="1" t="s">
        <v>6</v>
      </c>
      <c r="E2" s="8" t="s">
        <v>831</v>
      </c>
      <c r="F2" s="1" t="s">
        <v>6</v>
      </c>
      <c r="G2" s="1" t="s">
        <v>6</v>
      </c>
      <c r="H2" s="1" t="s">
        <v>6</v>
      </c>
      <c r="I2" s="1" t="s">
        <v>911</v>
      </c>
      <c r="J2" s="1" t="s">
        <v>8</v>
      </c>
      <c r="K2" s="1" t="s">
        <v>8</v>
      </c>
      <c r="L2" s="1" t="s">
        <v>6</v>
      </c>
      <c r="M2" s="1" t="s">
        <v>6</v>
      </c>
      <c r="N2" s="1" t="s">
        <v>6</v>
      </c>
    </row>
    <row r="3" spans="1:14" ht="31.5" customHeight="1" x14ac:dyDescent="0.15">
      <c r="A3" s="1" t="s">
        <v>0</v>
      </c>
      <c r="B3" s="1" t="s">
        <v>1</v>
      </c>
      <c r="C3" s="1" t="s">
        <v>2</v>
      </c>
      <c r="D3" s="1" t="s">
        <v>3</v>
      </c>
      <c r="E3" s="8" t="s">
        <v>832</v>
      </c>
      <c r="F3" s="1" t="s">
        <v>984</v>
      </c>
      <c r="G3" s="1" t="s">
        <v>10</v>
      </c>
      <c r="H3" s="1" t="s">
        <v>11</v>
      </c>
      <c r="I3" s="1" t="s">
        <v>912</v>
      </c>
      <c r="J3" s="1" t="s">
        <v>4</v>
      </c>
      <c r="K3" s="1" t="s">
        <v>7</v>
      </c>
      <c r="L3" s="1" t="s">
        <v>730</v>
      </c>
      <c r="M3" s="1" t="s">
        <v>9</v>
      </c>
      <c r="N3" s="1" t="s">
        <v>5</v>
      </c>
    </row>
    <row r="4" spans="1:14" ht="27" customHeight="1" x14ac:dyDescent="0.15">
      <c r="A4" s="1" t="s">
        <v>354</v>
      </c>
      <c r="B4" s="1">
        <v>1001</v>
      </c>
      <c r="C4" s="1" t="s">
        <v>146</v>
      </c>
      <c r="D4" s="1">
        <v>5</v>
      </c>
      <c r="E4" s="8" t="s">
        <v>833</v>
      </c>
      <c r="F4" s="1">
        <v>1</v>
      </c>
      <c r="G4" s="1">
        <v>1</v>
      </c>
      <c r="H4" s="1">
        <v>49</v>
      </c>
      <c r="I4" s="1" t="s">
        <v>913</v>
      </c>
      <c r="J4" s="1" t="s">
        <v>355</v>
      </c>
      <c r="L4" s="1">
        <v>1</v>
      </c>
      <c r="M4" s="1">
        <f t="shared" ref="M4:M19" si="0">N4*4</f>
        <v>292</v>
      </c>
      <c r="N4" s="1">
        <f>VLOOKUP(item!A4,Sheet1!$A$1:$B$180,2,FALSE)</f>
        <v>73</v>
      </c>
    </row>
    <row r="5" spans="1:14" ht="27" customHeight="1" x14ac:dyDescent="0.15">
      <c r="A5" s="1" t="s">
        <v>12</v>
      </c>
      <c r="B5" s="1">
        <v>1002</v>
      </c>
      <c r="C5" s="1" t="s">
        <v>147</v>
      </c>
      <c r="D5" s="1">
        <v>5</v>
      </c>
      <c r="E5" s="8" t="s">
        <v>833</v>
      </c>
      <c r="F5" s="1">
        <v>1</v>
      </c>
      <c r="G5" s="1">
        <v>1</v>
      </c>
      <c r="H5" s="1">
        <v>49</v>
      </c>
      <c r="I5" s="1" t="s">
        <v>913</v>
      </c>
      <c r="J5" s="1" t="s">
        <v>356</v>
      </c>
      <c r="L5" s="1">
        <v>1</v>
      </c>
      <c r="M5" s="1">
        <f t="shared" si="0"/>
        <v>724</v>
      </c>
      <c r="N5" s="1">
        <f>VLOOKUP(item!A5,Sheet1!$A$1:$B$180,2,FALSE)</f>
        <v>181</v>
      </c>
    </row>
    <row r="6" spans="1:14" ht="27" customHeight="1" x14ac:dyDescent="0.15">
      <c r="A6" s="1" t="s">
        <v>793</v>
      </c>
      <c r="B6" s="1">
        <v>1003</v>
      </c>
      <c r="C6" s="1" t="s">
        <v>148</v>
      </c>
      <c r="D6" s="1">
        <v>5</v>
      </c>
      <c r="E6" s="8" t="s">
        <v>833</v>
      </c>
      <c r="F6" s="1">
        <v>1</v>
      </c>
      <c r="G6" s="1">
        <v>1</v>
      </c>
      <c r="H6" s="1">
        <v>49</v>
      </c>
      <c r="I6" s="1" t="s">
        <v>913</v>
      </c>
      <c r="J6" s="1" t="s">
        <v>357</v>
      </c>
      <c r="L6" s="1">
        <v>1</v>
      </c>
      <c r="M6" s="1">
        <f t="shared" si="0"/>
        <v>660</v>
      </c>
      <c r="N6" s="1">
        <f>VLOOKUP(item!A6,Sheet1!$A$1:$B$180,2,FALSE)</f>
        <v>165</v>
      </c>
    </row>
    <row r="7" spans="1:14" ht="27" customHeight="1" x14ac:dyDescent="0.15">
      <c r="A7" s="1" t="s">
        <v>794</v>
      </c>
      <c r="B7" s="1">
        <v>1004</v>
      </c>
      <c r="C7" s="1" t="s">
        <v>149</v>
      </c>
      <c r="D7" s="1">
        <v>5</v>
      </c>
      <c r="E7" s="8" t="s">
        <v>833</v>
      </c>
      <c r="F7" s="1">
        <v>1</v>
      </c>
      <c r="G7" s="1">
        <v>1</v>
      </c>
      <c r="H7" s="1">
        <v>49</v>
      </c>
      <c r="I7" s="1" t="s">
        <v>913</v>
      </c>
      <c r="J7" s="1" t="s">
        <v>358</v>
      </c>
      <c r="L7" s="1">
        <v>1</v>
      </c>
      <c r="M7" s="1">
        <f t="shared" si="0"/>
        <v>880</v>
      </c>
      <c r="N7" s="1">
        <f>VLOOKUP(item!A7,Sheet1!$A$1:$B$180,2,FALSE)</f>
        <v>220</v>
      </c>
    </row>
    <row r="8" spans="1:14" ht="27" customHeight="1" x14ac:dyDescent="0.15">
      <c r="A8" s="1" t="s">
        <v>792</v>
      </c>
      <c r="B8" s="1">
        <v>1005</v>
      </c>
      <c r="C8" s="1" t="s">
        <v>150</v>
      </c>
      <c r="D8" s="1">
        <v>5</v>
      </c>
      <c r="E8" s="8" t="s">
        <v>833</v>
      </c>
      <c r="F8" s="1">
        <v>1</v>
      </c>
      <c r="G8" s="1">
        <v>1</v>
      </c>
      <c r="H8" s="1">
        <v>49</v>
      </c>
      <c r="I8" s="1" t="s">
        <v>913</v>
      </c>
      <c r="J8" s="1" t="s">
        <v>359</v>
      </c>
      <c r="L8" s="1">
        <v>1</v>
      </c>
      <c r="M8" s="1">
        <f t="shared" si="0"/>
        <v>660</v>
      </c>
      <c r="N8" s="1">
        <f>VLOOKUP(item!A8,Sheet1!$A$1:$B$180,2,FALSE)</f>
        <v>165</v>
      </c>
    </row>
    <row r="9" spans="1:14" ht="27" customHeight="1" x14ac:dyDescent="0.15">
      <c r="A9" s="1" t="s">
        <v>791</v>
      </c>
      <c r="B9" s="1">
        <v>1006</v>
      </c>
      <c r="C9" s="1" t="s">
        <v>151</v>
      </c>
      <c r="D9" s="1">
        <v>5</v>
      </c>
      <c r="E9" s="8" t="s">
        <v>833</v>
      </c>
      <c r="F9" s="1">
        <v>1</v>
      </c>
      <c r="G9" s="1">
        <v>1</v>
      </c>
      <c r="H9" s="1">
        <v>49</v>
      </c>
      <c r="I9" s="1" t="s">
        <v>913</v>
      </c>
      <c r="J9" s="1" t="s">
        <v>361</v>
      </c>
      <c r="L9" s="1">
        <v>1</v>
      </c>
      <c r="M9" s="1">
        <f t="shared" si="0"/>
        <v>724</v>
      </c>
      <c r="N9" s="1">
        <f>VLOOKUP(item!A9,Sheet1!$A$1:$B$180,2,FALSE)</f>
        <v>181</v>
      </c>
    </row>
    <row r="10" spans="1:14" ht="27" customHeight="1" x14ac:dyDescent="0.15">
      <c r="A10" s="1" t="s">
        <v>15</v>
      </c>
      <c r="B10" s="1">
        <v>1007</v>
      </c>
      <c r="C10" s="1" t="s">
        <v>152</v>
      </c>
      <c r="D10" s="1">
        <v>5</v>
      </c>
      <c r="E10" s="8" t="s">
        <v>833</v>
      </c>
      <c r="F10" s="1">
        <v>1</v>
      </c>
      <c r="G10" s="1">
        <v>1</v>
      </c>
      <c r="H10" s="1">
        <v>49</v>
      </c>
      <c r="I10" s="1" t="s">
        <v>913</v>
      </c>
      <c r="J10" s="1" t="s">
        <v>360</v>
      </c>
      <c r="L10" s="1">
        <v>1</v>
      </c>
      <c r="M10" s="1">
        <f t="shared" si="0"/>
        <v>832</v>
      </c>
      <c r="N10" s="1">
        <f>VLOOKUP(item!A10,Sheet1!$A$1:$B$180,2,FALSE)</f>
        <v>208</v>
      </c>
    </row>
    <row r="11" spans="1:14" ht="13.5" customHeight="1" x14ac:dyDescent="0.15">
      <c r="A11" s="1" t="s">
        <v>16</v>
      </c>
      <c r="B11" s="1">
        <v>1008</v>
      </c>
      <c r="C11" s="1" t="s">
        <v>153</v>
      </c>
      <c r="D11" s="1">
        <v>5</v>
      </c>
      <c r="E11" s="8" t="s">
        <v>833</v>
      </c>
      <c r="F11" s="1">
        <v>1</v>
      </c>
      <c r="G11" s="1">
        <v>1</v>
      </c>
      <c r="H11" s="1">
        <v>49</v>
      </c>
      <c r="I11" s="1" t="s">
        <v>913</v>
      </c>
      <c r="J11" s="1" t="s">
        <v>362</v>
      </c>
      <c r="L11" s="1">
        <v>1</v>
      </c>
      <c r="M11" s="1">
        <f t="shared" si="0"/>
        <v>780</v>
      </c>
      <c r="N11" s="1">
        <f>VLOOKUP(item!A11,Sheet1!$A$1:$B$180,2,FALSE)</f>
        <v>195</v>
      </c>
    </row>
    <row r="12" spans="1:14" ht="27" customHeight="1" x14ac:dyDescent="0.15">
      <c r="A12" s="1" t="s">
        <v>17</v>
      </c>
      <c r="B12" s="1">
        <v>1009</v>
      </c>
      <c r="C12" s="1" t="s">
        <v>154</v>
      </c>
      <c r="D12" s="1">
        <v>5</v>
      </c>
      <c r="E12" s="8" t="s">
        <v>833</v>
      </c>
      <c r="F12" s="1">
        <v>1</v>
      </c>
      <c r="G12" s="1">
        <v>1</v>
      </c>
      <c r="H12" s="1">
        <v>49</v>
      </c>
      <c r="I12" s="1" t="s">
        <v>913</v>
      </c>
      <c r="J12" s="1" t="s">
        <v>363</v>
      </c>
      <c r="L12" s="1">
        <v>1</v>
      </c>
      <c r="M12" s="1">
        <f t="shared" si="0"/>
        <v>292</v>
      </c>
      <c r="N12" s="1">
        <f>VLOOKUP(item!A12,Sheet1!$A$1:$B$180,2,FALSE)</f>
        <v>73</v>
      </c>
    </row>
    <row r="13" spans="1:14" ht="27" customHeight="1" x14ac:dyDescent="0.15">
      <c r="A13" s="1" t="s">
        <v>364</v>
      </c>
      <c r="B13" s="1">
        <v>1010</v>
      </c>
      <c r="C13" s="1" t="s">
        <v>155</v>
      </c>
      <c r="D13" s="1">
        <v>5</v>
      </c>
      <c r="E13" s="8" t="s">
        <v>833</v>
      </c>
      <c r="F13" s="1">
        <v>1</v>
      </c>
      <c r="G13" s="1">
        <v>1</v>
      </c>
      <c r="H13" s="1">
        <v>49</v>
      </c>
      <c r="I13" s="1" t="s">
        <v>913</v>
      </c>
      <c r="J13" s="1" t="s">
        <v>365</v>
      </c>
      <c r="L13" s="1">
        <v>1</v>
      </c>
      <c r="M13" s="1">
        <f t="shared" si="0"/>
        <v>584</v>
      </c>
      <c r="N13" s="1">
        <f>VLOOKUP(item!A13,Sheet1!$A$1:$B$180,2,FALSE)</f>
        <v>146</v>
      </c>
    </row>
    <row r="14" spans="1:14" ht="13.5" customHeight="1" x14ac:dyDescent="0.15">
      <c r="A14" s="1" t="s">
        <v>18</v>
      </c>
      <c r="B14" s="1">
        <v>1011</v>
      </c>
      <c r="C14" s="1" t="s">
        <v>156</v>
      </c>
      <c r="D14" s="1">
        <v>5</v>
      </c>
      <c r="E14" s="8" t="s">
        <v>833</v>
      </c>
      <c r="F14" s="1">
        <v>1</v>
      </c>
      <c r="G14" s="1">
        <v>1</v>
      </c>
      <c r="H14" s="1">
        <v>49</v>
      </c>
      <c r="I14" s="1" t="s">
        <v>913</v>
      </c>
      <c r="J14" s="1" t="s">
        <v>366</v>
      </c>
      <c r="L14" s="1">
        <v>1</v>
      </c>
      <c r="M14" s="1">
        <f t="shared" si="0"/>
        <v>404</v>
      </c>
      <c r="N14" s="1">
        <f>VLOOKUP(item!A14,Sheet1!$A$1:$B$180,2,FALSE)</f>
        <v>101</v>
      </c>
    </row>
    <row r="15" spans="1:14" ht="13.5" customHeight="1" x14ac:dyDescent="0.15">
      <c r="A15" s="1" t="s">
        <v>367</v>
      </c>
      <c r="B15" s="1">
        <v>1012</v>
      </c>
      <c r="C15" s="1" t="s">
        <v>157</v>
      </c>
      <c r="D15" s="1">
        <v>5</v>
      </c>
      <c r="E15" s="8" t="s">
        <v>833</v>
      </c>
      <c r="F15" s="1">
        <v>1</v>
      </c>
      <c r="G15" s="1">
        <v>1</v>
      </c>
      <c r="H15" s="1">
        <v>49</v>
      </c>
      <c r="I15" s="1" t="s">
        <v>913</v>
      </c>
      <c r="J15" s="1" t="s">
        <v>368</v>
      </c>
      <c r="L15" s="1">
        <v>1</v>
      </c>
      <c r="M15" s="1">
        <f t="shared" si="0"/>
        <v>404</v>
      </c>
      <c r="N15" s="1">
        <f>VLOOKUP(item!A15,Sheet1!$A$1:$B$180,2,FALSE)</f>
        <v>101</v>
      </c>
    </row>
    <row r="16" spans="1:14" ht="13.5" customHeight="1" x14ac:dyDescent="0.15">
      <c r="A16" s="1" t="s">
        <v>19</v>
      </c>
      <c r="B16" s="1">
        <v>1013</v>
      </c>
      <c r="C16" s="1" t="s">
        <v>158</v>
      </c>
      <c r="D16" s="1">
        <v>5</v>
      </c>
      <c r="E16" s="8" t="s">
        <v>833</v>
      </c>
      <c r="F16" s="1">
        <v>2</v>
      </c>
      <c r="G16" s="1">
        <v>1</v>
      </c>
      <c r="H16" s="1">
        <v>49</v>
      </c>
      <c r="I16" s="1" t="s">
        <v>913</v>
      </c>
      <c r="J16" s="1" t="s">
        <v>369</v>
      </c>
      <c r="L16" s="1">
        <v>1</v>
      </c>
      <c r="M16" s="1">
        <f t="shared" si="0"/>
        <v>832</v>
      </c>
      <c r="N16" s="1">
        <f>VLOOKUP(item!A16,Sheet1!$A$1:$B$180,2,FALSE)</f>
        <v>208</v>
      </c>
    </row>
    <row r="17" spans="1:14" ht="13.5" customHeight="1" x14ac:dyDescent="0.15">
      <c r="A17" s="1" t="s">
        <v>370</v>
      </c>
      <c r="B17" s="1">
        <v>1014</v>
      </c>
      <c r="C17" s="1" t="s">
        <v>159</v>
      </c>
      <c r="D17" s="1">
        <v>5</v>
      </c>
      <c r="E17" s="8" t="s">
        <v>833</v>
      </c>
      <c r="F17" s="1">
        <v>2</v>
      </c>
      <c r="G17" s="1">
        <v>1</v>
      </c>
      <c r="H17" s="1">
        <v>49</v>
      </c>
      <c r="I17" s="1" t="s">
        <v>913</v>
      </c>
      <c r="J17" s="1" t="s">
        <v>371</v>
      </c>
      <c r="L17" s="1">
        <v>1</v>
      </c>
      <c r="M17" s="1">
        <f t="shared" si="0"/>
        <v>832</v>
      </c>
      <c r="N17" s="1">
        <f>VLOOKUP(item!A17,Sheet1!$A$1:$B$180,2,FALSE)</f>
        <v>208</v>
      </c>
    </row>
    <row r="18" spans="1:14" ht="13.5" customHeight="1" x14ac:dyDescent="0.15">
      <c r="A18" s="1" t="s">
        <v>372</v>
      </c>
      <c r="B18" s="1">
        <v>1015</v>
      </c>
      <c r="C18" s="1" t="s">
        <v>160</v>
      </c>
      <c r="D18" s="1">
        <v>5</v>
      </c>
      <c r="E18" s="8" t="s">
        <v>833</v>
      </c>
      <c r="F18" s="1">
        <v>1</v>
      </c>
      <c r="G18" s="1">
        <v>1</v>
      </c>
      <c r="H18" s="1">
        <v>49</v>
      </c>
      <c r="I18" s="1" t="s">
        <v>913</v>
      </c>
      <c r="J18" s="1" t="s">
        <v>373</v>
      </c>
      <c r="L18" s="1">
        <v>1</v>
      </c>
      <c r="M18" s="1">
        <f t="shared" si="0"/>
        <v>584</v>
      </c>
      <c r="N18" s="1">
        <f>VLOOKUP(item!A18,Sheet1!$A$1:$B$180,2,FALSE)</f>
        <v>146</v>
      </c>
    </row>
    <row r="19" spans="1:14" ht="13.5" customHeight="1" x14ac:dyDescent="0.15">
      <c r="A19" s="1" t="s">
        <v>20</v>
      </c>
      <c r="B19" s="1">
        <v>1016</v>
      </c>
      <c r="C19" s="1" t="s">
        <v>161</v>
      </c>
      <c r="D19" s="1">
        <v>5</v>
      </c>
      <c r="E19" s="8" t="s">
        <v>833</v>
      </c>
      <c r="F19" s="1">
        <v>1</v>
      </c>
      <c r="G19" s="1">
        <v>1</v>
      </c>
      <c r="H19" s="1">
        <v>49</v>
      </c>
      <c r="I19" s="1" t="s">
        <v>913</v>
      </c>
      <c r="J19" s="1" t="s">
        <v>374</v>
      </c>
      <c r="L19" s="1">
        <v>1</v>
      </c>
      <c r="M19" s="1">
        <f t="shared" si="0"/>
        <v>500</v>
      </c>
      <c r="N19" s="1">
        <f>VLOOKUP(item!A19,Sheet1!$A$1:$B$180,2,FALSE)</f>
        <v>125</v>
      </c>
    </row>
    <row r="20" spans="1:14" ht="13.5" customHeight="1" x14ac:dyDescent="0.15">
      <c r="A20" s="1" t="s">
        <v>776</v>
      </c>
      <c r="B20" s="1">
        <v>1017</v>
      </c>
      <c r="C20" s="1" t="s">
        <v>162</v>
      </c>
      <c r="D20" s="1">
        <v>5</v>
      </c>
      <c r="E20" s="8" t="s">
        <v>833</v>
      </c>
      <c r="F20" s="1">
        <v>2</v>
      </c>
      <c r="G20" s="1">
        <v>1</v>
      </c>
      <c r="H20" s="1">
        <v>49</v>
      </c>
      <c r="I20" s="1" t="s">
        <v>913</v>
      </c>
      <c r="J20" s="1" t="s">
        <v>375</v>
      </c>
      <c r="L20" s="1">
        <v>1</v>
      </c>
      <c r="M20" s="1">
        <f>N20*4</f>
        <v>832</v>
      </c>
      <c r="N20" s="1">
        <f>VLOOKUP(item!A20,Sheet1!$A$1:$B$180,2,FALSE)</f>
        <v>208</v>
      </c>
    </row>
    <row r="21" spans="1:14" ht="13.5" customHeight="1" x14ac:dyDescent="0.15">
      <c r="A21" s="1" t="s">
        <v>21</v>
      </c>
      <c r="B21" s="1">
        <v>1018</v>
      </c>
      <c r="C21" s="1" t="s">
        <v>163</v>
      </c>
      <c r="D21" s="1">
        <v>3</v>
      </c>
      <c r="E21" s="8" t="s">
        <v>834</v>
      </c>
      <c r="F21" s="1">
        <v>0</v>
      </c>
      <c r="G21" s="1">
        <v>1</v>
      </c>
      <c r="H21" s="1">
        <v>49</v>
      </c>
      <c r="I21" s="1" t="s">
        <v>913</v>
      </c>
      <c r="J21" s="1" t="s">
        <v>376</v>
      </c>
      <c r="L21" s="1">
        <v>1</v>
      </c>
      <c r="M21" s="1">
        <f>N21*2</f>
        <v>88</v>
      </c>
      <c r="N21" s="1">
        <f>VLOOKUP(item!A21,Sheet1!$A$1:$B$180,2,FALSE)</f>
        <v>44</v>
      </c>
    </row>
    <row r="22" spans="1:14" ht="13.5" customHeight="1" x14ac:dyDescent="0.15">
      <c r="A22" s="1" t="s">
        <v>22</v>
      </c>
      <c r="B22" s="1">
        <v>1019</v>
      </c>
      <c r="C22" s="1" t="s">
        <v>164</v>
      </c>
      <c r="D22" s="1">
        <v>1</v>
      </c>
      <c r="E22" s="8" t="s">
        <v>834</v>
      </c>
      <c r="F22" s="1">
        <v>1</v>
      </c>
      <c r="G22" s="1">
        <v>1</v>
      </c>
      <c r="H22" s="1">
        <v>9</v>
      </c>
      <c r="I22" s="1" t="s">
        <v>914</v>
      </c>
      <c r="J22" s="1" t="s">
        <v>377</v>
      </c>
      <c r="K22" s="1" t="s">
        <v>731</v>
      </c>
      <c r="L22" s="1">
        <v>1</v>
      </c>
      <c r="M22" s="1">
        <f>N22*2</f>
        <v>408</v>
      </c>
      <c r="N22" s="1">
        <f>VLOOKUP(item!A22,Sheet1!$A$1:$B$180,2,FALSE)</f>
        <v>204</v>
      </c>
    </row>
    <row r="23" spans="1:14" ht="27" customHeight="1" x14ac:dyDescent="0.15">
      <c r="A23" s="1" t="s">
        <v>23</v>
      </c>
      <c r="B23" s="1">
        <v>1020</v>
      </c>
      <c r="C23" s="1" t="s">
        <v>165</v>
      </c>
      <c r="D23" s="1">
        <v>1</v>
      </c>
      <c r="E23" s="8" t="s">
        <v>834</v>
      </c>
      <c r="F23" s="1">
        <v>1</v>
      </c>
      <c r="G23" s="1">
        <v>1</v>
      </c>
      <c r="H23" s="1">
        <v>9</v>
      </c>
      <c r="I23" s="1" t="s">
        <v>915</v>
      </c>
      <c r="J23" s="1" t="s">
        <v>378</v>
      </c>
      <c r="K23" s="1" t="s">
        <v>735</v>
      </c>
      <c r="L23" s="1">
        <v>1</v>
      </c>
      <c r="M23" s="1">
        <f>N23*6</f>
        <v>2718</v>
      </c>
      <c r="N23" s="1">
        <f>VLOOKUP(item!A23,Sheet1!$A$1:$B$180,2,FALSE)</f>
        <v>453</v>
      </c>
    </row>
    <row r="24" spans="1:14" ht="27" customHeight="1" x14ac:dyDescent="0.15">
      <c r="A24" s="1" t="s">
        <v>24</v>
      </c>
      <c r="B24" s="1">
        <v>1021</v>
      </c>
      <c r="C24" s="1" t="s">
        <v>166</v>
      </c>
      <c r="D24" s="1">
        <v>1</v>
      </c>
      <c r="E24" s="8" t="s">
        <v>834</v>
      </c>
      <c r="F24" s="1">
        <v>1</v>
      </c>
      <c r="G24" s="1">
        <v>1</v>
      </c>
      <c r="H24" s="1">
        <v>9</v>
      </c>
      <c r="I24" s="1" t="s">
        <v>916</v>
      </c>
      <c r="J24" s="1" t="s">
        <v>379</v>
      </c>
      <c r="K24" s="1" t="s">
        <v>744</v>
      </c>
      <c r="L24" s="1">
        <v>1</v>
      </c>
      <c r="M24" s="1">
        <f>N24*6</f>
        <v>5928</v>
      </c>
      <c r="N24" s="1">
        <f>VLOOKUP(item!A24,Sheet1!$A$1:$B$180,2,FALSE)</f>
        <v>988</v>
      </c>
    </row>
    <row r="25" spans="1:14" ht="27" customHeight="1" x14ac:dyDescent="0.15">
      <c r="A25" s="1" t="s">
        <v>25</v>
      </c>
      <c r="B25" s="1">
        <v>1022</v>
      </c>
      <c r="C25" s="1" t="s">
        <v>167</v>
      </c>
      <c r="D25" s="1">
        <v>1</v>
      </c>
      <c r="E25" s="8" t="s">
        <v>834</v>
      </c>
      <c r="F25" s="1">
        <v>1</v>
      </c>
      <c r="G25" s="1">
        <v>1</v>
      </c>
      <c r="H25" s="1">
        <v>9</v>
      </c>
      <c r="I25" s="1" t="s">
        <v>917</v>
      </c>
      <c r="J25" s="1" t="s">
        <v>380</v>
      </c>
      <c r="K25" s="1" t="s">
        <v>740</v>
      </c>
      <c r="L25" s="1">
        <v>1</v>
      </c>
      <c r="M25" s="1">
        <f t="shared" ref="M25:M37" si="1">N25*6</f>
        <v>4602</v>
      </c>
      <c r="N25" s="1">
        <f>VLOOKUP(item!A25,Sheet1!$A$1:$B$180,2,FALSE)</f>
        <v>767</v>
      </c>
    </row>
    <row r="26" spans="1:14" ht="13.5" customHeight="1" x14ac:dyDescent="0.15">
      <c r="A26" s="1" t="s">
        <v>26</v>
      </c>
      <c r="B26" s="1">
        <v>1023</v>
      </c>
      <c r="C26" s="1" t="s">
        <v>168</v>
      </c>
      <c r="D26" s="1">
        <v>1</v>
      </c>
      <c r="E26" s="8" t="s">
        <v>834</v>
      </c>
      <c r="F26" s="1">
        <v>2</v>
      </c>
      <c r="G26" s="1">
        <v>1</v>
      </c>
      <c r="H26" s="1">
        <v>9</v>
      </c>
      <c r="I26" s="1" t="s">
        <v>918</v>
      </c>
      <c r="J26" s="1" t="s">
        <v>381</v>
      </c>
      <c r="K26" s="1" t="s">
        <v>732</v>
      </c>
      <c r="L26" s="1">
        <v>1</v>
      </c>
      <c r="M26" s="1">
        <f t="shared" si="1"/>
        <v>2124</v>
      </c>
      <c r="N26" s="1">
        <f>VLOOKUP(item!A26,Sheet1!$A$1:$B$180,2,FALSE)</f>
        <v>354</v>
      </c>
    </row>
    <row r="27" spans="1:14" ht="13.5" customHeight="1" x14ac:dyDescent="0.15">
      <c r="A27" s="1" t="s">
        <v>27</v>
      </c>
      <c r="B27" s="1">
        <v>1024</v>
      </c>
      <c r="C27" s="1" t="s">
        <v>169</v>
      </c>
      <c r="D27" s="1">
        <v>1</v>
      </c>
      <c r="E27" s="8" t="s">
        <v>834</v>
      </c>
      <c r="F27" s="1">
        <v>2</v>
      </c>
      <c r="G27" s="1">
        <v>1</v>
      </c>
      <c r="H27" s="1">
        <v>9</v>
      </c>
      <c r="I27" s="1" t="s">
        <v>919</v>
      </c>
      <c r="J27" s="1" t="s">
        <v>382</v>
      </c>
      <c r="K27" s="1" t="s">
        <v>737</v>
      </c>
      <c r="L27" s="1">
        <v>1</v>
      </c>
      <c r="M27" s="1">
        <f t="shared" si="1"/>
        <v>3876</v>
      </c>
      <c r="N27" s="1">
        <f>VLOOKUP(item!A27,Sheet1!$A$1:$B$180,2,FALSE)</f>
        <v>646</v>
      </c>
    </row>
    <row r="28" spans="1:14" ht="27" customHeight="1" x14ac:dyDescent="0.15">
      <c r="A28" s="1" t="s">
        <v>28</v>
      </c>
      <c r="B28" s="1">
        <v>1025</v>
      </c>
      <c r="C28" s="1" t="s">
        <v>170</v>
      </c>
      <c r="D28" s="1">
        <v>1</v>
      </c>
      <c r="E28" s="8" t="s">
        <v>834</v>
      </c>
      <c r="F28" s="1">
        <v>2</v>
      </c>
      <c r="G28" s="1">
        <v>1</v>
      </c>
      <c r="H28" s="1">
        <v>9</v>
      </c>
      <c r="I28" s="1" t="s">
        <v>920</v>
      </c>
      <c r="J28" s="1" t="s">
        <v>383</v>
      </c>
      <c r="K28" s="1" t="s">
        <v>736</v>
      </c>
      <c r="L28" s="1">
        <v>1</v>
      </c>
      <c r="M28" s="1">
        <f t="shared" si="1"/>
        <v>3186</v>
      </c>
      <c r="N28" s="1">
        <f>VLOOKUP(item!A28,Sheet1!$A$1:$B$180,2,FALSE)</f>
        <v>531</v>
      </c>
    </row>
    <row r="29" spans="1:14" ht="27" customHeight="1" x14ac:dyDescent="0.15">
      <c r="A29" s="1" t="s">
        <v>29</v>
      </c>
      <c r="B29" s="1">
        <v>1026</v>
      </c>
      <c r="C29" s="1" t="s">
        <v>171</v>
      </c>
      <c r="D29" s="1">
        <v>1</v>
      </c>
      <c r="E29" s="8" t="s">
        <v>834</v>
      </c>
      <c r="F29" s="1">
        <v>0</v>
      </c>
      <c r="G29" s="1">
        <v>1</v>
      </c>
      <c r="H29" s="1">
        <v>9</v>
      </c>
      <c r="I29" s="1" t="s">
        <v>921</v>
      </c>
      <c r="J29" s="1" t="s">
        <v>384</v>
      </c>
      <c r="K29" s="1" t="s">
        <v>738</v>
      </c>
      <c r="L29" s="1">
        <v>1</v>
      </c>
      <c r="M29" s="1">
        <f t="shared" si="1"/>
        <v>4146</v>
      </c>
      <c r="N29" s="1">
        <f>VLOOKUP(item!A29,Sheet1!$A$1:$B$180,2,FALSE)</f>
        <v>691</v>
      </c>
    </row>
    <row r="30" spans="1:14" ht="27" customHeight="1" x14ac:dyDescent="0.15">
      <c r="A30" s="1" t="s">
        <v>30</v>
      </c>
      <c r="B30" s="1">
        <v>1027</v>
      </c>
      <c r="C30" s="1" t="s">
        <v>172</v>
      </c>
      <c r="D30" s="1">
        <v>1</v>
      </c>
      <c r="E30" s="8" t="s">
        <v>834</v>
      </c>
      <c r="F30" s="1">
        <v>0</v>
      </c>
      <c r="G30" s="1">
        <v>1</v>
      </c>
      <c r="H30" s="1">
        <v>9</v>
      </c>
      <c r="I30" s="1" t="s">
        <v>922</v>
      </c>
      <c r="J30" s="1" t="s">
        <v>385</v>
      </c>
      <c r="K30" s="1" t="s">
        <v>739</v>
      </c>
      <c r="L30" s="1">
        <v>1</v>
      </c>
      <c r="M30" s="1">
        <f t="shared" si="1"/>
        <v>4482</v>
      </c>
      <c r="N30" s="1">
        <f>VLOOKUP(item!A30,Sheet1!$A$1:$B$180,2,FALSE)</f>
        <v>747</v>
      </c>
    </row>
    <row r="31" spans="1:14" ht="27" customHeight="1" x14ac:dyDescent="0.15">
      <c r="A31" s="1" t="s">
        <v>31</v>
      </c>
      <c r="B31" s="1">
        <v>1028</v>
      </c>
      <c r="C31" s="1" t="s">
        <v>173</v>
      </c>
      <c r="D31" s="1">
        <v>1</v>
      </c>
      <c r="E31" s="8" t="s">
        <v>834</v>
      </c>
      <c r="F31" s="1">
        <v>0</v>
      </c>
      <c r="G31" s="1">
        <v>1</v>
      </c>
      <c r="H31" s="1">
        <v>9</v>
      </c>
      <c r="I31" s="1" t="s">
        <v>923</v>
      </c>
      <c r="J31" s="1" t="s">
        <v>386</v>
      </c>
      <c r="K31" s="1" t="s">
        <v>745</v>
      </c>
      <c r="L31" s="1">
        <v>1</v>
      </c>
      <c r="M31" s="1">
        <f t="shared" si="1"/>
        <v>5688</v>
      </c>
      <c r="N31" s="1">
        <f>VLOOKUP(item!A31,Sheet1!$A$1:$B$180,2,FALSE)</f>
        <v>948</v>
      </c>
    </row>
    <row r="32" spans="1:14" ht="27" customHeight="1" x14ac:dyDescent="0.15">
      <c r="A32" s="1" t="s">
        <v>32</v>
      </c>
      <c r="B32" s="1">
        <v>1029</v>
      </c>
      <c r="C32" s="1" t="s">
        <v>174</v>
      </c>
      <c r="D32" s="1">
        <v>1</v>
      </c>
      <c r="E32" s="8" t="s">
        <v>834</v>
      </c>
      <c r="F32" s="1">
        <v>4</v>
      </c>
      <c r="G32" s="1">
        <v>1</v>
      </c>
      <c r="H32" s="1">
        <v>9</v>
      </c>
      <c r="I32" s="1" t="s">
        <v>924</v>
      </c>
      <c r="J32" s="1" t="s">
        <v>387</v>
      </c>
      <c r="K32" s="1" t="s">
        <v>733</v>
      </c>
      <c r="L32" s="1">
        <v>1</v>
      </c>
      <c r="M32" s="1">
        <f t="shared" si="1"/>
        <v>2586</v>
      </c>
      <c r="N32" s="1">
        <f>VLOOKUP(item!A32,Sheet1!$A$1:$B$180,2,FALSE)</f>
        <v>431</v>
      </c>
    </row>
    <row r="33" spans="1:14" ht="27" customHeight="1" x14ac:dyDescent="0.15">
      <c r="A33" s="1" t="s">
        <v>33</v>
      </c>
      <c r="B33" s="1">
        <v>1030</v>
      </c>
      <c r="C33" s="1" t="s">
        <v>175</v>
      </c>
      <c r="D33" s="1">
        <v>1</v>
      </c>
      <c r="E33" s="8" t="s">
        <v>834</v>
      </c>
      <c r="F33" s="1">
        <v>4</v>
      </c>
      <c r="G33" s="1">
        <v>1</v>
      </c>
      <c r="H33" s="1">
        <v>9</v>
      </c>
      <c r="I33" s="1" t="s">
        <v>925</v>
      </c>
      <c r="J33" s="1" t="s">
        <v>388</v>
      </c>
      <c r="K33" s="1" t="s">
        <v>741</v>
      </c>
      <c r="L33" s="1">
        <v>1</v>
      </c>
      <c r="M33" s="1">
        <f t="shared" si="1"/>
        <v>4260</v>
      </c>
      <c r="N33" s="1">
        <f>VLOOKUP(item!A33,Sheet1!$A$1:$B$180,2,FALSE)</f>
        <v>710</v>
      </c>
    </row>
    <row r="34" spans="1:14" ht="27" customHeight="1" x14ac:dyDescent="0.15">
      <c r="A34" s="2" t="s">
        <v>579</v>
      </c>
      <c r="B34" s="1">
        <v>1031</v>
      </c>
      <c r="C34" s="1" t="s">
        <v>176</v>
      </c>
      <c r="D34" s="1">
        <v>1</v>
      </c>
      <c r="E34" s="8" t="s">
        <v>834</v>
      </c>
      <c r="F34" s="1">
        <v>4</v>
      </c>
      <c r="G34" s="1">
        <v>1</v>
      </c>
      <c r="H34" s="1">
        <v>9</v>
      </c>
      <c r="I34" s="1" t="s">
        <v>926</v>
      </c>
      <c r="J34" s="1" t="s">
        <v>587</v>
      </c>
      <c r="K34" s="1" t="s">
        <v>742</v>
      </c>
      <c r="L34" s="1">
        <v>1</v>
      </c>
      <c r="M34" s="1">
        <f t="shared" si="1"/>
        <v>5052</v>
      </c>
      <c r="N34" s="1">
        <f>VLOOKUP(item!A34,Sheet1!$A$1:$B$180,2,FALSE)</f>
        <v>842</v>
      </c>
    </row>
    <row r="35" spans="1:14" ht="27" customHeight="1" x14ac:dyDescent="0.15">
      <c r="A35" s="2" t="s">
        <v>581</v>
      </c>
      <c r="B35" s="1">
        <v>1032</v>
      </c>
      <c r="C35" s="1" t="s">
        <v>177</v>
      </c>
      <c r="D35" s="1">
        <v>1</v>
      </c>
      <c r="E35" s="8" t="s">
        <v>834</v>
      </c>
      <c r="F35" s="1">
        <v>4</v>
      </c>
      <c r="G35" s="1">
        <v>1</v>
      </c>
      <c r="H35" s="1">
        <v>9</v>
      </c>
      <c r="I35" s="1" t="s">
        <v>927</v>
      </c>
      <c r="J35" s="1" t="s">
        <v>588</v>
      </c>
      <c r="K35" s="1" t="s">
        <v>734</v>
      </c>
      <c r="L35" s="1">
        <v>1</v>
      </c>
      <c r="M35" s="1">
        <f t="shared" si="1"/>
        <v>2880</v>
      </c>
      <c r="N35" s="1">
        <f>VLOOKUP(item!A35,Sheet1!$A$1:$B$180,2,FALSE)</f>
        <v>480</v>
      </c>
    </row>
    <row r="36" spans="1:14" ht="27" customHeight="1" x14ac:dyDescent="0.15">
      <c r="A36" s="1" t="s">
        <v>34</v>
      </c>
      <c r="B36" s="1">
        <v>1033</v>
      </c>
      <c r="C36" s="1" t="s">
        <v>178</v>
      </c>
      <c r="D36" s="1">
        <v>1</v>
      </c>
      <c r="E36" s="8" t="s">
        <v>834</v>
      </c>
      <c r="F36" s="1">
        <v>0</v>
      </c>
      <c r="G36" s="1">
        <v>1</v>
      </c>
      <c r="H36" s="1">
        <v>9</v>
      </c>
      <c r="I36" s="1" t="s">
        <v>928</v>
      </c>
      <c r="J36" s="1" t="s">
        <v>391</v>
      </c>
      <c r="K36" s="1" t="s">
        <v>743</v>
      </c>
      <c r="L36" s="1">
        <v>1</v>
      </c>
      <c r="M36" s="1">
        <f t="shared" si="1"/>
        <v>5700</v>
      </c>
      <c r="N36" s="1">
        <f>VLOOKUP(item!A36,Sheet1!$A$1:$B$180,2,FALSE)</f>
        <v>950</v>
      </c>
    </row>
    <row r="37" spans="1:14" ht="13.5" customHeight="1" x14ac:dyDescent="0.15">
      <c r="A37" s="1" t="s">
        <v>35</v>
      </c>
      <c r="B37" s="1">
        <v>1034</v>
      </c>
      <c r="C37" s="1" t="s">
        <v>179</v>
      </c>
      <c r="D37" s="1">
        <v>2</v>
      </c>
      <c r="E37" s="8" t="s">
        <v>834</v>
      </c>
      <c r="F37" s="1">
        <v>2</v>
      </c>
      <c r="G37" s="1">
        <v>1</v>
      </c>
      <c r="H37" s="1">
        <v>9</v>
      </c>
      <c r="I37" s="1" t="s">
        <v>929</v>
      </c>
      <c r="J37" s="1" t="s">
        <v>392</v>
      </c>
      <c r="K37" s="1" t="s">
        <v>747</v>
      </c>
      <c r="L37" s="1">
        <v>1</v>
      </c>
      <c r="M37" s="1">
        <f t="shared" si="1"/>
        <v>1320</v>
      </c>
      <c r="N37" s="1">
        <f>VLOOKUP(item!A37,Sheet1!$A$1:$B$180,2,FALSE)</f>
        <v>220</v>
      </c>
    </row>
    <row r="38" spans="1:14" ht="27" customHeight="1" x14ac:dyDescent="0.15">
      <c r="A38" s="1" t="s">
        <v>36</v>
      </c>
      <c r="B38" s="1">
        <v>1035</v>
      </c>
      <c r="C38" s="1" t="s">
        <v>180</v>
      </c>
      <c r="D38" s="1">
        <v>2</v>
      </c>
      <c r="E38" s="8" t="s">
        <v>834</v>
      </c>
      <c r="F38" s="1">
        <v>1</v>
      </c>
      <c r="G38" s="1">
        <v>1</v>
      </c>
      <c r="H38" s="1">
        <v>9</v>
      </c>
      <c r="I38" s="1" t="s">
        <v>930</v>
      </c>
      <c r="J38" s="1" t="s">
        <v>393</v>
      </c>
      <c r="K38" s="1" t="s">
        <v>748</v>
      </c>
      <c r="L38" s="1">
        <v>1</v>
      </c>
      <c r="M38" s="1">
        <f t="shared" ref="M38" si="2">N38*4</f>
        <v>760</v>
      </c>
      <c r="N38" s="1">
        <f>VLOOKUP(item!A38,Sheet1!$A$1:$B$180,2,FALSE)</f>
        <v>190</v>
      </c>
    </row>
    <row r="39" spans="1:14" ht="40.5" customHeight="1" x14ac:dyDescent="0.15">
      <c r="A39" s="1" t="s">
        <v>37</v>
      </c>
      <c r="B39" s="1">
        <v>1036</v>
      </c>
      <c r="C39" s="1" t="s">
        <v>181</v>
      </c>
      <c r="D39" s="1">
        <v>2</v>
      </c>
      <c r="E39" s="8" t="s">
        <v>834</v>
      </c>
      <c r="F39" s="1">
        <v>1</v>
      </c>
      <c r="G39" s="1">
        <v>1</v>
      </c>
      <c r="H39" s="1">
        <v>9</v>
      </c>
      <c r="I39" s="1" t="s">
        <v>931</v>
      </c>
      <c r="J39" s="1" t="s">
        <v>394</v>
      </c>
      <c r="K39" s="1" t="s">
        <v>753</v>
      </c>
      <c r="L39" s="1">
        <v>1</v>
      </c>
      <c r="M39" s="1">
        <f>N39*6</f>
        <v>2904</v>
      </c>
      <c r="N39" s="1">
        <f>VLOOKUP(item!A39,Sheet1!$A$1:$B$180,2,FALSE)</f>
        <v>484</v>
      </c>
    </row>
    <row r="40" spans="1:14" ht="27" customHeight="1" x14ac:dyDescent="0.15">
      <c r="A40" s="1" t="s">
        <v>38</v>
      </c>
      <c r="B40" s="1">
        <v>1037</v>
      </c>
      <c r="C40" s="1" t="s">
        <v>182</v>
      </c>
      <c r="D40" s="1">
        <v>2</v>
      </c>
      <c r="E40" s="8" t="s">
        <v>834</v>
      </c>
      <c r="F40" s="1">
        <v>2</v>
      </c>
      <c r="G40" s="1">
        <v>1</v>
      </c>
      <c r="H40" s="1">
        <v>9</v>
      </c>
      <c r="I40" s="1" t="s">
        <v>932</v>
      </c>
      <c r="J40" s="1" t="s">
        <v>395</v>
      </c>
      <c r="K40" s="1" t="s">
        <v>749</v>
      </c>
      <c r="L40" s="1">
        <v>1</v>
      </c>
      <c r="M40" s="1">
        <f t="shared" ref="M40:M51" si="3">N40*6</f>
        <v>1824</v>
      </c>
      <c r="N40" s="1">
        <f>VLOOKUP(item!A40,Sheet1!$A$1:$B$180,2,FALSE)</f>
        <v>304</v>
      </c>
    </row>
    <row r="41" spans="1:14" ht="27" customHeight="1" x14ac:dyDescent="0.15">
      <c r="A41" s="1" t="s">
        <v>39</v>
      </c>
      <c r="B41" s="1">
        <v>1038</v>
      </c>
      <c r="C41" s="1" t="s">
        <v>183</v>
      </c>
      <c r="D41" s="1">
        <v>2</v>
      </c>
      <c r="E41" s="8" t="s">
        <v>834</v>
      </c>
      <c r="F41" s="1">
        <v>1</v>
      </c>
      <c r="G41" s="1">
        <v>1</v>
      </c>
      <c r="H41" s="1">
        <v>9</v>
      </c>
      <c r="I41" s="1" t="s">
        <v>933</v>
      </c>
      <c r="J41" s="1" t="s">
        <v>396</v>
      </c>
      <c r="K41" s="1" t="s">
        <v>750</v>
      </c>
      <c r="L41" s="1">
        <v>1</v>
      </c>
      <c r="M41" s="1">
        <f t="shared" si="3"/>
        <v>1656</v>
      </c>
      <c r="N41" s="1">
        <f>VLOOKUP(item!A41,Sheet1!$A$1:$B$180,2,FALSE)</f>
        <v>276</v>
      </c>
    </row>
    <row r="42" spans="1:14" ht="27" customHeight="1" x14ac:dyDescent="0.15">
      <c r="A42" s="1" t="s">
        <v>573</v>
      </c>
      <c r="B42" s="1">
        <v>1039</v>
      </c>
      <c r="C42" s="1" t="s">
        <v>184</v>
      </c>
      <c r="D42" s="1">
        <v>2</v>
      </c>
      <c r="E42" s="8" t="s">
        <v>834</v>
      </c>
      <c r="F42" s="1">
        <v>1</v>
      </c>
      <c r="G42" s="1">
        <v>1</v>
      </c>
      <c r="H42" s="1">
        <v>9</v>
      </c>
      <c r="I42" s="1" t="s">
        <v>934</v>
      </c>
      <c r="J42" s="1" t="s">
        <v>397</v>
      </c>
      <c r="K42" s="1" t="s">
        <v>757</v>
      </c>
      <c r="L42" s="1">
        <v>1</v>
      </c>
      <c r="M42" s="1">
        <f t="shared" si="3"/>
        <v>3168</v>
      </c>
      <c r="N42" s="1">
        <f>VLOOKUP(item!A42,Sheet1!$A$1:$B$180,2,FALSE)</f>
        <v>528</v>
      </c>
    </row>
    <row r="43" spans="1:14" ht="13.5" customHeight="1" x14ac:dyDescent="0.15">
      <c r="A43" s="1" t="s">
        <v>40</v>
      </c>
      <c r="B43" s="1">
        <v>1040</v>
      </c>
      <c r="C43" s="1" t="s">
        <v>185</v>
      </c>
      <c r="D43" s="1">
        <v>2</v>
      </c>
      <c r="E43" s="8" t="s">
        <v>834</v>
      </c>
      <c r="F43" s="1">
        <v>0</v>
      </c>
      <c r="G43" s="1">
        <v>1</v>
      </c>
      <c r="H43" s="1">
        <v>9</v>
      </c>
      <c r="I43" s="1" t="s">
        <v>935</v>
      </c>
      <c r="J43" s="1" t="s">
        <v>398</v>
      </c>
      <c r="K43" s="1" t="s">
        <v>751</v>
      </c>
      <c r="L43" s="1">
        <v>1</v>
      </c>
      <c r="M43" s="1">
        <f t="shared" si="3"/>
        <v>2358</v>
      </c>
      <c r="N43" s="1">
        <f>VLOOKUP(item!A43,Sheet1!$A$1:$B$180,2,FALSE)</f>
        <v>393</v>
      </c>
    </row>
    <row r="44" spans="1:14" ht="27" customHeight="1" x14ac:dyDescent="0.15">
      <c r="A44" s="1" t="s">
        <v>41</v>
      </c>
      <c r="B44" s="1">
        <v>1041</v>
      </c>
      <c r="C44" s="1" t="s">
        <v>186</v>
      </c>
      <c r="D44" s="1">
        <v>2</v>
      </c>
      <c r="E44" s="8" t="s">
        <v>834</v>
      </c>
      <c r="F44" s="1">
        <v>1</v>
      </c>
      <c r="G44" s="1">
        <v>1</v>
      </c>
      <c r="H44" s="1">
        <v>9</v>
      </c>
      <c r="I44" s="1" t="s">
        <v>936</v>
      </c>
      <c r="J44" s="1" t="s">
        <v>399</v>
      </c>
      <c r="K44" s="1" t="s">
        <v>752</v>
      </c>
      <c r="L44" s="1">
        <v>1</v>
      </c>
      <c r="M44" s="1">
        <f t="shared" si="3"/>
        <v>2664</v>
      </c>
      <c r="N44" s="1">
        <f>VLOOKUP(item!A44,Sheet1!$A$1:$B$180,2,FALSE)</f>
        <v>444</v>
      </c>
    </row>
    <row r="45" spans="1:14" ht="13.5" customHeight="1" x14ac:dyDescent="0.15">
      <c r="A45" s="1" t="s">
        <v>42</v>
      </c>
      <c r="B45" s="1">
        <v>1042</v>
      </c>
      <c r="C45" s="1" t="s">
        <v>187</v>
      </c>
      <c r="D45" s="1">
        <v>2</v>
      </c>
      <c r="E45" s="8" t="s">
        <v>834</v>
      </c>
      <c r="F45" s="1">
        <v>2</v>
      </c>
      <c r="G45" s="1">
        <v>1</v>
      </c>
      <c r="H45" s="1">
        <v>9</v>
      </c>
      <c r="I45" s="1" t="s">
        <v>937</v>
      </c>
      <c r="J45" s="1" t="s">
        <v>400</v>
      </c>
      <c r="K45" s="1" t="s">
        <v>760</v>
      </c>
      <c r="L45" s="1">
        <v>1</v>
      </c>
      <c r="M45" s="1">
        <f t="shared" si="3"/>
        <v>5778</v>
      </c>
      <c r="N45" s="1">
        <f>VLOOKUP(item!A45,Sheet1!$A$1:$B$180,2,FALSE)</f>
        <v>963</v>
      </c>
    </row>
    <row r="46" spans="1:14" ht="27" customHeight="1" x14ac:dyDescent="0.15">
      <c r="A46" s="1" t="s">
        <v>43</v>
      </c>
      <c r="B46" s="1">
        <v>1043</v>
      </c>
      <c r="C46" s="1" t="s">
        <v>188</v>
      </c>
      <c r="D46" s="1">
        <v>2</v>
      </c>
      <c r="E46" s="8" t="s">
        <v>834</v>
      </c>
      <c r="F46" s="1">
        <v>2</v>
      </c>
      <c r="G46" s="1">
        <v>1</v>
      </c>
      <c r="H46" s="1">
        <v>9</v>
      </c>
      <c r="I46" s="1" t="s">
        <v>938</v>
      </c>
      <c r="J46" s="1" t="s">
        <v>401</v>
      </c>
      <c r="K46" s="1" t="s">
        <v>755</v>
      </c>
      <c r="L46" s="1">
        <v>1</v>
      </c>
      <c r="M46" s="1">
        <f t="shared" si="3"/>
        <v>3420</v>
      </c>
      <c r="N46" s="1">
        <f>VLOOKUP(item!A46,Sheet1!$A$1:$B$180,2,FALSE)</f>
        <v>570</v>
      </c>
    </row>
    <row r="47" spans="1:14" ht="27" customHeight="1" x14ac:dyDescent="0.15">
      <c r="A47" s="1" t="s">
        <v>44</v>
      </c>
      <c r="B47" s="1">
        <v>1044</v>
      </c>
      <c r="C47" s="1" t="s">
        <v>189</v>
      </c>
      <c r="D47" s="1">
        <v>2</v>
      </c>
      <c r="E47" s="8" t="s">
        <v>834</v>
      </c>
      <c r="F47" s="1">
        <v>1</v>
      </c>
      <c r="G47" s="1">
        <v>1</v>
      </c>
      <c r="H47" s="1">
        <v>9</v>
      </c>
      <c r="I47" s="1" t="s">
        <v>939</v>
      </c>
      <c r="J47" s="1" t="s">
        <v>402</v>
      </c>
      <c r="K47" s="1" t="s">
        <v>759</v>
      </c>
      <c r="L47" s="1">
        <v>1</v>
      </c>
      <c r="M47" s="1">
        <f t="shared" si="3"/>
        <v>4548</v>
      </c>
      <c r="N47" s="1">
        <f>VLOOKUP(item!A47,Sheet1!$A$1:$B$180,2,FALSE)</f>
        <v>758</v>
      </c>
    </row>
    <row r="48" spans="1:14" ht="27" customHeight="1" x14ac:dyDescent="0.15">
      <c r="A48" s="1" t="s">
        <v>574</v>
      </c>
      <c r="B48" s="1">
        <v>1045</v>
      </c>
      <c r="C48" s="1" t="s">
        <v>190</v>
      </c>
      <c r="D48" s="1">
        <v>2</v>
      </c>
      <c r="E48" s="8" t="s">
        <v>834</v>
      </c>
      <c r="F48" s="1">
        <v>1</v>
      </c>
      <c r="G48" s="1">
        <v>1</v>
      </c>
      <c r="H48" s="1">
        <v>9</v>
      </c>
      <c r="I48" s="1" t="s">
        <v>940</v>
      </c>
      <c r="J48" s="1" t="s">
        <v>403</v>
      </c>
      <c r="K48" s="1" t="s">
        <v>758</v>
      </c>
      <c r="L48" s="1">
        <v>1</v>
      </c>
      <c r="M48" s="1">
        <f t="shared" si="3"/>
        <v>3666</v>
      </c>
      <c r="N48" s="1">
        <f>VLOOKUP(item!A48,Sheet1!$A$1:$B$180,2,FALSE)</f>
        <v>611</v>
      </c>
    </row>
    <row r="49" spans="1:14" ht="13.5" customHeight="1" x14ac:dyDescent="0.15">
      <c r="A49" s="1" t="s">
        <v>45</v>
      </c>
      <c r="B49" s="1">
        <v>1046</v>
      </c>
      <c r="C49" s="1" t="s">
        <v>191</v>
      </c>
      <c r="D49" s="1">
        <v>2</v>
      </c>
      <c r="E49" s="8" t="s">
        <v>834</v>
      </c>
      <c r="F49" s="1">
        <v>2</v>
      </c>
      <c r="G49" s="1">
        <v>1</v>
      </c>
      <c r="H49" s="1">
        <v>9</v>
      </c>
      <c r="I49" s="1" t="s">
        <v>941</v>
      </c>
      <c r="J49" s="1" t="s">
        <v>404</v>
      </c>
      <c r="K49" s="1" t="s">
        <v>756</v>
      </c>
      <c r="L49" s="1">
        <v>1</v>
      </c>
      <c r="M49" s="1">
        <f t="shared" si="3"/>
        <v>3450</v>
      </c>
      <c r="N49" s="1">
        <f>VLOOKUP(item!A49,Sheet1!$A$1:$B$180,2,FALSE)</f>
        <v>575</v>
      </c>
    </row>
    <row r="50" spans="1:14" ht="27" customHeight="1" x14ac:dyDescent="0.15">
      <c r="A50" s="1" t="s">
        <v>46</v>
      </c>
      <c r="B50" s="1">
        <v>1047</v>
      </c>
      <c r="C50" s="1" t="s">
        <v>192</v>
      </c>
      <c r="D50" s="1">
        <v>2</v>
      </c>
      <c r="E50" s="8" t="s">
        <v>834</v>
      </c>
      <c r="F50" s="1">
        <v>2</v>
      </c>
      <c r="G50" s="1">
        <v>1</v>
      </c>
      <c r="H50" s="1">
        <v>9</v>
      </c>
      <c r="I50" s="1" t="s">
        <v>942</v>
      </c>
      <c r="J50" s="1" t="s">
        <v>405</v>
      </c>
      <c r="K50" s="1" t="s">
        <v>746</v>
      </c>
      <c r="L50" s="1">
        <v>1</v>
      </c>
      <c r="M50" s="1">
        <f t="shared" si="3"/>
        <v>5148</v>
      </c>
      <c r="N50" s="1">
        <f>VLOOKUP(item!A50,Sheet1!$A$1:$B$180,2,FALSE)</f>
        <v>858</v>
      </c>
    </row>
    <row r="51" spans="1:14" ht="27" customHeight="1" x14ac:dyDescent="0.15">
      <c r="A51" s="1" t="s">
        <v>47</v>
      </c>
      <c r="B51" s="1">
        <v>1048</v>
      </c>
      <c r="C51" s="1" t="s">
        <v>193</v>
      </c>
      <c r="D51" s="1">
        <v>2</v>
      </c>
      <c r="E51" s="8" t="s">
        <v>834</v>
      </c>
      <c r="F51" s="1">
        <v>2</v>
      </c>
      <c r="G51" s="1">
        <v>1</v>
      </c>
      <c r="H51" s="1">
        <v>49</v>
      </c>
      <c r="I51" s="1" t="s">
        <v>943</v>
      </c>
      <c r="J51" s="1" t="s">
        <v>406</v>
      </c>
      <c r="K51" s="1" t="s">
        <v>754</v>
      </c>
      <c r="L51" s="1">
        <v>1</v>
      </c>
      <c r="M51" s="1">
        <f t="shared" si="3"/>
        <v>2970</v>
      </c>
      <c r="N51" s="1">
        <f>VLOOKUP(item!A51,Sheet1!$A$1:$B$180,2,FALSE)</f>
        <v>495</v>
      </c>
    </row>
    <row r="52" spans="1:14" ht="40.5" x14ac:dyDescent="0.15">
      <c r="A52" s="1" t="s">
        <v>48</v>
      </c>
      <c r="B52" s="1">
        <v>1049</v>
      </c>
      <c r="C52" s="1" t="s">
        <v>194</v>
      </c>
      <c r="D52" s="1">
        <v>8</v>
      </c>
      <c r="E52" s="8" t="s">
        <v>833</v>
      </c>
      <c r="F52" s="1">
        <v>1</v>
      </c>
      <c r="G52" s="1">
        <v>1</v>
      </c>
      <c r="H52" s="1">
        <v>49</v>
      </c>
      <c r="I52" s="1" t="s">
        <v>868</v>
      </c>
      <c r="J52" s="1" t="s">
        <v>407</v>
      </c>
      <c r="K52" s="1" t="str">
        <f>VLOOKUP(A52,Sheet1!$E$121:$O$157,11,FALSE)</f>
        <v>4,20</v>
      </c>
      <c r="L52" s="1">
        <v>1</v>
      </c>
      <c r="M52" s="1">
        <f>N52*4</f>
        <v>480</v>
      </c>
      <c r="N52" s="1">
        <v>120</v>
      </c>
    </row>
    <row r="53" spans="1:14" ht="40.5" x14ac:dyDescent="0.15">
      <c r="A53" s="1" t="s">
        <v>49</v>
      </c>
      <c r="B53" s="1">
        <v>1050</v>
      </c>
      <c r="C53" s="1" t="s">
        <v>195</v>
      </c>
      <c r="D53" s="1">
        <v>8</v>
      </c>
      <c r="E53" s="8" t="s">
        <v>833</v>
      </c>
      <c r="F53" s="1">
        <v>2</v>
      </c>
      <c r="G53" s="1">
        <v>1</v>
      </c>
      <c r="H53" s="1">
        <v>49</v>
      </c>
      <c r="I53" s="1" t="s">
        <v>869</v>
      </c>
      <c r="J53" s="1" t="s">
        <v>425</v>
      </c>
      <c r="K53" s="1" t="str">
        <f>VLOOKUP(A53,Sheet1!$E$121:$O$157,11,FALSE)</f>
        <v>4,420;6,420</v>
      </c>
      <c r="L53" s="1">
        <v>1</v>
      </c>
      <c r="M53" s="1">
        <f t="shared" ref="M53:M116" si="4">N53*4</f>
        <v>4800</v>
      </c>
      <c r="N53" s="1">
        <v>1200</v>
      </c>
    </row>
    <row r="54" spans="1:14" ht="27" x14ac:dyDescent="0.15">
      <c r="A54" s="1" t="s">
        <v>783</v>
      </c>
      <c r="B54" s="1">
        <v>1051</v>
      </c>
      <c r="C54" s="1" t="s">
        <v>196</v>
      </c>
      <c r="D54" s="1">
        <v>8</v>
      </c>
      <c r="E54" s="8" t="s">
        <v>833</v>
      </c>
      <c r="F54" s="1">
        <v>2</v>
      </c>
      <c r="G54" s="1">
        <v>1</v>
      </c>
      <c r="H54" s="1">
        <v>49</v>
      </c>
      <c r="I54" s="1" t="s">
        <v>870</v>
      </c>
      <c r="J54" s="1" t="s">
        <v>415</v>
      </c>
      <c r="K54" s="1" t="str">
        <f>VLOOKUP(A54,Sheet1!$E$121:$O$157,11,FALSE)</f>
        <v>6,50</v>
      </c>
      <c r="L54" s="1">
        <v>1</v>
      </c>
      <c r="M54" s="1">
        <f t="shared" si="4"/>
        <v>400</v>
      </c>
      <c r="N54" s="1">
        <v>100</v>
      </c>
    </row>
    <row r="55" spans="1:14" ht="40.5" x14ac:dyDescent="0.15">
      <c r="A55" s="1" t="s">
        <v>784</v>
      </c>
      <c r="B55" s="1">
        <v>1052</v>
      </c>
      <c r="C55" s="1" t="s">
        <v>197</v>
      </c>
      <c r="D55" s="1">
        <v>8</v>
      </c>
      <c r="E55" s="8" t="s">
        <v>833</v>
      </c>
      <c r="F55" s="1">
        <v>1</v>
      </c>
      <c r="G55" s="1">
        <v>1</v>
      </c>
      <c r="H55" s="1">
        <v>49</v>
      </c>
      <c r="I55" s="1" t="s">
        <v>871</v>
      </c>
      <c r="J55" s="1" t="s">
        <v>426</v>
      </c>
      <c r="K55" s="1" t="str">
        <f>VLOOKUP(A55,Sheet1!$E$121:$O$157,11,FALSE)</f>
        <v>4,60;6,60</v>
      </c>
      <c r="L55" s="1">
        <v>1</v>
      </c>
      <c r="M55" s="1">
        <f t="shared" si="4"/>
        <v>1200</v>
      </c>
      <c r="N55" s="1">
        <v>300</v>
      </c>
    </row>
    <row r="56" spans="1:14" ht="40.5" x14ac:dyDescent="0.15">
      <c r="A56" s="4" t="s">
        <v>788</v>
      </c>
      <c r="B56" s="1">
        <v>1053</v>
      </c>
      <c r="C56" s="1" t="s">
        <v>198</v>
      </c>
      <c r="D56" s="1">
        <v>8</v>
      </c>
      <c r="E56" s="8" t="s">
        <v>833</v>
      </c>
      <c r="F56" s="1">
        <v>1</v>
      </c>
      <c r="G56" s="1">
        <v>1</v>
      </c>
      <c r="H56" s="1">
        <v>49</v>
      </c>
      <c r="I56" s="1" t="s">
        <v>872</v>
      </c>
      <c r="J56" s="1" t="s">
        <v>410</v>
      </c>
      <c r="K56" s="1" t="str">
        <f>VLOOKUP(A56,Sheet1!$E$121:$O$157,11,FALSE)</f>
        <v>4,80</v>
      </c>
      <c r="L56" s="1">
        <v>1</v>
      </c>
      <c r="M56" s="1">
        <f t="shared" si="4"/>
        <v>960</v>
      </c>
      <c r="N56" s="1">
        <v>240</v>
      </c>
    </row>
    <row r="57" spans="1:14" ht="40.5" x14ac:dyDescent="0.15">
      <c r="A57" s="5" t="s">
        <v>53</v>
      </c>
      <c r="B57" s="1">
        <v>1054</v>
      </c>
      <c r="C57" s="1" t="s">
        <v>199</v>
      </c>
      <c r="D57" s="1">
        <v>8</v>
      </c>
      <c r="E57" s="8" t="s">
        <v>833</v>
      </c>
      <c r="F57" s="1">
        <v>2</v>
      </c>
      <c r="G57" s="1">
        <v>1</v>
      </c>
      <c r="H57" s="1">
        <v>49</v>
      </c>
      <c r="I57" s="1" t="s">
        <v>873</v>
      </c>
      <c r="J57" s="1" t="s">
        <v>409</v>
      </c>
      <c r="K57" s="1" t="str">
        <f>VLOOKUP(A57,Sheet1!$E$121:$O$157,11,FALSE)</f>
        <v>4,40</v>
      </c>
      <c r="L57" s="1">
        <v>1</v>
      </c>
      <c r="M57" s="1">
        <f>N57*4</f>
        <v>720</v>
      </c>
      <c r="N57" s="1">
        <v>180</v>
      </c>
    </row>
    <row r="58" spans="1:14" ht="40.5" x14ac:dyDescent="0.15">
      <c r="A58" s="4" t="s">
        <v>789</v>
      </c>
      <c r="B58" s="1">
        <v>1055</v>
      </c>
      <c r="C58" s="1" t="s">
        <v>200</v>
      </c>
      <c r="D58" s="1">
        <v>8</v>
      </c>
      <c r="E58" s="8" t="s">
        <v>833</v>
      </c>
      <c r="F58" s="1">
        <v>1</v>
      </c>
      <c r="G58" s="1">
        <v>1</v>
      </c>
      <c r="H58" s="1">
        <v>49</v>
      </c>
      <c r="I58" s="1" t="s">
        <v>874</v>
      </c>
      <c r="J58" s="1" t="s">
        <v>411</v>
      </c>
      <c r="K58" s="1" t="str">
        <f>VLOOKUP(A58,Sheet1!$E$121:$O$157,11,FALSE)</f>
        <v>4,400</v>
      </c>
      <c r="L58" s="1">
        <v>1</v>
      </c>
      <c r="M58" s="1">
        <f t="shared" si="4"/>
        <v>2080</v>
      </c>
      <c r="N58" s="1">
        <v>520</v>
      </c>
    </row>
    <row r="59" spans="1:14" ht="27" x14ac:dyDescent="0.15">
      <c r="A59" s="5" t="s">
        <v>55</v>
      </c>
      <c r="B59" s="1">
        <v>1056</v>
      </c>
      <c r="C59" s="1" t="s">
        <v>201</v>
      </c>
      <c r="D59" s="1">
        <v>8</v>
      </c>
      <c r="E59" s="8" t="s">
        <v>833</v>
      </c>
      <c r="F59" s="1">
        <v>1</v>
      </c>
      <c r="G59" s="1">
        <v>1</v>
      </c>
      <c r="H59" s="1">
        <v>49</v>
      </c>
      <c r="I59" s="1" t="s">
        <v>875</v>
      </c>
      <c r="J59" s="1" t="s">
        <v>408</v>
      </c>
      <c r="K59" s="1" t="str">
        <f>VLOOKUP(A59,Sheet1!$E$121:$O$157,11,FALSE)</f>
        <v>4,240;6,240</v>
      </c>
      <c r="L59" s="1">
        <v>1</v>
      </c>
      <c r="M59" s="1">
        <f t="shared" si="4"/>
        <v>3000</v>
      </c>
      <c r="N59" s="1">
        <v>750</v>
      </c>
    </row>
    <row r="60" spans="1:14" ht="27" x14ac:dyDescent="0.15">
      <c r="A60" s="4" t="s">
        <v>780</v>
      </c>
      <c r="B60" s="1">
        <v>1057</v>
      </c>
      <c r="C60" s="1" t="s">
        <v>202</v>
      </c>
      <c r="D60" s="1">
        <v>8</v>
      </c>
      <c r="E60" s="8" t="s">
        <v>833</v>
      </c>
      <c r="F60" s="1">
        <v>1</v>
      </c>
      <c r="G60" s="1">
        <v>1</v>
      </c>
      <c r="H60" s="1">
        <v>49</v>
      </c>
      <c r="I60" s="1" t="s">
        <v>876</v>
      </c>
      <c r="J60" s="1" t="s">
        <v>412</v>
      </c>
      <c r="K60" s="1" t="str">
        <f>VLOOKUP(A60,Sheet1!$E$121:$O$157,11,FALSE)</f>
        <v>6,200</v>
      </c>
      <c r="L60" s="1">
        <v>1</v>
      </c>
      <c r="M60" s="1">
        <f t="shared" si="4"/>
        <v>1600</v>
      </c>
      <c r="N60" s="1">
        <v>400</v>
      </c>
    </row>
    <row r="61" spans="1:14" ht="40.5" x14ac:dyDescent="0.15">
      <c r="A61" s="5" t="s">
        <v>57</v>
      </c>
      <c r="B61" s="1">
        <v>1058</v>
      </c>
      <c r="C61" s="1" t="s">
        <v>203</v>
      </c>
      <c r="D61" s="1">
        <v>8</v>
      </c>
      <c r="E61" s="8" t="s">
        <v>833</v>
      </c>
      <c r="F61" s="1">
        <v>1</v>
      </c>
      <c r="G61" s="1">
        <v>1</v>
      </c>
      <c r="H61" s="1">
        <v>49</v>
      </c>
      <c r="I61" s="1" t="s">
        <v>877</v>
      </c>
      <c r="J61" s="1" t="s">
        <v>413</v>
      </c>
      <c r="K61" s="1" t="str">
        <f>VLOOKUP(A61,Sheet1!$E$121:$O$157,11,FALSE)</f>
        <v>4,540;6,540</v>
      </c>
      <c r="L61" s="1">
        <v>1</v>
      </c>
      <c r="M61" s="1">
        <f t="shared" si="4"/>
        <v>6000</v>
      </c>
      <c r="N61" s="1">
        <v>1500</v>
      </c>
    </row>
    <row r="62" spans="1:14" ht="27" x14ac:dyDescent="0.15">
      <c r="A62" s="4" t="s">
        <v>790</v>
      </c>
      <c r="B62" s="1">
        <v>1059</v>
      </c>
      <c r="C62" s="1" t="s">
        <v>204</v>
      </c>
      <c r="D62" s="1">
        <v>8</v>
      </c>
      <c r="E62" s="8" t="s">
        <v>833</v>
      </c>
      <c r="F62" s="1">
        <v>1</v>
      </c>
      <c r="G62" s="1">
        <v>1</v>
      </c>
      <c r="H62" s="1">
        <v>49</v>
      </c>
      <c r="I62" s="1" t="s">
        <v>878</v>
      </c>
      <c r="J62" s="1" t="s">
        <v>414</v>
      </c>
      <c r="K62" s="1" t="str">
        <f>VLOOKUP(A62,Sheet1!$E$121:$O$157,11,FALSE)</f>
        <v>6,400</v>
      </c>
      <c r="L62" s="1">
        <v>1</v>
      </c>
      <c r="M62" s="1">
        <f t="shared" si="4"/>
        <v>3200</v>
      </c>
      <c r="N62" s="1">
        <v>800</v>
      </c>
    </row>
    <row r="63" spans="1:14" ht="27" x14ac:dyDescent="0.15">
      <c r="A63" s="4" t="s">
        <v>576</v>
      </c>
      <c r="B63" s="1">
        <v>1060</v>
      </c>
      <c r="C63" s="2" t="s">
        <v>600</v>
      </c>
      <c r="D63" s="1">
        <v>8</v>
      </c>
      <c r="E63" s="8" t="s">
        <v>833</v>
      </c>
      <c r="F63" s="1">
        <v>1</v>
      </c>
      <c r="G63" s="1">
        <v>1</v>
      </c>
      <c r="H63" s="1">
        <v>49</v>
      </c>
      <c r="I63" s="1" t="s">
        <v>879</v>
      </c>
      <c r="J63" s="1" t="s">
        <v>591</v>
      </c>
      <c r="K63" s="1" t="str">
        <f>VLOOKUP(A63,Sheet1!$E$121:$O$157,11,FALSE)</f>
        <v>4,200</v>
      </c>
      <c r="L63" s="1">
        <v>1</v>
      </c>
      <c r="M63" s="1">
        <f t="shared" si="4"/>
        <v>1440</v>
      </c>
      <c r="N63" s="1">
        <v>360</v>
      </c>
    </row>
    <row r="64" spans="1:14" ht="40.5" x14ac:dyDescent="0.15">
      <c r="A64" s="5" t="s">
        <v>59</v>
      </c>
      <c r="B64" s="1">
        <v>1061</v>
      </c>
      <c r="C64" s="1" t="s">
        <v>205</v>
      </c>
      <c r="D64" s="1">
        <v>8</v>
      </c>
      <c r="E64" s="8" t="s">
        <v>833</v>
      </c>
      <c r="F64" s="1">
        <v>0</v>
      </c>
      <c r="G64" s="1">
        <v>1</v>
      </c>
      <c r="H64" s="1">
        <v>49</v>
      </c>
      <c r="I64" s="1" t="s">
        <v>880</v>
      </c>
      <c r="J64" s="1" t="s">
        <v>422</v>
      </c>
      <c r="K64" s="1" t="str">
        <f>VLOOKUP(A64,Sheet1!$E$121:$O$157,11,FALSE)</f>
        <v>4,360;6,360</v>
      </c>
      <c r="L64" s="1">
        <v>1</v>
      </c>
      <c r="M64" s="1">
        <f t="shared" si="4"/>
        <v>4200</v>
      </c>
      <c r="N64" s="1">
        <v>1050</v>
      </c>
    </row>
    <row r="65" spans="1:14" ht="40.5" x14ac:dyDescent="0.15">
      <c r="A65" s="4" t="s">
        <v>60</v>
      </c>
      <c r="B65" s="1">
        <v>1062</v>
      </c>
      <c r="C65" s="1" t="s">
        <v>206</v>
      </c>
      <c r="D65" s="1">
        <v>8</v>
      </c>
      <c r="E65" s="8" t="s">
        <v>834</v>
      </c>
      <c r="F65" s="1">
        <v>2</v>
      </c>
      <c r="G65" s="1">
        <v>1</v>
      </c>
      <c r="H65" s="1">
        <v>49</v>
      </c>
      <c r="I65" s="1" t="s">
        <v>881</v>
      </c>
      <c r="J65" s="1" t="s">
        <v>423</v>
      </c>
      <c r="K65" s="1" t="str">
        <f>VLOOKUP(A65,Sheet1!$E$121:$O$157,11,FALSE)</f>
        <v>4,180;6,180</v>
      </c>
      <c r="L65" s="1">
        <v>1</v>
      </c>
      <c r="M65" s="1">
        <f t="shared" si="4"/>
        <v>2400</v>
      </c>
      <c r="N65" s="1">
        <v>600</v>
      </c>
    </row>
    <row r="66" spans="1:14" ht="40.5" x14ac:dyDescent="0.15">
      <c r="A66" s="4" t="s">
        <v>61</v>
      </c>
      <c r="B66" s="1">
        <v>1063</v>
      </c>
      <c r="C66" s="1" t="s">
        <v>207</v>
      </c>
      <c r="D66" s="1">
        <v>8</v>
      </c>
      <c r="E66" s="8" t="s">
        <v>834</v>
      </c>
      <c r="F66" s="1">
        <v>2</v>
      </c>
      <c r="G66" s="1">
        <v>1</v>
      </c>
      <c r="H66" s="1">
        <v>49</v>
      </c>
      <c r="I66" s="1" t="s">
        <v>882</v>
      </c>
      <c r="J66" s="1" t="s">
        <v>424</v>
      </c>
      <c r="K66" s="1" t="str">
        <f>VLOOKUP(A66,Sheet1!$E$121:$O$157,11,FALSE)</f>
        <v>4,120;6,120</v>
      </c>
      <c r="L66" s="1">
        <v>1</v>
      </c>
      <c r="M66" s="1">
        <f t="shared" si="4"/>
        <v>1800</v>
      </c>
      <c r="N66" s="1">
        <v>450</v>
      </c>
    </row>
    <row r="67" spans="1:14" ht="40.5" x14ac:dyDescent="0.15">
      <c r="A67" s="4" t="s">
        <v>62</v>
      </c>
      <c r="B67" s="1">
        <v>1064</v>
      </c>
      <c r="C67" s="1" t="s">
        <v>208</v>
      </c>
      <c r="D67" s="1">
        <v>8</v>
      </c>
      <c r="E67" s="8" t="s">
        <v>833</v>
      </c>
      <c r="F67" s="1">
        <v>0</v>
      </c>
      <c r="G67" s="1">
        <v>1</v>
      </c>
      <c r="H67" s="1">
        <v>49</v>
      </c>
      <c r="I67" s="1" t="s">
        <v>883</v>
      </c>
      <c r="J67" s="1" t="s">
        <v>428</v>
      </c>
      <c r="K67" s="1" t="str">
        <f>VLOOKUP(A67,Sheet1!$E$121:$O$157,11,FALSE)</f>
        <v>4,480;6,480</v>
      </c>
      <c r="L67" s="1">
        <v>1</v>
      </c>
      <c r="M67" s="1">
        <f t="shared" si="4"/>
        <v>5400</v>
      </c>
      <c r="N67" s="1">
        <v>1350</v>
      </c>
    </row>
    <row r="68" spans="1:14" ht="27" x14ac:dyDescent="0.15">
      <c r="A68" s="5" t="s">
        <v>63</v>
      </c>
      <c r="B68" s="1">
        <v>1065</v>
      </c>
      <c r="C68" s="1" t="s">
        <v>209</v>
      </c>
      <c r="D68" s="1">
        <v>8</v>
      </c>
      <c r="E68" s="8" t="s">
        <v>833</v>
      </c>
      <c r="F68" s="1">
        <v>3</v>
      </c>
      <c r="G68" s="1">
        <v>1</v>
      </c>
      <c r="H68" s="1">
        <v>49</v>
      </c>
      <c r="I68" s="1" t="s">
        <v>884</v>
      </c>
      <c r="J68" s="1" t="s">
        <v>417</v>
      </c>
      <c r="K68" s="1" t="str">
        <f>VLOOKUP(A68,Sheet1!$E$121:$O$157,11,FALSE)</f>
        <v>4,120;6,30</v>
      </c>
      <c r="L68" s="1">
        <v>1</v>
      </c>
      <c r="M68" s="1">
        <f t="shared" si="4"/>
        <v>1600</v>
      </c>
      <c r="N68" s="1">
        <v>400</v>
      </c>
    </row>
    <row r="69" spans="1:14" ht="27" x14ac:dyDescent="0.15">
      <c r="A69" s="6" t="s">
        <v>210</v>
      </c>
      <c r="B69" s="1">
        <v>1066</v>
      </c>
      <c r="C69" s="1" t="s">
        <v>211</v>
      </c>
      <c r="D69" s="1">
        <v>8</v>
      </c>
      <c r="E69" s="8" t="s">
        <v>833</v>
      </c>
      <c r="F69" s="1">
        <v>0</v>
      </c>
      <c r="G69" s="1">
        <v>1</v>
      </c>
      <c r="H69" s="1">
        <v>49</v>
      </c>
      <c r="I69" s="1" t="s">
        <v>885</v>
      </c>
      <c r="J69" s="1" t="s">
        <v>427</v>
      </c>
      <c r="K69" s="1" t="str">
        <f>VLOOKUP(A69,Sheet1!$E$121:$O$157,11,FALSE)</f>
        <v>6,300</v>
      </c>
      <c r="L69" s="1">
        <v>1</v>
      </c>
      <c r="M69" s="1">
        <f t="shared" si="4"/>
        <v>2400</v>
      </c>
      <c r="N69" s="1">
        <v>600</v>
      </c>
    </row>
    <row r="70" spans="1:14" ht="27" x14ac:dyDescent="0.15">
      <c r="A70" s="6" t="s">
        <v>440</v>
      </c>
      <c r="B70" s="1">
        <v>1067</v>
      </c>
      <c r="C70" s="1" t="s">
        <v>442</v>
      </c>
      <c r="D70" s="1">
        <v>8</v>
      </c>
      <c r="E70" s="8" t="s">
        <v>833</v>
      </c>
      <c r="F70" s="1">
        <v>3</v>
      </c>
      <c r="G70" s="1">
        <v>1</v>
      </c>
      <c r="H70" s="1">
        <v>49</v>
      </c>
      <c r="I70" s="1" t="s">
        <v>886</v>
      </c>
      <c r="J70" s="1" t="s">
        <v>441</v>
      </c>
      <c r="K70" s="1" t="str">
        <f>VLOOKUP(A70,Sheet1!$E$121:$O$157,11,FALSE)</f>
        <v>4,600</v>
      </c>
      <c r="L70" s="1">
        <v>1</v>
      </c>
      <c r="M70" s="1">
        <f t="shared" si="4"/>
        <v>2640</v>
      </c>
      <c r="N70" s="1">
        <v>660</v>
      </c>
    </row>
    <row r="71" spans="1:14" ht="40.5" x14ac:dyDescent="0.15">
      <c r="A71" s="1" t="s">
        <v>64</v>
      </c>
      <c r="B71" s="1">
        <v>1068</v>
      </c>
      <c r="C71" s="1" t="s">
        <v>212</v>
      </c>
      <c r="D71" s="1">
        <v>8</v>
      </c>
      <c r="E71" s="8" t="s">
        <v>833</v>
      </c>
      <c r="F71" s="1">
        <v>3</v>
      </c>
      <c r="G71" s="1">
        <v>1</v>
      </c>
      <c r="H71" s="1">
        <v>49</v>
      </c>
      <c r="I71" s="1" t="s">
        <v>887</v>
      </c>
      <c r="J71" s="1" t="s">
        <v>416</v>
      </c>
      <c r="K71" s="1" t="str">
        <f>VLOOKUP(A71,Sheet1!$E$121:$O$157,11,FALSE)</f>
        <v>4,300;6,300</v>
      </c>
      <c r="L71" s="1">
        <v>1</v>
      </c>
      <c r="M71" s="1">
        <f t="shared" si="4"/>
        <v>3600</v>
      </c>
      <c r="N71" s="1">
        <v>900</v>
      </c>
    </row>
    <row r="72" spans="1:14" ht="27" x14ac:dyDescent="0.15">
      <c r="A72" s="1" t="s">
        <v>65</v>
      </c>
      <c r="B72" s="1">
        <v>1069</v>
      </c>
      <c r="C72" s="1" t="s">
        <v>221</v>
      </c>
      <c r="D72" s="1">
        <v>8</v>
      </c>
      <c r="E72" s="8" t="s">
        <v>833</v>
      </c>
      <c r="F72" s="1">
        <v>6</v>
      </c>
      <c r="G72" s="1">
        <v>1</v>
      </c>
      <c r="H72" s="1">
        <v>49</v>
      </c>
      <c r="I72" s="1" t="s">
        <v>888</v>
      </c>
      <c r="J72" s="1" t="s">
        <v>429</v>
      </c>
      <c r="K72" s="1" t="str">
        <f>VLOOKUP(A72,Sheet1!$E$121:$O$157,11,FALSE)</f>
        <v>4,420;6,180</v>
      </c>
      <c r="L72" s="1">
        <v>1</v>
      </c>
      <c r="M72" s="1">
        <f t="shared" si="4"/>
        <v>3600</v>
      </c>
      <c r="N72" s="1">
        <v>900</v>
      </c>
    </row>
    <row r="73" spans="1:14" ht="40.5" x14ac:dyDescent="0.15">
      <c r="A73" s="1" t="s">
        <v>66</v>
      </c>
      <c r="B73" s="1">
        <v>1070</v>
      </c>
      <c r="C73" s="1" t="s">
        <v>214</v>
      </c>
      <c r="D73" s="1">
        <v>8</v>
      </c>
      <c r="E73" s="8" t="s">
        <v>833</v>
      </c>
      <c r="F73" s="1">
        <v>3</v>
      </c>
      <c r="G73" s="1">
        <v>1</v>
      </c>
      <c r="H73" s="1">
        <v>49</v>
      </c>
      <c r="I73" s="1" t="s">
        <v>889</v>
      </c>
      <c r="J73" s="1" t="s">
        <v>418</v>
      </c>
      <c r="K73" s="1" t="str">
        <f>VLOOKUP(A73,Sheet1!$E$121:$O$157,11,FALSE)</f>
        <v>4,480;6,210</v>
      </c>
      <c r="L73" s="1">
        <v>1</v>
      </c>
      <c r="M73" s="1">
        <f t="shared" si="4"/>
        <v>4000</v>
      </c>
      <c r="N73" s="1">
        <v>1000</v>
      </c>
    </row>
    <row r="74" spans="1:14" ht="27" x14ac:dyDescent="0.15">
      <c r="A74" s="7" t="s">
        <v>215</v>
      </c>
      <c r="B74" s="1">
        <v>1071</v>
      </c>
      <c r="C74" s="1" t="s">
        <v>216</v>
      </c>
      <c r="D74" s="1">
        <v>8</v>
      </c>
      <c r="E74" s="8" t="s">
        <v>833</v>
      </c>
      <c r="F74" s="1">
        <v>3</v>
      </c>
      <c r="G74" s="1">
        <v>1</v>
      </c>
      <c r="H74" s="1">
        <v>49</v>
      </c>
      <c r="I74" s="1" t="s">
        <v>890</v>
      </c>
      <c r="J74" s="1" t="s">
        <v>419</v>
      </c>
      <c r="K74" s="1" t="str">
        <f>VLOOKUP(A74,Sheet1!$E$121:$O$157,11,FALSE)</f>
        <v>4,180;6,60</v>
      </c>
      <c r="L74" s="1">
        <v>1</v>
      </c>
      <c r="M74" s="1">
        <f t="shared" si="4"/>
        <v>2000</v>
      </c>
      <c r="N74" s="1">
        <v>500</v>
      </c>
    </row>
    <row r="75" spans="1:14" ht="27" x14ac:dyDescent="0.15">
      <c r="A75" s="1" t="s">
        <v>217</v>
      </c>
      <c r="B75" s="1">
        <v>1072</v>
      </c>
      <c r="C75" s="1" t="s">
        <v>218</v>
      </c>
      <c r="D75" s="1">
        <v>8</v>
      </c>
      <c r="E75" s="8" t="s">
        <v>833</v>
      </c>
      <c r="F75" s="1">
        <v>3</v>
      </c>
      <c r="G75" s="1">
        <v>1</v>
      </c>
      <c r="H75" s="1">
        <v>49</v>
      </c>
      <c r="I75" s="1" t="s">
        <v>891</v>
      </c>
      <c r="J75" s="1" t="s">
        <v>420</v>
      </c>
      <c r="K75" s="1" t="str">
        <f>VLOOKUP(A75,Sheet1!$E$121:$O$157,11,FALSE)</f>
        <v>4,120</v>
      </c>
      <c r="L75" s="1">
        <v>1</v>
      </c>
      <c r="M75" s="1">
        <f t="shared" si="4"/>
        <v>1200</v>
      </c>
      <c r="N75" s="1">
        <v>300</v>
      </c>
    </row>
    <row r="76" spans="1:14" ht="40.5" x14ac:dyDescent="0.15">
      <c r="A76" s="1" t="s">
        <v>584</v>
      </c>
      <c r="B76" s="1">
        <v>1073</v>
      </c>
      <c r="C76" s="1" t="s">
        <v>219</v>
      </c>
      <c r="D76" s="1">
        <v>8</v>
      </c>
      <c r="E76" s="8" t="s">
        <v>833</v>
      </c>
      <c r="F76" s="1">
        <v>3</v>
      </c>
      <c r="G76" s="1">
        <v>1</v>
      </c>
      <c r="H76" s="1">
        <v>49</v>
      </c>
      <c r="I76" s="1" t="s">
        <v>892</v>
      </c>
      <c r="J76" s="1" t="s">
        <v>430</v>
      </c>
      <c r="K76" s="1" t="str">
        <f>VLOOKUP(A76,Sheet1!$E$121:$O$157,11,FALSE)</f>
        <v>4,300;6,120</v>
      </c>
      <c r="L76" s="1">
        <v>1</v>
      </c>
      <c r="M76" s="1">
        <f t="shared" si="4"/>
        <v>2800</v>
      </c>
      <c r="N76" s="1">
        <v>700</v>
      </c>
    </row>
    <row r="77" spans="1:14" ht="40.5" x14ac:dyDescent="0.15">
      <c r="A77" s="1" t="s">
        <v>68</v>
      </c>
      <c r="B77" s="1">
        <v>1074</v>
      </c>
      <c r="C77" s="1" t="s">
        <v>220</v>
      </c>
      <c r="D77" s="1">
        <v>8</v>
      </c>
      <c r="E77" s="8" t="s">
        <v>833</v>
      </c>
      <c r="F77" s="1">
        <v>3</v>
      </c>
      <c r="G77" s="1">
        <v>1</v>
      </c>
      <c r="H77" s="1">
        <v>49</v>
      </c>
      <c r="I77" s="1" t="s">
        <v>893</v>
      </c>
      <c r="J77" s="1" t="s">
        <v>421</v>
      </c>
      <c r="K77" s="1" t="str">
        <f>VLOOKUP(A77,Sheet1!$E$121:$O$157,11,FALSE)</f>
        <v>6,100</v>
      </c>
      <c r="L77" s="1">
        <v>1</v>
      </c>
      <c r="M77" s="1">
        <f t="shared" si="4"/>
        <v>800</v>
      </c>
      <c r="N77" s="1">
        <v>200</v>
      </c>
    </row>
    <row r="78" spans="1:14" ht="27" x14ac:dyDescent="0.15">
      <c r="A78" s="1" t="s">
        <v>69</v>
      </c>
      <c r="B78" s="1">
        <v>1075</v>
      </c>
      <c r="C78" s="1" t="s">
        <v>213</v>
      </c>
      <c r="D78" s="1">
        <v>8</v>
      </c>
      <c r="E78" s="8" t="s">
        <v>833</v>
      </c>
      <c r="F78" s="1">
        <v>6</v>
      </c>
      <c r="G78" s="1">
        <v>1</v>
      </c>
      <c r="H78" s="1">
        <v>49</v>
      </c>
      <c r="I78" s="1" t="s">
        <v>894</v>
      </c>
      <c r="J78" s="1" t="s">
        <v>431</v>
      </c>
      <c r="K78" s="1" t="str">
        <f>VLOOKUP(A78,Sheet1!$E$121:$O$157,11,FALSE)</f>
        <v>4,240;6,90</v>
      </c>
      <c r="L78" s="1">
        <v>1</v>
      </c>
      <c r="M78" s="1">
        <f t="shared" si="4"/>
        <v>2400</v>
      </c>
      <c r="N78" s="1">
        <v>600</v>
      </c>
    </row>
    <row r="79" spans="1:14" ht="27" x14ac:dyDescent="0.15">
      <c r="A79" s="1" t="s">
        <v>575</v>
      </c>
      <c r="B79" s="1">
        <v>1076</v>
      </c>
      <c r="C79" s="2" t="s">
        <v>601</v>
      </c>
      <c r="D79" s="1">
        <v>8</v>
      </c>
      <c r="E79" s="8" t="s">
        <v>833</v>
      </c>
      <c r="F79" s="1">
        <v>6</v>
      </c>
      <c r="G79" s="1">
        <v>1</v>
      </c>
      <c r="H79" s="1">
        <v>49</v>
      </c>
      <c r="I79" s="1" t="s">
        <v>895</v>
      </c>
      <c r="J79" s="1" t="s">
        <v>589</v>
      </c>
      <c r="K79" s="1" t="str">
        <f>VLOOKUP(A79,Sheet1!$E$121:$O$157,11,FALSE)</f>
        <v>4,540;6,240</v>
      </c>
      <c r="L79" s="1">
        <v>1</v>
      </c>
      <c r="M79" s="1">
        <f t="shared" si="4"/>
        <v>4400</v>
      </c>
      <c r="N79" s="1">
        <v>1100</v>
      </c>
    </row>
    <row r="80" spans="1:14" ht="27" x14ac:dyDescent="0.15">
      <c r="A80" s="1" t="s">
        <v>782</v>
      </c>
      <c r="B80" s="1">
        <v>1077</v>
      </c>
      <c r="C80" s="1" t="s">
        <v>222</v>
      </c>
      <c r="D80" s="1">
        <v>8</v>
      </c>
      <c r="E80" s="8" t="s">
        <v>833</v>
      </c>
      <c r="F80" s="1">
        <v>0</v>
      </c>
      <c r="G80" s="1">
        <v>1</v>
      </c>
      <c r="H80" s="1">
        <v>49</v>
      </c>
      <c r="I80" s="1" t="s">
        <v>896</v>
      </c>
      <c r="J80" s="1" t="s">
        <v>432</v>
      </c>
      <c r="K80" s="1" t="str">
        <f>VLOOKUP(A80,Sheet1!$E$121:$O$157,11,FALSE)</f>
        <v>4,360;6,150</v>
      </c>
      <c r="L80" s="1">
        <v>1</v>
      </c>
      <c r="M80" s="1">
        <f t="shared" si="4"/>
        <v>3200</v>
      </c>
      <c r="N80" s="1">
        <v>800</v>
      </c>
    </row>
    <row r="81" spans="1:14" ht="27" x14ac:dyDescent="0.15">
      <c r="A81" s="1" t="s">
        <v>71</v>
      </c>
      <c r="B81" s="1">
        <v>1078</v>
      </c>
      <c r="C81" s="1" t="s">
        <v>223</v>
      </c>
      <c r="D81" s="1">
        <v>8</v>
      </c>
      <c r="E81" s="8" t="s">
        <v>833</v>
      </c>
      <c r="F81" s="1">
        <v>4</v>
      </c>
      <c r="G81" s="1">
        <v>1</v>
      </c>
      <c r="H81" s="1">
        <v>49</v>
      </c>
      <c r="I81" s="1" t="s">
        <v>897</v>
      </c>
      <c r="J81" s="1" t="s">
        <v>433</v>
      </c>
      <c r="K81" s="1" t="str">
        <f>VLOOKUP(A81,Sheet1!$E$121:$O$157,11,FALSE)</f>
        <v>4,60;6,180</v>
      </c>
      <c r="L81" s="1">
        <v>1</v>
      </c>
      <c r="M81" s="1">
        <f t="shared" si="4"/>
        <v>2000</v>
      </c>
      <c r="N81" s="1">
        <v>500</v>
      </c>
    </row>
    <row r="82" spans="1:14" ht="27" x14ac:dyDescent="0.15">
      <c r="A82" s="1" t="s">
        <v>777</v>
      </c>
      <c r="B82" s="1">
        <v>1079</v>
      </c>
      <c r="C82" s="1" t="s">
        <v>224</v>
      </c>
      <c r="D82" s="1">
        <v>8</v>
      </c>
      <c r="E82" s="8" t="s">
        <v>833</v>
      </c>
      <c r="F82" s="1">
        <v>4</v>
      </c>
      <c r="G82" s="1">
        <v>1</v>
      </c>
      <c r="H82" s="1">
        <v>49</v>
      </c>
      <c r="I82" s="1" t="s">
        <v>898</v>
      </c>
      <c r="J82" s="1" t="s">
        <v>434</v>
      </c>
      <c r="K82" s="1" t="str">
        <f>VLOOKUP(A82,Sheet1!$E$121:$O$157,11,FALSE)</f>
        <v>4,30;6,120</v>
      </c>
      <c r="L82" s="1">
        <v>1</v>
      </c>
      <c r="M82" s="1">
        <f t="shared" si="4"/>
        <v>1600</v>
      </c>
      <c r="N82" s="1">
        <v>400</v>
      </c>
    </row>
    <row r="83" spans="1:14" ht="27" x14ac:dyDescent="0.15">
      <c r="A83" s="1" t="s">
        <v>778</v>
      </c>
      <c r="B83" s="1">
        <v>1080</v>
      </c>
      <c r="C83" s="1" t="s">
        <v>225</v>
      </c>
      <c r="D83" s="1">
        <v>8</v>
      </c>
      <c r="E83" s="8" t="s">
        <v>833</v>
      </c>
      <c r="F83" s="1">
        <v>4</v>
      </c>
      <c r="G83" s="1">
        <v>1</v>
      </c>
      <c r="H83" s="1">
        <v>49</v>
      </c>
      <c r="I83" s="1" t="s">
        <v>899</v>
      </c>
      <c r="J83" s="1" t="s">
        <v>435</v>
      </c>
      <c r="K83" s="1" t="str">
        <f>VLOOKUP(A83,Sheet1!$E$121:$O$157,11,FALSE)</f>
        <v>4,90;6,240</v>
      </c>
      <c r="L83" s="1">
        <v>1</v>
      </c>
      <c r="M83" s="1">
        <f t="shared" si="4"/>
        <v>2400</v>
      </c>
      <c r="N83" s="1">
        <v>600</v>
      </c>
    </row>
    <row r="84" spans="1:14" ht="40.5" x14ac:dyDescent="0.15">
      <c r="A84" s="1" t="s">
        <v>74</v>
      </c>
      <c r="B84" s="1">
        <v>1081</v>
      </c>
      <c r="C84" s="1" t="s">
        <v>226</v>
      </c>
      <c r="D84" s="1">
        <v>8</v>
      </c>
      <c r="E84" s="8" t="s">
        <v>833</v>
      </c>
      <c r="F84" s="1">
        <v>4</v>
      </c>
      <c r="G84" s="1">
        <v>1</v>
      </c>
      <c r="H84" s="1">
        <v>49</v>
      </c>
      <c r="I84" s="1" t="s">
        <v>900</v>
      </c>
      <c r="J84" s="1" t="s">
        <v>436</v>
      </c>
      <c r="K84" s="1" t="str">
        <f>VLOOKUP(A84,Sheet1!$E$121:$O$157,11,FALSE)</f>
        <v>4,240;6,540</v>
      </c>
      <c r="L84" s="1">
        <v>1</v>
      </c>
      <c r="M84" s="1">
        <f t="shared" si="4"/>
        <v>4400</v>
      </c>
      <c r="N84" s="1">
        <v>1100</v>
      </c>
    </row>
    <row r="85" spans="1:14" ht="27" x14ac:dyDescent="0.15">
      <c r="A85" s="1" t="s">
        <v>75</v>
      </c>
      <c r="B85" s="1">
        <v>1082</v>
      </c>
      <c r="C85" s="1" t="s">
        <v>227</v>
      </c>
      <c r="D85" s="1">
        <v>8</v>
      </c>
      <c r="E85" s="8" t="s">
        <v>833</v>
      </c>
      <c r="F85" s="1">
        <v>4</v>
      </c>
      <c r="G85" s="1">
        <v>1</v>
      </c>
      <c r="H85" s="1">
        <v>49</v>
      </c>
      <c r="I85" s="1" t="s">
        <v>901</v>
      </c>
      <c r="J85" s="1" t="s">
        <v>444</v>
      </c>
      <c r="K85" s="1" t="str">
        <f>VLOOKUP(A85,Sheet1!$E$121:$O$157,11,FALSE)</f>
        <v>4,180;6,420</v>
      </c>
      <c r="L85" s="1">
        <v>1</v>
      </c>
      <c r="M85" s="1">
        <f t="shared" si="4"/>
        <v>3600</v>
      </c>
      <c r="N85" s="1">
        <v>900</v>
      </c>
    </row>
    <row r="86" spans="1:14" ht="40.5" x14ac:dyDescent="0.15">
      <c r="A86" s="1" t="s">
        <v>437</v>
      </c>
      <c r="B86" s="1">
        <v>1083</v>
      </c>
      <c r="C86" s="1" t="s">
        <v>228</v>
      </c>
      <c r="D86" s="1">
        <v>8</v>
      </c>
      <c r="E86" s="8" t="s">
        <v>833</v>
      </c>
      <c r="F86" s="1">
        <v>4</v>
      </c>
      <c r="G86" s="1">
        <v>1</v>
      </c>
      <c r="H86" s="1">
        <v>49</v>
      </c>
      <c r="I86" s="1" t="s">
        <v>902</v>
      </c>
      <c r="J86" s="1" t="s">
        <v>438</v>
      </c>
      <c r="K86" s="1" t="str">
        <f>VLOOKUP(A86,Sheet1!$E$121:$O$157,11,FALSE)</f>
        <v>4,210;6,480</v>
      </c>
      <c r="L86" s="1">
        <v>1</v>
      </c>
      <c r="M86" s="1">
        <f t="shared" si="4"/>
        <v>4000</v>
      </c>
      <c r="N86" s="1">
        <v>1000</v>
      </c>
    </row>
    <row r="87" spans="1:14" ht="27" x14ac:dyDescent="0.15">
      <c r="A87" s="1" t="s">
        <v>76</v>
      </c>
      <c r="B87" s="1">
        <v>1084</v>
      </c>
      <c r="C87" s="1" t="s">
        <v>229</v>
      </c>
      <c r="D87" s="1">
        <v>8</v>
      </c>
      <c r="E87" s="8" t="s">
        <v>833</v>
      </c>
      <c r="F87" s="1">
        <v>4</v>
      </c>
      <c r="G87" s="1">
        <v>1</v>
      </c>
      <c r="H87" s="1">
        <v>49</v>
      </c>
      <c r="I87" s="1" t="s">
        <v>903</v>
      </c>
      <c r="J87" s="1" t="s">
        <v>439</v>
      </c>
      <c r="K87" s="1" t="str">
        <f>VLOOKUP(A87,Sheet1!$E$121:$O$157,11,FALSE)</f>
        <v>4,150;6,360</v>
      </c>
      <c r="L87" s="1">
        <v>1</v>
      </c>
      <c r="M87" s="1">
        <f t="shared" si="4"/>
        <v>3200</v>
      </c>
      <c r="N87" s="1">
        <v>800</v>
      </c>
    </row>
    <row r="88" spans="1:14" ht="27" x14ac:dyDescent="0.15">
      <c r="A88" s="1" t="s">
        <v>578</v>
      </c>
      <c r="B88" s="1">
        <v>1085</v>
      </c>
      <c r="C88" s="2" t="s">
        <v>602</v>
      </c>
      <c r="D88" s="1">
        <v>8</v>
      </c>
      <c r="E88" s="8" t="s">
        <v>833</v>
      </c>
      <c r="F88" s="1">
        <v>4</v>
      </c>
      <c r="G88" s="1">
        <v>1</v>
      </c>
      <c r="H88" s="1">
        <v>49</v>
      </c>
      <c r="I88" s="1" t="s">
        <v>904</v>
      </c>
      <c r="J88" s="1" t="s">
        <v>590</v>
      </c>
      <c r="K88" s="1" t="str">
        <f>VLOOKUP(A88,Sheet1!$E$121:$O$157,11,FALSE)</f>
        <v>4,120;6,300</v>
      </c>
      <c r="L88" s="1">
        <v>1</v>
      </c>
      <c r="M88" s="1">
        <f t="shared" si="4"/>
        <v>2800</v>
      </c>
      <c r="N88" s="1">
        <v>700</v>
      </c>
    </row>
    <row r="89" spans="1:14" ht="27" customHeight="1" x14ac:dyDescent="0.15">
      <c r="A89" s="1" t="s">
        <v>77</v>
      </c>
      <c r="B89" s="1">
        <v>1086</v>
      </c>
      <c r="C89" s="1" t="s">
        <v>230</v>
      </c>
      <c r="D89" s="1">
        <v>5</v>
      </c>
      <c r="E89" s="8" t="s">
        <v>833</v>
      </c>
      <c r="F89" s="1">
        <v>0</v>
      </c>
      <c r="G89" s="1">
        <v>1</v>
      </c>
      <c r="H89" s="1">
        <v>49</v>
      </c>
      <c r="I89" s="1" t="s">
        <v>913</v>
      </c>
      <c r="J89" s="1" t="s">
        <v>445</v>
      </c>
      <c r="L89" s="1">
        <v>1</v>
      </c>
      <c r="M89" s="1">
        <f t="shared" si="4"/>
        <v>176</v>
      </c>
      <c r="N89" s="1">
        <f>VLOOKUP(item!A89,Sheet1!$A$1:$B$180,2,FALSE)</f>
        <v>44</v>
      </c>
    </row>
    <row r="90" spans="1:14" ht="27" customHeight="1" x14ac:dyDescent="0.15">
      <c r="A90" s="1" t="s">
        <v>775</v>
      </c>
      <c r="B90" s="1">
        <v>1087</v>
      </c>
      <c r="C90" s="1" t="s">
        <v>231</v>
      </c>
      <c r="D90" s="1">
        <v>5</v>
      </c>
      <c r="E90" s="8" t="s">
        <v>833</v>
      </c>
      <c r="F90" s="1">
        <v>2</v>
      </c>
      <c r="G90" s="1">
        <v>1</v>
      </c>
      <c r="H90" s="1">
        <v>49</v>
      </c>
      <c r="I90" s="1" t="s">
        <v>913</v>
      </c>
      <c r="J90" s="1" t="s">
        <v>446</v>
      </c>
      <c r="L90" s="1">
        <v>1</v>
      </c>
      <c r="M90" s="1">
        <f t="shared" si="4"/>
        <v>480</v>
      </c>
      <c r="N90" s="1">
        <f>VLOOKUP(item!A90,Sheet1!$A$1:$B$180,2,FALSE)</f>
        <v>120</v>
      </c>
    </row>
    <row r="91" spans="1:14" ht="27" customHeight="1" x14ac:dyDescent="0.15">
      <c r="A91" s="1" t="s">
        <v>774</v>
      </c>
      <c r="B91" s="1">
        <v>1088</v>
      </c>
      <c r="C91" s="1" t="s">
        <v>232</v>
      </c>
      <c r="D91" s="1">
        <v>5</v>
      </c>
      <c r="E91" s="8" t="s">
        <v>833</v>
      </c>
      <c r="F91" s="1">
        <v>2</v>
      </c>
      <c r="G91" s="1">
        <v>1</v>
      </c>
      <c r="H91" s="1">
        <v>49</v>
      </c>
      <c r="I91" s="1" t="s">
        <v>913</v>
      </c>
      <c r="J91" s="1" t="s">
        <v>447</v>
      </c>
      <c r="L91" s="1">
        <v>1</v>
      </c>
      <c r="M91" s="1">
        <f t="shared" si="4"/>
        <v>480</v>
      </c>
      <c r="N91" s="1">
        <f>VLOOKUP(item!A91,Sheet1!$A$1:$B$180,2,FALSE)</f>
        <v>120</v>
      </c>
    </row>
    <row r="92" spans="1:14" ht="40.5" customHeight="1" x14ac:dyDescent="0.15">
      <c r="A92" s="1" t="s">
        <v>773</v>
      </c>
      <c r="B92" s="1">
        <v>1089</v>
      </c>
      <c r="C92" s="1" t="s">
        <v>233</v>
      </c>
      <c r="D92" s="1">
        <v>5</v>
      </c>
      <c r="E92" s="8" t="s">
        <v>833</v>
      </c>
      <c r="F92" s="1">
        <v>2</v>
      </c>
      <c r="G92" s="1">
        <v>1</v>
      </c>
      <c r="H92" s="1">
        <v>49</v>
      </c>
      <c r="I92" s="1" t="s">
        <v>913</v>
      </c>
      <c r="J92" s="1" t="s">
        <v>448</v>
      </c>
      <c r="L92" s="1">
        <v>1</v>
      </c>
      <c r="M92" s="1">
        <f t="shared" si="4"/>
        <v>360</v>
      </c>
      <c r="N92" s="1">
        <f>VLOOKUP(item!A92,Sheet1!$A$1:$B$180,2,FALSE)</f>
        <v>90</v>
      </c>
    </row>
    <row r="93" spans="1:14" ht="13.5" customHeight="1" x14ac:dyDescent="0.15">
      <c r="A93" s="1" t="s">
        <v>78</v>
      </c>
      <c r="B93" s="1">
        <v>1090</v>
      </c>
      <c r="C93" s="1" t="s">
        <v>234</v>
      </c>
      <c r="D93" s="1">
        <v>5</v>
      </c>
      <c r="E93" s="8" t="s">
        <v>833</v>
      </c>
      <c r="F93" s="1">
        <v>7</v>
      </c>
      <c r="G93" s="1">
        <v>1</v>
      </c>
      <c r="H93" s="1">
        <v>49</v>
      </c>
      <c r="I93" s="1" t="s">
        <v>913</v>
      </c>
      <c r="J93" s="1" t="s">
        <v>960</v>
      </c>
      <c r="L93" s="1">
        <v>1</v>
      </c>
      <c r="M93" s="1">
        <f t="shared" si="4"/>
        <v>200</v>
      </c>
      <c r="N93" s="1">
        <v>50</v>
      </c>
    </row>
    <row r="94" spans="1:14" ht="27" customHeight="1" x14ac:dyDescent="0.15">
      <c r="A94" s="1" t="s">
        <v>785</v>
      </c>
      <c r="B94" s="1">
        <v>1091</v>
      </c>
      <c r="C94" s="1" t="s">
        <v>235</v>
      </c>
      <c r="D94" s="1">
        <v>6</v>
      </c>
      <c r="E94" s="8" t="s">
        <v>834</v>
      </c>
      <c r="F94" s="1">
        <v>0</v>
      </c>
      <c r="G94" s="1">
        <v>1</v>
      </c>
      <c r="H94" s="1">
        <v>49</v>
      </c>
      <c r="I94" s="1" t="s">
        <v>913</v>
      </c>
      <c r="J94" s="1" t="s">
        <v>449</v>
      </c>
      <c r="L94" s="1">
        <v>1</v>
      </c>
      <c r="M94" s="1">
        <f t="shared" si="4"/>
        <v>204</v>
      </c>
      <c r="N94" s="1">
        <f>VLOOKUP(item!A94,Sheet1!$A$1:$B$180,2,FALSE)</f>
        <v>51</v>
      </c>
    </row>
    <row r="95" spans="1:14" ht="27" customHeight="1" x14ac:dyDescent="0.15">
      <c r="A95" s="1" t="s">
        <v>79</v>
      </c>
      <c r="B95" s="1">
        <v>1092</v>
      </c>
      <c r="C95" s="1" t="s">
        <v>236</v>
      </c>
      <c r="D95" s="1">
        <v>6</v>
      </c>
      <c r="E95" s="8" t="s">
        <v>834</v>
      </c>
      <c r="F95" s="1">
        <v>0</v>
      </c>
      <c r="G95" s="1">
        <v>1</v>
      </c>
      <c r="H95" s="1">
        <v>49</v>
      </c>
      <c r="I95" s="1" t="s">
        <v>913</v>
      </c>
      <c r="J95" s="1" t="s">
        <v>450</v>
      </c>
      <c r="L95" s="1">
        <v>1</v>
      </c>
      <c r="M95" s="1">
        <f t="shared" si="4"/>
        <v>680</v>
      </c>
      <c r="N95" s="1">
        <f>VLOOKUP(item!A95,Sheet1!$A$1:$B$180,2,FALSE)</f>
        <v>170</v>
      </c>
    </row>
    <row r="96" spans="1:14" ht="13.5" customHeight="1" x14ac:dyDescent="0.15">
      <c r="A96" s="1" t="s">
        <v>801</v>
      </c>
      <c r="B96" s="1">
        <v>1093</v>
      </c>
      <c r="C96" s="1" t="s">
        <v>237</v>
      </c>
      <c r="D96" s="1">
        <v>6</v>
      </c>
      <c r="E96" s="8" t="s">
        <v>834</v>
      </c>
      <c r="F96" s="1">
        <v>0</v>
      </c>
      <c r="G96" s="1">
        <v>1</v>
      </c>
      <c r="H96" s="1">
        <v>49</v>
      </c>
      <c r="I96" s="1" t="s">
        <v>913</v>
      </c>
      <c r="J96" s="1" t="s">
        <v>451</v>
      </c>
      <c r="L96" s="1">
        <v>1</v>
      </c>
      <c r="M96" s="1">
        <f t="shared" si="4"/>
        <v>800</v>
      </c>
      <c r="N96" s="1">
        <f>VLOOKUP(item!A96,Sheet1!$A$1:$B$180,2,FALSE)</f>
        <v>200</v>
      </c>
    </row>
    <row r="97" spans="1:14" ht="27" customHeight="1" x14ac:dyDescent="0.15">
      <c r="A97" s="1" t="s">
        <v>811</v>
      </c>
      <c r="B97" s="1">
        <v>1094</v>
      </c>
      <c r="C97" s="1" t="s">
        <v>238</v>
      </c>
      <c r="D97" s="1">
        <v>6</v>
      </c>
      <c r="E97" s="8" t="s">
        <v>834</v>
      </c>
      <c r="F97" s="1">
        <v>9</v>
      </c>
      <c r="G97" s="1">
        <v>1</v>
      </c>
      <c r="H97" s="1">
        <v>49</v>
      </c>
      <c r="I97" s="1" t="s">
        <v>913</v>
      </c>
      <c r="J97" s="1" t="s">
        <v>452</v>
      </c>
      <c r="L97" s="1">
        <v>1</v>
      </c>
      <c r="M97" s="1">
        <f t="shared" si="4"/>
        <v>928</v>
      </c>
      <c r="N97" s="1">
        <f>VLOOKUP(item!A97,Sheet1!$A$1:$B$180,2,FALSE)</f>
        <v>232</v>
      </c>
    </row>
    <row r="98" spans="1:14" ht="27" customHeight="1" x14ac:dyDescent="0.15">
      <c r="A98" s="1" t="s">
        <v>787</v>
      </c>
      <c r="B98" s="1">
        <v>1095</v>
      </c>
      <c r="C98" s="1" t="s">
        <v>256</v>
      </c>
      <c r="D98" s="1">
        <v>6</v>
      </c>
      <c r="E98" s="8" t="s">
        <v>834</v>
      </c>
      <c r="F98" s="1">
        <v>0</v>
      </c>
      <c r="G98" s="1">
        <v>1</v>
      </c>
      <c r="H98" s="1">
        <v>49</v>
      </c>
      <c r="I98" s="1" t="s">
        <v>913</v>
      </c>
      <c r="J98" s="1" t="s">
        <v>453</v>
      </c>
      <c r="L98" s="1">
        <v>1</v>
      </c>
      <c r="M98" s="1">
        <f t="shared" si="4"/>
        <v>680</v>
      </c>
      <c r="N98" s="1">
        <f>VLOOKUP(item!A98,Sheet1!$A$1:$B$180,2,FALSE)</f>
        <v>170</v>
      </c>
    </row>
    <row r="99" spans="1:14" ht="13.5" customHeight="1" x14ac:dyDescent="0.15">
      <c r="A99" s="1" t="s">
        <v>800</v>
      </c>
      <c r="B99" s="1">
        <v>1096</v>
      </c>
      <c r="C99" s="1" t="s">
        <v>239</v>
      </c>
      <c r="D99" s="1">
        <v>6</v>
      </c>
      <c r="E99" s="8" t="s">
        <v>834</v>
      </c>
      <c r="F99" s="1">
        <v>0</v>
      </c>
      <c r="G99" s="1">
        <v>1</v>
      </c>
      <c r="H99" s="1">
        <v>49</v>
      </c>
      <c r="I99" s="1" t="s">
        <v>913</v>
      </c>
      <c r="J99" s="1" t="s">
        <v>454</v>
      </c>
      <c r="L99" s="1">
        <v>1</v>
      </c>
      <c r="M99" s="1">
        <f t="shared" si="4"/>
        <v>480</v>
      </c>
      <c r="N99" s="1">
        <f>VLOOKUP(item!A99,Sheet1!$A$1:$B$180,2,FALSE)</f>
        <v>120</v>
      </c>
    </row>
    <row r="100" spans="1:14" ht="27" customHeight="1" x14ac:dyDescent="0.15">
      <c r="A100" s="1" t="s">
        <v>80</v>
      </c>
      <c r="B100" s="1">
        <v>1097</v>
      </c>
      <c r="C100" s="1" t="s">
        <v>240</v>
      </c>
      <c r="D100" s="1">
        <v>6</v>
      </c>
      <c r="E100" s="8" t="s">
        <v>834</v>
      </c>
      <c r="F100" s="1">
        <v>4</v>
      </c>
      <c r="G100" s="1">
        <v>1</v>
      </c>
      <c r="H100" s="1">
        <v>49</v>
      </c>
      <c r="I100" s="1" t="s">
        <v>913</v>
      </c>
      <c r="J100" s="1" t="s">
        <v>455</v>
      </c>
      <c r="L100" s="1">
        <v>1</v>
      </c>
      <c r="M100" s="1">
        <f t="shared" si="4"/>
        <v>240</v>
      </c>
      <c r="N100" s="1">
        <f>VLOOKUP(item!A100,Sheet1!$A$1:$B$180,2,FALSE)</f>
        <v>60</v>
      </c>
    </row>
    <row r="101" spans="1:14" ht="27" customHeight="1" x14ac:dyDescent="0.15">
      <c r="A101" s="1" t="s">
        <v>812</v>
      </c>
      <c r="B101" s="1">
        <v>1098</v>
      </c>
      <c r="C101" s="1" t="s">
        <v>241</v>
      </c>
      <c r="D101" s="1">
        <v>6</v>
      </c>
      <c r="E101" s="8" t="s">
        <v>834</v>
      </c>
      <c r="F101" s="1">
        <v>0</v>
      </c>
      <c r="G101" s="1">
        <v>1</v>
      </c>
      <c r="H101" s="1">
        <v>49</v>
      </c>
      <c r="I101" s="1" t="s">
        <v>913</v>
      </c>
      <c r="J101" s="1" t="s">
        <v>456</v>
      </c>
      <c r="L101" s="1">
        <v>1</v>
      </c>
      <c r="M101" s="1">
        <f t="shared" si="4"/>
        <v>220</v>
      </c>
      <c r="N101" s="1">
        <f>VLOOKUP(item!A101,Sheet1!$A$1:$B$180,2,FALSE)</f>
        <v>55</v>
      </c>
    </row>
    <row r="102" spans="1:14" ht="13.5" customHeight="1" x14ac:dyDescent="0.15">
      <c r="A102" s="1" t="s">
        <v>81</v>
      </c>
      <c r="B102" s="1">
        <v>1099</v>
      </c>
      <c r="C102" s="1" t="s">
        <v>242</v>
      </c>
      <c r="D102" s="1">
        <v>6</v>
      </c>
      <c r="E102" s="8" t="s">
        <v>834</v>
      </c>
      <c r="F102" s="1">
        <v>0</v>
      </c>
      <c r="G102" s="1">
        <v>1</v>
      </c>
      <c r="H102" s="1">
        <v>49</v>
      </c>
      <c r="I102" s="1" t="s">
        <v>913</v>
      </c>
      <c r="J102" s="1" t="s">
        <v>457</v>
      </c>
      <c r="L102" s="1">
        <v>1</v>
      </c>
      <c r="M102" s="1">
        <f t="shared" si="4"/>
        <v>260</v>
      </c>
      <c r="N102" s="1">
        <f>VLOOKUP(item!A102,Sheet1!$A$1:$B$180,2,FALSE)</f>
        <v>65</v>
      </c>
    </row>
    <row r="103" spans="1:14" ht="27" customHeight="1" x14ac:dyDescent="0.15">
      <c r="A103" s="1" t="s">
        <v>82</v>
      </c>
      <c r="B103" s="1">
        <v>1100</v>
      </c>
      <c r="C103" s="1" t="s">
        <v>243</v>
      </c>
      <c r="D103" s="1">
        <v>6</v>
      </c>
      <c r="E103" s="8" t="s">
        <v>834</v>
      </c>
      <c r="F103" s="1">
        <v>0</v>
      </c>
      <c r="G103" s="1">
        <v>1</v>
      </c>
      <c r="H103" s="1">
        <v>49</v>
      </c>
      <c r="I103" s="1" t="s">
        <v>913</v>
      </c>
      <c r="J103" s="1" t="s">
        <v>458</v>
      </c>
      <c r="L103" s="1">
        <v>1</v>
      </c>
      <c r="M103" s="1">
        <f t="shared" si="4"/>
        <v>176</v>
      </c>
      <c r="N103" s="1">
        <f>VLOOKUP(item!A103,Sheet1!$A$1:$B$180,2,FALSE)</f>
        <v>44</v>
      </c>
    </row>
    <row r="104" spans="1:14" ht="13.5" customHeight="1" x14ac:dyDescent="0.15">
      <c r="A104" s="1" t="s">
        <v>813</v>
      </c>
      <c r="B104" s="1">
        <v>1101</v>
      </c>
      <c r="C104" s="1" t="s">
        <v>244</v>
      </c>
      <c r="D104" s="1">
        <v>6</v>
      </c>
      <c r="E104" s="8" t="s">
        <v>834</v>
      </c>
      <c r="F104" s="1">
        <v>0</v>
      </c>
      <c r="G104" s="1">
        <v>1</v>
      </c>
      <c r="H104" s="1">
        <v>49</v>
      </c>
      <c r="I104" s="1" t="s">
        <v>913</v>
      </c>
      <c r="J104" s="1" t="s">
        <v>459</v>
      </c>
      <c r="L104" s="1">
        <v>1</v>
      </c>
      <c r="M104" s="1">
        <f t="shared" si="4"/>
        <v>328</v>
      </c>
      <c r="N104" s="1">
        <f>VLOOKUP(item!A104,Sheet1!$A$1:$B$180,2,FALSE)</f>
        <v>82</v>
      </c>
    </row>
    <row r="105" spans="1:14" ht="27" customHeight="1" x14ac:dyDescent="0.15">
      <c r="A105" s="1" t="s">
        <v>770</v>
      </c>
      <c r="B105" s="1">
        <v>1102</v>
      </c>
      <c r="C105" s="1" t="s">
        <v>245</v>
      </c>
      <c r="D105" s="1">
        <v>6</v>
      </c>
      <c r="E105" s="8" t="s">
        <v>834</v>
      </c>
      <c r="F105" s="1">
        <v>0</v>
      </c>
      <c r="G105" s="1">
        <v>1</v>
      </c>
      <c r="H105" s="1">
        <v>49</v>
      </c>
      <c r="I105" s="1" t="s">
        <v>913</v>
      </c>
      <c r="J105" s="1" t="s">
        <v>460</v>
      </c>
      <c r="L105" s="1">
        <v>1</v>
      </c>
      <c r="M105" s="1">
        <f t="shared" si="4"/>
        <v>280</v>
      </c>
      <c r="N105" s="1">
        <f>VLOOKUP(item!A105,Sheet1!$A$1:$B$180,2,FALSE)</f>
        <v>70</v>
      </c>
    </row>
    <row r="106" spans="1:14" ht="27" customHeight="1" x14ac:dyDescent="0.15">
      <c r="A106" s="1" t="s">
        <v>83</v>
      </c>
      <c r="B106" s="1">
        <v>1103</v>
      </c>
      <c r="C106" s="1" t="s">
        <v>246</v>
      </c>
      <c r="D106" s="1">
        <v>6</v>
      </c>
      <c r="E106" s="8" t="s">
        <v>834</v>
      </c>
      <c r="F106" s="1">
        <v>0</v>
      </c>
      <c r="G106" s="1">
        <v>1</v>
      </c>
      <c r="H106" s="1">
        <v>49</v>
      </c>
      <c r="I106" s="1" t="s">
        <v>913</v>
      </c>
      <c r="J106" s="1" t="s">
        <v>461</v>
      </c>
      <c r="L106" s="1">
        <v>1</v>
      </c>
      <c r="M106" s="1">
        <f t="shared" si="4"/>
        <v>280</v>
      </c>
      <c r="N106" s="1">
        <f>VLOOKUP(item!A106,Sheet1!$A$1:$B$180,2,FALSE)</f>
        <v>70</v>
      </c>
    </row>
    <row r="107" spans="1:14" ht="27" customHeight="1" x14ac:dyDescent="0.15">
      <c r="A107" s="1" t="s">
        <v>810</v>
      </c>
      <c r="B107" s="1">
        <v>1104</v>
      </c>
      <c r="C107" s="1" t="s">
        <v>247</v>
      </c>
      <c r="D107" s="1">
        <v>6</v>
      </c>
      <c r="E107" s="8" t="s">
        <v>834</v>
      </c>
      <c r="F107" s="1">
        <v>0</v>
      </c>
      <c r="G107" s="1">
        <v>1</v>
      </c>
      <c r="H107" s="1">
        <v>49</v>
      </c>
      <c r="I107" s="1" t="s">
        <v>913</v>
      </c>
      <c r="J107" s="1" t="s">
        <v>462</v>
      </c>
      <c r="L107" s="1">
        <v>1</v>
      </c>
      <c r="M107" s="1">
        <f t="shared" si="4"/>
        <v>400</v>
      </c>
      <c r="N107" s="1">
        <f>VLOOKUP(item!A107,Sheet1!$A$1:$B$180,2,FALSE)</f>
        <v>100</v>
      </c>
    </row>
    <row r="108" spans="1:14" ht="27" customHeight="1" x14ac:dyDescent="0.15">
      <c r="A108" s="1" t="s">
        <v>771</v>
      </c>
      <c r="B108" s="1">
        <v>1105</v>
      </c>
      <c r="C108" s="2" t="s">
        <v>598</v>
      </c>
      <c r="D108" s="1">
        <v>6</v>
      </c>
      <c r="E108" s="8" t="s">
        <v>834</v>
      </c>
      <c r="F108" s="1">
        <v>0</v>
      </c>
      <c r="G108" s="1">
        <v>1</v>
      </c>
      <c r="H108" s="1">
        <v>49</v>
      </c>
      <c r="I108" s="1" t="s">
        <v>913</v>
      </c>
      <c r="J108" s="1" t="s">
        <v>592</v>
      </c>
      <c r="L108" s="1">
        <v>1</v>
      </c>
      <c r="M108" s="1">
        <f t="shared" si="4"/>
        <v>400</v>
      </c>
      <c r="N108" s="1">
        <f>VLOOKUP(item!A108,Sheet1!$A$1:$B$180,2,FALSE)</f>
        <v>100</v>
      </c>
    </row>
    <row r="109" spans="1:14" ht="27" customHeight="1" x14ac:dyDescent="0.15">
      <c r="A109" s="1" t="s">
        <v>805</v>
      </c>
      <c r="B109" s="1">
        <v>1106</v>
      </c>
      <c r="C109" s="2" t="s">
        <v>597</v>
      </c>
      <c r="D109" s="1">
        <v>6</v>
      </c>
      <c r="E109" s="8" t="s">
        <v>834</v>
      </c>
      <c r="F109" s="1">
        <v>0</v>
      </c>
      <c r="G109" s="1">
        <v>1</v>
      </c>
      <c r="H109" s="1">
        <v>49</v>
      </c>
      <c r="I109" s="1" t="s">
        <v>913</v>
      </c>
      <c r="J109" s="1" t="s">
        <v>593</v>
      </c>
      <c r="L109" s="1">
        <v>1</v>
      </c>
      <c r="M109" s="1">
        <f t="shared" si="4"/>
        <v>300</v>
      </c>
      <c r="N109" s="1">
        <f>VLOOKUP(item!A109,Sheet1!$A$1:$B$180,2,FALSE)</f>
        <v>75</v>
      </c>
    </row>
    <row r="110" spans="1:14" ht="27" customHeight="1" x14ac:dyDescent="0.15">
      <c r="A110" s="1" t="s">
        <v>970</v>
      </c>
      <c r="B110" s="1">
        <v>1107</v>
      </c>
      <c r="C110" s="2" t="s">
        <v>599</v>
      </c>
      <c r="D110" s="1">
        <v>6</v>
      </c>
      <c r="E110" s="8" t="s">
        <v>834</v>
      </c>
      <c r="F110" s="1">
        <v>0</v>
      </c>
      <c r="G110" s="1">
        <v>1</v>
      </c>
      <c r="H110" s="1">
        <v>49</v>
      </c>
      <c r="I110" s="1" t="s">
        <v>913</v>
      </c>
      <c r="J110" s="1" t="s">
        <v>594</v>
      </c>
      <c r="L110" s="1">
        <v>1</v>
      </c>
      <c r="M110" s="1">
        <f t="shared" si="4"/>
        <v>640</v>
      </c>
      <c r="N110" s="1">
        <f>VLOOKUP(item!A110,Sheet1!$A$1:$B$180,2,FALSE)</f>
        <v>160</v>
      </c>
    </row>
    <row r="111" spans="1:14" ht="27" customHeight="1" x14ac:dyDescent="0.15">
      <c r="A111" s="1" t="s">
        <v>814</v>
      </c>
      <c r="B111" s="1">
        <v>1108</v>
      </c>
      <c r="C111" s="1" t="s">
        <v>248</v>
      </c>
      <c r="D111" s="1">
        <v>6</v>
      </c>
      <c r="E111" s="8" t="s">
        <v>834</v>
      </c>
      <c r="F111" s="1">
        <v>4</v>
      </c>
      <c r="G111" s="1">
        <v>1</v>
      </c>
      <c r="H111" s="1">
        <v>49</v>
      </c>
      <c r="I111" s="1" t="s">
        <v>913</v>
      </c>
      <c r="J111" s="1" t="s">
        <v>463</v>
      </c>
      <c r="L111" s="1">
        <v>1</v>
      </c>
      <c r="M111" s="1">
        <f t="shared" si="4"/>
        <v>440</v>
      </c>
      <c r="N111" s="1">
        <f>VLOOKUP(item!A111,Sheet1!$A$1:$B$180,2,FALSE)</f>
        <v>110</v>
      </c>
    </row>
    <row r="112" spans="1:14" ht="27" customHeight="1" x14ac:dyDescent="0.15">
      <c r="A112" s="1" t="s">
        <v>802</v>
      </c>
      <c r="B112" s="1">
        <v>1109</v>
      </c>
      <c r="C112" s="1" t="s">
        <v>249</v>
      </c>
      <c r="D112" s="1">
        <v>5</v>
      </c>
      <c r="E112" s="8" t="s">
        <v>833</v>
      </c>
      <c r="F112" s="1">
        <v>8</v>
      </c>
      <c r="G112" s="1">
        <v>1</v>
      </c>
      <c r="H112" s="1">
        <v>49</v>
      </c>
      <c r="I112" s="1" t="s">
        <v>913</v>
      </c>
      <c r="J112" s="1" t="s">
        <v>464</v>
      </c>
      <c r="L112" s="1">
        <v>1</v>
      </c>
      <c r="M112" s="1">
        <f t="shared" si="4"/>
        <v>240</v>
      </c>
      <c r="N112" s="1">
        <f>VLOOKUP(item!A112,Sheet1!$A$1:$B$180,2,FALSE)</f>
        <v>60</v>
      </c>
    </row>
    <row r="113" spans="1:14" ht="40.5" customHeight="1" x14ac:dyDescent="0.15">
      <c r="A113" s="1" t="s">
        <v>84</v>
      </c>
      <c r="B113" s="1">
        <v>1110</v>
      </c>
      <c r="C113" s="1" t="s">
        <v>250</v>
      </c>
      <c r="D113" s="1">
        <v>6</v>
      </c>
      <c r="E113" s="8" t="s">
        <v>834</v>
      </c>
      <c r="F113" s="1">
        <v>0</v>
      </c>
      <c r="G113" s="1">
        <v>1</v>
      </c>
      <c r="H113" s="1">
        <v>49</v>
      </c>
      <c r="I113" s="1" t="s">
        <v>913</v>
      </c>
      <c r="J113" s="1" t="s">
        <v>465</v>
      </c>
      <c r="L113" s="1">
        <v>1</v>
      </c>
      <c r="M113" s="1">
        <f t="shared" si="4"/>
        <v>360</v>
      </c>
      <c r="N113" s="1">
        <f>VLOOKUP(item!A113,Sheet1!$A$1:$B$180,2,FALSE)</f>
        <v>90</v>
      </c>
    </row>
    <row r="114" spans="1:14" ht="40.5" customHeight="1" x14ac:dyDescent="0.15">
      <c r="A114" s="1" t="s">
        <v>772</v>
      </c>
      <c r="B114" s="1">
        <v>1111</v>
      </c>
      <c r="C114" s="1" t="s">
        <v>251</v>
      </c>
      <c r="D114" s="1">
        <v>6</v>
      </c>
      <c r="E114" s="8" t="s">
        <v>834</v>
      </c>
      <c r="F114" s="1">
        <v>0</v>
      </c>
      <c r="G114" s="1">
        <v>1</v>
      </c>
      <c r="H114" s="1">
        <v>49</v>
      </c>
      <c r="I114" s="1" t="s">
        <v>913</v>
      </c>
      <c r="J114" s="1" t="s">
        <v>466</v>
      </c>
      <c r="L114" s="1">
        <v>1</v>
      </c>
      <c r="M114" s="1">
        <f t="shared" si="4"/>
        <v>536</v>
      </c>
      <c r="N114" s="1">
        <f>VLOOKUP(item!A114,Sheet1!$A$1:$B$180,2,FALSE)</f>
        <v>134</v>
      </c>
    </row>
    <row r="115" spans="1:14" ht="27" customHeight="1" x14ac:dyDescent="0.15">
      <c r="A115" s="1" t="s">
        <v>804</v>
      </c>
      <c r="B115" s="1">
        <v>1112</v>
      </c>
      <c r="C115" s="1" t="s">
        <v>252</v>
      </c>
      <c r="D115" s="1">
        <v>6</v>
      </c>
      <c r="E115" s="8" t="s">
        <v>834</v>
      </c>
      <c r="F115" s="1">
        <v>0</v>
      </c>
      <c r="G115" s="1">
        <v>1</v>
      </c>
      <c r="H115" s="1">
        <v>49</v>
      </c>
      <c r="I115" s="1" t="s">
        <v>913</v>
      </c>
      <c r="J115" s="1" t="s">
        <v>467</v>
      </c>
      <c r="L115" s="1">
        <v>1</v>
      </c>
      <c r="M115" s="1">
        <f t="shared" si="4"/>
        <v>204</v>
      </c>
      <c r="N115" s="1">
        <f>VLOOKUP(item!A115,Sheet1!$A$1:$B$180,2,FALSE)</f>
        <v>51</v>
      </c>
    </row>
    <row r="116" spans="1:14" ht="27" customHeight="1" x14ac:dyDescent="0.15">
      <c r="A116" s="1" t="s">
        <v>85</v>
      </c>
      <c r="B116" s="1">
        <v>1113</v>
      </c>
      <c r="C116" s="1" t="s">
        <v>253</v>
      </c>
      <c r="D116" s="1">
        <v>6</v>
      </c>
      <c r="E116" s="8" t="s">
        <v>834</v>
      </c>
      <c r="F116" s="1">
        <v>0</v>
      </c>
      <c r="G116" s="1">
        <v>1</v>
      </c>
      <c r="H116" s="1">
        <v>49</v>
      </c>
      <c r="I116" s="1" t="s">
        <v>913</v>
      </c>
      <c r="J116" s="1" t="s">
        <v>468</v>
      </c>
      <c r="L116" s="1">
        <v>1</v>
      </c>
      <c r="M116" s="1">
        <f t="shared" si="4"/>
        <v>680</v>
      </c>
      <c r="N116" s="1">
        <f>VLOOKUP(item!A116,Sheet1!$A$1:$B$180,2,FALSE)</f>
        <v>170</v>
      </c>
    </row>
    <row r="117" spans="1:14" ht="13.5" customHeight="1" x14ac:dyDescent="0.15">
      <c r="A117" s="1" t="s">
        <v>806</v>
      </c>
      <c r="B117" s="1">
        <v>1114</v>
      </c>
      <c r="C117" s="1" t="s">
        <v>254</v>
      </c>
      <c r="D117" s="1">
        <v>6</v>
      </c>
      <c r="E117" s="8" t="s">
        <v>834</v>
      </c>
      <c r="F117" s="1">
        <v>4</v>
      </c>
      <c r="G117" s="1">
        <v>1</v>
      </c>
      <c r="H117" s="1">
        <v>49</v>
      </c>
      <c r="I117" s="1" t="s">
        <v>913</v>
      </c>
      <c r="J117" s="1" t="s">
        <v>469</v>
      </c>
      <c r="L117" s="1">
        <v>1</v>
      </c>
      <c r="M117" s="1">
        <f t="shared" ref="M117:M134" si="5">N117*4</f>
        <v>840</v>
      </c>
      <c r="N117" s="1">
        <f>VLOOKUP(item!A117,Sheet1!$A$1:$B$180,2,FALSE)</f>
        <v>210</v>
      </c>
    </row>
    <row r="118" spans="1:14" ht="27" customHeight="1" x14ac:dyDescent="0.15">
      <c r="A118" s="1" t="s">
        <v>86</v>
      </c>
      <c r="B118" s="1">
        <v>1115</v>
      </c>
      <c r="C118" s="1" t="s">
        <v>255</v>
      </c>
      <c r="D118" s="1">
        <v>6</v>
      </c>
      <c r="E118" s="8" t="s">
        <v>834</v>
      </c>
      <c r="F118" s="1">
        <v>0</v>
      </c>
      <c r="G118" s="1">
        <v>1</v>
      </c>
      <c r="H118" s="1">
        <v>49</v>
      </c>
      <c r="I118" s="1" t="s">
        <v>913</v>
      </c>
      <c r="J118" s="1" t="s">
        <v>470</v>
      </c>
      <c r="L118" s="1">
        <v>1</v>
      </c>
      <c r="M118" s="1">
        <f t="shared" si="5"/>
        <v>800</v>
      </c>
      <c r="N118" s="1">
        <f>VLOOKUP(item!A118,Sheet1!$A$1:$B$180,2,FALSE)</f>
        <v>200</v>
      </c>
    </row>
    <row r="119" spans="1:14" ht="27" customHeight="1" x14ac:dyDescent="0.15">
      <c r="A119" s="1" t="s">
        <v>87</v>
      </c>
      <c r="B119" s="1">
        <v>1116</v>
      </c>
      <c r="C119" s="1" t="s">
        <v>257</v>
      </c>
      <c r="D119" s="1">
        <v>6</v>
      </c>
      <c r="E119" s="8" t="s">
        <v>834</v>
      </c>
      <c r="F119" s="1">
        <v>6</v>
      </c>
      <c r="G119" s="1">
        <v>1</v>
      </c>
      <c r="H119" s="1">
        <v>49</v>
      </c>
      <c r="I119" s="1" t="s">
        <v>913</v>
      </c>
      <c r="J119" s="1" t="s">
        <v>471</v>
      </c>
      <c r="L119" s="1">
        <v>1</v>
      </c>
      <c r="M119" s="1">
        <f t="shared" si="5"/>
        <v>800</v>
      </c>
      <c r="N119" s="1">
        <f>VLOOKUP(item!A119,Sheet1!$A$1:$B$180,2,FALSE)</f>
        <v>200</v>
      </c>
    </row>
    <row r="120" spans="1:14" ht="27" customHeight="1" x14ac:dyDescent="0.15">
      <c r="A120" s="1" t="s">
        <v>803</v>
      </c>
      <c r="B120" s="1">
        <v>1117</v>
      </c>
      <c r="C120" s="1" t="s">
        <v>258</v>
      </c>
      <c r="D120" s="1">
        <v>5</v>
      </c>
      <c r="E120" s="8" t="s">
        <v>833</v>
      </c>
      <c r="F120" s="1">
        <v>8</v>
      </c>
      <c r="G120" s="1">
        <v>1</v>
      </c>
      <c r="H120" s="1">
        <v>49</v>
      </c>
      <c r="I120" s="1" t="s">
        <v>913</v>
      </c>
      <c r="J120" s="1" t="s">
        <v>472</v>
      </c>
      <c r="L120" s="1">
        <v>1</v>
      </c>
      <c r="M120" s="1">
        <f t="shared" si="5"/>
        <v>440</v>
      </c>
      <c r="N120" s="1">
        <f>VLOOKUP(item!A120,Sheet1!$A$1:$B$180,2,FALSE)</f>
        <v>110</v>
      </c>
    </row>
    <row r="121" spans="1:14" ht="27" customHeight="1" x14ac:dyDescent="0.15">
      <c r="A121" s="1" t="s">
        <v>798</v>
      </c>
      <c r="B121" s="1">
        <v>1118</v>
      </c>
      <c r="C121" s="1" t="s">
        <v>259</v>
      </c>
      <c r="D121" s="1">
        <v>6</v>
      </c>
      <c r="E121" s="8" t="s">
        <v>834</v>
      </c>
      <c r="F121" s="1">
        <v>0</v>
      </c>
      <c r="G121" s="1">
        <v>1</v>
      </c>
      <c r="H121" s="1">
        <v>49</v>
      </c>
      <c r="I121" s="1" t="s">
        <v>913</v>
      </c>
      <c r="J121" s="1" t="s">
        <v>473</v>
      </c>
      <c r="L121" s="1">
        <v>1</v>
      </c>
      <c r="M121" s="1">
        <f t="shared" si="5"/>
        <v>260</v>
      </c>
      <c r="N121" s="1">
        <f>VLOOKUP(item!A121,Sheet1!$A$1:$B$180,2,FALSE)</f>
        <v>65</v>
      </c>
    </row>
    <row r="122" spans="1:14" ht="13.5" customHeight="1" x14ac:dyDescent="0.15">
      <c r="A122" s="1" t="s">
        <v>807</v>
      </c>
      <c r="B122" s="1">
        <v>1119</v>
      </c>
      <c r="C122" s="1" t="s">
        <v>260</v>
      </c>
      <c r="D122" s="1">
        <v>6</v>
      </c>
      <c r="E122" s="8" t="s">
        <v>834</v>
      </c>
      <c r="F122" s="1">
        <v>0</v>
      </c>
      <c r="G122" s="1">
        <v>1</v>
      </c>
      <c r="H122" s="1">
        <v>49</v>
      </c>
      <c r="I122" s="1" t="s">
        <v>913</v>
      </c>
      <c r="J122" s="1" t="s">
        <v>474</v>
      </c>
      <c r="L122" s="1">
        <v>1</v>
      </c>
      <c r="M122" s="1">
        <f t="shared" si="5"/>
        <v>300</v>
      </c>
      <c r="N122" s="1">
        <f>VLOOKUP(item!A122,Sheet1!$A$1:$B$180,2,FALSE)</f>
        <v>75</v>
      </c>
    </row>
    <row r="123" spans="1:14" ht="27" customHeight="1" x14ac:dyDescent="0.15">
      <c r="A123" s="1" t="s">
        <v>786</v>
      </c>
      <c r="B123" s="1">
        <v>1120</v>
      </c>
      <c r="C123" s="1" t="s">
        <v>261</v>
      </c>
      <c r="D123" s="1">
        <v>6</v>
      </c>
      <c r="E123" s="8" t="s">
        <v>834</v>
      </c>
      <c r="F123" s="1">
        <v>0</v>
      </c>
      <c r="G123" s="1">
        <v>1</v>
      </c>
      <c r="H123" s="1">
        <v>49</v>
      </c>
      <c r="I123" s="1" t="s">
        <v>913</v>
      </c>
      <c r="J123" s="1" t="s">
        <v>475</v>
      </c>
      <c r="L123" s="1">
        <v>1</v>
      </c>
      <c r="M123" s="1">
        <f t="shared" si="5"/>
        <v>520</v>
      </c>
      <c r="N123" s="1">
        <f>VLOOKUP(item!A123,Sheet1!$A$1:$B$180,2,FALSE)</f>
        <v>130</v>
      </c>
    </row>
    <row r="124" spans="1:14" ht="27" customHeight="1" x14ac:dyDescent="0.15">
      <c r="A124" s="1" t="s">
        <v>769</v>
      </c>
      <c r="B124" s="1">
        <v>1121</v>
      </c>
      <c r="C124" s="1" t="s">
        <v>262</v>
      </c>
      <c r="D124" s="1">
        <v>5</v>
      </c>
      <c r="E124" s="8" t="s">
        <v>833</v>
      </c>
      <c r="F124" s="1">
        <v>7</v>
      </c>
      <c r="G124" s="1">
        <v>1</v>
      </c>
      <c r="H124" s="1">
        <v>49</v>
      </c>
      <c r="I124" s="1" t="s">
        <v>913</v>
      </c>
      <c r="J124" s="1" t="s">
        <v>476</v>
      </c>
      <c r="L124" s="1">
        <v>1</v>
      </c>
      <c r="M124" s="1">
        <f t="shared" si="5"/>
        <v>288</v>
      </c>
      <c r="N124" s="1">
        <f>VLOOKUP(item!A124,Sheet1!$A$1:$B$180,2,FALSE)</f>
        <v>72</v>
      </c>
    </row>
    <row r="125" spans="1:14" ht="13.5" customHeight="1" x14ac:dyDescent="0.15">
      <c r="A125" s="1" t="s">
        <v>808</v>
      </c>
      <c r="B125" s="1">
        <v>1122</v>
      </c>
      <c r="C125" s="1" t="s">
        <v>263</v>
      </c>
      <c r="D125" s="1">
        <v>6</v>
      </c>
      <c r="E125" s="8" t="s">
        <v>834</v>
      </c>
      <c r="F125" s="1">
        <v>0</v>
      </c>
      <c r="G125" s="1">
        <v>1</v>
      </c>
      <c r="H125" s="1">
        <v>49</v>
      </c>
      <c r="I125" s="1" t="s">
        <v>913</v>
      </c>
      <c r="J125" s="1" t="s">
        <v>477</v>
      </c>
      <c r="L125" s="1">
        <v>1</v>
      </c>
      <c r="M125" s="1">
        <f t="shared" si="5"/>
        <v>520</v>
      </c>
      <c r="N125" s="1">
        <f>VLOOKUP(item!A125,Sheet1!$A$1:$B$180,2,FALSE)</f>
        <v>130</v>
      </c>
    </row>
    <row r="126" spans="1:14" ht="27" customHeight="1" x14ac:dyDescent="0.15">
      <c r="A126" s="1" t="s">
        <v>799</v>
      </c>
      <c r="B126" s="1">
        <v>1123</v>
      </c>
      <c r="C126" s="1" t="s">
        <v>264</v>
      </c>
      <c r="D126" s="1">
        <v>6</v>
      </c>
      <c r="E126" s="8" t="s">
        <v>834</v>
      </c>
      <c r="F126" s="1">
        <v>0</v>
      </c>
      <c r="G126" s="1">
        <v>1</v>
      </c>
      <c r="H126" s="1">
        <v>49</v>
      </c>
      <c r="I126" s="1" t="s">
        <v>913</v>
      </c>
      <c r="J126" s="1" t="s">
        <v>478</v>
      </c>
      <c r="L126" s="1">
        <v>1</v>
      </c>
      <c r="M126" s="1">
        <f t="shared" si="5"/>
        <v>280</v>
      </c>
      <c r="N126" s="1">
        <f>VLOOKUP(item!A126,Sheet1!$A$1:$B$180,2,FALSE)</f>
        <v>70</v>
      </c>
    </row>
    <row r="127" spans="1:14" ht="27" customHeight="1" x14ac:dyDescent="0.15">
      <c r="A127" s="1" t="s">
        <v>88</v>
      </c>
      <c r="B127" s="1">
        <v>1124</v>
      </c>
      <c r="C127" s="1" t="s">
        <v>265</v>
      </c>
      <c r="D127" s="1">
        <v>6</v>
      </c>
      <c r="E127" s="8" t="s">
        <v>834</v>
      </c>
      <c r="F127" s="1">
        <v>0</v>
      </c>
      <c r="G127" s="1">
        <v>1</v>
      </c>
      <c r="H127" s="1">
        <v>49</v>
      </c>
      <c r="I127" s="1" t="s">
        <v>913</v>
      </c>
      <c r="J127" s="1" t="s">
        <v>479</v>
      </c>
      <c r="L127" s="1">
        <v>1</v>
      </c>
      <c r="M127" s="1">
        <f t="shared" si="5"/>
        <v>328</v>
      </c>
      <c r="N127" s="1">
        <f>VLOOKUP(item!A127,Sheet1!$A$1:$B$180,2,FALSE)</f>
        <v>82</v>
      </c>
    </row>
    <row r="128" spans="1:14" ht="27" customHeight="1" x14ac:dyDescent="0.15">
      <c r="A128" s="1" t="s">
        <v>809</v>
      </c>
      <c r="B128" s="1">
        <v>1125</v>
      </c>
      <c r="C128" s="1" t="s">
        <v>275</v>
      </c>
      <c r="D128" s="1">
        <v>3</v>
      </c>
      <c r="E128" s="8" t="s">
        <v>834</v>
      </c>
      <c r="F128" s="1">
        <v>0</v>
      </c>
      <c r="G128" s="1">
        <v>1</v>
      </c>
      <c r="H128" s="1">
        <v>49</v>
      </c>
      <c r="I128" s="1" t="s">
        <v>913</v>
      </c>
      <c r="J128" s="1" t="s">
        <v>480</v>
      </c>
      <c r="L128" s="1">
        <v>1</v>
      </c>
      <c r="M128" s="1">
        <f t="shared" si="5"/>
        <v>240</v>
      </c>
      <c r="N128" s="1">
        <v>60</v>
      </c>
    </row>
    <row r="129" spans="1:14" ht="27" customHeight="1" x14ac:dyDescent="0.15">
      <c r="A129" s="1" t="s">
        <v>89</v>
      </c>
      <c r="B129" s="1">
        <v>1126</v>
      </c>
      <c r="C129" s="1" t="s">
        <v>266</v>
      </c>
      <c r="D129" s="1">
        <v>6</v>
      </c>
      <c r="E129" s="8" t="s">
        <v>834</v>
      </c>
      <c r="F129" s="1">
        <v>0</v>
      </c>
      <c r="G129" s="1">
        <v>1</v>
      </c>
      <c r="H129" s="1">
        <v>49</v>
      </c>
      <c r="I129" s="1" t="s">
        <v>913</v>
      </c>
      <c r="J129" s="1" t="s">
        <v>481</v>
      </c>
      <c r="L129" s="1">
        <v>1</v>
      </c>
      <c r="M129" s="1">
        <f t="shared" si="5"/>
        <v>440</v>
      </c>
      <c r="N129" s="1">
        <f>VLOOKUP(item!A129,Sheet1!$A$1:$B$180,2,FALSE)</f>
        <v>110</v>
      </c>
    </row>
    <row r="130" spans="1:14" ht="13.5" customHeight="1" x14ac:dyDescent="0.15">
      <c r="A130" s="1" t="s">
        <v>580</v>
      </c>
      <c r="B130" s="1">
        <v>1127</v>
      </c>
      <c r="C130" s="1" t="s">
        <v>267</v>
      </c>
      <c r="D130" s="1">
        <v>6</v>
      </c>
      <c r="E130" s="8" t="s">
        <v>834</v>
      </c>
      <c r="F130" s="1">
        <v>0</v>
      </c>
      <c r="G130" s="1">
        <v>1</v>
      </c>
      <c r="H130" s="1">
        <v>49</v>
      </c>
      <c r="I130" s="1" t="s">
        <v>913</v>
      </c>
      <c r="J130" s="1" t="s">
        <v>482</v>
      </c>
      <c r="L130" s="1">
        <v>1</v>
      </c>
      <c r="M130" s="1">
        <f t="shared" si="5"/>
        <v>260</v>
      </c>
      <c r="N130" s="1">
        <v>65</v>
      </c>
    </row>
    <row r="131" spans="1:14" ht="27" customHeight="1" x14ac:dyDescent="0.15">
      <c r="A131" s="1" t="s">
        <v>90</v>
      </c>
      <c r="B131" s="1">
        <v>1128</v>
      </c>
      <c r="C131" s="1" t="s">
        <v>268</v>
      </c>
      <c r="D131" s="1">
        <v>6</v>
      </c>
      <c r="E131" s="8" t="s">
        <v>834</v>
      </c>
      <c r="F131" s="1">
        <v>0</v>
      </c>
      <c r="G131" s="1">
        <v>1</v>
      </c>
      <c r="H131" s="1">
        <v>49</v>
      </c>
      <c r="I131" s="1" t="s">
        <v>913</v>
      </c>
      <c r="J131" s="1" t="s">
        <v>483</v>
      </c>
      <c r="L131" s="1">
        <v>1</v>
      </c>
      <c r="M131" s="1">
        <f t="shared" si="5"/>
        <v>280</v>
      </c>
      <c r="N131" s="1">
        <f>VLOOKUP(item!A131,Sheet1!$A$1:$B$180,2,FALSE)</f>
        <v>70</v>
      </c>
    </row>
    <row r="132" spans="1:14" ht="13.5" customHeight="1" x14ac:dyDescent="0.15">
      <c r="A132" s="1" t="s">
        <v>781</v>
      </c>
      <c r="B132" s="1">
        <v>1129</v>
      </c>
      <c r="C132" s="1" t="s">
        <v>269</v>
      </c>
      <c r="D132" s="1">
        <v>5</v>
      </c>
      <c r="E132" s="8" t="s">
        <v>833</v>
      </c>
      <c r="F132" s="1">
        <v>7</v>
      </c>
      <c r="G132" s="1">
        <v>1</v>
      </c>
      <c r="H132" s="1">
        <v>49</v>
      </c>
      <c r="I132" s="1" t="s">
        <v>913</v>
      </c>
      <c r="J132" s="1" t="s">
        <v>484</v>
      </c>
      <c r="L132" s="1">
        <v>1</v>
      </c>
      <c r="M132" s="1">
        <f t="shared" si="5"/>
        <v>1040</v>
      </c>
      <c r="N132" s="1">
        <f>VLOOKUP(item!A132,Sheet1!$A$1:$B$180,2,FALSE)</f>
        <v>260</v>
      </c>
    </row>
    <row r="133" spans="1:14" ht="27" customHeight="1" x14ac:dyDescent="0.15">
      <c r="A133" s="1" t="s">
        <v>91</v>
      </c>
      <c r="B133" s="1">
        <v>1130</v>
      </c>
      <c r="C133" s="1" t="s">
        <v>270</v>
      </c>
      <c r="D133" s="1">
        <v>6</v>
      </c>
      <c r="E133" s="8" t="s">
        <v>834</v>
      </c>
      <c r="F133" s="1">
        <v>0</v>
      </c>
      <c r="G133" s="1">
        <v>1</v>
      </c>
      <c r="H133" s="1">
        <v>49</v>
      </c>
      <c r="I133" s="1" t="s">
        <v>913</v>
      </c>
      <c r="J133" s="1" t="s">
        <v>485</v>
      </c>
      <c r="L133" s="1">
        <v>1</v>
      </c>
      <c r="M133" s="1">
        <f t="shared" si="5"/>
        <v>320</v>
      </c>
      <c r="N133" s="1">
        <f>VLOOKUP(item!A133,Sheet1!$A$1:$B$180,2,FALSE)</f>
        <v>80</v>
      </c>
    </row>
    <row r="134" spans="1:14" ht="27" customHeight="1" x14ac:dyDescent="0.15">
      <c r="A134" s="1" t="s">
        <v>779</v>
      </c>
      <c r="B134" s="1">
        <v>1131</v>
      </c>
      <c r="C134" s="1" t="s">
        <v>271</v>
      </c>
      <c r="D134" s="1">
        <v>5</v>
      </c>
      <c r="E134" s="8" t="s">
        <v>833</v>
      </c>
      <c r="F134" s="1">
        <v>7</v>
      </c>
      <c r="G134" s="1">
        <v>1</v>
      </c>
      <c r="H134" s="1">
        <v>49</v>
      </c>
      <c r="I134" s="1" t="s">
        <v>913</v>
      </c>
      <c r="J134" s="1" t="s">
        <v>486</v>
      </c>
      <c r="L134" s="1">
        <v>1</v>
      </c>
      <c r="M134" s="1">
        <f t="shared" si="5"/>
        <v>880</v>
      </c>
      <c r="N134" s="1">
        <f>VLOOKUP(item!A134,Sheet1!$A$1:$B$180,2,FALSE)</f>
        <v>220</v>
      </c>
    </row>
    <row r="135" spans="1:14" ht="27" customHeight="1" x14ac:dyDescent="0.15">
      <c r="A135" s="1" t="s">
        <v>762</v>
      </c>
      <c r="B135" s="1">
        <v>1132</v>
      </c>
      <c r="C135" s="1" t="s">
        <v>141</v>
      </c>
      <c r="D135" s="1">
        <v>0</v>
      </c>
      <c r="E135" s="8" t="s">
        <v>834</v>
      </c>
      <c r="F135" s="1">
        <v>3</v>
      </c>
      <c r="G135" s="1">
        <v>1</v>
      </c>
      <c r="H135" s="1">
        <v>49</v>
      </c>
      <c r="I135" s="1" t="s">
        <v>815</v>
      </c>
      <c r="J135" s="1" t="s">
        <v>355</v>
      </c>
      <c r="L135" s="1">
        <v>1</v>
      </c>
      <c r="M135" s="1">
        <v>65</v>
      </c>
      <c r="N135" s="1">
        <v>65</v>
      </c>
    </row>
    <row r="136" spans="1:14" ht="27" customHeight="1" x14ac:dyDescent="0.15">
      <c r="A136" s="1" t="s">
        <v>93</v>
      </c>
      <c r="B136" s="1">
        <v>1133</v>
      </c>
      <c r="C136" s="1" t="s">
        <v>142</v>
      </c>
      <c r="D136" s="1">
        <v>0</v>
      </c>
      <c r="E136" s="8" t="s">
        <v>834</v>
      </c>
      <c r="F136" s="1">
        <v>3</v>
      </c>
      <c r="G136" s="1">
        <v>1</v>
      </c>
      <c r="H136" s="1">
        <v>49</v>
      </c>
      <c r="I136" s="1" t="s">
        <v>816</v>
      </c>
      <c r="J136" s="1" t="s">
        <v>356</v>
      </c>
      <c r="L136" s="1">
        <v>1</v>
      </c>
      <c r="M136" s="1">
        <v>164</v>
      </c>
      <c r="N136" s="1">
        <v>164</v>
      </c>
    </row>
    <row r="137" spans="1:14" ht="27" customHeight="1" x14ac:dyDescent="0.15">
      <c r="A137" s="1" t="s">
        <v>94</v>
      </c>
      <c r="B137" s="1">
        <v>1134</v>
      </c>
      <c r="C137" s="1" t="s">
        <v>143</v>
      </c>
      <c r="D137" s="1">
        <v>0</v>
      </c>
      <c r="E137" s="8" t="s">
        <v>834</v>
      </c>
      <c r="F137" s="1">
        <v>3</v>
      </c>
      <c r="G137" s="1">
        <v>1</v>
      </c>
      <c r="H137" s="1">
        <v>49</v>
      </c>
      <c r="I137" s="1" t="s">
        <v>817</v>
      </c>
      <c r="J137" s="1" t="s">
        <v>357</v>
      </c>
      <c r="L137" s="1">
        <v>1</v>
      </c>
      <c r="M137" s="1">
        <v>151</v>
      </c>
      <c r="N137" s="1">
        <v>151</v>
      </c>
    </row>
    <row r="138" spans="1:14" ht="27" customHeight="1" x14ac:dyDescent="0.15">
      <c r="A138" s="1" t="s">
        <v>95</v>
      </c>
      <c r="B138" s="1">
        <v>1135</v>
      </c>
      <c r="C138" s="1" t="s">
        <v>144</v>
      </c>
      <c r="D138" s="1">
        <v>0</v>
      </c>
      <c r="E138" s="8" t="s">
        <v>834</v>
      </c>
      <c r="F138" s="1">
        <v>3</v>
      </c>
      <c r="G138" s="1">
        <v>1</v>
      </c>
      <c r="H138" s="1">
        <v>49</v>
      </c>
      <c r="I138" s="1" t="s">
        <v>818</v>
      </c>
      <c r="J138" s="1" t="s">
        <v>358</v>
      </c>
      <c r="L138" s="1">
        <v>1</v>
      </c>
      <c r="M138" s="1">
        <v>202</v>
      </c>
      <c r="N138" s="1">
        <v>202</v>
      </c>
    </row>
    <row r="139" spans="1:14" ht="27" customHeight="1" x14ac:dyDescent="0.15">
      <c r="A139" s="1" t="s">
        <v>767</v>
      </c>
      <c r="B139" s="1">
        <v>1136</v>
      </c>
      <c r="C139" s="1" t="s">
        <v>145</v>
      </c>
      <c r="D139" s="1">
        <v>0</v>
      </c>
      <c r="E139" s="8" t="s">
        <v>834</v>
      </c>
      <c r="F139" s="1">
        <v>3</v>
      </c>
      <c r="G139" s="1">
        <v>1</v>
      </c>
      <c r="H139" s="1">
        <v>49</v>
      </c>
      <c r="I139" s="1" t="s">
        <v>819</v>
      </c>
      <c r="J139" s="1" t="s">
        <v>359</v>
      </c>
      <c r="L139" s="1">
        <v>1</v>
      </c>
      <c r="M139" s="1">
        <v>151</v>
      </c>
      <c r="N139" s="1">
        <v>151</v>
      </c>
    </row>
    <row r="140" spans="1:14" ht="27" customHeight="1" x14ac:dyDescent="0.15">
      <c r="A140" s="1" t="s">
        <v>97</v>
      </c>
      <c r="B140" s="1">
        <v>1137</v>
      </c>
      <c r="C140" s="1" t="s">
        <v>136</v>
      </c>
      <c r="D140" s="1">
        <v>0</v>
      </c>
      <c r="E140" s="8" t="s">
        <v>834</v>
      </c>
      <c r="F140" s="1">
        <v>3</v>
      </c>
      <c r="G140" s="1">
        <v>1</v>
      </c>
      <c r="H140" s="1">
        <v>49</v>
      </c>
      <c r="I140" s="1" t="s">
        <v>820</v>
      </c>
      <c r="J140" s="1" t="s">
        <v>361</v>
      </c>
      <c r="L140" s="1">
        <v>1</v>
      </c>
      <c r="M140" s="1">
        <v>164</v>
      </c>
      <c r="N140" s="1">
        <v>164</v>
      </c>
    </row>
    <row r="141" spans="1:14" ht="27" customHeight="1" x14ac:dyDescent="0.15">
      <c r="A141" s="1" t="s">
        <v>763</v>
      </c>
      <c r="B141" s="1">
        <v>1138</v>
      </c>
      <c r="C141" s="1" t="s">
        <v>137</v>
      </c>
      <c r="D141" s="1">
        <v>0</v>
      </c>
      <c r="E141" s="8" t="s">
        <v>834</v>
      </c>
      <c r="F141" s="1">
        <v>3</v>
      </c>
      <c r="G141" s="1">
        <v>1</v>
      </c>
      <c r="H141" s="1">
        <v>49</v>
      </c>
      <c r="I141" s="1" t="s">
        <v>821</v>
      </c>
      <c r="J141" s="1" t="s">
        <v>360</v>
      </c>
      <c r="L141" s="1">
        <v>1</v>
      </c>
      <c r="M141" s="1">
        <v>190</v>
      </c>
      <c r="N141" s="1">
        <v>190</v>
      </c>
    </row>
    <row r="142" spans="1:14" ht="13.5" customHeight="1" x14ac:dyDescent="0.15">
      <c r="A142" s="1" t="s">
        <v>766</v>
      </c>
      <c r="B142" s="1">
        <v>1139</v>
      </c>
      <c r="C142" s="1" t="s">
        <v>138</v>
      </c>
      <c r="D142" s="1">
        <v>0</v>
      </c>
      <c r="E142" s="8" t="s">
        <v>834</v>
      </c>
      <c r="F142" s="1">
        <v>3</v>
      </c>
      <c r="G142" s="1">
        <v>1</v>
      </c>
      <c r="H142" s="1">
        <v>49</v>
      </c>
      <c r="I142" s="1" t="s">
        <v>822</v>
      </c>
      <c r="J142" s="1" t="s">
        <v>362</v>
      </c>
      <c r="L142" s="1">
        <v>1</v>
      </c>
      <c r="M142" s="1">
        <v>179</v>
      </c>
      <c r="N142" s="1">
        <v>179</v>
      </c>
    </row>
    <row r="143" spans="1:14" ht="27" customHeight="1" x14ac:dyDescent="0.15">
      <c r="A143" s="1" t="s">
        <v>842</v>
      </c>
      <c r="B143" s="1">
        <v>1140</v>
      </c>
      <c r="C143" s="1" t="s">
        <v>139</v>
      </c>
      <c r="D143" s="1">
        <v>0</v>
      </c>
      <c r="E143" s="8" t="s">
        <v>834</v>
      </c>
      <c r="F143" s="1">
        <v>3</v>
      </c>
      <c r="G143" s="1">
        <v>1</v>
      </c>
      <c r="H143" s="1">
        <v>49</v>
      </c>
      <c r="I143" s="1" t="s">
        <v>815</v>
      </c>
      <c r="J143" s="1" t="s">
        <v>363</v>
      </c>
      <c r="L143" s="1">
        <v>1</v>
      </c>
      <c r="M143" s="1">
        <v>65</v>
      </c>
      <c r="N143" s="1">
        <v>65</v>
      </c>
    </row>
    <row r="144" spans="1:14" ht="27" customHeight="1" x14ac:dyDescent="0.15">
      <c r="A144" s="1" t="s">
        <v>101</v>
      </c>
      <c r="B144" s="1">
        <v>1141</v>
      </c>
      <c r="C144" s="1" t="s">
        <v>140</v>
      </c>
      <c r="D144" s="1">
        <v>0</v>
      </c>
      <c r="E144" s="8" t="s">
        <v>834</v>
      </c>
      <c r="F144" s="1">
        <v>3</v>
      </c>
      <c r="G144" s="1">
        <v>1</v>
      </c>
      <c r="H144" s="1">
        <v>49</v>
      </c>
      <c r="I144" s="1" t="s">
        <v>823</v>
      </c>
      <c r="J144" s="1" t="s">
        <v>365</v>
      </c>
      <c r="L144" s="1">
        <v>1</v>
      </c>
      <c r="M144" s="1">
        <v>132</v>
      </c>
      <c r="N144" s="1">
        <v>132</v>
      </c>
    </row>
    <row r="145" spans="1:14" ht="13.5" customHeight="1" x14ac:dyDescent="0.15">
      <c r="A145" s="1" t="s">
        <v>764</v>
      </c>
      <c r="B145" s="1">
        <v>1142</v>
      </c>
      <c r="C145" s="1" t="s">
        <v>133</v>
      </c>
      <c r="D145" s="1">
        <v>0</v>
      </c>
      <c r="E145" s="8" t="s">
        <v>834</v>
      </c>
      <c r="F145" s="1">
        <v>3</v>
      </c>
      <c r="G145" s="1">
        <v>1</v>
      </c>
      <c r="H145" s="1">
        <v>49</v>
      </c>
      <c r="I145" s="1" t="s">
        <v>824</v>
      </c>
      <c r="J145" s="1" t="s">
        <v>366</v>
      </c>
      <c r="L145" s="1">
        <v>1</v>
      </c>
      <c r="M145" s="1">
        <v>92</v>
      </c>
      <c r="N145" s="1">
        <v>92</v>
      </c>
    </row>
    <row r="146" spans="1:14" ht="13.5" customHeight="1" x14ac:dyDescent="0.15">
      <c r="A146" s="1" t="s">
        <v>765</v>
      </c>
      <c r="B146" s="1">
        <v>1143</v>
      </c>
      <c r="C146" s="1" t="s">
        <v>134</v>
      </c>
      <c r="D146" s="1">
        <v>0</v>
      </c>
      <c r="E146" s="8" t="s">
        <v>834</v>
      </c>
      <c r="F146" s="1">
        <v>3</v>
      </c>
      <c r="G146" s="1">
        <v>1</v>
      </c>
      <c r="H146" s="1">
        <v>49</v>
      </c>
      <c r="I146" s="1" t="s">
        <v>944</v>
      </c>
      <c r="J146" s="1" t="s">
        <v>368</v>
      </c>
      <c r="L146" s="1">
        <v>1</v>
      </c>
      <c r="M146" s="1">
        <v>92</v>
      </c>
      <c r="N146" s="1">
        <v>92</v>
      </c>
    </row>
    <row r="147" spans="1:14" ht="13.5" customHeight="1" x14ac:dyDescent="0.15">
      <c r="A147" s="1" t="s">
        <v>104</v>
      </c>
      <c r="B147" s="1">
        <v>1144</v>
      </c>
      <c r="C147" s="1" t="s">
        <v>135</v>
      </c>
      <c r="D147" s="1">
        <v>0</v>
      </c>
      <c r="E147" s="8" t="s">
        <v>834</v>
      </c>
      <c r="F147" s="1">
        <v>3</v>
      </c>
      <c r="G147" s="1">
        <v>1</v>
      </c>
      <c r="H147" s="1">
        <v>49</v>
      </c>
      <c r="I147" s="1" t="s">
        <v>825</v>
      </c>
      <c r="J147" s="1" t="s">
        <v>369</v>
      </c>
      <c r="L147" s="1">
        <v>1</v>
      </c>
      <c r="M147" s="1">
        <v>190</v>
      </c>
      <c r="N147" s="1">
        <v>190</v>
      </c>
    </row>
    <row r="148" spans="1:14" ht="13.5" customHeight="1" x14ac:dyDescent="0.15">
      <c r="A148" s="1" t="s">
        <v>105</v>
      </c>
      <c r="B148" s="1">
        <v>1145</v>
      </c>
      <c r="C148" s="1" t="s">
        <v>132</v>
      </c>
      <c r="D148" s="1">
        <v>0</v>
      </c>
      <c r="E148" s="8" t="s">
        <v>834</v>
      </c>
      <c r="F148" s="1">
        <v>3</v>
      </c>
      <c r="G148" s="1">
        <v>1</v>
      </c>
      <c r="H148" s="1">
        <v>49</v>
      </c>
      <c r="I148" s="1" t="s">
        <v>826</v>
      </c>
      <c r="J148" s="1" t="s">
        <v>371</v>
      </c>
      <c r="L148" s="1">
        <v>1</v>
      </c>
      <c r="M148" s="1">
        <v>190</v>
      </c>
      <c r="N148" s="1">
        <v>190</v>
      </c>
    </row>
    <row r="149" spans="1:14" ht="13.5" customHeight="1" x14ac:dyDescent="0.15">
      <c r="A149" s="1" t="s">
        <v>106</v>
      </c>
      <c r="B149" s="1">
        <v>1146</v>
      </c>
      <c r="C149" s="1" t="s">
        <v>131</v>
      </c>
      <c r="D149" s="1">
        <v>0</v>
      </c>
      <c r="E149" s="8" t="s">
        <v>834</v>
      </c>
      <c r="F149" s="1">
        <v>3</v>
      </c>
      <c r="G149" s="1">
        <v>1</v>
      </c>
      <c r="H149" s="1">
        <v>49</v>
      </c>
      <c r="I149" s="1" t="s">
        <v>827</v>
      </c>
      <c r="J149" s="1" t="s">
        <v>373</v>
      </c>
      <c r="L149" s="1">
        <v>1</v>
      </c>
      <c r="M149" s="1">
        <v>132</v>
      </c>
      <c r="N149" s="1">
        <v>132</v>
      </c>
    </row>
    <row r="150" spans="1:14" ht="13.5" customHeight="1" x14ac:dyDescent="0.15">
      <c r="A150" s="1" t="s">
        <v>107</v>
      </c>
      <c r="B150" s="1">
        <v>1147</v>
      </c>
      <c r="C150" s="1" t="s">
        <v>130</v>
      </c>
      <c r="D150" s="1">
        <v>0</v>
      </c>
      <c r="E150" s="8" t="s">
        <v>834</v>
      </c>
      <c r="F150" s="1">
        <v>3</v>
      </c>
      <c r="G150" s="1">
        <v>1</v>
      </c>
      <c r="H150" s="1">
        <v>49</v>
      </c>
      <c r="I150" s="1" t="s">
        <v>828</v>
      </c>
      <c r="J150" s="1" t="s">
        <v>374</v>
      </c>
      <c r="L150" s="1">
        <v>1</v>
      </c>
      <c r="M150" s="1">
        <v>115</v>
      </c>
      <c r="N150" s="1">
        <v>115</v>
      </c>
    </row>
    <row r="151" spans="1:14" ht="13.5" customHeight="1" x14ac:dyDescent="0.15">
      <c r="A151" s="1" t="s">
        <v>108</v>
      </c>
      <c r="B151" s="1">
        <v>1148</v>
      </c>
      <c r="C151" s="1" t="s">
        <v>129</v>
      </c>
      <c r="D151" s="1">
        <v>0</v>
      </c>
      <c r="E151" s="8" t="s">
        <v>834</v>
      </c>
      <c r="F151" s="1">
        <v>3</v>
      </c>
      <c r="G151" s="1">
        <v>1</v>
      </c>
      <c r="H151" s="1">
        <v>49</v>
      </c>
      <c r="I151" s="1" t="s">
        <v>829</v>
      </c>
      <c r="J151" s="1" t="s">
        <v>375</v>
      </c>
      <c r="L151" s="1">
        <v>1</v>
      </c>
      <c r="M151" s="1">
        <v>190</v>
      </c>
      <c r="N151" s="1">
        <v>190</v>
      </c>
    </row>
    <row r="152" spans="1:14" ht="13.5" customHeight="1" x14ac:dyDescent="0.15">
      <c r="A152" s="1" t="s">
        <v>109</v>
      </c>
      <c r="B152" s="1">
        <v>1149</v>
      </c>
      <c r="C152" s="1" t="s">
        <v>128</v>
      </c>
      <c r="D152" s="1">
        <v>0</v>
      </c>
      <c r="E152" s="8" t="s">
        <v>834</v>
      </c>
      <c r="F152" s="1">
        <v>3</v>
      </c>
      <c r="G152" s="1">
        <v>1</v>
      </c>
      <c r="H152" s="1">
        <v>49</v>
      </c>
      <c r="I152" s="1" t="s">
        <v>830</v>
      </c>
      <c r="J152" s="1" t="s">
        <v>376</v>
      </c>
      <c r="L152" s="1">
        <v>1</v>
      </c>
      <c r="M152" s="1">
        <v>50</v>
      </c>
      <c r="N152" s="1">
        <v>50</v>
      </c>
    </row>
    <row r="153" spans="1:14" ht="27" customHeight="1" x14ac:dyDescent="0.15">
      <c r="A153" s="1" t="s">
        <v>110</v>
      </c>
      <c r="B153" s="1">
        <v>1150</v>
      </c>
      <c r="C153" s="1" t="s">
        <v>126</v>
      </c>
      <c r="D153" s="1">
        <v>3</v>
      </c>
      <c r="E153" s="8" t="s">
        <v>834</v>
      </c>
      <c r="F153" s="1">
        <v>8</v>
      </c>
      <c r="G153" s="1">
        <v>1</v>
      </c>
      <c r="H153" s="1">
        <v>1</v>
      </c>
      <c r="I153" s="1" t="s">
        <v>913</v>
      </c>
      <c r="J153" s="1" t="s">
        <v>487</v>
      </c>
      <c r="L153" s="1">
        <v>1</v>
      </c>
      <c r="M153" s="1">
        <v>450</v>
      </c>
      <c r="N153" s="1">
        <v>450</v>
      </c>
    </row>
    <row r="154" spans="1:14" ht="27" customHeight="1" x14ac:dyDescent="0.15">
      <c r="A154" s="1" t="s">
        <v>111</v>
      </c>
      <c r="B154" s="1">
        <v>1151</v>
      </c>
      <c r="C154" s="1" t="s">
        <v>119</v>
      </c>
      <c r="D154" s="1">
        <v>3</v>
      </c>
      <c r="E154" s="8" t="s">
        <v>834</v>
      </c>
      <c r="F154" s="1">
        <v>8</v>
      </c>
      <c r="G154" s="1">
        <v>1</v>
      </c>
      <c r="H154" s="1">
        <v>1</v>
      </c>
      <c r="I154" s="1" t="s">
        <v>913</v>
      </c>
      <c r="J154" s="1" t="s">
        <v>488</v>
      </c>
      <c r="L154" s="1">
        <v>1</v>
      </c>
      <c r="M154" s="1">
        <v>600</v>
      </c>
      <c r="N154" s="1">
        <v>600</v>
      </c>
    </row>
    <row r="155" spans="1:14" ht="27" customHeight="1" x14ac:dyDescent="0.15">
      <c r="A155" s="1" t="s">
        <v>112</v>
      </c>
      <c r="B155" s="1">
        <v>1152</v>
      </c>
      <c r="C155" s="1" t="s">
        <v>120</v>
      </c>
      <c r="D155" s="1">
        <v>3</v>
      </c>
      <c r="E155" s="8" t="s">
        <v>834</v>
      </c>
      <c r="F155" s="1">
        <v>8</v>
      </c>
      <c r="G155" s="1">
        <v>1</v>
      </c>
      <c r="H155" s="1">
        <v>1</v>
      </c>
      <c r="I155" s="1" t="s">
        <v>913</v>
      </c>
      <c r="J155" s="1" t="s">
        <v>502</v>
      </c>
      <c r="L155" s="1">
        <v>1</v>
      </c>
      <c r="M155" s="1">
        <v>900</v>
      </c>
      <c r="N155" s="1">
        <v>900</v>
      </c>
    </row>
    <row r="156" spans="1:14" ht="40.5" customHeight="1" x14ac:dyDescent="0.15">
      <c r="A156" s="1" t="s">
        <v>113</v>
      </c>
      <c r="B156" s="1">
        <v>1153</v>
      </c>
      <c r="C156" s="1" t="s">
        <v>124</v>
      </c>
      <c r="D156" s="1">
        <v>3</v>
      </c>
      <c r="E156" s="8" t="s">
        <v>834</v>
      </c>
      <c r="F156" s="1">
        <v>8</v>
      </c>
      <c r="G156" s="1">
        <v>1</v>
      </c>
      <c r="H156" s="1">
        <v>1</v>
      </c>
      <c r="I156" s="1" t="s">
        <v>913</v>
      </c>
      <c r="J156" s="1" t="s">
        <v>489</v>
      </c>
      <c r="L156" s="1">
        <v>1</v>
      </c>
      <c r="M156" s="1">
        <v>1200</v>
      </c>
      <c r="N156" s="1">
        <v>1200</v>
      </c>
    </row>
    <row r="157" spans="1:14" ht="40.5" customHeight="1" x14ac:dyDescent="0.15">
      <c r="A157" s="1" t="s">
        <v>114</v>
      </c>
      <c r="B157" s="1">
        <v>1154</v>
      </c>
      <c r="C157" s="1" t="s">
        <v>121</v>
      </c>
      <c r="D157" s="1">
        <v>3</v>
      </c>
      <c r="E157" s="8" t="s">
        <v>834</v>
      </c>
      <c r="F157" s="1">
        <v>8</v>
      </c>
      <c r="G157" s="1">
        <v>1</v>
      </c>
      <c r="H157" s="1">
        <v>1</v>
      </c>
      <c r="I157" s="1" t="s">
        <v>913</v>
      </c>
      <c r="J157" s="1" t="s">
        <v>504</v>
      </c>
      <c r="L157" s="1">
        <v>1</v>
      </c>
      <c r="M157" s="1">
        <v>900</v>
      </c>
      <c r="N157" s="1">
        <v>900</v>
      </c>
    </row>
    <row r="158" spans="1:14" ht="27" customHeight="1" x14ac:dyDescent="0.15">
      <c r="A158" s="1" t="s">
        <v>115</v>
      </c>
      <c r="B158" s="1">
        <v>1155</v>
      </c>
      <c r="C158" s="1" t="s">
        <v>125</v>
      </c>
      <c r="D158" s="1">
        <v>3</v>
      </c>
      <c r="E158" s="8" t="s">
        <v>834</v>
      </c>
      <c r="F158" s="1">
        <v>8</v>
      </c>
      <c r="G158" s="1">
        <v>1</v>
      </c>
      <c r="H158" s="1">
        <v>1</v>
      </c>
      <c r="I158" s="1" t="s">
        <v>913</v>
      </c>
      <c r="J158" s="1" t="s">
        <v>503</v>
      </c>
      <c r="L158" s="1">
        <v>1</v>
      </c>
      <c r="M158" s="1">
        <v>1200</v>
      </c>
      <c r="N158" s="1">
        <v>1200</v>
      </c>
    </row>
    <row r="159" spans="1:14" ht="27" customHeight="1" x14ac:dyDescent="0.15">
      <c r="A159" s="1" t="s">
        <v>116</v>
      </c>
      <c r="B159" s="1">
        <v>1156</v>
      </c>
      <c r="C159" s="1" t="s">
        <v>122</v>
      </c>
      <c r="D159" s="1">
        <v>3</v>
      </c>
      <c r="E159" s="8" t="s">
        <v>834</v>
      </c>
      <c r="F159" s="1">
        <v>8</v>
      </c>
      <c r="G159" s="1">
        <v>1</v>
      </c>
      <c r="H159" s="1">
        <v>1</v>
      </c>
      <c r="I159" s="1" t="s">
        <v>913</v>
      </c>
      <c r="J159" s="1" t="s">
        <v>507</v>
      </c>
      <c r="L159" s="1">
        <v>1</v>
      </c>
      <c r="M159" s="1">
        <v>1100</v>
      </c>
      <c r="N159" s="1">
        <v>1100</v>
      </c>
    </row>
    <row r="160" spans="1:14" ht="27" customHeight="1" x14ac:dyDescent="0.15">
      <c r="A160" s="1" t="s">
        <v>117</v>
      </c>
      <c r="B160" s="1">
        <v>1157</v>
      </c>
      <c r="C160" s="1" t="s">
        <v>127</v>
      </c>
      <c r="D160" s="1">
        <v>3</v>
      </c>
      <c r="E160" s="8" t="s">
        <v>834</v>
      </c>
      <c r="F160" s="1">
        <v>8</v>
      </c>
      <c r="G160" s="1">
        <v>1</v>
      </c>
      <c r="H160" s="1">
        <v>1</v>
      </c>
      <c r="I160" s="1" t="s">
        <v>913</v>
      </c>
      <c r="J160" s="1" t="s">
        <v>505</v>
      </c>
      <c r="L160" s="1">
        <v>1</v>
      </c>
      <c r="M160" s="1">
        <v>600</v>
      </c>
      <c r="N160" s="1">
        <v>600</v>
      </c>
    </row>
    <row r="161" spans="1:14" ht="40.5" customHeight="1" x14ac:dyDescent="0.15">
      <c r="A161" s="1" t="s">
        <v>118</v>
      </c>
      <c r="B161" s="1">
        <v>1158</v>
      </c>
      <c r="C161" s="1" t="s">
        <v>123</v>
      </c>
      <c r="D161" s="1">
        <v>3</v>
      </c>
      <c r="E161" s="8" t="s">
        <v>834</v>
      </c>
      <c r="F161" s="1">
        <v>8</v>
      </c>
      <c r="G161" s="1">
        <v>1</v>
      </c>
      <c r="H161" s="1">
        <v>1</v>
      </c>
      <c r="I161" s="1" t="s">
        <v>913</v>
      </c>
      <c r="J161" s="1" t="s">
        <v>506</v>
      </c>
      <c r="L161" s="1">
        <v>1</v>
      </c>
      <c r="M161" s="1">
        <v>600</v>
      </c>
      <c r="N161" s="1">
        <v>600</v>
      </c>
    </row>
    <row r="162" spans="1:14" ht="13.5" customHeight="1" x14ac:dyDescent="0.15">
      <c r="A162" s="1" t="s">
        <v>768</v>
      </c>
      <c r="B162" s="1">
        <v>1159</v>
      </c>
      <c r="C162" s="1" t="s">
        <v>276</v>
      </c>
      <c r="D162" s="1">
        <v>5</v>
      </c>
      <c r="E162" s="8" t="s">
        <v>833</v>
      </c>
      <c r="F162" s="1">
        <v>0</v>
      </c>
      <c r="G162" s="1">
        <v>1</v>
      </c>
      <c r="H162" s="1">
        <v>49</v>
      </c>
      <c r="I162" s="1" t="s">
        <v>913</v>
      </c>
      <c r="J162" s="1" t="s">
        <v>496</v>
      </c>
      <c r="L162" s="1">
        <v>1</v>
      </c>
      <c r="M162" s="1">
        <f>N162*1.5</f>
        <v>90</v>
      </c>
      <c r="N162" s="1">
        <v>60</v>
      </c>
    </row>
    <row r="163" spans="1:14" ht="27" customHeight="1" x14ac:dyDescent="0.15">
      <c r="A163" s="1" t="s">
        <v>272</v>
      </c>
      <c r="B163" s="1">
        <v>1160</v>
      </c>
      <c r="C163" s="1" t="s">
        <v>277</v>
      </c>
      <c r="D163" s="1">
        <v>5</v>
      </c>
      <c r="E163" s="8" t="s">
        <v>833</v>
      </c>
      <c r="F163" s="1">
        <v>0</v>
      </c>
      <c r="G163" s="1">
        <v>1</v>
      </c>
      <c r="H163" s="1">
        <v>49</v>
      </c>
      <c r="I163" s="1" t="s">
        <v>913</v>
      </c>
      <c r="J163" s="1" t="s">
        <v>497</v>
      </c>
      <c r="L163" s="1">
        <v>1</v>
      </c>
      <c r="M163" s="1">
        <f t="shared" ref="M163:M165" si="6">N163*1.5</f>
        <v>120</v>
      </c>
      <c r="N163" s="1">
        <f>VLOOKUP(item!A163,Sheet1!$A$1:$B$180,2,FALSE)</f>
        <v>80</v>
      </c>
    </row>
    <row r="164" spans="1:14" ht="27" customHeight="1" x14ac:dyDescent="0.15">
      <c r="A164" s="1" t="s">
        <v>274</v>
      </c>
      <c r="B164" s="1">
        <v>1161</v>
      </c>
      <c r="C164" s="1" t="s">
        <v>278</v>
      </c>
      <c r="D164" s="1">
        <v>5</v>
      </c>
      <c r="E164" s="8" t="s">
        <v>833</v>
      </c>
      <c r="F164" s="1">
        <v>0</v>
      </c>
      <c r="G164" s="1">
        <v>1</v>
      </c>
      <c r="H164" s="1">
        <v>49</v>
      </c>
      <c r="I164" s="1" t="s">
        <v>913</v>
      </c>
      <c r="J164" s="1" t="s">
        <v>498</v>
      </c>
      <c r="L164" s="1">
        <v>1</v>
      </c>
      <c r="M164" s="1">
        <f t="shared" si="6"/>
        <v>150</v>
      </c>
      <c r="N164" s="1">
        <f>VLOOKUP(item!A164,Sheet1!$A$1:$B$180,2,FALSE)</f>
        <v>100</v>
      </c>
    </row>
    <row r="165" spans="1:14" ht="13.5" customHeight="1" x14ac:dyDescent="0.15">
      <c r="A165" s="1" t="s">
        <v>273</v>
      </c>
      <c r="B165" s="1">
        <v>1162</v>
      </c>
      <c r="C165" s="1" t="s">
        <v>279</v>
      </c>
      <c r="D165" s="1">
        <v>5</v>
      </c>
      <c r="E165" s="8" t="s">
        <v>833</v>
      </c>
      <c r="F165" s="1">
        <v>0</v>
      </c>
      <c r="G165" s="1">
        <v>1</v>
      </c>
      <c r="H165" s="1">
        <v>49</v>
      </c>
      <c r="I165" s="1" t="s">
        <v>913</v>
      </c>
      <c r="J165" s="1" t="s">
        <v>499</v>
      </c>
      <c r="L165" s="1">
        <v>1</v>
      </c>
      <c r="M165" s="1">
        <f t="shared" si="6"/>
        <v>150</v>
      </c>
      <c r="N165" s="1">
        <f>VLOOKUP(item!A165,Sheet1!$A$1:$B$180,2,FALSE)</f>
        <v>100</v>
      </c>
    </row>
    <row r="166" spans="1:14" ht="27" customHeight="1" x14ac:dyDescent="0.15">
      <c r="A166" s="1" t="s">
        <v>343</v>
      </c>
      <c r="B166" s="1">
        <v>1163</v>
      </c>
      <c r="C166" s="1" t="s">
        <v>353</v>
      </c>
      <c r="D166" s="1">
        <v>4</v>
      </c>
      <c r="E166" s="8" t="s">
        <v>834</v>
      </c>
      <c r="F166" s="1">
        <v>1</v>
      </c>
      <c r="G166" s="1">
        <v>1</v>
      </c>
      <c r="H166" s="1">
        <v>1</v>
      </c>
      <c r="I166" s="1" t="s">
        <v>913</v>
      </c>
      <c r="J166" s="1" t="s">
        <v>490</v>
      </c>
      <c r="L166" s="1">
        <v>1</v>
      </c>
      <c r="M166" s="1">
        <v>300</v>
      </c>
      <c r="N166" s="1">
        <v>300</v>
      </c>
    </row>
    <row r="167" spans="1:14" ht="27" customHeight="1" x14ac:dyDescent="0.15">
      <c r="A167" s="1" t="s">
        <v>344</v>
      </c>
      <c r="B167" s="1">
        <v>1164</v>
      </c>
      <c r="C167" s="1" t="s">
        <v>353</v>
      </c>
      <c r="D167" s="1">
        <v>4</v>
      </c>
      <c r="E167" s="8" t="s">
        <v>834</v>
      </c>
      <c r="F167" s="1">
        <v>2</v>
      </c>
      <c r="G167" s="1">
        <v>1</v>
      </c>
      <c r="H167" s="1">
        <v>1</v>
      </c>
      <c r="I167" s="1" t="s">
        <v>913</v>
      </c>
      <c r="J167" s="1" t="s">
        <v>491</v>
      </c>
      <c r="L167" s="1">
        <v>1</v>
      </c>
      <c r="M167" s="1">
        <v>300</v>
      </c>
      <c r="N167" s="1">
        <v>300</v>
      </c>
    </row>
    <row r="168" spans="1:14" ht="27" customHeight="1" x14ac:dyDescent="0.15">
      <c r="A168" s="1" t="s">
        <v>346</v>
      </c>
      <c r="B168" s="1">
        <v>1165</v>
      </c>
      <c r="C168" s="1" t="s">
        <v>353</v>
      </c>
      <c r="D168" s="1">
        <v>4</v>
      </c>
      <c r="E168" s="8" t="s">
        <v>834</v>
      </c>
      <c r="F168" s="1">
        <v>3</v>
      </c>
      <c r="G168" s="1">
        <v>1</v>
      </c>
      <c r="H168" s="1">
        <v>1</v>
      </c>
      <c r="I168" s="1" t="s">
        <v>913</v>
      </c>
      <c r="J168" s="1" t="s">
        <v>492</v>
      </c>
      <c r="L168" s="1">
        <v>1</v>
      </c>
      <c r="M168" s="1">
        <v>300</v>
      </c>
      <c r="N168" s="1">
        <v>300</v>
      </c>
    </row>
    <row r="169" spans="1:14" ht="27" customHeight="1" x14ac:dyDescent="0.15">
      <c r="A169" s="1" t="s">
        <v>494</v>
      </c>
      <c r="B169" s="1">
        <v>1166</v>
      </c>
      <c r="C169" s="1" t="s">
        <v>353</v>
      </c>
      <c r="D169" s="1">
        <v>4</v>
      </c>
      <c r="E169" s="8" t="s">
        <v>834</v>
      </c>
      <c r="F169" s="1">
        <v>4</v>
      </c>
      <c r="G169" s="1">
        <v>1</v>
      </c>
      <c r="H169" s="1">
        <v>1</v>
      </c>
      <c r="I169" s="1" t="s">
        <v>913</v>
      </c>
      <c r="J169" s="1" t="s">
        <v>493</v>
      </c>
      <c r="L169" s="1">
        <v>1</v>
      </c>
      <c r="M169" s="1">
        <v>300</v>
      </c>
      <c r="N169" s="1">
        <v>300</v>
      </c>
    </row>
    <row r="170" spans="1:14" ht="27" customHeight="1" x14ac:dyDescent="0.15">
      <c r="A170" s="1" t="s">
        <v>345</v>
      </c>
      <c r="B170" s="1">
        <v>1167</v>
      </c>
      <c r="C170" s="1" t="s">
        <v>353</v>
      </c>
      <c r="D170" s="1">
        <v>4</v>
      </c>
      <c r="E170" s="8" t="s">
        <v>834</v>
      </c>
      <c r="F170" s="1">
        <v>5</v>
      </c>
      <c r="G170" s="1">
        <v>1</v>
      </c>
      <c r="H170" s="1">
        <v>1</v>
      </c>
      <c r="I170" s="1" t="s">
        <v>913</v>
      </c>
      <c r="J170" s="1" t="s">
        <v>495</v>
      </c>
      <c r="L170" s="1">
        <v>1</v>
      </c>
      <c r="M170" s="1">
        <v>300</v>
      </c>
      <c r="N170" s="1">
        <v>300</v>
      </c>
    </row>
    <row r="171" spans="1:14" ht="40.5" x14ac:dyDescent="0.15">
      <c r="A171" s="1" t="s">
        <v>347</v>
      </c>
      <c r="B171" s="1">
        <v>1168</v>
      </c>
      <c r="C171" s="1" t="s">
        <v>352</v>
      </c>
      <c r="D171" s="1">
        <v>8</v>
      </c>
      <c r="E171" s="8" t="s">
        <v>833</v>
      </c>
      <c r="F171" s="1">
        <v>0</v>
      </c>
      <c r="G171" s="1">
        <v>1</v>
      </c>
      <c r="H171" s="1">
        <v>49</v>
      </c>
      <c r="I171" s="1" t="s">
        <v>913</v>
      </c>
      <c r="J171" s="1" t="s">
        <v>843</v>
      </c>
      <c r="L171" s="1">
        <v>1</v>
      </c>
      <c r="M171" s="1">
        <f t="shared" ref="M171:M195" si="7">N171*8</f>
        <v>800</v>
      </c>
      <c r="N171" s="1">
        <v>100</v>
      </c>
    </row>
    <row r="172" spans="1:14" ht="27" x14ac:dyDescent="0.15">
      <c r="A172" s="1" t="s">
        <v>348</v>
      </c>
      <c r="B172" s="1">
        <v>1169</v>
      </c>
      <c r="C172" s="1" t="s">
        <v>351</v>
      </c>
      <c r="D172" s="1">
        <v>8</v>
      </c>
      <c r="E172" s="8" t="s">
        <v>833</v>
      </c>
      <c r="F172" s="1">
        <v>0</v>
      </c>
      <c r="G172" s="1">
        <v>1</v>
      </c>
      <c r="H172" s="1">
        <v>49</v>
      </c>
      <c r="I172" s="1" t="s">
        <v>913</v>
      </c>
      <c r="J172" s="1" t="s">
        <v>500</v>
      </c>
      <c r="L172" s="1">
        <v>1</v>
      </c>
      <c r="M172" s="1">
        <f t="shared" si="7"/>
        <v>800</v>
      </c>
      <c r="N172" s="1">
        <v>100</v>
      </c>
    </row>
    <row r="173" spans="1:14" ht="13.5" customHeight="1" x14ac:dyDescent="0.15">
      <c r="A173" s="1" t="s">
        <v>349</v>
      </c>
      <c r="B173" s="1">
        <v>1170</v>
      </c>
      <c r="C173" s="1" t="s">
        <v>350</v>
      </c>
      <c r="D173" s="1">
        <v>6</v>
      </c>
      <c r="E173" s="8" t="s">
        <v>834</v>
      </c>
      <c r="F173" s="1">
        <v>0</v>
      </c>
      <c r="G173" s="1">
        <v>1</v>
      </c>
      <c r="H173" s="1">
        <v>49</v>
      </c>
      <c r="I173" s="1" t="s">
        <v>913</v>
      </c>
      <c r="J173" s="1" t="s">
        <v>501</v>
      </c>
      <c r="L173" s="1">
        <v>1</v>
      </c>
      <c r="M173" s="1">
        <f t="shared" si="7"/>
        <v>800</v>
      </c>
      <c r="N173" s="1">
        <v>100</v>
      </c>
    </row>
    <row r="174" spans="1:14" ht="13.5" customHeight="1" x14ac:dyDescent="0.15">
      <c r="A174" s="1" t="s">
        <v>22</v>
      </c>
      <c r="B174" s="1">
        <v>1171</v>
      </c>
      <c r="C174" s="1" t="s">
        <v>280</v>
      </c>
      <c r="D174" s="1">
        <v>4</v>
      </c>
      <c r="E174" s="8" t="s">
        <v>834</v>
      </c>
      <c r="F174" s="1">
        <v>1</v>
      </c>
      <c r="G174" s="1">
        <v>1</v>
      </c>
      <c r="H174" s="1">
        <v>1</v>
      </c>
      <c r="I174" s="1" t="s">
        <v>914</v>
      </c>
      <c r="J174" s="1" t="s">
        <v>377</v>
      </c>
      <c r="L174" s="1">
        <v>1</v>
      </c>
      <c r="M174" s="1">
        <f t="shared" si="7"/>
        <v>0</v>
      </c>
      <c r="N174" s="1">
        <v>0</v>
      </c>
    </row>
    <row r="175" spans="1:14" ht="27" customHeight="1" x14ac:dyDescent="0.15">
      <c r="A175" s="1" t="s">
        <v>23</v>
      </c>
      <c r="B175" s="1">
        <v>1172</v>
      </c>
      <c r="C175" s="1" t="s">
        <v>281</v>
      </c>
      <c r="D175" s="1">
        <v>4</v>
      </c>
      <c r="E175" s="8" t="s">
        <v>834</v>
      </c>
      <c r="F175" s="1">
        <v>1</v>
      </c>
      <c r="G175" s="1">
        <v>1</v>
      </c>
      <c r="H175" s="1">
        <v>1</v>
      </c>
      <c r="I175" s="1" t="s">
        <v>915</v>
      </c>
      <c r="J175" s="1" t="s">
        <v>378</v>
      </c>
      <c r="L175" s="1">
        <v>1</v>
      </c>
      <c r="M175" s="1">
        <f t="shared" si="7"/>
        <v>0</v>
      </c>
      <c r="N175" s="1">
        <v>0</v>
      </c>
    </row>
    <row r="176" spans="1:14" ht="27" customHeight="1" x14ac:dyDescent="0.15">
      <c r="A176" s="1" t="s">
        <v>24</v>
      </c>
      <c r="B176" s="1">
        <v>1173</v>
      </c>
      <c r="C176" s="1" t="s">
        <v>282</v>
      </c>
      <c r="D176" s="1">
        <v>4</v>
      </c>
      <c r="E176" s="8" t="s">
        <v>834</v>
      </c>
      <c r="F176" s="1">
        <v>1</v>
      </c>
      <c r="G176" s="1">
        <v>1</v>
      </c>
      <c r="H176" s="1">
        <v>1</v>
      </c>
      <c r="I176" s="1" t="s">
        <v>916</v>
      </c>
      <c r="J176" s="1" t="s">
        <v>379</v>
      </c>
      <c r="L176" s="1">
        <v>1</v>
      </c>
      <c r="M176" s="1">
        <f t="shared" si="7"/>
        <v>0</v>
      </c>
      <c r="N176" s="1">
        <v>0</v>
      </c>
    </row>
    <row r="177" spans="1:14" ht="27" customHeight="1" x14ac:dyDescent="0.15">
      <c r="A177" s="1" t="s">
        <v>25</v>
      </c>
      <c r="B177" s="1">
        <v>1174</v>
      </c>
      <c r="C177" s="1" t="s">
        <v>283</v>
      </c>
      <c r="D177" s="1">
        <v>4</v>
      </c>
      <c r="E177" s="8" t="s">
        <v>834</v>
      </c>
      <c r="F177" s="1">
        <v>1</v>
      </c>
      <c r="G177" s="1">
        <v>1</v>
      </c>
      <c r="H177" s="1">
        <v>1</v>
      </c>
      <c r="I177" s="1" t="s">
        <v>917</v>
      </c>
      <c r="J177" s="1" t="s">
        <v>380</v>
      </c>
      <c r="L177" s="1">
        <v>1</v>
      </c>
      <c r="M177" s="1">
        <f t="shared" si="7"/>
        <v>0</v>
      </c>
      <c r="N177" s="1">
        <v>0</v>
      </c>
    </row>
    <row r="178" spans="1:14" ht="13.5" customHeight="1" x14ac:dyDescent="0.15">
      <c r="A178" s="1" t="s">
        <v>26</v>
      </c>
      <c r="B178" s="1">
        <v>1175</v>
      </c>
      <c r="C178" s="1" t="s">
        <v>284</v>
      </c>
      <c r="D178" s="1">
        <v>4</v>
      </c>
      <c r="E178" s="8" t="s">
        <v>834</v>
      </c>
      <c r="F178" s="1">
        <v>1</v>
      </c>
      <c r="G178" s="1">
        <v>1</v>
      </c>
      <c r="H178" s="1">
        <v>1</v>
      </c>
      <c r="I178" s="1" t="s">
        <v>918</v>
      </c>
      <c r="J178" s="1" t="s">
        <v>381</v>
      </c>
      <c r="L178" s="1">
        <v>1</v>
      </c>
      <c r="M178" s="1">
        <f t="shared" si="7"/>
        <v>0</v>
      </c>
      <c r="N178" s="1">
        <v>0</v>
      </c>
    </row>
    <row r="179" spans="1:14" ht="13.5" customHeight="1" x14ac:dyDescent="0.15">
      <c r="A179" s="1" t="s">
        <v>27</v>
      </c>
      <c r="B179" s="1">
        <v>1176</v>
      </c>
      <c r="C179" s="1" t="s">
        <v>285</v>
      </c>
      <c r="D179" s="1">
        <v>4</v>
      </c>
      <c r="E179" s="8" t="s">
        <v>834</v>
      </c>
      <c r="F179" s="1">
        <v>1</v>
      </c>
      <c r="G179" s="1">
        <v>1</v>
      </c>
      <c r="H179" s="1">
        <v>1</v>
      </c>
      <c r="I179" s="1" t="s">
        <v>919</v>
      </c>
      <c r="J179" s="1" t="s">
        <v>382</v>
      </c>
      <c r="L179" s="1">
        <v>1</v>
      </c>
      <c r="M179" s="1">
        <f t="shared" si="7"/>
        <v>0</v>
      </c>
      <c r="N179" s="1">
        <v>0</v>
      </c>
    </row>
    <row r="180" spans="1:14" ht="27" customHeight="1" x14ac:dyDescent="0.15">
      <c r="A180" s="1" t="s">
        <v>28</v>
      </c>
      <c r="B180" s="1">
        <v>1177</v>
      </c>
      <c r="C180" s="1" t="s">
        <v>286</v>
      </c>
      <c r="D180" s="1">
        <v>4</v>
      </c>
      <c r="E180" s="8" t="s">
        <v>834</v>
      </c>
      <c r="F180" s="1">
        <v>1</v>
      </c>
      <c r="G180" s="1">
        <v>1</v>
      </c>
      <c r="H180" s="1">
        <v>1</v>
      </c>
      <c r="I180" s="1" t="s">
        <v>920</v>
      </c>
      <c r="J180" s="1" t="s">
        <v>383</v>
      </c>
      <c r="L180" s="1">
        <v>1</v>
      </c>
      <c r="M180" s="1">
        <f t="shared" si="7"/>
        <v>0</v>
      </c>
      <c r="N180" s="1">
        <v>0</v>
      </c>
    </row>
    <row r="181" spans="1:14" ht="27" customHeight="1" x14ac:dyDescent="0.15">
      <c r="A181" s="1" t="s">
        <v>29</v>
      </c>
      <c r="B181" s="1">
        <v>1178</v>
      </c>
      <c r="C181" s="1" t="s">
        <v>287</v>
      </c>
      <c r="D181" s="1">
        <v>4</v>
      </c>
      <c r="E181" s="8" t="s">
        <v>834</v>
      </c>
      <c r="F181" s="1">
        <v>1</v>
      </c>
      <c r="G181" s="1">
        <v>1</v>
      </c>
      <c r="H181" s="1">
        <v>1</v>
      </c>
      <c r="I181" s="1" t="s">
        <v>921</v>
      </c>
      <c r="J181" s="1" t="s">
        <v>384</v>
      </c>
      <c r="L181" s="1">
        <v>1</v>
      </c>
      <c r="M181" s="1">
        <f t="shared" si="7"/>
        <v>0</v>
      </c>
      <c r="N181" s="1">
        <v>0</v>
      </c>
    </row>
    <row r="182" spans="1:14" ht="27" customHeight="1" x14ac:dyDescent="0.15">
      <c r="A182" s="1" t="s">
        <v>30</v>
      </c>
      <c r="B182" s="1">
        <v>1179</v>
      </c>
      <c r="C182" s="1" t="s">
        <v>288</v>
      </c>
      <c r="D182" s="1">
        <v>4</v>
      </c>
      <c r="E182" s="8" t="s">
        <v>834</v>
      </c>
      <c r="F182" s="1">
        <v>1</v>
      </c>
      <c r="G182" s="1">
        <v>1</v>
      </c>
      <c r="H182" s="1">
        <v>1</v>
      </c>
      <c r="I182" s="1" t="s">
        <v>922</v>
      </c>
      <c r="J182" s="1" t="s">
        <v>385</v>
      </c>
      <c r="L182" s="1">
        <v>1</v>
      </c>
      <c r="M182" s="1">
        <f t="shared" si="7"/>
        <v>0</v>
      </c>
      <c r="N182" s="1">
        <v>0</v>
      </c>
    </row>
    <row r="183" spans="1:14" ht="27" customHeight="1" x14ac:dyDescent="0.15">
      <c r="A183" s="1" t="s">
        <v>31</v>
      </c>
      <c r="B183" s="1">
        <v>1180</v>
      </c>
      <c r="C183" s="1" t="s">
        <v>289</v>
      </c>
      <c r="D183" s="1">
        <v>4</v>
      </c>
      <c r="E183" s="8" t="s">
        <v>834</v>
      </c>
      <c r="F183" s="1">
        <v>1</v>
      </c>
      <c r="G183" s="1">
        <v>1</v>
      </c>
      <c r="H183" s="1">
        <v>1</v>
      </c>
      <c r="I183" s="1" t="s">
        <v>923</v>
      </c>
      <c r="J183" s="1" t="s">
        <v>386</v>
      </c>
      <c r="L183" s="1">
        <v>1</v>
      </c>
      <c r="M183" s="1">
        <f t="shared" si="7"/>
        <v>0</v>
      </c>
      <c r="N183" s="1">
        <v>0</v>
      </c>
    </row>
    <row r="184" spans="1:14" ht="27" customHeight="1" x14ac:dyDescent="0.15">
      <c r="A184" s="1" t="s">
        <v>32</v>
      </c>
      <c r="B184" s="1">
        <v>1181</v>
      </c>
      <c r="C184" s="1" t="s">
        <v>290</v>
      </c>
      <c r="D184" s="1">
        <v>4</v>
      </c>
      <c r="E184" s="8" t="s">
        <v>834</v>
      </c>
      <c r="F184" s="1">
        <v>1</v>
      </c>
      <c r="G184" s="1">
        <v>1</v>
      </c>
      <c r="H184" s="1">
        <v>1</v>
      </c>
      <c r="I184" s="1" t="s">
        <v>924</v>
      </c>
      <c r="J184" s="1" t="s">
        <v>387</v>
      </c>
      <c r="L184" s="1">
        <v>1</v>
      </c>
      <c r="M184" s="1">
        <f t="shared" si="7"/>
        <v>0</v>
      </c>
      <c r="N184" s="1">
        <v>0</v>
      </c>
    </row>
    <row r="185" spans="1:14" ht="27" customHeight="1" x14ac:dyDescent="0.15">
      <c r="A185" s="1" t="s">
        <v>33</v>
      </c>
      <c r="B185" s="1">
        <v>1182</v>
      </c>
      <c r="C185" s="1" t="s">
        <v>291</v>
      </c>
      <c r="D185" s="1">
        <v>4</v>
      </c>
      <c r="E185" s="8" t="s">
        <v>834</v>
      </c>
      <c r="F185" s="1">
        <v>1</v>
      </c>
      <c r="G185" s="1">
        <v>1</v>
      </c>
      <c r="H185" s="1">
        <v>1</v>
      </c>
      <c r="I185" s="1" t="s">
        <v>925</v>
      </c>
      <c r="J185" s="1" t="s">
        <v>388</v>
      </c>
      <c r="L185" s="1">
        <v>1</v>
      </c>
      <c r="M185" s="1">
        <f t="shared" si="7"/>
        <v>0</v>
      </c>
      <c r="N185" s="1">
        <v>0</v>
      </c>
    </row>
    <row r="186" spans="1:14" ht="27" customHeight="1" x14ac:dyDescent="0.15">
      <c r="A186" s="1" t="s">
        <v>582</v>
      </c>
      <c r="B186" s="1">
        <v>1183</v>
      </c>
      <c r="C186" s="1" t="s">
        <v>292</v>
      </c>
      <c r="D186" s="1">
        <v>4</v>
      </c>
      <c r="E186" s="8" t="s">
        <v>834</v>
      </c>
      <c r="F186" s="1">
        <v>1</v>
      </c>
      <c r="G186" s="1">
        <v>1</v>
      </c>
      <c r="H186" s="1">
        <v>1</v>
      </c>
      <c r="I186" s="1" t="s">
        <v>926</v>
      </c>
      <c r="J186" s="1" t="s">
        <v>390</v>
      </c>
      <c r="L186" s="1">
        <v>1</v>
      </c>
      <c r="M186" s="1">
        <f t="shared" si="7"/>
        <v>0</v>
      </c>
      <c r="N186" s="1">
        <v>0</v>
      </c>
    </row>
    <row r="187" spans="1:14" ht="27" customHeight="1" x14ac:dyDescent="0.15">
      <c r="A187" s="1" t="s">
        <v>581</v>
      </c>
      <c r="B187" s="1">
        <v>1184</v>
      </c>
      <c r="C187" s="1" t="s">
        <v>293</v>
      </c>
      <c r="D187" s="1">
        <v>4</v>
      </c>
      <c r="E187" s="8" t="s">
        <v>834</v>
      </c>
      <c r="F187" s="1">
        <v>1</v>
      </c>
      <c r="G187" s="1">
        <v>1</v>
      </c>
      <c r="H187" s="1">
        <v>1</v>
      </c>
      <c r="I187" s="1" t="s">
        <v>927</v>
      </c>
      <c r="J187" s="1" t="s">
        <v>389</v>
      </c>
      <c r="L187" s="1">
        <v>1</v>
      </c>
      <c r="M187" s="1">
        <f t="shared" si="7"/>
        <v>0</v>
      </c>
      <c r="N187" s="1">
        <v>0</v>
      </c>
    </row>
    <row r="188" spans="1:14" ht="27" customHeight="1" x14ac:dyDescent="0.15">
      <c r="A188" s="1" t="s">
        <v>34</v>
      </c>
      <c r="B188" s="1">
        <v>1185</v>
      </c>
      <c r="C188" s="1" t="s">
        <v>294</v>
      </c>
      <c r="D188" s="1">
        <v>4</v>
      </c>
      <c r="E188" s="8" t="s">
        <v>834</v>
      </c>
      <c r="F188" s="1">
        <v>1</v>
      </c>
      <c r="G188" s="1">
        <v>1</v>
      </c>
      <c r="H188" s="1">
        <v>1</v>
      </c>
      <c r="I188" s="1" t="s">
        <v>928</v>
      </c>
      <c r="J188" s="1" t="s">
        <v>391</v>
      </c>
      <c r="L188" s="1">
        <v>1</v>
      </c>
      <c r="M188" s="1">
        <f t="shared" si="7"/>
        <v>0</v>
      </c>
      <c r="N188" s="1">
        <v>0</v>
      </c>
    </row>
    <row r="189" spans="1:14" ht="13.5" customHeight="1" x14ac:dyDescent="0.15">
      <c r="A189" s="1" t="s">
        <v>35</v>
      </c>
      <c r="B189" s="1">
        <v>1186</v>
      </c>
      <c r="C189" s="1" t="s">
        <v>295</v>
      </c>
      <c r="D189" s="1">
        <v>4</v>
      </c>
      <c r="E189" s="8" t="s">
        <v>834</v>
      </c>
      <c r="F189" s="1">
        <v>2</v>
      </c>
      <c r="G189" s="1">
        <v>1</v>
      </c>
      <c r="H189" s="1">
        <v>1</v>
      </c>
      <c r="I189" s="1" t="s">
        <v>929</v>
      </c>
      <c r="J189" s="1" t="s">
        <v>392</v>
      </c>
      <c r="L189" s="1">
        <v>1</v>
      </c>
      <c r="M189" s="1">
        <f t="shared" si="7"/>
        <v>0</v>
      </c>
      <c r="N189" s="1">
        <v>0</v>
      </c>
    </row>
    <row r="190" spans="1:14" ht="27" customHeight="1" x14ac:dyDescent="0.15">
      <c r="A190" s="1" t="s">
        <v>36</v>
      </c>
      <c r="B190" s="1">
        <v>1187</v>
      </c>
      <c r="C190" s="1" t="s">
        <v>296</v>
      </c>
      <c r="D190" s="1">
        <v>4</v>
      </c>
      <c r="E190" s="8" t="s">
        <v>834</v>
      </c>
      <c r="F190" s="1">
        <v>2</v>
      </c>
      <c r="G190" s="1">
        <v>1</v>
      </c>
      <c r="H190" s="1">
        <v>1</v>
      </c>
      <c r="I190" s="1" t="s">
        <v>930</v>
      </c>
      <c r="J190" s="1" t="s">
        <v>393</v>
      </c>
      <c r="L190" s="1">
        <v>1</v>
      </c>
      <c r="M190" s="1">
        <f t="shared" si="7"/>
        <v>0</v>
      </c>
      <c r="N190" s="1">
        <v>0</v>
      </c>
    </row>
    <row r="191" spans="1:14" ht="40.5" customHeight="1" x14ac:dyDescent="0.15">
      <c r="A191" s="1" t="s">
        <v>37</v>
      </c>
      <c r="B191" s="1">
        <v>1188</v>
      </c>
      <c r="C191" s="1" t="s">
        <v>297</v>
      </c>
      <c r="D191" s="1">
        <v>4</v>
      </c>
      <c r="E191" s="8" t="s">
        <v>834</v>
      </c>
      <c r="F191" s="1">
        <v>2</v>
      </c>
      <c r="G191" s="1">
        <v>1</v>
      </c>
      <c r="H191" s="1">
        <v>1</v>
      </c>
      <c r="I191" s="1" t="s">
        <v>931</v>
      </c>
      <c r="J191" s="1" t="s">
        <v>394</v>
      </c>
      <c r="L191" s="1">
        <v>1</v>
      </c>
      <c r="M191" s="1">
        <f t="shared" si="7"/>
        <v>0</v>
      </c>
      <c r="N191" s="1">
        <v>0</v>
      </c>
    </row>
    <row r="192" spans="1:14" ht="27" customHeight="1" x14ac:dyDescent="0.15">
      <c r="A192" s="1" t="s">
        <v>38</v>
      </c>
      <c r="B192" s="1">
        <v>1189</v>
      </c>
      <c r="C192" s="1" t="s">
        <v>298</v>
      </c>
      <c r="D192" s="1">
        <v>4</v>
      </c>
      <c r="E192" s="8" t="s">
        <v>834</v>
      </c>
      <c r="F192" s="1">
        <v>2</v>
      </c>
      <c r="G192" s="1">
        <v>1</v>
      </c>
      <c r="H192" s="1">
        <v>1</v>
      </c>
      <c r="I192" s="1" t="s">
        <v>932</v>
      </c>
      <c r="J192" s="1" t="s">
        <v>395</v>
      </c>
      <c r="L192" s="1">
        <v>1</v>
      </c>
      <c r="M192" s="1">
        <f t="shared" si="7"/>
        <v>0</v>
      </c>
      <c r="N192" s="1">
        <v>0</v>
      </c>
    </row>
    <row r="193" spans="1:14" ht="27" customHeight="1" x14ac:dyDescent="0.15">
      <c r="A193" s="1" t="s">
        <v>39</v>
      </c>
      <c r="B193" s="1">
        <v>1190</v>
      </c>
      <c r="C193" s="1" t="s">
        <v>299</v>
      </c>
      <c r="D193" s="1">
        <v>4</v>
      </c>
      <c r="E193" s="8" t="s">
        <v>834</v>
      </c>
      <c r="F193" s="1">
        <v>2</v>
      </c>
      <c r="G193" s="1">
        <v>1</v>
      </c>
      <c r="H193" s="1">
        <v>1</v>
      </c>
      <c r="I193" s="1" t="s">
        <v>933</v>
      </c>
      <c r="J193" s="1" t="s">
        <v>396</v>
      </c>
      <c r="L193" s="1">
        <v>1</v>
      </c>
      <c r="M193" s="1">
        <f t="shared" si="7"/>
        <v>0</v>
      </c>
      <c r="N193" s="1">
        <v>0</v>
      </c>
    </row>
    <row r="194" spans="1:14" ht="27" customHeight="1" x14ac:dyDescent="0.15">
      <c r="A194" s="1" t="s">
        <v>577</v>
      </c>
      <c r="B194" s="1">
        <v>1191</v>
      </c>
      <c r="C194" s="1" t="s">
        <v>300</v>
      </c>
      <c r="D194" s="1">
        <v>4</v>
      </c>
      <c r="E194" s="8" t="s">
        <v>834</v>
      </c>
      <c r="F194" s="1">
        <v>2</v>
      </c>
      <c r="G194" s="1">
        <v>1</v>
      </c>
      <c r="H194" s="1">
        <v>1</v>
      </c>
      <c r="I194" s="1" t="s">
        <v>934</v>
      </c>
      <c r="J194" s="1" t="s">
        <v>397</v>
      </c>
      <c r="L194" s="1">
        <v>1</v>
      </c>
      <c r="M194" s="1">
        <f t="shared" si="7"/>
        <v>0</v>
      </c>
      <c r="N194" s="1">
        <v>0</v>
      </c>
    </row>
    <row r="195" spans="1:14" ht="13.5" customHeight="1" x14ac:dyDescent="0.15">
      <c r="A195" s="1" t="s">
        <v>40</v>
      </c>
      <c r="B195" s="1">
        <v>1192</v>
      </c>
      <c r="C195" s="1" t="s">
        <v>301</v>
      </c>
      <c r="D195" s="1">
        <v>4</v>
      </c>
      <c r="E195" s="8" t="s">
        <v>834</v>
      </c>
      <c r="F195" s="1">
        <v>2</v>
      </c>
      <c r="G195" s="1">
        <v>1</v>
      </c>
      <c r="H195" s="1">
        <v>1</v>
      </c>
      <c r="I195" s="1" t="s">
        <v>935</v>
      </c>
      <c r="J195" s="1" t="s">
        <v>398</v>
      </c>
      <c r="L195" s="1">
        <v>1</v>
      </c>
      <c r="M195" s="1">
        <f t="shared" si="7"/>
        <v>0</v>
      </c>
      <c r="N195" s="1">
        <v>0</v>
      </c>
    </row>
    <row r="196" spans="1:14" ht="27" customHeight="1" x14ac:dyDescent="0.15">
      <c r="A196" s="1" t="s">
        <v>41</v>
      </c>
      <c r="B196" s="1">
        <v>1193</v>
      </c>
      <c r="C196" s="1" t="s">
        <v>302</v>
      </c>
      <c r="D196" s="1">
        <v>4</v>
      </c>
      <c r="E196" s="8" t="s">
        <v>834</v>
      </c>
      <c r="F196" s="1">
        <v>2</v>
      </c>
      <c r="G196" s="1">
        <v>1</v>
      </c>
      <c r="H196" s="1">
        <v>1</v>
      </c>
      <c r="I196" s="1" t="s">
        <v>936</v>
      </c>
      <c r="J196" s="1" t="s">
        <v>399</v>
      </c>
      <c r="L196" s="1">
        <v>1</v>
      </c>
      <c r="M196" s="1">
        <f t="shared" ref="M196:M240" si="8">N196*8</f>
        <v>0</v>
      </c>
      <c r="N196" s="1">
        <v>0</v>
      </c>
    </row>
    <row r="197" spans="1:14" ht="13.5" customHeight="1" x14ac:dyDescent="0.15">
      <c r="A197" s="1" t="s">
        <v>42</v>
      </c>
      <c r="B197" s="1">
        <v>1194</v>
      </c>
      <c r="C197" s="1" t="s">
        <v>303</v>
      </c>
      <c r="D197" s="1">
        <v>4</v>
      </c>
      <c r="E197" s="8" t="s">
        <v>834</v>
      </c>
      <c r="F197" s="1">
        <v>2</v>
      </c>
      <c r="G197" s="1">
        <v>1</v>
      </c>
      <c r="H197" s="1">
        <v>1</v>
      </c>
      <c r="I197" s="1" t="s">
        <v>937</v>
      </c>
      <c r="J197" s="1" t="s">
        <v>400</v>
      </c>
      <c r="L197" s="1">
        <v>1</v>
      </c>
      <c r="M197" s="1">
        <f t="shared" si="8"/>
        <v>0</v>
      </c>
      <c r="N197" s="1">
        <v>0</v>
      </c>
    </row>
    <row r="198" spans="1:14" ht="27" customHeight="1" x14ac:dyDescent="0.15">
      <c r="A198" s="1" t="s">
        <v>43</v>
      </c>
      <c r="B198" s="1">
        <v>1195</v>
      </c>
      <c r="C198" s="1" t="s">
        <v>304</v>
      </c>
      <c r="D198" s="1">
        <v>4</v>
      </c>
      <c r="E198" s="8" t="s">
        <v>834</v>
      </c>
      <c r="F198" s="1">
        <v>2</v>
      </c>
      <c r="G198" s="1">
        <v>1</v>
      </c>
      <c r="H198" s="1">
        <v>1</v>
      </c>
      <c r="I198" s="1" t="s">
        <v>938</v>
      </c>
      <c r="J198" s="1" t="s">
        <v>401</v>
      </c>
      <c r="L198" s="1">
        <v>1</v>
      </c>
      <c r="M198" s="1">
        <f t="shared" si="8"/>
        <v>0</v>
      </c>
      <c r="N198" s="1">
        <v>0</v>
      </c>
    </row>
    <row r="199" spans="1:14" ht="27" customHeight="1" x14ac:dyDescent="0.15">
      <c r="A199" s="1" t="s">
        <v>44</v>
      </c>
      <c r="B199" s="1">
        <v>1196</v>
      </c>
      <c r="C199" s="1" t="s">
        <v>305</v>
      </c>
      <c r="D199" s="1">
        <v>4</v>
      </c>
      <c r="E199" s="8" t="s">
        <v>834</v>
      </c>
      <c r="F199" s="1">
        <v>2</v>
      </c>
      <c r="G199" s="1">
        <v>1</v>
      </c>
      <c r="H199" s="1">
        <v>1</v>
      </c>
      <c r="I199" s="1" t="s">
        <v>939</v>
      </c>
      <c r="J199" s="1" t="s">
        <v>402</v>
      </c>
      <c r="L199" s="1">
        <v>1</v>
      </c>
      <c r="M199" s="1">
        <f t="shared" si="8"/>
        <v>0</v>
      </c>
      <c r="N199" s="1">
        <v>0</v>
      </c>
    </row>
    <row r="200" spans="1:14" ht="27" customHeight="1" x14ac:dyDescent="0.15">
      <c r="A200" s="1" t="s">
        <v>606</v>
      </c>
      <c r="B200" s="1">
        <v>1197</v>
      </c>
      <c r="C200" s="1" t="s">
        <v>306</v>
      </c>
      <c r="D200" s="1">
        <v>4</v>
      </c>
      <c r="E200" s="8" t="s">
        <v>834</v>
      </c>
      <c r="F200" s="1">
        <v>2</v>
      </c>
      <c r="G200" s="1">
        <v>1</v>
      </c>
      <c r="H200" s="1">
        <v>1</v>
      </c>
      <c r="I200" s="1" t="s">
        <v>940</v>
      </c>
      <c r="J200" s="1" t="s">
        <v>403</v>
      </c>
      <c r="L200" s="1">
        <v>1</v>
      </c>
      <c r="M200" s="1">
        <f t="shared" si="8"/>
        <v>0</v>
      </c>
      <c r="N200" s="1">
        <v>0</v>
      </c>
    </row>
    <row r="201" spans="1:14" ht="13.5" customHeight="1" x14ac:dyDescent="0.15">
      <c r="A201" s="1" t="s">
        <v>45</v>
      </c>
      <c r="B201" s="1">
        <v>1198</v>
      </c>
      <c r="C201" s="1" t="s">
        <v>307</v>
      </c>
      <c r="D201" s="1">
        <v>4</v>
      </c>
      <c r="E201" s="8" t="s">
        <v>834</v>
      </c>
      <c r="F201" s="1">
        <v>2</v>
      </c>
      <c r="G201" s="1">
        <v>1</v>
      </c>
      <c r="H201" s="1">
        <v>1</v>
      </c>
      <c r="I201" s="1" t="s">
        <v>941</v>
      </c>
      <c r="J201" s="1" t="s">
        <v>404</v>
      </c>
      <c r="L201" s="1">
        <v>1</v>
      </c>
      <c r="M201" s="1">
        <f t="shared" si="8"/>
        <v>0</v>
      </c>
      <c r="N201" s="1">
        <v>0</v>
      </c>
    </row>
    <row r="202" spans="1:14" ht="27" customHeight="1" x14ac:dyDescent="0.15">
      <c r="A202" s="1" t="s">
        <v>46</v>
      </c>
      <c r="B202" s="1">
        <v>1199</v>
      </c>
      <c r="C202" s="1" t="s">
        <v>308</v>
      </c>
      <c r="D202" s="1">
        <v>4</v>
      </c>
      <c r="E202" s="8" t="s">
        <v>834</v>
      </c>
      <c r="F202" s="1">
        <v>2</v>
      </c>
      <c r="G202" s="1">
        <v>1</v>
      </c>
      <c r="H202" s="1">
        <v>1</v>
      </c>
      <c r="I202" s="1" t="s">
        <v>942</v>
      </c>
      <c r="J202" s="1" t="s">
        <v>405</v>
      </c>
      <c r="L202" s="1">
        <v>1</v>
      </c>
      <c r="M202" s="1">
        <f t="shared" si="8"/>
        <v>0</v>
      </c>
      <c r="N202" s="1">
        <v>0</v>
      </c>
    </row>
    <row r="203" spans="1:14" ht="27" customHeight="1" x14ac:dyDescent="0.15">
      <c r="A203" s="1" t="s">
        <v>47</v>
      </c>
      <c r="B203" s="1">
        <v>1200</v>
      </c>
      <c r="C203" s="1" t="s">
        <v>309</v>
      </c>
      <c r="D203" s="1">
        <v>4</v>
      </c>
      <c r="E203" s="8" t="s">
        <v>834</v>
      </c>
      <c r="F203" s="1">
        <v>2</v>
      </c>
      <c r="G203" s="1">
        <v>1</v>
      </c>
      <c r="H203" s="1">
        <v>1</v>
      </c>
      <c r="I203" s="1" t="s">
        <v>943</v>
      </c>
      <c r="J203" s="1" t="s">
        <v>406</v>
      </c>
      <c r="L203" s="1">
        <v>1</v>
      </c>
      <c r="M203" s="1">
        <f t="shared" si="8"/>
        <v>0</v>
      </c>
      <c r="N203" s="1">
        <v>0</v>
      </c>
    </row>
    <row r="204" spans="1:14" ht="40.5" customHeight="1" x14ac:dyDescent="0.15">
      <c r="A204" s="1" t="s">
        <v>48</v>
      </c>
      <c r="B204" s="1">
        <v>1201</v>
      </c>
      <c r="C204" s="1" t="s">
        <v>310</v>
      </c>
      <c r="D204" s="1">
        <v>4</v>
      </c>
      <c r="E204" s="8" t="s">
        <v>834</v>
      </c>
      <c r="F204" s="1">
        <v>3</v>
      </c>
      <c r="G204" s="1">
        <v>1</v>
      </c>
      <c r="H204" s="1">
        <v>1</v>
      </c>
      <c r="I204" s="1" t="s">
        <v>913</v>
      </c>
      <c r="J204" s="1" t="s">
        <v>407</v>
      </c>
      <c r="L204" s="1">
        <v>1</v>
      </c>
      <c r="M204" s="1">
        <f t="shared" si="8"/>
        <v>0</v>
      </c>
      <c r="N204" s="1">
        <v>0</v>
      </c>
    </row>
    <row r="205" spans="1:14" ht="40.5" customHeight="1" x14ac:dyDescent="0.15">
      <c r="A205" s="1" t="s">
        <v>49</v>
      </c>
      <c r="B205" s="1">
        <v>1202</v>
      </c>
      <c r="C205" s="1" t="s">
        <v>311</v>
      </c>
      <c r="D205" s="1">
        <v>4</v>
      </c>
      <c r="E205" s="8" t="s">
        <v>834</v>
      </c>
      <c r="F205" s="1">
        <v>4</v>
      </c>
      <c r="G205" s="1">
        <v>1</v>
      </c>
      <c r="H205" s="1">
        <v>1</v>
      </c>
      <c r="I205" s="1" t="s">
        <v>913</v>
      </c>
      <c r="J205" s="1" t="s">
        <v>425</v>
      </c>
      <c r="L205" s="1">
        <v>1</v>
      </c>
      <c r="M205" s="1">
        <f t="shared" si="8"/>
        <v>0</v>
      </c>
      <c r="N205" s="1">
        <v>0</v>
      </c>
    </row>
    <row r="206" spans="1:14" ht="27" customHeight="1" x14ac:dyDescent="0.15">
      <c r="A206" s="1" t="s">
        <v>50</v>
      </c>
      <c r="B206" s="1">
        <v>1203</v>
      </c>
      <c r="C206" s="1" t="s">
        <v>312</v>
      </c>
      <c r="D206" s="1">
        <v>4</v>
      </c>
      <c r="E206" s="8" t="s">
        <v>834</v>
      </c>
      <c r="F206" s="1">
        <v>4</v>
      </c>
      <c r="G206" s="1">
        <v>1</v>
      </c>
      <c r="H206" s="1">
        <v>1</v>
      </c>
      <c r="I206" s="1" t="s">
        <v>913</v>
      </c>
      <c r="J206" s="1" t="s">
        <v>415</v>
      </c>
      <c r="L206" s="1">
        <v>1</v>
      </c>
      <c r="M206" s="1">
        <f t="shared" si="8"/>
        <v>0</v>
      </c>
      <c r="N206" s="1">
        <v>0</v>
      </c>
    </row>
    <row r="207" spans="1:14" ht="40.5" customHeight="1" x14ac:dyDescent="0.15">
      <c r="A207" s="1" t="s">
        <v>51</v>
      </c>
      <c r="B207" s="1">
        <v>1204</v>
      </c>
      <c r="C207" s="1" t="s">
        <v>313</v>
      </c>
      <c r="D207" s="1">
        <v>4</v>
      </c>
      <c r="E207" s="8" t="s">
        <v>834</v>
      </c>
      <c r="F207" s="1">
        <v>3</v>
      </c>
      <c r="G207" s="1">
        <v>1</v>
      </c>
      <c r="H207" s="1">
        <v>1</v>
      </c>
      <c r="I207" s="1" t="s">
        <v>913</v>
      </c>
      <c r="J207" s="1" t="s">
        <v>426</v>
      </c>
      <c r="L207" s="1">
        <v>1</v>
      </c>
      <c r="M207" s="1">
        <f t="shared" si="8"/>
        <v>0</v>
      </c>
      <c r="N207" s="1">
        <v>0</v>
      </c>
    </row>
    <row r="208" spans="1:14" ht="40.5" customHeight="1" x14ac:dyDescent="0.15">
      <c r="A208" s="5" t="s">
        <v>52</v>
      </c>
      <c r="B208" s="1">
        <v>1205</v>
      </c>
      <c r="C208" s="1" t="s">
        <v>314</v>
      </c>
      <c r="D208" s="1">
        <v>4</v>
      </c>
      <c r="E208" s="8" t="s">
        <v>834</v>
      </c>
      <c r="F208" s="1">
        <v>3</v>
      </c>
      <c r="G208" s="1">
        <v>1</v>
      </c>
      <c r="H208" s="1">
        <v>1</v>
      </c>
      <c r="I208" s="1" t="s">
        <v>913</v>
      </c>
      <c r="J208" s="1" t="s">
        <v>410</v>
      </c>
      <c r="L208" s="1">
        <v>1</v>
      </c>
      <c r="M208" s="1">
        <f t="shared" si="8"/>
        <v>0</v>
      </c>
      <c r="N208" s="1">
        <v>0</v>
      </c>
    </row>
    <row r="209" spans="1:14" ht="40.5" customHeight="1" x14ac:dyDescent="0.15">
      <c r="A209" s="5" t="s">
        <v>53</v>
      </c>
      <c r="B209" s="1">
        <v>1206</v>
      </c>
      <c r="C209" s="1" t="s">
        <v>315</v>
      </c>
      <c r="D209" s="1">
        <v>4</v>
      </c>
      <c r="E209" s="8" t="s">
        <v>834</v>
      </c>
      <c r="F209" s="1">
        <v>4</v>
      </c>
      <c r="G209" s="1">
        <v>1</v>
      </c>
      <c r="H209" s="1">
        <v>1</v>
      </c>
      <c r="I209" s="1" t="s">
        <v>913</v>
      </c>
      <c r="J209" s="1" t="s">
        <v>409</v>
      </c>
      <c r="L209" s="1">
        <v>1</v>
      </c>
      <c r="M209" s="1">
        <f t="shared" si="8"/>
        <v>0</v>
      </c>
      <c r="N209" s="1">
        <v>0</v>
      </c>
    </row>
    <row r="210" spans="1:14" ht="40.5" customHeight="1" x14ac:dyDescent="0.15">
      <c r="A210" s="4" t="s">
        <v>1015</v>
      </c>
      <c r="B210" s="1">
        <v>1207</v>
      </c>
      <c r="C210" s="1" t="s">
        <v>316</v>
      </c>
      <c r="D210" s="1">
        <v>4</v>
      </c>
      <c r="E210" s="8" t="s">
        <v>834</v>
      </c>
      <c r="F210" s="1">
        <v>3</v>
      </c>
      <c r="G210" s="1">
        <v>1</v>
      </c>
      <c r="H210" s="1">
        <v>1</v>
      </c>
      <c r="I210" s="1" t="s">
        <v>913</v>
      </c>
      <c r="J210" s="1" t="s">
        <v>411</v>
      </c>
      <c r="L210" s="1">
        <v>1</v>
      </c>
      <c r="M210" s="1">
        <f t="shared" si="8"/>
        <v>0</v>
      </c>
      <c r="N210" s="1">
        <v>0</v>
      </c>
    </row>
    <row r="211" spans="1:14" ht="27" customHeight="1" x14ac:dyDescent="0.15">
      <c r="A211" s="5" t="s">
        <v>55</v>
      </c>
      <c r="B211" s="1">
        <v>1208</v>
      </c>
      <c r="C211" s="1" t="s">
        <v>317</v>
      </c>
      <c r="D211" s="1">
        <v>4</v>
      </c>
      <c r="E211" s="8" t="s">
        <v>834</v>
      </c>
      <c r="F211" s="1">
        <v>3</v>
      </c>
      <c r="G211" s="1">
        <v>1</v>
      </c>
      <c r="H211" s="1">
        <v>1</v>
      </c>
      <c r="I211" s="1" t="s">
        <v>913</v>
      </c>
      <c r="J211" s="1" t="s">
        <v>408</v>
      </c>
      <c r="L211" s="1">
        <v>1</v>
      </c>
      <c r="M211" s="1">
        <f t="shared" si="8"/>
        <v>0</v>
      </c>
      <c r="N211" s="1">
        <v>0</v>
      </c>
    </row>
    <row r="212" spans="1:14" ht="27" customHeight="1" x14ac:dyDescent="0.15">
      <c r="A212" s="5" t="s">
        <v>56</v>
      </c>
      <c r="B212" s="1">
        <v>1209</v>
      </c>
      <c r="C212" s="1" t="s">
        <v>318</v>
      </c>
      <c r="D212" s="1">
        <v>4</v>
      </c>
      <c r="E212" s="8" t="s">
        <v>834</v>
      </c>
      <c r="F212" s="1">
        <v>3</v>
      </c>
      <c r="G212" s="1">
        <v>1</v>
      </c>
      <c r="H212" s="1">
        <v>1</v>
      </c>
      <c r="I212" s="1" t="s">
        <v>913</v>
      </c>
      <c r="J212" s="1" t="s">
        <v>412</v>
      </c>
      <c r="L212" s="1">
        <v>1</v>
      </c>
      <c r="M212" s="1">
        <f t="shared" si="8"/>
        <v>0</v>
      </c>
      <c r="N212" s="1">
        <v>0</v>
      </c>
    </row>
    <row r="213" spans="1:14" ht="40.5" customHeight="1" x14ac:dyDescent="0.15">
      <c r="A213" s="5" t="s">
        <v>57</v>
      </c>
      <c r="B213" s="1">
        <v>1210</v>
      </c>
      <c r="C213" s="1" t="s">
        <v>319</v>
      </c>
      <c r="D213" s="1">
        <v>4</v>
      </c>
      <c r="E213" s="8" t="s">
        <v>834</v>
      </c>
      <c r="F213" s="1">
        <v>3</v>
      </c>
      <c r="G213" s="1">
        <v>1</v>
      </c>
      <c r="H213" s="1">
        <v>1</v>
      </c>
      <c r="I213" s="1" t="s">
        <v>913</v>
      </c>
      <c r="J213" s="1" t="s">
        <v>413</v>
      </c>
      <c r="L213" s="1">
        <v>1</v>
      </c>
      <c r="M213" s="1">
        <f t="shared" si="8"/>
        <v>0</v>
      </c>
      <c r="N213" s="1">
        <v>0</v>
      </c>
    </row>
    <row r="214" spans="1:14" ht="27" customHeight="1" x14ac:dyDescent="0.15">
      <c r="A214" s="5" t="s">
        <v>58</v>
      </c>
      <c r="B214" s="1">
        <v>1211</v>
      </c>
      <c r="C214" s="1" t="s">
        <v>320</v>
      </c>
      <c r="D214" s="1">
        <v>4</v>
      </c>
      <c r="E214" s="8" t="s">
        <v>834</v>
      </c>
      <c r="F214" s="1">
        <v>3</v>
      </c>
      <c r="G214" s="1">
        <v>1</v>
      </c>
      <c r="H214" s="1">
        <v>1</v>
      </c>
      <c r="I214" s="1" t="s">
        <v>913</v>
      </c>
      <c r="J214" s="1" t="s">
        <v>414</v>
      </c>
      <c r="L214" s="1">
        <v>1</v>
      </c>
      <c r="M214" s="1">
        <f t="shared" si="8"/>
        <v>0</v>
      </c>
      <c r="N214" s="1">
        <v>0</v>
      </c>
    </row>
    <row r="215" spans="1:14" ht="27" customHeight="1" x14ac:dyDescent="0.15">
      <c r="A215" s="4" t="s">
        <v>576</v>
      </c>
      <c r="B215" s="1">
        <v>1212</v>
      </c>
      <c r="C215" s="2" t="s">
        <v>603</v>
      </c>
      <c r="D215" s="1">
        <v>4</v>
      </c>
      <c r="E215" s="8" t="s">
        <v>834</v>
      </c>
      <c r="F215" s="1">
        <v>3</v>
      </c>
      <c r="G215" s="1">
        <v>1</v>
      </c>
      <c r="H215" s="1">
        <v>1</v>
      </c>
      <c r="I215" s="1" t="s">
        <v>913</v>
      </c>
      <c r="J215" s="1" t="s">
        <v>591</v>
      </c>
      <c r="L215" s="1">
        <v>1</v>
      </c>
      <c r="M215" s="1">
        <f t="shared" si="8"/>
        <v>0</v>
      </c>
      <c r="N215" s="1">
        <v>0</v>
      </c>
    </row>
    <row r="216" spans="1:14" ht="40.5" customHeight="1" x14ac:dyDescent="0.15">
      <c r="A216" s="5" t="s">
        <v>59</v>
      </c>
      <c r="B216" s="1">
        <v>1213</v>
      </c>
      <c r="C216" s="1" t="s">
        <v>321</v>
      </c>
      <c r="D216" s="1">
        <v>4</v>
      </c>
      <c r="E216" s="8" t="s">
        <v>834</v>
      </c>
      <c r="F216" s="1">
        <v>3</v>
      </c>
      <c r="G216" s="1">
        <v>1</v>
      </c>
      <c r="H216" s="1">
        <v>1</v>
      </c>
      <c r="I216" s="1" t="s">
        <v>913</v>
      </c>
      <c r="J216" s="1" t="s">
        <v>422</v>
      </c>
      <c r="L216" s="1">
        <v>1</v>
      </c>
      <c r="M216" s="1">
        <f t="shared" si="8"/>
        <v>0</v>
      </c>
      <c r="N216" s="1">
        <v>0</v>
      </c>
    </row>
    <row r="217" spans="1:14" ht="40.5" customHeight="1" x14ac:dyDescent="0.15">
      <c r="A217" s="4" t="s">
        <v>60</v>
      </c>
      <c r="B217" s="1">
        <v>1214</v>
      </c>
      <c r="C217" s="1" t="s">
        <v>322</v>
      </c>
      <c r="D217" s="1">
        <v>4</v>
      </c>
      <c r="E217" s="8" t="s">
        <v>834</v>
      </c>
      <c r="F217" s="1">
        <v>3</v>
      </c>
      <c r="G217" s="1">
        <v>1</v>
      </c>
      <c r="H217" s="1">
        <v>1</v>
      </c>
      <c r="I217" s="1" t="s">
        <v>913</v>
      </c>
      <c r="J217" s="1" t="s">
        <v>423</v>
      </c>
      <c r="L217" s="1">
        <v>1</v>
      </c>
      <c r="M217" s="1">
        <f t="shared" si="8"/>
        <v>0</v>
      </c>
      <c r="N217" s="1">
        <v>0</v>
      </c>
    </row>
    <row r="218" spans="1:14" ht="40.5" customHeight="1" x14ac:dyDescent="0.15">
      <c r="A218" s="4" t="s">
        <v>61</v>
      </c>
      <c r="B218" s="1">
        <v>1215</v>
      </c>
      <c r="C218" s="1" t="s">
        <v>323</v>
      </c>
      <c r="D218" s="1">
        <v>4</v>
      </c>
      <c r="E218" s="8" t="s">
        <v>834</v>
      </c>
      <c r="F218" s="1">
        <v>3</v>
      </c>
      <c r="G218" s="1">
        <v>1</v>
      </c>
      <c r="H218" s="1">
        <v>1</v>
      </c>
      <c r="I218" s="1" t="s">
        <v>913</v>
      </c>
      <c r="J218" s="1" t="s">
        <v>424</v>
      </c>
      <c r="L218" s="1">
        <v>1</v>
      </c>
      <c r="M218" s="1">
        <f t="shared" si="8"/>
        <v>0</v>
      </c>
      <c r="N218" s="1">
        <v>0</v>
      </c>
    </row>
    <row r="219" spans="1:14" ht="40.5" customHeight="1" x14ac:dyDescent="0.15">
      <c r="A219" s="4" t="s">
        <v>62</v>
      </c>
      <c r="B219" s="1">
        <v>1216</v>
      </c>
      <c r="C219" s="1" t="s">
        <v>324</v>
      </c>
      <c r="D219" s="1">
        <v>4</v>
      </c>
      <c r="E219" s="8" t="s">
        <v>834</v>
      </c>
      <c r="F219" s="1">
        <v>3</v>
      </c>
      <c r="G219" s="1">
        <v>1</v>
      </c>
      <c r="H219" s="1">
        <v>1</v>
      </c>
      <c r="I219" s="1" t="s">
        <v>913</v>
      </c>
      <c r="J219" s="1" t="s">
        <v>428</v>
      </c>
      <c r="L219" s="1">
        <v>1</v>
      </c>
      <c r="M219" s="1">
        <f t="shared" si="8"/>
        <v>0</v>
      </c>
      <c r="N219" s="1">
        <v>0</v>
      </c>
    </row>
    <row r="220" spans="1:14" ht="27" customHeight="1" x14ac:dyDescent="0.15">
      <c r="A220" s="5" t="s">
        <v>63</v>
      </c>
      <c r="B220" s="1">
        <v>1217</v>
      </c>
      <c r="C220" s="1" t="s">
        <v>325</v>
      </c>
      <c r="D220" s="1">
        <v>4</v>
      </c>
      <c r="E220" s="8" t="s">
        <v>834</v>
      </c>
      <c r="F220" s="1">
        <v>4</v>
      </c>
      <c r="G220" s="1">
        <v>1</v>
      </c>
      <c r="H220" s="1">
        <v>1</v>
      </c>
      <c r="I220" s="1" t="s">
        <v>913</v>
      </c>
      <c r="J220" s="1" t="s">
        <v>417</v>
      </c>
      <c r="L220" s="1">
        <v>1</v>
      </c>
      <c r="M220" s="1">
        <f t="shared" si="8"/>
        <v>0</v>
      </c>
      <c r="N220" s="1">
        <v>0</v>
      </c>
    </row>
    <row r="221" spans="1:14" ht="27" customHeight="1" x14ac:dyDescent="0.15">
      <c r="A221" s="6" t="s">
        <v>210</v>
      </c>
      <c r="B221" s="1">
        <v>1218</v>
      </c>
      <c r="C221" s="1" t="s">
        <v>326</v>
      </c>
      <c r="D221" s="1">
        <v>4</v>
      </c>
      <c r="E221" s="8" t="s">
        <v>834</v>
      </c>
      <c r="F221" s="1">
        <v>3</v>
      </c>
      <c r="G221" s="1">
        <v>1</v>
      </c>
      <c r="H221" s="1">
        <v>1</v>
      </c>
      <c r="I221" s="1" t="s">
        <v>913</v>
      </c>
      <c r="J221" s="1" t="s">
        <v>427</v>
      </c>
      <c r="L221" s="1">
        <v>1</v>
      </c>
      <c r="M221" s="1">
        <f t="shared" si="8"/>
        <v>0</v>
      </c>
      <c r="N221" s="1">
        <v>0</v>
      </c>
    </row>
    <row r="222" spans="1:14" ht="40.5" customHeight="1" x14ac:dyDescent="0.15">
      <c r="A222" s="1" t="s">
        <v>64</v>
      </c>
      <c r="B222" s="1">
        <v>1219</v>
      </c>
      <c r="C222" s="1" t="s">
        <v>327</v>
      </c>
      <c r="D222" s="1">
        <v>4</v>
      </c>
      <c r="E222" s="8" t="s">
        <v>834</v>
      </c>
      <c r="F222" s="1">
        <v>4</v>
      </c>
      <c r="G222" s="1">
        <v>1</v>
      </c>
      <c r="H222" s="1">
        <v>1</v>
      </c>
      <c r="I222" s="1" t="s">
        <v>913</v>
      </c>
      <c r="J222" s="1" t="s">
        <v>416</v>
      </c>
      <c r="L222" s="1">
        <v>1</v>
      </c>
      <c r="M222" s="1">
        <f t="shared" si="8"/>
        <v>0</v>
      </c>
      <c r="N222" s="1">
        <v>0</v>
      </c>
    </row>
    <row r="223" spans="1:14" ht="27" customHeight="1" x14ac:dyDescent="0.15">
      <c r="A223" s="1" t="s">
        <v>65</v>
      </c>
      <c r="B223" s="1">
        <v>1220</v>
      </c>
      <c r="C223" s="1" t="s">
        <v>328</v>
      </c>
      <c r="D223" s="1">
        <v>4</v>
      </c>
      <c r="E223" s="8" t="s">
        <v>834</v>
      </c>
      <c r="F223" s="1">
        <v>4</v>
      </c>
      <c r="G223" s="1">
        <v>1</v>
      </c>
      <c r="H223" s="1">
        <v>1</v>
      </c>
      <c r="I223" s="1" t="s">
        <v>913</v>
      </c>
      <c r="J223" s="1" t="s">
        <v>429</v>
      </c>
      <c r="L223" s="1">
        <v>1</v>
      </c>
      <c r="M223" s="1">
        <f t="shared" si="8"/>
        <v>0</v>
      </c>
      <c r="N223" s="1">
        <v>0</v>
      </c>
    </row>
    <row r="224" spans="1:14" ht="40.5" customHeight="1" x14ac:dyDescent="0.15">
      <c r="A224" s="1" t="s">
        <v>66</v>
      </c>
      <c r="B224" s="1">
        <v>1221</v>
      </c>
      <c r="C224" s="1" t="s">
        <v>329</v>
      </c>
      <c r="D224" s="1">
        <v>4</v>
      </c>
      <c r="E224" s="8" t="s">
        <v>834</v>
      </c>
      <c r="F224" s="1">
        <v>4</v>
      </c>
      <c r="G224" s="1">
        <v>1</v>
      </c>
      <c r="H224" s="1">
        <v>1</v>
      </c>
      <c r="I224" s="1" t="s">
        <v>913</v>
      </c>
      <c r="J224" s="1" t="s">
        <v>418</v>
      </c>
      <c r="L224" s="1">
        <v>1</v>
      </c>
      <c r="M224" s="1">
        <f t="shared" si="8"/>
        <v>0</v>
      </c>
      <c r="N224" s="1">
        <v>0</v>
      </c>
    </row>
    <row r="225" spans="1:14" ht="27" customHeight="1" x14ac:dyDescent="0.15">
      <c r="A225" s="7" t="s">
        <v>215</v>
      </c>
      <c r="B225" s="1">
        <v>1222</v>
      </c>
      <c r="C225" s="1" t="s">
        <v>330</v>
      </c>
      <c r="D225" s="1">
        <v>4</v>
      </c>
      <c r="E225" s="8" t="s">
        <v>834</v>
      </c>
      <c r="F225" s="1">
        <v>4</v>
      </c>
      <c r="G225" s="1">
        <v>1</v>
      </c>
      <c r="H225" s="1">
        <v>1</v>
      </c>
      <c r="I225" s="1" t="s">
        <v>913</v>
      </c>
      <c r="J225" s="1" t="s">
        <v>419</v>
      </c>
      <c r="L225" s="1">
        <v>1</v>
      </c>
      <c r="M225" s="1">
        <f t="shared" si="8"/>
        <v>0</v>
      </c>
      <c r="N225" s="1">
        <v>0</v>
      </c>
    </row>
    <row r="226" spans="1:14" ht="27" customHeight="1" x14ac:dyDescent="0.15">
      <c r="A226" s="1" t="s">
        <v>217</v>
      </c>
      <c r="B226" s="1">
        <v>1223</v>
      </c>
      <c r="C226" s="1" t="s">
        <v>331</v>
      </c>
      <c r="D226" s="1">
        <v>4</v>
      </c>
      <c r="E226" s="8" t="s">
        <v>834</v>
      </c>
      <c r="F226" s="1">
        <v>4</v>
      </c>
      <c r="G226" s="1">
        <v>1</v>
      </c>
      <c r="H226" s="1">
        <v>1</v>
      </c>
      <c r="I226" s="1" t="s">
        <v>913</v>
      </c>
      <c r="J226" s="1" t="s">
        <v>420</v>
      </c>
      <c r="L226" s="1">
        <v>1</v>
      </c>
      <c r="M226" s="1">
        <f t="shared" si="8"/>
        <v>0</v>
      </c>
      <c r="N226" s="1">
        <v>0</v>
      </c>
    </row>
    <row r="227" spans="1:14" ht="40.5" customHeight="1" x14ac:dyDescent="0.15">
      <c r="A227" s="1" t="s">
        <v>67</v>
      </c>
      <c r="B227" s="1">
        <v>1224</v>
      </c>
      <c r="C227" s="1" t="s">
        <v>332</v>
      </c>
      <c r="D227" s="1">
        <v>4</v>
      </c>
      <c r="E227" s="8" t="s">
        <v>834</v>
      </c>
      <c r="F227" s="1">
        <v>4</v>
      </c>
      <c r="G227" s="1">
        <v>1</v>
      </c>
      <c r="H227" s="1">
        <v>1</v>
      </c>
      <c r="I227" s="1" t="s">
        <v>913</v>
      </c>
      <c r="J227" s="1" t="s">
        <v>430</v>
      </c>
      <c r="L227" s="1">
        <v>1</v>
      </c>
      <c r="M227" s="1">
        <f t="shared" si="8"/>
        <v>0</v>
      </c>
      <c r="N227" s="1">
        <v>0</v>
      </c>
    </row>
    <row r="228" spans="1:14" ht="40.5" customHeight="1" x14ac:dyDescent="0.15">
      <c r="A228" s="1" t="s">
        <v>68</v>
      </c>
      <c r="B228" s="1">
        <v>1225</v>
      </c>
      <c r="C228" s="1" t="s">
        <v>333</v>
      </c>
      <c r="D228" s="1">
        <v>4</v>
      </c>
      <c r="E228" s="8" t="s">
        <v>834</v>
      </c>
      <c r="F228" s="1">
        <v>4</v>
      </c>
      <c r="G228" s="1">
        <v>1</v>
      </c>
      <c r="H228" s="1">
        <v>1</v>
      </c>
      <c r="I228" s="1" t="s">
        <v>913</v>
      </c>
      <c r="J228" s="1" t="s">
        <v>421</v>
      </c>
      <c r="L228" s="1">
        <v>1</v>
      </c>
      <c r="M228" s="1">
        <f t="shared" si="8"/>
        <v>0</v>
      </c>
      <c r="N228" s="1">
        <v>0</v>
      </c>
    </row>
    <row r="229" spans="1:14" ht="27" customHeight="1" x14ac:dyDescent="0.15">
      <c r="A229" s="1" t="s">
        <v>69</v>
      </c>
      <c r="B229" s="1">
        <v>1226</v>
      </c>
      <c r="C229" s="1" t="s">
        <v>334</v>
      </c>
      <c r="D229" s="1">
        <v>4</v>
      </c>
      <c r="E229" s="8" t="s">
        <v>834</v>
      </c>
      <c r="F229" s="1">
        <v>4</v>
      </c>
      <c r="G229" s="1">
        <v>1</v>
      </c>
      <c r="H229" s="1">
        <v>1</v>
      </c>
      <c r="I229" s="1" t="s">
        <v>913</v>
      </c>
      <c r="J229" s="1" t="s">
        <v>431</v>
      </c>
      <c r="L229" s="1">
        <v>1</v>
      </c>
      <c r="M229" s="1">
        <f t="shared" si="8"/>
        <v>0</v>
      </c>
      <c r="N229" s="1">
        <v>0</v>
      </c>
    </row>
    <row r="230" spans="1:14" ht="27" customHeight="1" x14ac:dyDescent="0.15">
      <c r="A230" s="1" t="s">
        <v>70</v>
      </c>
      <c r="B230" s="1">
        <v>1227</v>
      </c>
      <c r="C230" s="1" t="s">
        <v>335</v>
      </c>
      <c r="D230" s="1">
        <v>4</v>
      </c>
      <c r="E230" s="8" t="s">
        <v>834</v>
      </c>
      <c r="F230" s="1">
        <v>4</v>
      </c>
      <c r="G230" s="1">
        <v>1</v>
      </c>
      <c r="H230" s="1">
        <v>1</v>
      </c>
      <c r="I230" s="1" t="s">
        <v>913</v>
      </c>
      <c r="J230" s="1" t="s">
        <v>432</v>
      </c>
      <c r="L230" s="1">
        <v>1</v>
      </c>
      <c r="M230" s="1">
        <f t="shared" si="8"/>
        <v>0</v>
      </c>
      <c r="N230" s="1">
        <v>0</v>
      </c>
    </row>
    <row r="231" spans="1:14" ht="27" customHeight="1" x14ac:dyDescent="0.15">
      <c r="A231" s="1" t="s">
        <v>595</v>
      </c>
      <c r="B231" s="1">
        <v>1228</v>
      </c>
      <c r="C231" s="2" t="s">
        <v>605</v>
      </c>
      <c r="D231" s="1">
        <v>4</v>
      </c>
      <c r="E231" s="8" t="s">
        <v>834</v>
      </c>
      <c r="F231" s="1">
        <v>4</v>
      </c>
      <c r="G231" s="1">
        <v>1</v>
      </c>
      <c r="H231" s="1">
        <v>1</v>
      </c>
      <c r="I231" s="1" t="s">
        <v>913</v>
      </c>
      <c r="J231" s="1" t="s">
        <v>589</v>
      </c>
      <c r="L231" s="1">
        <v>1</v>
      </c>
      <c r="M231" s="1">
        <f t="shared" si="8"/>
        <v>0</v>
      </c>
      <c r="N231" s="1">
        <v>0</v>
      </c>
    </row>
    <row r="232" spans="1:14" ht="27" customHeight="1" x14ac:dyDescent="0.15">
      <c r="A232" s="1" t="s">
        <v>71</v>
      </c>
      <c r="B232" s="1">
        <v>1229</v>
      </c>
      <c r="C232" s="1" t="s">
        <v>336</v>
      </c>
      <c r="D232" s="1">
        <v>4</v>
      </c>
      <c r="E232" s="8" t="s">
        <v>834</v>
      </c>
      <c r="F232" s="1">
        <v>5</v>
      </c>
      <c r="G232" s="1">
        <v>1</v>
      </c>
      <c r="H232" s="1">
        <v>1</v>
      </c>
      <c r="I232" s="1" t="s">
        <v>913</v>
      </c>
      <c r="J232" s="1" t="s">
        <v>433</v>
      </c>
      <c r="L232" s="1">
        <v>1</v>
      </c>
      <c r="M232" s="1">
        <f t="shared" si="8"/>
        <v>0</v>
      </c>
      <c r="N232" s="1">
        <v>0</v>
      </c>
    </row>
    <row r="233" spans="1:14" ht="27" customHeight="1" x14ac:dyDescent="0.15">
      <c r="A233" s="1" t="s">
        <v>72</v>
      </c>
      <c r="B233" s="1">
        <v>1230</v>
      </c>
      <c r="C233" s="1" t="s">
        <v>337</v>
      </c>
      <c r="D233" s="1">
        <v>4</v>
      </c>
      <c r="E233" s="8" t="s">
        <v>834</v>
      </c>
      <c r="F233" s="1">
        <v>5</v>
      </c>
      <c r="G233" s="1">
        <v>1</v>
      </c>
      <c r="H233" s="1">
        <v>1</v>
      </c>
      <c r="I233" s="1" t="s">
        <v>913</v>
      </c>
      <c r="J233" s="1" t="s">
        <v>434</v>
      </c>
      <c r="L233" s="1">
        <v>1</v>
      </c>
      <c r="M233" s="1">
        <f t="shared" si="8"/>
        <v>0</v>
      </c>
      <c r="N233" s="1">
        <v>0</v>
      </c>
    </row>
    <row r="234" spans="1:14" ht="27" customHeight="1" x14ac:dyDescent="0.15">
      <c r="A234" s="1" t="s">
        <v>73</v>
      </c>
      <c r="B234" s="1">
        <v>1231</v>
      </c>
      <c r="C234" s="1" t="s">
        <v>338</v>
      </c>
      <c r="D234" s="1">
        <v>4</v>
      </c>
      <c r="E234" s="8" t="s">
        <v>834</v>
      </c>
      <c r="F234" s="1">
        <v>5</v>
      </c>
      <c r="G234" s="1">
        <v>1</v>
      </c>
      <c r="H234" s="1">
        <v>1</v>
      </c>
      <c r="I234" s="1" t="s">
        <v>913</v>
      </c>
      <c r="J234" s="1" t="s">
        <v>435</v>
      </c>
      <c r="L234" s="1">
        <v>1</v>
      </c>
      <c r="M234" s="1">
        <f t="shared" si="8"/>
        <v>0</v>
      </c>
      <c r="N234" s="1">
        <v>0</v>
      </c>
    </row>
    <row r="235" spans="1:14" ht="40.5" customHeight="1" x14ac:dyDescent="0.15">
      <c r="A235" s="1" t="s">
        <v>74</v>
      </c>
      <c r="B235" s="1">
        <v>1232</v>
      </c>
      <c r="C235" s="1" t="s">
        <v>339</v>
      </c>
      <c r="D235" s="1">
        <v>4</v>
      </c>
      <c r="E235" s="8" t="s">
        <v>834</v>
      </c>
      <c r="F235" s="1">
        <v>5</v>
      </c>
      <c r="G235" s="1">
        <v>1</v>
      </c>
      <c r="H235" s="1">
        <v>1</v>
      </c>
      <c r="I235" s="1" t="s">
        <v>913</v>
      </c>
      <c r="J235" s="1" t="s">
        <v>436</v>
      </c>
      <c r="L235" s="1">
        <v>1</v>
      </c>
      <c r="M235" s="1">
        <f t="shared" si="8"/>
        <v>0</v>
      </c>
      <c r="N235" s="1">
        <v>0</v>
      </c>
    </row>
    <row r="236" spans="1:14" ht="27" customHeight="1" x14ac:dyDescent="0.15">
      <c r="A236" s="1" t="s">
        <v>75</v>
      </c>
      <c r="B236" s="1">
        <v>1233</v>
      </c>
      <c r="C236" s="1" t="s">
        <v>340</v>
      </c>
      <c r="D236" s="1">
        <v>4</v>
      </c>
      <c r="E236" s="8" t="s">
        <v>834</v>
      </c>
      <c r="F236" s="1">
        <v>5</v>
      </c>
      <c r="G236" s="1">
        <v>1</v>
      </c>
      <c r="H236" s="1">
        <v>1</v>
      </c>
      <c r="I236" s="1" t="s">
        <v>913</v>
      </c>
      <c r="J236" s="1" t="s">
        <v>444</v>
      </c>
      <c r="L236" s="1">
        <v>1</v>
      </c>
      <c r="M236" s="1">
        <f t="shared" si="8"/>
        <v>0</v>
      </c>
      <c r="N236" s="1">
        <v>0</v>
      </c>
    </row>
    <row r="237" spans="1:14" ht="40.5" customHeight="1" x14ac:dyDescent="0.15">
      <c r="A237" s="1" t="s">
        <v>583</v>
      </c>
      <c r="B237" s="1">
        <v>1234</v>
      </c>
      <c r="C237" s="1" t="s">
        <v>341</v>
      </c>
      <c r="D237" s="1">
        <v>4</v>
      </c>
      <c r="E237" s="8" t="s">
        <v>834</v>
      </c>
      <c r="F237" s="1">
        <v>5</v>
      </c>
      <c r="G237" s="1">
        <v>1</v>
      </c>
      <c r="H237" s="1">
        <v>1</v>
      </c>
      <c r="I237" s="1" t="s">
        <v>913</v>
      </c>
      <c r="J237" s="1" t="s">
        <v>438</v>
      </c>
      <c r="L237" s="1">
        <v>1</v>
      </c>
      <c r="M237" s="1">
        <f t="shared" si="8"/>
        <v>0</v>
      </c>
      <c r="N237" s="1">
        <v>0</v>
      </c>
    </row>
    <row r="238" spans="1:14" ht="27" customHeight="1" x14ac:dyDescent="0.15">
      <c r="A238" s="1" t="s">
        <v>76</v>
      </c>
      <c r="B238" s="1">
        <v>1235</v>
      </c>
      <c r="C238" s="1" t="s">
        <v>342</v>
      </c>
      <c r="D238" s="1">
        <v>4</v>
      </c>
      <c r="E238" s="8" t="s">
        <v>834</v>
      </c>
      <c r="F238" s="1">
        <v>5</v>
      </c>
      <c r="G238" s="1">
        <v>1</v>
      </c>
      <c r="H238" s="1">
        <v>1</v>
      </c>
      <c r="I238" s="1" t="s">
        <v>913</v>
      </c>
      <c r="J238" s="1" t="s">
        <v>439</v>
      </c>
      <c r="L238" s="1">
        <v>1</v>
      </c>
      <c r="M238" s="1">
        <f t="shared" si="8"/>
        <v>0</v>
      </c>
      <c r="N238" s="1">
        <v>0</v>
      </c>
    </row>
    <row r="239" spans="1:14" ht="27" customHeight="1" x14ac:dyDescent="0.15">
      <c r="A239" s="1" t="s">
        <v>596</v>
      </c>
      <c r="B239" s="1">
        <v>1236</v>
      </c>
      <c r="C239" s="2" t="s">
        <v>604</v>
      </c>
      <c r="D239" s="1">
        <v>4</v>
      </c>
      <c r="E239" s="8" t="s">
        <v>834</v>
      </c>
      <c r="F239" s="1">
        <v>5</v>
      </c>
      <c r="G239" s="1">
        <v>1</v>
      </c>
      <c r="H239" s="1">
        <v>1</v>
      </c>
      <c r="I239" s="1" t="s">
        <v>913</v>
      </c>
      <c r="J239" s="1" t="s">
        <v>590</v>
      </c>
      <c r="L239" s="1">
        <v>1</v>
      </c>
      <c r="M239" s="1">
        <f t="shared" si="8"/>
        <v>0</v>
      </c>
      <c r="N239" s="1">
        <v>0</v>
      </c>
    </row>
    <row r="240" spans="1:14" ht="27" customHeight="1" x14ac:dyDescent="0.15">
      <c r="A240" s="6" t="s">
        <v>440</v>
      </c>
      <c r="B240" s="1">
        <v>1237</v>
      </c>
      <c r="C240" s="1" t="s">
        <v>443</v>
      </c>
      <c r="D240" s="1">
        <v>4</v>
      </c>
      <c r="E240" s="8" t="s">
        <v>834</v>
      </c>
      <c r="F240" s="1">
        <v>5</v>
      </c>
      <c r="G240" s="1">
        <v>1</v>
      </c>
      <c r="H240" s="1">
        <v>1</v>
      </c>
      <c r="I240" s="1" t="s">
        <v>913</v>
      </c>
      <c r="J240" s="1" t="s">
        <v>441</v>
      </c>
      <c r="L240" s="1">
        <v>1</v>
      </c>
      <c r="M240" s="1">
        <f t="shared" si="8"/>
        <v>0</v>
      </c>
      <c r="N240" s="1">
        <v>0</v>
      </c>
    </row>
    <row r="241" spans="1:14" ht="40.5" customHeight="1" x14ac:dyDescent="0.15">
      <c r="A241" s="1" t="s">
        <v>539</v>
      </c>
      <c r="B241" s="1">
        <v>1238</v>
      </c>
      <c r="C241" s="1" t="s">
        <v>509</v>
      </c>
      <c r="D241" s="1">
        <v>5</v>
      </c>
      <c r="E241" s="8" t="s">
        <v>833</v>
      </c>
      <c r="F241" s="1">
        <v>6</v>
      </c>
      <c r="G241" s="1">
        <v>1</v>
      </c>
      <c r="H241" s="1">
        <v>49</v>
      </c>
      <c r="I241" s="1" t="s">
        <v>913</v>
      </c>
      <c r="J241" s="1" t="s">
        <v>540</v>
      </c>
      <c r="L241" s="1">
        <v>1</v>
      </c>
      <c r="M241" s="1">
        <f t="shared" ref="M241:M255" si="9">N241*8</f>
        <v>1200</v>
      </c>
      <c r="N241" s="1">
        <v>150</v>
      </c>
    </row>
    <row r="242" spans="1:14" ht="54" customHeight="1" x14ac:dyDescent="0.15">
      <c r="A242" s="1" t="s">
        <v>796</v>
      </c>
      <c r="B242" s="1">
        <v>1239</v>
      </c>
      <c r="C242" s="1" t="s">
        <v>510</v>
      </c>
      <c r="D242" s="1">
        <v>5</v>
      </c>
      <c r="E242" s="8" t="s">
        <v>833</v>
      </c>
      <c r="F242" s="1">
        <v>6</v>
      </c>
      <c r="G242" s="1">
        <v>1</v>
      </c>
      <c r="H242" s="1">
        <v>49</v>
      </c>
      <c r="I242" s="1" t="s">
        <v>913</v>
      </c>
      <c r="J242" s="1" t="s">
        <v>541</v>
      </c>
      <c r="L242" s="1">
        <v>1</v>
      </c>
      <c r="M242" s="1">
        <f t="shared" si="9"/>
        <v>1600</v>
      </c>
      <c r="N242" s="1">
        <v>200</v>
      </c>
    </row>
    <row r="243" spans="1:14" ht="54" customHeight="1" x14ac:dyDescent="0.15">
      <c r="A243" s="1" t="s">
        <v>795</v>
      </c>
      <c r="B243" s="1">
        <v>1240</v>
      </c>
      <c r="C243" s="1" t="s">
        <v>511</v>
      </c>
      <c r="D243" s="1">
        <v>5</v>
      </c>
      <c r="E243" s="8" t="s">
        <v>833</v>
      </c>
      <c r="F243" s="1">
        <v>6</v>
      </c>
      <c r="G243" s="1">
        <v>1</v>
      </c>
      <c r="H243" s="1">
        <v>49</v>
      </c>
      <c r="I243" s="1" t="s">
        <v>913</v>
      </c>
      <c r="J243" s="1" t="s">
        <v>542</v>
      </c>
      <c r="L243" s="1">
        <v>1</v>
      </c>
      <c r="M243" s="1">
        <f t="shared" si="9"/>
        <v>800</v>
      </c>
      <c r="N243" s="1">
        <v>100</v>
      </c>
    </row>
    <row r="244" spans="1:14" ht="54" customHeight="1" x14ac:dyDescent="0.15">
      <c r="A244" s="1" t="s">
        <v>543</v>
      </c>
      <c r="B244" s="1">
        <v>1241</v>
      </c>
      <c r="C244" s="1" t="s">
        <v>512</v>
      </c>
      <c r="D244" s="1">
        <v>5</v>
      </c>
      <c r="E244" s="8" t="s">
        <v>833</v>
      </c>
      <c r="F244" s="1">
        <v>6</v>
      </c>
      <c r="G244" s="1">
        <v>1</v>
      </c>
      <c r="H244" s="1">
        <v>49</v>
      </c>
      <c r="I244" s="1" t="s">
        <v>913</v>
      </c>
      <c r="J244" s="1" t="s">
        <v>544</v>
      </c>
      <c r="L244" s="1">
        <v>1</v>
      </c>
      <c r="M244" s="1">
        <f t="shared" si="9"/>
        <v>400</v>
      </c>
      <c r="N244" s="1">
        <v>50</v>
      </c>
    </row>
    <row r="245" spans="1:14" ht="40.5" customHeight="1" x14ac:dyDescent="0.15">
      <c r="A245" s="1" t="s">
        <v>545</v>
      </c>
      <c r="B245" s="1">
        <v>1242</v>
      </c>
      <c r="C245" s="1" t="s">
        <v>513</v>
      </c>
      <c r="D245" s="1">
        <v>5</v>
      </c>
      <c r="E245" s="8" t="s">
        <v>833</v>
      </c>
      <c r="F245" s="1">
        <v>6</v>
      </c>
      <c r="G245" s="1">
        <v>1</v>
      </c>
      <c r="H245" s="1">
        <v>49</v>
      </c>
      <c r="I245" s="1" t="s">
        <v>913</v>
      </c>
      <c r="J245" s="1" t="s">
        <v>546</v>
      </c>
      <c r="L245" s="1">
        <v>1</v>
      </c>
      <c r="M245" s="1">
        <f t="shared" si="9"/>
        <v>2400</v>
      </c>
      <c r="N245" s="1">
        <v>300</v>
      </c>
    </row>
    <row r="246" spans="1:14" ht="54" customHeight="1" x14ac:dyDescent="0.15">
      <c r="A246" s="1" t="s">
        <v>797</v>
      </c>
      <c r="B246" s="1">
        <v>1243</v>
      </c>
      <c r="C246" s="1" t="s">
        <v>514</v>
      </c>
      <c r="D246" s="1">
        <v>5</v>
      </c>
      <c r="E246" s="8" t="s">
        <v>833</v>
      </c>
      <c r="F246" s="1">
        <v>6</v>
      </c>
      <c r="G246" s="1">
        <v>1</v>
      </c>
      <c r="H246" s="1">
        <v>49</v>
      </c>
      <c r="I246" s="1" t="s">
        <v>913</v>
      </c>
      <c r="J246" s="1" t="s">
        <v>547</v>
      </c>
      <c r="L246" s="1">
        <v>1</v>
      </c>
      <c r="M246" s="1">
        <f t="shared" si="9"/>
        <v>2000</v>
      </c>
      <c r="N246" s="1">
        <v>250</v>
      </c>
    </row>
    <row r="247" spans="1:14" ht="40.5" customHeight="1" x14ac:dyDescent="0.15">
      <c r="A247" s="1" t="s">
        <v>548</v>
      </c>
      <c r="B247" s="1">
        <v>1244</v>
      </c>
      <c r="C247" s="1" t="s">
        <v>515</v>
      </c>
      <c r="D247" s="1">
        <v>5</v>
      </c>
      <c r="E247" s="8" t="s">
        <v>833</v>
      </c>
      <c r="F247" s="1">
        <v>6</v>
      </c>
      <c r="G247" s="1">
        <v>1</v>
      </c>
      <c r="H247" s="1">
        <v>49</v>
      </c>
      <c r="I247" s="1" t="s">
        <v>913</v>
      </c>
      <c r="J247" s="1" t="s">
        <v>549</v>
      </c>
      <c r="L247" s="1">
        <v>1</v>
      </c>
      <c r="M247" s="1">
        <f t="shared" si="9"/>
        <v>1200</v>
      </c>
      <c r="N247" s="1">
        <v>150</v>
      </c>
    </row>
    <row r="248" spans="1:14" ht="40.5" customHeight="1" x14ac:dyDescent="0.15">
      <c r="A248" s="1" t="s">
        <v>550</v>
      </c>
      <c r="B248" s="1">
        <v>1245</v>
      </c>
      <c r="C248" s="1" t="s">
        <v>516</v>
      </c>
      <c r="D248" s="1">
        <v>5</v>
      </c>
      <c r="E248" s="8" t="s">
        <v>833</v>
      </c>
      <c r="F248" s="1">
        <v>6</v>
      </c>
      <c r="G248" s="1">
        <v>1</v>
      </c>
      <c r="H248" s="1">
        <v>49</v>
      </c>
      <c r="I248" s="1" t="s">
        <v>913</v>
      </c>
      <c r="J248" s="1" t="s">
        <v>551</v>
      </c>
      <c r="L248" s="1">
        <v>1</v>
      </c>
      <c r="M248" s="1">
        <f t="shared" si="9"/>
        <v>1600</v>
      </c>
      <c r="N248" s="1">
        <v>200</v>
      </c>
    </row>
    <row r="249" spans="1:14" ht="40.5" customHeight="1" x14ac:dyDescent="0.15">
      <c r="A249" s="1" t="s">
        <v>552</v>
      </c>
      <c r="B249" s="1">
        <v>1246</v>
      </c>
      <c r="C249" s="1" t="s">
        <v>517</v>
      </c>
      <c r="D249" s="1">
        <v>5</v>
      </c>
      <c r="E249" s="8" t="s">
        <v>833</v>
      </c>
      <c r="F249" s="1">
        <v>6</v>
      </c>
      <c r="G249" s="1">
        <v>1</v>
      </c>
      <c r="H249" s="1">
        <v>49</v>
      </c>
      <c r="I249" s="1" t="s">
        <v>913</v>
      </c>
      <c r="J249" s="1" t="s">
        <v>553</v>
      </c>
      <c r="L249" s="1">
        <v>1</v>
      </c>
      <c r="M249" s="1">
        <f t="shared" si="9"/>
        <v>2400</v>
      </c>
      <c r="N249" s="1">
        <v>300</v>
      </c>
    </row>
    <row r="250" spans="1:14" ht="40.5" customHeight="1" x14ac:dyDescent="0.15">
      <c r="A250" s="1" t="s">
        <v>554</v>
      </c>
      <c r="B250" s="1">
        <v>1247</v>
      </c>
      <c r="C250" s="1" t="s">
        <v>518</v>
      </c>
      <c r="D250" s="1">
        <v>5</v>
      </c>
      <c r="E250" s="8" t="s">
        <v>833</v>
      </c>
      <c r="F250" s="1">
        <v>6</v>
      </c>
      <c r="G250" s="1">
        <v>1</v>
      </c>
      <c r="H250" s="1">
        <v>49</v>
      </c>
      <c r="I250" s="1" t="s">
        <v>913</v>
      </c>
      <c r="J250" s="1" t="s">
        <v>555</v>
      </c>
      <c r="L250" s="1">
        <v>1</v>
      </c>
      <c r="M250" s="1">
        <f t="shared" si="9"/>
        <v>2000</v>
      </c>
      <c r="N250" s="1">
        <v>250</v>
      </c>
    </row>
    <row r="251" spans="1:14" ht="40.5" customHeight="1" x14ac:dyDescent="0.15">
      <c r="A251" s="1" t="s">
        <v>556</v>
      </c>
      <c r="B251" s="1">
        <v>1248</v>
      </c>
      <c r="C251" s="1" t="s">
        <v>519</v>
      </c>
      <c r="D251" s="1">
        <v>5</v>
      </c>
      <c r="E251" s="8" t="s">
        <v>833</v>
      </c>
      <c r="F251" s="1">
        <v>6</v>
      </c>
      <c r="G251" s="1">
        <v>1</v>
      </c>
      <c r="H251" s="1">
        <v>49</v>
      </c>
      <c r="I251" s="1" t="s">
        <v>913</v>
      </c>
      <c r="J251" s="1" t="s">
        <v>557</v>
      </c>
      <c r="L251" s="1">
        <v>1</v>
      </c>
      <c r="M251" s="1">
        <f t="shared" si="9"/>
        <v>2400</v>
      </c>
      <c r="N251" s="1">
        <v>300</v>
      </c>
    </row>
    <row r="252" spans="1:14" ht="40.5" customHeight="1" x14ac:dyDescent="0.15">
      <c r="A252" s="1" t="s">
        <v>558</v>
      </c>
      <c r="B252" s="1">
        <v>1249</v>
      </c>
      <c r="C252" s="1" t="s">
        <v>520</v>
      </c>
      <c r="D252" s="1">
        <v>5</v>
      </c>
      <c r="E252" s="8" t="s">
        <v>833</v>
      </c>
      <c r="F252" s="1">
        <v>6</v>
      </c>
      <c r="G252" s="1">
        <v>1</v>
      </c>
      <c r="H252" s="1">
        <v>49</v>
      </c>
      <c r="I252" s="1" t="s">
        <v>913</v>
      </c>
      <c r="J252" s="1" t="s">
        <v>559</v>
      </c>
      <c r="L252" s="1">
        <v>1</v>
      </c>
      <c r="M252" s="1">
        <f t="shared" si="9"/>
        <v>1600</v>
      </c>
      <c r="N252" s="1">
        <v>200</v>
      </c>
    </row>
    <row r="253" spans="1:14" ht="27" customHeight="1" x14ac:dyDescent="0.15">
      <c r="A253" s="1" t="s">
        <v>560</v>
      </c>
      <c r="B253" s="1">
        <v>1250</v>
      </c>
      <c r="C253" s="1" t="s">
        <v>521</v>
      </c>
      <c r="D253" s="1">
        <v>5</v>
      </c>
      <c r="E253" s="8" t="s">
        <v>833</v>
      </c>
      <c r="F253" s="1">
        <v>6</v>
      </c>
      <c r="G253" s="1">
        <v>1</v>
      </c>
      <c r="H253" s="1">
        <v>49</v>
      </c>
      <c r="I253" s="1" t="s">
        <v>913</v>
      </c>
      <c r="J253" s="1" t="s">
        <v>561</v>
      </c>
      <c r="L253" s="1">
        <v>1</v>
      </c>
      <c r="M253" s="1">
        <f t="shared" si="9"/>
        <v>2000</v>
      </c>
      <c r="N253" s="1">
        <v>250</v>
      </c>
    </row>
    <row r="254" spans="1:14" ht="40.5" customHeight="1" x14ac:dyDescent="0.15">
      <c r="A254" s="1" t="s">
        <v>562</v>
      </c>
      <c r="B254" s="1">
        <v>1251</v>
      </c>
      <c r="C254" s="1" t="s">
        <v>522</v>
      </c>
      <c r="D254" s="1">
        <v>5</v>
      </c>
      <c r="E254" s="8" t="s">
        <v>833</v>
      </c>
      <c r="F254" s="1">
        <v>6</v>
      </c>
      <c r="G254" s="1">
        <v>1</v>
      </c>
      <c r="H254" s="1">
        <v>49</v>
      </c>
      <c r="I254" s="1" t="s">
        <v>913</v>
      </c>
      <c r="J254" s="1" t="s">
        <v>563</v>
      </c>
      <c r="L254" s="1">
        <v>1</v>
      </c>
      <c r="M254" s="1">
        <f t="shared" si="9"/>
        <v>1200</v>
      </c>
      <c r="N254" s="1">
        <v>150</v>
      </c>
    </row>
    <row r="255" spans="1:14" ht="40.5" customHeight="1" x14ac:dyDescent="0.15">
      <c r="A255" s="1" t="s">
        <v>564</v>
      </c>
      <c r="B255" s="1">
        <v>1252</v>
      </c>
      <c r="C255" s="1" t="s">
        <v>523</v>
      </c>
      <c r="D255" s="1">
        <v>5</v>
      </c>
      <c r="E255" s="8" t="s">
        <v>833</v>
      </c>
      <c r="F255" s="1">
        <v>6</v>
      </c>
      <c r="G255" s="1">
        <v>1</v>
      </c>
      <c r="H255" s="1">
        <v>49</v>
      </c>
      <c r="I255" s="1" t="s">
        <v>913</v>
      </c>
      <c r="J255" s="1" t="s">
        <v>565</v>
      </c>
      <c r="L255" s="1">
        <v>1</v>
      </c>
      <c r="M255" s="1">
        <f t="shared" si="9"/>
        <v>800</v>
      </c>
      <c r="N255" s="1">
        <v>100</v>
      </c>
    </row>
    <row r="256" spans="1:14" ht="13.5" customHeight="1" x14ac:dyDescent="0.15">
      <c r="A256" s="1" t="s">
        <v>508</v>
      </c>
      <c r="B256" s="1">
        <v>1253</v>
      </c>
      <c r="C256" s="1" t="s">
        <v>524</v>
      </c>
      <c r="D256" s="1">
        <v>5</v>
      </c>
      <c r="E256" s="8" t="s">
        <v>834</v>
      </c>
      <c r="F256" s="1">
        <v>6</v>
      </c>
      <c r="G256" s="1">
        <v>1</v>
      </c>
      <c r="H256" s="1">
        <v>49</v>
      </c>
      <c r="I256" s="1" t="s">
        <v>913</v>
      </c>
      <c r="J256" s="1" t="s">
        <v>566</v>
      </c>
      <c r="L256" s="1">
        <v>1</v>
      </c>
      <c r="M256" s="1">
        <f>N256*8</f>
        <v>400</v>
      </c>
      <c r="N256" s="1">
        <v>50</v>
      </c>
    </row>
    <row r="257" spans="1:14" ht="13.5" customHeight="1" x14ac:dyDescent="0.15">
      <c r="A257" s="1" t="s">
        <v>525</v>
      </c>
      <c r="B257" s="1">
        <v>1254</v>
      </c>
      <c r="C257" s="1" t="s">
        <v>538</v>
      </c>
      <c r="D257" s="1">
        <v>4</v>
      </c>
      <c r="E257" s="8" t="s">
        <v>834</v>
      </c>
      <c r="F257" s="1">
        <v>9</v>
      </c>
      <c r="G257" s="1">
        <v>1</v>
      </c>
      <c r="H257" s="1">
        <v>1</v>
      </c>
      <c r="I257" s="1" t="s">
        <v>913</v>
      </c>
      <c r="J257" s="1" t="s">
        <v>567</v>
      </c>
      <c r="L257" s="1">
        <v>1</v>
      </c>
      <c r="M257" s="1">
        <v>20000</v>
      </c>
      <c r="N257" s="1">
        <v>20000</v>
      </c>
    </row>
    <row r="258" spans="1:14" ht="13.5" customHeight="1" x14ac:dyDescent="0.15">
      <c r="A258" s="1" t="s">
        <v>526</v>
      </c>
      <c r="B258" s="1">
        <v>1255</v>
      </c>
      <c r="C258" s="1" t="s">
        <v>537</v>
      </c>
      <c r="D258" s="1">
        <v>4</v>
      </c>
      <c r="E258" s="8" t="s">
        <v>834</v>
      </c>
      <c r="F258" s="1">
        <v>9</v>
      </c>
      <c r="G258" s="1">
        <v>1</v>
      </c>
      <c r="H258" s="1">
        <v>1</v>
      </c>
      <c r="I258" s="1" t="s">
        <v>913</v>
      </c>
      <c r="J258" s="1" t="s">
        <v>568</v>
      </c>
      <c r="L258" s="1">
        <v>1</v>
      </c>
      <c r="M258" s="1">
        <v>8000</v>
      </c>
      <c r="N258" s="1">
        <v>8000</v>
      </c>
    </row>
    <row r="259" spans="1:14" ht="27" customHeight="1" x14ac:dyDescent="0.15">
      <c r="A259" s="1" t="s">
        <v>585</v>
      </c>
      <c r="B259" s="1">
        <v>1256</v>
      </c>
      <c r="C259" s="1" t="s">
        <v>536</v>
      </c>
      <c r="D259" s="1">
        <v>4</v>
      </c>
      <c r="E259" s="8" t="s">
        <v>834</v>
      </c>
      <c r="F259" s="1">
        <v>9</v>
      </c>
      <c r="G259" s="1">
        <v>1</v>
      </c>
      <c r="H259" s="1">
        <v>1</v>
      </c>
      <c r="I259" s="1" t="s">
        <v>913</v>
      </c>
      <c r="J259" s="1" t="s">
        <v>569</v>
      </c>
      <c r="L259" s="1">
        <v>1</v>
      </c>
      <c r="M259" s="1">
        <v>8000</v>
      </c>
      <c r="N259" s="1">
        <v>8000</v>
      </c>
    </row>
    <row r="260" spans="1:14" ht="13.5" customHeight="1" x14ac:dyDescent="0.15">
      <c r="A260" s="1" t="s">
        <v>527</v>
      </c>
      <c r="B260" s="1">
        <v>1257</v>
      </c>
      <c r="C260" s="1" t="s">
        <v>535</v>
      </c>
      <c r="D260" s="1">
        <v>4</v>
      </c>
      <c r="E260" s="8" t="s">
        <v>834</v>
      </c>
      <c r="F260" s="1">
        <v>9</v>
      </c>
      <c r="G260" s="1">
        <v>1</v>
      </c>
      <c r="H260" s="1">
        <v>1</v>
      </c>
      <c r="I260" s="1" t="s">
        <v>913</v>
      </c>
      <c r="J260" s="1" t="s">
        <v>567</v>
      </c>
      <c r="L260" s="1">
        <v>1</v>
      </c>
      <c r="M260" s="1">
        <v>15000</v>
      </c>
      <c r="N260" s="1">
        <v>15000</v>
      </c>
    </row>
    <row r="261" spans="1:14" ht="13.5" customHeight="1" x14ac:dyDescent="0.15">
      <c r="A261" s="1" t="s">
        <v>528</v>
      </c>
      <c r="B261" s="1">
        <v>1258</v>
      </c>
      <c r="C261" s="1" t="s">
        <v>534</v>
      </c>
      <c r="D261" s="1">
        <v>4</v>
      </c>
      <c r="E261" s="8" t="s">
        <v>834</v>
      </c>
      <c r="F261" s="1">
        <v>9</v>
      </c>
      <c r="G261" s="1">
        <v>1</v>
      </c>
      <c r="H261" s="1">
        <v>1</v>
      </c>
      <c r="I261" s="1" t="s">
        <v>913</v>
      </c>
      <c r="J261" s="1" t="s">
        <v>567</v>
      </c>
      <c r="L261" s="1">
        <v>1</v>
      </c>
      <c r="M261" s="1">
        <v>20000</v>
      </c>
      <c r="N261" s="1">
        <v>20000</v>
      </c>
    </row>
    <row r="262" spans="1:14" ht="13.5" customHeight="1" x14ac:dyDescent="0.15">
      <c r="A262" s="1" t="s">
        <v>529</v>
      </c>
      <c r="B262" s="1">
        <v>1259</v>
      </c>
      <c r="C262" s="1" t="s">
        <v>533</v>
      </c>
      <c r="D262" s="1">
        <v>4</v>
      </c>
      <c r="E262" s="8" t="s">
        <v>834</v>
      </c>
      <c r="F262" s="1">
        <v>9</v>
      </c>
      <c r="G262" s="1">
        <v>1</v>
      </c>
      <c r="H262" s="1">
        <v>1</v>
      </c>
      <c r="I262" s="1" t="s">
        <v>913</v>
      </c>
      <c r="J262" s="1" t="s">
        <v>570</v>
      </c>
      <c r="L262" s="1">
        <v>1</v>
      </c>
      <c r="M262" s="1">
        <v>15000</v>
      </c>
      <c r="N262" s="1">
        <v>15000</v>
      </c>
    </row>
    <row r="263" spans="1:14" ht="13.5" customHeight="1" x14ac:dyDescent="0.15">
      <c r="A263" s="1" t="s">
        <v>530</v>
      </c>
      <c r="B263" s="1">
        <v>1260</v>
      </c>
      <c r="C263" s="1" t="s">
        <v>532</v>
      </c>
      <c r="D263" s="1">
        <v>4</v>
      </c>
      <c r="E263" s="8" t="s">
        <v>834</v>
      </c>
      <c r="F263" s="1">
        <v>9</v>
      </c>
      <c r="G263" s="1">
        <v>1</v>
      </c>
      <c r="H263" s="1">
        <v>1</v>
      </c>
      <c r="I263" s="1" t="s">
        <v>913</v>
      </c>
      <c r="J263" s="1" t="s">
        <v>571</v>
      </c>
      <c r="L263" s="1">
        <v>1</v>
      </c>
      <c r="M263" s="1">
        <v>10000</v>
      </c>
      <c r="N263" s="1">
        <v>10000</v>
      </c>
    </row>
    <row r="264" spans="1:14" ht="13.5" customHeight="1" x14ac:dyDescent="0.15">
      <c r="A264" s="1" t="s">
        <v>586</v>
      </c>
      <c r="B264" s="1">
        <v>1261</v>
      </c>
      <c r="C264" s="1" t="s">
        <v>531</v>
      </c>
      <c r="D264" s="1">
        <v>4</v>
      </c>
      <c r="E264" s="8" t="s">
        <v>834</v>
      </c>
      <c r="F264" s="1">
        <v>9</v>
      </c>
      <c r="G264" s="1">
        <v>1</v>
      </c>
      <c r="H264" s="1">
        <v>1</v>
      </c>
      <c r="I264" s="1" t="s">
        <v>913</v>
      </c>
      <c r="J264" s="1" t="s">
        <v>572</v>
      </c>
      <c r="L264" s="1">
        <v>1</v>
      </c>
      <c r="M264" s="1">
        <v>10000</v>
      </c>
      <c r="N264" s="1">
        <v>10000</v>
      </c>
    </row>
    <row r="265" spans="1:14" ht="13.5" customHeight="1" x14ac:dyDescent="0.15">
      <c r="A265" s="1" t="s">
        <v>945</v>
      </c>
      <c r="B265" s="1">
        <v>1262</v>
      </c>
      <c r="C265" s="1" t="s">
        <v>953</v>
      </c>
      <c r="D265" s="1">
        <v>4</v>
      </c>
      <c r="E265" s="8" t="s">
        <v>834</v>
      </c>
      <c r="F265" s="1">
        <v>9</v>
      </c>
      <c r="G265" s="1">
        <v>1</v>
      </c>
      <c r="H265" s="1">
        <v>1</v>
      </c>
      <c r="I265" s="1" t="s">
        <v>913</v>
      </c>
      <c r="J265" s="1" t="s">
        <v>948</v>
      </c>
      <c r="L265" s="1">
        <v>1</v>
      </c>
      <c r="M265" s="1">
        <v>700000</v>
      </c>
      <c r="N265" s="1">
        <v>700000</v>
      </c>
    </row>
    <row r="266" spans="1:14" ht="13.5" customHeight="1" x14ac:dyDescent="0.15">
      <c r="A266" s="1" t="s">
        <v>946</v>
      </c>
      <c r="B266" s="1">
        <v>1263</v>
      </c>
      <c r="C266" s="1" t="s">
        <v>951</v>
      </c>
      <c r="D266" s="1">
        <v>4</v>
      </c>
      <c r="E266" s="8" t="s">
        <v>834</v>
      </c>
      <c r="F266" s="1">
        <v>9</v>
      </c>
      <c r="G266" s="1">
        <v>1</v>
      </c>
      <c r="H266" s="1">
        <v>1</v>
      </c>
      <c r="I266" s="1" t="s">
        <v>913</v>
      </c>
      <c r="J266" s="1" t="s">
        <v>949</v>
      </c>
      <c r="L266" s="1">
        <v>1</v>
      </c>
      <c r="M266" s="1">
        <v>420000</v>
      </c>
      <c r="N266" s="1">
        <v>420000</v>
      </c>
    </row>
    <row r="267" spans="1:14" ht="13.5" customHeight="1" x14ac:dyDescent="0.15">
      <c r="A267" s="1" t="s">
        <v>947</v>
      </c>
      <c r="B267" s="1">
        <v>1264</v>
      </c>
      <c r="C267" s="1" t="s">
        <v>952</v>
      </c>
      <c r="D267" s="1">
        <v>4</v>
      </c>
      <c r="E267" s="8" t="s">
        <v>834</v>
      </c>
      <c r="F267" s="1">
        <v>9</v>
      </c>
      <c r="G267" s="1">
        <v>1</v>
      </c>
      <c r="H267" s="1">
        <v>1</v>
      </c>
      <c r="I267" s="1" t="s">
        <v>913</v>
      </c>
      <c r="J267" s="1" t="s">
        <v>950</v>
      </c>
      <c r="L267" s="1">
        <v>1</v>
      </c>
      <c r="M267" s="1">
        <v>420000</v>
      </c>
      <c r="N267" s="1">
        <v>420000</v>
      </c>
    </row>
    <row r="268" spans="1:14" ht="13.5" customHeight="1" x14ac:dyDescent="0.15">
      <c r="A268" s="1" t="s">
        <v>961</v>
      </c>
      <c r="B268" s="1">
        <v>1265</v>
      </c>
      <c r="C268" s="1" t="s">
        <v>962</v>
      </c>
      <c r="D268" s="1">
        <v>4</v>
      </c>
      <c r="E268" s="8" t="s">
        <v>834</v>
      </c>
      <c r="F268" s="1">
        <v>9</v>
      </c>
      <c r="G268" s="1">
        <v>1</v>
      </c>
      <c r="H268" s="1">
        <v>1</v>
      </c>
      <c r="I268" s="1" t="s">
        <v>913</v>
      </c>
      <c r="J268" s="1" t="s">
        <v>963</v>
      </c>
      <c r="L268" s="1">
        <v>1</v>
      </c>
      <c r="M268" s="1">
        <v>420000</v>
      </c>
      <c r="N268" s="1">
        <v>420000</v>
      </c>
    </row>
    <row r="269" spans="1:14" ht="13.5" customHeight="1" x14ac:dyDescent="0.15">
      <c r="A269" s="1" t="s">
        <v>964</v>
      </c>
      <c r="B269" s="1">
        <v>1266</v>
      </c>
      <c r="C269" s="1" t="s">
        <v>967</v>
      </c>
      <c r="D269" s="1">
        <v>6</v>
      </c>
      <c r="E269" s="8" t="s">
        <v>834</v>
      </c>
      <c r="F269" s="1">
        <v>0</v>
      </c>
      <c r="G269" s="1">
        <v>1</v>
      </c>
      <c r="H269" s="1">
        <v>1</v>
      </c>
      <c r="J269" s="1" t="s">
        <v>968</v>
      </c>
      <c r="L269" s="1">
        <v>1</v>
      </c>
      <c r="M269" s="1">
        <v>1000</v>
      </c>
      <c r="N269" s="1">
        <v>500</v>
      </c>
    </row>
    <row r="270" spans="1:14" ht="13.5" customHeight="1" x14ac:dyDescent="0.15">
      <c r="A270" s="1" t="s">
        <v>965</v>
      </c>
      <c r="B270" s="1">
        <v>1267</v>
      </c>
      <c r="C270" s="1" t="s">
        <v>966</v>
      </c>
      <c r="D270" s="1">
        <v>6</v>
      </c>
      <c r="E270" s="8" t="s">
        <v>834</v>
      </c>
      <c r="F270" s="1">
        <v>0</v>
      </c>
      <c r="G270" s="1">
        <v>1</v>
      </c>
      <c r="H270" s="1">
        <v>1</v>
      </c>
      <c r="J270" s="1" t="s">
        <v>969</v>
      </c>
      <c r="L270" s="1">
        <v>1</v>
      </c>
      <c r="M270" s="1">
        <v>1000</v>
      </c>
      <c r="N270" s="1">
        <v>500</v>
      </c>
    </row>
    <row r="271" spans="1:14" ht="13.5" customHeight="1" x14ac:dyDescent="0.15">
      <c r="A271" s="1" t="s">
        <v>957</v>
      </c>
      <c r="B271" s="1">
        <v>1400</v>
      </c>
      <c r="C271" s="1" t="s">
        <v>954</v>
      </c>
      <c r="D271" s="1">
        <v>8</v>
      </c>
      <c r="E271" s="1" t="s">
        <v>955</v>
      </c>
      <c r="F271" s="1">
        <v>1</v>
      </c>
      <c r="G271" s="1">
        <v>1</v>
      </c>
      <c r="H271" s="1">
        <v>1</v>
      </c>
      <c r="I271" s="1" t="s">
        <v>956</v>
      </c>
      <c r="J271" s="1" t="s">
        <v>958</v>
      </c>
      <c r="K271" s="1" t="s">
        <v>959</v>
      </c>
      <c r="L271" s="1">
        <v>1</v>
      </c>
      <c r="M271" s="1">
        <v>3600</v>
      </c>
      <c r="N271" s="1">
        <f t="shared" ref="N271" si="10">M271/4</f>
        <v>900</v>
      </c>
    </row>
    <row r="272" spans="1:14" ht="27" x14ac:dyDescent="0.15">
      <c r="A272" s="10" t="s">
        <v>844</v>
      </c>
      <c r="B272" s="1">
        <v>1800</v>
      </c>
      <c r="C272" s="1" t="s">
        <v>852</v>
      </c>
      <c r="D272" s="1">
        <v>9</v>
      </c>
      <c r="E272" s="8" t="s">
        <v>833</v>
      </c>
      <c r="F272" s="1">
        <v>20</v>
      </c>
      <c r="G272" s="1">
        <v>0</v>
      </c>
      <c r="H272" s="1">
        <v>49</v>
      </c>
      <c r="I272" s="1" t="s">
        <v>905</v>
      </c>
      <c r="J272" s="1" t="s">
        <v>860</v>
      </c>
      <c r="L272" s="1">
        <v>1</v>
      </c>
      <c r="M272" s="1">
        <v>1228</v>
      </c>
      <c r="N272" s="1">
        <f>INT(M272/4)</f>
        <v>307</v>
      </c>
    </row>
    <row r="273" spans="1:14" ht="40.5" x14ac:dyDescent="0.15">
      <c r="A273" s="10" t="s">
        <v>845</v>
      </c>
      <c r="B273" s="1">
        <v>1801</v>
      </c>
      <c r="C273" s="1" t="s">
        <v>853</v>
      </c>
      <c r="D273" s="1">
        <v>9</v>
      </c>
      <c r="E273" s="8" t="s">
        <v>833</v>
      </c>
      <c r="F273" s="1">
        <v>40</v>
      </c>
      <c r="G273" s="1">
        <v>0</v>
      </c>
      <c r="H273" s="1">
        <v>49</v>
      </c>
      <c r="I273" s="1" t="s">
        <v>906</v>
      </c>
      <c r="J273" s="1" t="s">
        <v>861</v>
      </c>
      <c r="L273" s="1">
        <v>1</v>
      </c>
      <c r="M273" s="1">
        <v>2702</v>
      </c>
      <c r="N273" s="1">
        <f t="shared" ref="N273:N279" si="11">INT(M273/4)</f>
        <v>675</v>
      </c>
    </row>
    <row r="274" spans="1:14" ht="27" x14ac:dyDescent="0.15">
      <c r="A274" s="10" t="s">
        <v>846</v>
      </c>
      <c r="B274" s="1">
        <v>1802</v>
      </c>
      <c r="C274" s="1" t="s">
        <v>854</v>
      </c>
      <c r="D274" s="1">
        <v>9</v>
      </c>
      <c r="E274" s="8" t="s">
        <v>833</v>
      </c>
      <c r="F274" s="1">
        <v>80</v>
      </c>
      <c r="G274" s="1">
        <v>0</v>
      </c>
      <c r="H274" s="1">
        <v>49</v>
      </c>
      <c r="I274" s="1" t="s">
        <v>907</v>
      </c>
      <c r="J274" s="1" t="s">
        <v>862</v>
      </c>
      <c r="L274" s="1">
        <v>1</v>
      </c>
      <c r="M274" s="1">
        <v>5896</v>
      </c>
      <c r="N274" s="1">
        <f t="shared" si="11"/>
        <v>1474</v>
      </c>
    </row>
    <row r="275" spans="1:14" ht="27" x14ac:dyDescent="0.15">
      <c r="A275" s="10" t="s">
        <v>847</v>
      </c>
      <c r="B275" s="1">
        <v>1803</v>
      </c>
      <c r="C275" s="1" t="s">
        <v>855</v>
      </c>
      <c r="D275" s="1">
        <v>9</v>
      </c>
      <c r="E275" s="8" t="s">
        <v>833</v>
      </c>
      <c r="F275" s="1">
        <v>140</v>
      </c>
      <c r="G275" s="1">
        <v>0</v>
      </c>
      <c r="H275" s="1">
        <v>49</v>
      </c>
      <c r="I275" s="1" t="s">
        <v>908</v>
      </c>
      <c r="J275" s="1" t="s">
        <v>863</v>
      </c>
      <c r="L275" s="1">
        <v>1</v>
      </c>
      <c r="M275" s="1">
        <v>12776</v>
      </c>
      <c r="N275" s="1">
        <f t="shared" si="11"/>
        <v>3194</v>
      </c>
    </row>
    <row r="276" spans="1:14" ht="40.5" x14ac:dyDescent="0.15">
      <c r="A276" s="10" t="s">
        <v>848</v>
      </c>
      <c r="B276" s="1">
        <v>1804</v>
      </c>
      <c r="C276" s="1" t="s">
        <v>856</v>
      </c>
      <c r="D276" s="1">
        <v>9</v>
      </c>
      <c r="E276" s="8" t="s">
        <v>833</v>
      </c>
      <c r="F276" s="1">
        <v>220</v>
      </c>
      <c r="G276" s="1">
        <v>0</v>
      </c>
      <c r="H276" s="1">
        <v>49</v>
      </c>
      <c r="I276" s="1" t="s">
        <v>909</v>
      </c>
      <c r="J276" s="1" t="s">
        <v>864</v>
      </c>
      <c r="L276" s="1">
        <v>1</v>
      </c>
      <c r="M276" s="1">
        <v>24078</v>
      </c>
      <c r="N276" s="1">
        <f t="shared" si="11"/>
        <v>6019</v>
      </c>
    </row>
    <row r="277" spans="1:14" ht="27" x14ac:dyDescent="0.15">
      <c r="A277" s="10" t="s">
        <v>849</v>
      </c>
      <c r="B277" s="1">
        <v>1805</v>
      </c>
      <c r="C277" s="1" t="s">
        <v>857</v>
      </c>
      <c r="D277" s="1">
        <v>9</v>
      </c>
      <c r="E277" s="8" t="s">
        <v>833</v>
      </c>
      <c r="F277" s="1">
        <v>320</v>
      </c>
      <c r="G277" s="1">
        <v>0</v>
      </c>
      <c r="H277" s="1">
        <v>49</v>
      </c>
      <c r="I277" s="1" t="s">
        <v>910</v>
      </c>
      <c r="J277" s="1" t="s">
        <v>865</v>
      </c>
      <c r="L277" s="1">
        <v>1</v>
      </c>
      <c r="M277" s="1">
        <v>40540</v>
      </c>
      <c r="N277" s="1">
        <f t="shared" si="11"/>
        <v>10135</v>
      </c>
    </row>
    <row r="278" spans="1:14" ht="27" x14ac:dyDescent="0.15">
      <c r="A278" s="10" t="s">
        <v>850</v>
      </c>
      <c r="B278" s="1">
        <v>1806</v>
      </c>
      <c r="C278" s="1" t="s">
        <v>858</v>
      </c>
      <c r="D278" s="1">
        <v>9</v>
      </c>
      <c r="E278" s="8" t="s">
        <v>833</v>
      </c>
      <c r="F278" s="1">
        <v>440</v>
      </c>
      <c r="G278" s="1">
        <v>0</v>
      </c>
      <c r="H278" s="1">
        <v>49</v>
      </c>
      <c r="I278" s="1" t="s">
        <v>998</v>
      </c>
      <c r="J278" s="1" t="s">
        <v>866</v>
      </c>
      <c r="L278" s="1">
        <v>1</v>
      </c>
      <c r="M278" s="1">
        <v>62899</v>
      </c>
      <c r="N278" s="1">
        <f t="shared" si="11"/>
        <v>15724</v>
      </c>
    </row>
    <row r="279" spans="1:14" ht="27" x14ac:dyDescent="0.15">
      <c r="A279" s="10" t="s">
        <v>851</v>
      </c>
      <c r="B279" s="1">
        <v>1807</v>
      </c>
      <c r="C279" s="1" t="s">
        <v>859</v>
      </c>
      <c r="D279" s="1">
        <v>9</v>
      </c>
      <c r="E279" s="8" t="s">
        <v>833</v>
      </c>
      <c r="F279" s="1">
        <v>580</v>
      </c>
      <c r="G279" s="1">
        <v>0</v>
      </c>
      <c r="H279" s="1">
        <v>49</v>
      </c>
      <c r="I279" s="1" t="s">
        <v>999</v>
      </c>
      <c r="J279" s="1" t="s">
        <v>867</v>
      </c>
      <c r="L279" s="1">
        <v>1</v>
      </c>
      <c r="M279" s="1">
        <v>91891</v>
      </c>
      <c r="N279" s="1">
        <f t="shared" si="11"/>
        <v>22972</v>
      </c>
    </row>
    <row r="280" spans="1:14" ht="27" x14ac:dyDescent="0.15">
      <c r="A280" s="1" t="s">
        <v>971</v>
      </c>
      <c r="B280" s="1">
        <v>1500</v>
      </c>
      <c r="C280" s="1" t="s">
        <v>985</v>
      </c>
      <c r="D280" s="1">
        <v>8</v>
      </c>
      <c r="E280" s="8" t="s">
        <v>834</v>
      </c>
      <c r="F280" s="1">
        <v>1</v>
      </c>
      <c r="G280" s="1">
        <v>0</v>
      </c>
      <c r="H280" s="1">
        <v>9</v>
      </c>
      <c r="I280" s="1" t="s">
        <v>979</v>
      </c>
      <c r="J280" s="1" t="s">
        <v>981</v>
      </c>
      <c r="K280" s="1" t="s">
        <v>980</v>
      </c>
      <c r="L280" s="1">
        <v>1</v>
      </c>
      <c r="M280" s="1">
        <v>1500</v>
      </c>
      <c r="N280" s="1">
        <f>INT(M280/3)</f>
        <v>500</v>
      </c>
    </row>
    <row r="281" spans="1:14" ht="27" x14ac:dyDescent="0.15">
      <c r="A281" s="1" t="s">
        <v>972</v>
      </c>
      <c r="B281" s="1">
        <v>1501</v>
      </c>
      <c r="C281" s="1" t="s">
        <v>986</v>
      </c>
      <c r="D281" s="1">
        <v>10</v>
      </c>
      <c r="E281" s="8" t="s">
        <v>834</v>
      </c>
      <c r="F281" s="1">
        <v>-1</v>
      </c>
      <c r="G281" s="1">
        <v>0</v>
      </c>
      <c r="H281" s="1">
        <v>9</v>
      </c>
      <c r="J281" s="1" t="s">
        <v>982</v>
      </c>
      <c r="L281" s="1">
        <v>1</v>
      </c>
      <c r="M281" s="1">
        <v>2500</v>
      </c>
      <c r="N281" s="1">
        <f t="shared" ref="N281:N287" si="12">INT(M281/3)</f>
        <v>833</v>
      </c>
    </row>
    <row r="282" spans="1:14" ht="27" x14ac:dyDescent="0.15">
      <c r="A282" s="1" t="s">
        <v>973</v>
      </c>
      <c r="B282" s="1">
        <v>1502</v>
      </c>
      <c r="C282" s="1" t="s">
        <v>987</v>
      </c>
      <c r="D282" s="1">
        <v>6</v>
      </c>
      <c r="E282" s="8" t="s">
        <v>834</v>
      </c>
      <c r="F282" s="1">
        <v>1</v>
      </c>
      <c r="G282" s="1">
        <v>0</v>
      </c>
      <c r="H282" s="1">
        <v>9</v>
      </c>
      <c r="J282" s="1" t="s">
        <v>983</v>
      </c>
      <c r="L282" s="1">
        <v>1</v>
      </c>
      <c r="M282" s="1">
        <v>2000</v>
      </c>
      <c r="N282" s="1">
        <f t="shared" si="12"/>
        <v>666</v>
      </c>
    </row>
    <row r="283" spans="1:14" ht="40.5" x14ac:dyDescent="0.15">
      <c r="A283" s="1" t="s">
        <v>974</v>
      </c>
      <c r="B283" s="1">
        <v>1550</v>
      </c>
      <c r="C283" s="1" t="s">
        <v>988</v>
      </c>
      <c r="D283" s="1">
        <v>10</v>
      </c>
      <c r="E283" s="8" t="s">
        <v>834</v>
      </c>
      <c r="F283" s="1">
        <v>5</v>
      </c>
      <c r="G283" s="1">
        <v>0</v>
      </c>
      <c r="H283" s="1">
        <v>9</v>
      </c>
      <c r="J283" s="1" t="s">
        <v>993</v>
      </c>
      <c r="L283" s="1">
        <v>1</v>
      </c>
      <c r="M283" s="1">
        <v>2000</v>
      </c>
      <c r="N283" s="1">
        <f t="shared" si="12"/>
        <v>666</v>
      </c>
    </row>
    <row r="284" spans="1:14" ht="40.5" x14ac:dyDescent="0.15">
      <c r="A284" s="1" t="s">
        <v>975</v>
      </c>
      <c r="B284" s="1">
        <v>1551</v>
      </c>
      <c r="C284" s="1" t="s">
        <v>989</v>
      </c>
      <c r="D284" s="1">
        <v>10</v>
      </c>
      <c r="E284" s="8" t="s">
        <v>834</v>
      </c>
      <c r="F284" s="1">
        <v>1</v>
      </c>
      <c r="G284" s="1">
        <v>0</v>
      </c>
      <c r="H284" s="1">
        <v>9</v>
      </c>
      <c r="J284" s="1" t="s">
        <v>994</v>
      </c>
      <c r="L284" s="1">
        <v>1</v>
      </c>
      <c r="M284" s="1">
        <v>2000</v>
      </c>
      <c r="N284" s="1">
        <f t="shared" si="12"/>
        <v>666</v>
      </c>
    </row>
    <row r="285" spans="1:14" ht="40.5" x14ac:dyDescent="0.15">
      <c r="A285" s="1" t="s">
        <v>976</v>
      </c>
      <c r="B285" s="1">
        <v>1552</v>
      </c>
      <c r="C285" s="1" t="s">
        <v>990</v>
      </c>
      <c r="D285" s="1">
        <v>10</v>
      </c>
      <c r="E285" s="8" t="s">
        <v>834</v>
      </c>
      <c r="F285" s="1">
        <v>2</v>
      </c>
      <c r="G285" s="1">
        <v>0</v>
      </c>
      <c r="H285" s="1">
        <v>9</v>
      </c>
      <c r="J285" s="1" t="s">
        <v>995</v>
      </c>
      <c r="L285" s="1">
        <v>1</v>
      </c>
      <c r="M285" s="1">
        <v>2000</v>
      </c>
      <c r="N285" s="1">
        <f t="shared" si="12"/>
        <v>666</v>
      </c>
    </row>
    <row r="286" spans="1:14" ht="40.5" x14ac:dyDescent="0.15">
      <c r="A286" s="1" t="s">
        <v>977</v>
      </c>
      <c r="B286" s="1">
        <v>1553</v>
      </c>
      <c r="C286" s="1" t="s">
        <v>992</v>
      </c>
      <c r="D286" s="1">
        <v>10</v>
      </c>
      <c r="E286" s="8" t="s">
        <v>834</v>
      </c>
      <c r="F286" s="1">
        <v>4</v>
      </c>
      <c r="G286" s="1">
        <v>0</v>
      </c>
      <c r="H286" s="1">
        <v>9</v>
      </c>
      <c r="J286" s="1" t="s">
        <v>996</v>
      </c>
      <c r="L286" s="1">
        <v>1</v>
      </c>
      <c r="M286" s="1">
        <v>2000</v>
      </c>
      <c r="N286" s="1">
        <f t="shared" si="12"/>
        <v>666</v>
      </c>
    </row>
    <row r="287" spans="1:14" ht="40.5" x14ac:dyDescent="0.15">
      <c r="A287" s="1" t="s">
        <v>978</v>
      </c>
      <c r="B287" s="1">
        <v>1554</v>
      </c>
      <c r="C287" s="1" t="s">
        <v>991</v>
      </c>
      <c r="D287" s="1">
        <v>10</v>
      </c>
      <c r="E287" s="8" t="s">
        <v>834</v>
      </c>
      <c r="F287" s="1">
        <v>3</v>
      </c>
      <c r="G287" s="1">
        <v>0</v>
      </c>
      <c r="H287" s="1">
        <v>9</v>
      </c>
      <c r="J287" s="1" t="s">
        <v>997</v>
      </c>
      <c r="L287" s="1">
        <v>1</v>
      </c>
      <c r="M287" s="1">
        <v>2000</v>
      </c>
      <c r="N287" s="1">
        <f t="shared" si="12"/>
        <v>666</v>
      </c>
    </row>
    <row r="288" spans="1:14" ht="27" x14ac:dyDescent="0.15">
      <c r="A288" s="1" t="s">
        <v>1000</v>
      </c>
      <c r="B288" s="1">
        <v>1600</v>
      </c>
      <c r="C288" s="1" t="s">
        <v>1010</v>
      </c>
      <c r="D288" s="1">
        <v>11</v>
      </c>
      <c r="E288" s="8" t="s">
        <v>834</v>
      </c>
      <c r="F288" s="11">
        <v>10300</v>
      </c>
      <c r="G288" s="1">
        <v>0</v>
      </c>
      <c r="H288" s="1">
        <v>9</v>
      </c>
      <c r="J288" s="1" t="s">
        <v>1005</v>
      </c>
      <c r="L288" s="1">
        <v>1</v>
      </c>
      <c r="M288" s="1">
        <v>2000</v>
      </c>
      <c r="N288" s="1">
        <f t="shared" ref="N288:N293" si="13">INT(M288/3)</f>
        <v>666</v>
      </c>
    </row>
    <row r="289" spans="1:14" ht="27" x14ac:dyDescent="0.15">
      <c r="A289" s="1" t="s">
        <v>1001</v>
      </c>
      <c r="B289" s="1">
        <v>1601</v>
      </c>
      <c r="C289" s="1" t="s">
        <v>1012</v>
      </c>
      <c r="D289" s="1">
        <v>11</v>
      </c>
      <c r="E289" s="8" t="s">
        <v>834</v>
      </c>
      <c r="F289" s="11">
        <v>10100</v>
      </c>
      <c r="G289" s="1">
        <v>0</v>
      </c>
      <c r="H289" s="1">
        <v>9</v>
      </c>
      <c r="J289" s="1" t="s">
        <v>1006</v>
      </c>
      <c r="L289" s="1">
        <v>1</v>
      </c>
      <c r="M289" s="1">
        <v>2000</v>
      </c>
      <c r="N289" s="1">
        <f t="shared" si="13"/>
        <v>666</v>
      </c>
    </row>
    <row r="290" spans="1:14" ht="27" x14ac:dyDescent="0.15">
      <c r="A290" s="1" t="s">
        <v>1002</v>
      </c>
      <c r="B290" s="1">
        <v>1602</v>
      </c>
      <c r="C290" s="1" t="s">
        <v>1013</v>
      </c>
      <c r="D290" s="1">
        <v>11</v>
      </c>
      <c r="E290" s="8" t="s">
        <v>834</v>
      </c>
      <c r="F290" s="11">
        <v>10200</v>
      </c>
      <c r="G290" s="1">
        <v>0</v>
      </c>
      <c r="H290" s="1">
        <v>9</v>
      </c>
      <c r="J290" s="1" t="s">
        <v>1007</v>
      </c>
      <c r="L290" s="1">
        <v>1</v>
      </c>
      <c r="M290" s="1">
        <v>2000</v>
      </c>
      <c r="N290" s="1">
        <f t="shared" si="13"/>
        <v>666</v>
      </c>
    </row>
    <row r="291" spans="1:14" ht="27" x14ac:dyDescent="0.15">
      <c r="A291" s="1" t="s">
        <v>1003</v>
      </c>
      <c r="B291" s="1">
        <v>1603</v>
      </c>
      <c r="C291" s="1" t="s">
        <v>1011</v>
      </c>
      <c r="D291" s="1">
        <v>11</v>
      </c>
      <c r="E291" s="8" t="s">
        <v>834</v>
      </c>
      <c r="F291" s="11">
        <v>10400</v>
      </c>
      <c r="G291" s="1">
        <v>0</v>
      </c>
      <c r="H291" s="1">
        <v>9</v>
      </c>
      <c r="J291" s="1" t="s">
        <v>1008</v>
      </c>
      <c r="L291" s="1">
        <v>1</v>
      </c>
      <c r="M291" s="1">
        <v>2000</v>
      </c>
      <c r="N291" s="1">
        <f t="shared" si="13"/>
        <v>666</v>
      </c>
    </row>
    <row r="292" spans="1:14" ht="27" x14ac:dyDescent="0.15">
      <c r="A292" s="1" t="s">
        <v>1004</v>
      </c>
      <c r="B292" s="1">
        <v>1604</v>
      </c>
      <c r="C292" s="1" t="s">
        <v>1014</v>
      </c>
      <c r="D292" s="1">
        <v>11</v>
      </c>
      <c r="E292" s="8" t="s">
        <v>834</v>
      </c>
      <c r="F292" s="11">
        <v>10500</v>
      </c>
      <c r="G292" s="1">
        <v>0</v>
      </c>
      <c r="H292" s="1">
        <v>9</v>
      </c>
      <c r="J292" s="1" t="s">
        <v>1009</v>
      </c>
      <c r="L292" s="1">
        <v>1</v>
      </c>
      <c r="M292" s="1">
        <v>2000</v>
      </c>
      <c r="N292" s="1">
        <f t="shared" si="13"/>
        <v>666</v>
      </c>
    </row>
    <row r="293" spans="1:14" x14ac:dyDescent="0.15">
      <c r="L293" s="1">
        <v>1</v>
      </c>
      <c r="M293" s="1">
        <v>2000</v>
      </c>
      <c r="N293" s="1">
        <f t="shared" si="13"/>
        <v>666</v>
      </c>
    </row>
  </sheetData>
  <autoFilter ref="A3:N287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67"/>
  <sheetViews>
    <sheetView topLeftCell="A118" workbookViewId="0">
      <selection activeCell="B131" sqref="B131:B167"/>
    </sheetView>
  </sheetViews>
  <sheetFormatPr defaultRowHeight="13.5" x14ac:dyDescent="0.15"/>
  <sheetData>
    <row r="1" spans="1:2" x14ac:dyDescent="0.15">
      <c r="A1" t="s">
        <v>22</v>
      </c>
      <c r="B1">
        <v>204</v>
      </c>
    </row>
    <row r="2" spans="1:2" x14ac:dyDescent="0.15">
      <c r="A2" s="3" t="s">
        <v>607</v>
      </c>
      <c r="B2">
        <v>220</v>
      </c>
    </row>
    <row r="3" spans="1:2" x14ac:dyDescent="0.15">
      <c r="A3" s="3" t="s">
        <v>608</v>
      </c>
      <c r="B3">
        <v>190</v>
      </c>
    </row>
    <row r="4" spans="1:2" x14ac:dyDescent="0.15">
      <c r="A4" t="s">
        <v>26</v>
      </c>
      <c r="B4">
        <v>354</v>
      </c>
    </row>
    <row r="5" spans="1:2" x14ac:dyDescent="0.15">
      <c r="A5" t="s">
        <v>609</v>
      </c>
      <c r="B5">
        <v>304</v>
      </c>
    </row>
    <row r="6" spans="1:2" x14ac:dyDescent="0.15">
      <c r="A6" t="s">
        <v>610</v>
      </c>
      <c r="B6">
        <v>276</v>
      </c>
    </row>
    <row r="7" spans="1:2" x14ac:dyDescent="0.15">
      <c r="A7" t="s">
        <v>32</v>
      </c>
      <c r="B7">
        <v>431</v>
      </c>
    </row>
    <row r="8" spans="1:2" x14ac:dyDescent="0.15">
      <c r="A8" t="s">
        <v>611</v>
      </c>
      <c r="B8">
        <v>480</v>
      </c>
    </row>
    <row r="9" spans="1:2" x14ac:dyDescent="0.15">
      <c r="A9" t="s">
        <v>23</v>
      </c>
      <c r="B9">
        <v>453</v>
      </c>
    </row>
    <row r="10" spans="1:2" x14ac:dyDescent="0.15">
      <c r="A10" t="s">
        <v>612</v>
      </c>
      <c r="B10">
        <v>393</v>
      </c>
    </row>
    <row r="11" spans="1:2" x14ac:dyDescent="0.15">
      <c r="A11" t="s">
        <v>613</v>
      </c>
      <c r="B11">
        <v>444</v>
      </c>
    </row>
    <row r="12" spans="1:2" x14ac:dyDescent="0.15">
      <c r="A12" t="s">
        <v>28</v>
      </c>
      <c r="B12">
        <v>531</v>
      </c>
    </row>
    <row r="13" spans="1:2" x14ac:dyDescent="0.15">
      <c r="A13" t="s">
        <v>614</v>
      </c>
      <c r="B13">
        <v>484</v>
      </c>
    </row>
    <row r="14" spans="1:2" x14ac:dyDescent="0.15">
      <c r="A14" t="s">
        <v>47</v>
      </c>
      <c r="B14">
        <v>495</v>
      </c>
    </row>
    <row r="15" spans="1:2" x14ac:dyDescent="0.15">
      <c r="A15" t="s">
        <v>43</v>
      </c>
      <c r="B15">
        <v>570</v>
      </c>
    </row>
    <row r="16" spans="1:2" x14ac:dyDescent="0.15">
      <c r="A16" t="s">
        <v>27</v>
      </c>
      <c r="B16">
        <v>646</v>
      </c>
    </row>
    <row r="17" spans="1:2" x14ac:dyDescent="0.15">
      <c r="A17" t="s">
        <v>45</v>
      </c>
      <c r="B17">
        <v>575</v>
      </c>
    </row>
    <row r="18" spans="1:2" x14ac:dyDescent="0.15">
      <c r="A18" t="s">
        <v>615</v>
      </c>
      <c r="B18">
        <v>528</v>
      </c>
    </row>
    <row r="19" spans="1:2" x14ac:dyDescent="0.15">
      <c r="A19" t="s">
        <v>29</v>
      </c>
      <c r="B19">
        <v>691</v>
      </c>
    </row>
    <row r="20" spans="1:2" x14ac:dyDescent="0.15">
      <c r="A20" t="s">
        <v>30</v>
      </c>
      <c r="B20">
        <v>747</v>
      </c>
    </row>
    <row r="21" spans="1:2" x14ac:dyDescent="0.15">
      <c r="A21" t="s">
        <v>25</v>
      </c>
      <c r="B21">
        <v>767</v>
      </c>
    </row>
    <row r="22" spans="1:2" x14ac:dyDescent="0.15">
      <c r="A22" t="s">
        <v>616</v>
      </c>
      <c r="B22">
        <v>611</v>
      </c>
    </row>
    <row r="23" spans="1:2" x14ac:dyDescent="0.15">
      <c r="A23" t="s">
        <v>33</v>
      </c>
      <c r="B23">
        <v>710</v>
      </c>
    </row>
    <row r="24" spans="1:2" x14ac:dyDescent="0.15">
      <c r="A24" t="s">
        <v>617</v>
      </c>
      <c r="B24">
        <v>842</v>
      </c>
    </row>
    <row r="25" spans="1:2" x14ac:dyDescent="0.15">
      <c r="A25" t="s">
        <v>46</v>
      </c>
      <c r="B25">
        <v>858</v>
      </c>
    </row>
    <row r="26" spans="1:2" x14ac:dyDescent="0.15">
      <c r="A26" t="s">
        <v>34</v>
      </c>
      <c r="B26">
        <v>950</v>
      </c>
    </row>
    <row r="27" spans="1:2" x14ac:dyDescent="0.15">
      <c r="A27" t="s">
        <v>24</v>
      </c>
      <c r="B27">
        <v>988</v>
      </c>
    </row>
    <row r="28" spans="1:2" x14ac:dyDescent="0.15">
      <c r="A28" t="s">
        <v>44</v>
      </c>
      <c r="B28">
        <v>758</v>
      </c>
    </row>
    <row r="29" spans="1:2" x14ac:dyDescent="0.15">
      <c r="A29" t="s">
        <v>31</v>
      </c>
      <c r="B29">
        <v>948</v>
      </c>
    </row>
    <row r="30" spans="1:2" x14ac:dyDescent="0.15">
      <c r="A30" t="s">
        <v>618</v>
      </c>
      <c r="B30">
        <v>963</v>
      </c>
    </row>
    <row r="31" spans="1:2" x14ac:dyDescent="0.15">
      <c r="A31" t="s">
        <v>619</v>
      </c>
      <c r="B31">
        <v>51</v>
      </c>
    </row>
    <row r="32" spans="1:2" x14ac:dyDescent="0.15">
      <c r="A32" t="s">
        <v>620</v>
      </c>
      <c r="B32">
        <v>44</v>
      </c>
    </row>
    <row r="33" spans="1:16" x14ac:dyDescent="0.15">
      <c r="A33" t="s">
        <v>621</v>
      </c>
      <c r="B33">
        <v>44</v>
      </c>
      <c r="D33" t="s">
        <v>662</v>
      </c>
      <c r="E33">
        <f>44*H33</f>
        <v>88</v>
      </c>
      <c r="F33">
        <f>INT(E33/J33)</f>
        <v>73</v>
      </c>
      <c r="G33" t="s">
        <v>662</v>
      </c>
      <c r="H33">
        <v>2</v>
      </c>
      <c r="J33">
        <v>1.2</v>
      </c>
      <c r="L33" t="s">
        <v>671</v>
      </c>
      <c r="M33">
        <v>400</v>
      </c>
      <c r="N33">
        <f>700-M33</f>
        <v>300</v>
      </c>
      <c r="P33">
        <f>N33*50/100</f>
        <v>150</v>
      </c>
    </row>
    <row r="34" spans="1:16" x14ac:dyDescent="0.15">
      <c r="A34" t="s">
        <v>622</v>
      </c>
      <c r="B34">
        <v>51</v>
      </c>
      <c r="D34" t="s">
        <v>12</v>
      </c>
      <c r="E34">
        <f t="shared" ref="E34:E50" si="0">44*H34</f>
        <v>308</v>
      </c>
      <c r="F34">
        <f t="shared" ref="F34:F50" si="1">INT(E34/J34)</f>
        <v>181</v>
      </c>
      <c r="G34" t="s">
        <v>12</v>
      </c>
      <c r="H34">
        <v>7</v>
      </c>
      <c r="J34">
        <v>1.7</v>
      </c>
      <c r="L34" t="s">
        <v>672</v>
      </c>
      <c r="M34">
        <v>300</v>
      </c>
      <c r="N34">
        <f t="shared" ref="N34:N47" si="2">700-M34</f>
        <v>400</v>
      </c>
      <c r="P34">
        <f t="shared" ref="P34:P48" si="3">N34*50/100</f>
        <v>200</v>
      </c>
    </row>
    <row r="35" spans="1:16" x14ac:dyDescent="0.15">
      <c r="A35" t="s">
        <v>623</v>
      </c>
      <c r="B35">
        <v>60</v>
      </c>
      <c r="D35" t="s">
        <v>663</v>
      </c>
      <c r="E35">
        <f t="shared" si="0"/>
        <v>264</v>
      </c>
      <c r="F35">
        <f t="shared" si="1"/>
        <v>165</v>
      </c>
      <c r="G35" t="s">
        <v>663</v>
      </c>
      <c r="H35">
        <v>6</v>
      </c>
      <c r="J35">
        <v>1.6</v>
      </c>
      <c r="L35" t="s">
        <v>673</v>
      </c>
      <c r="M35">
        <v>500</v>
      </c>
      <c r="N35">
        <f t="shared" si="2"/>
        <v>200</v>
      </c>
      <c r="P35">
        <f t="shared" si="3"/>
        <v>100</v>
      </c>
    </row>
    <row r="36" spans="1:16" x14ac:dyDescent="0.15">
      <c r="A36" t="s">
        <v>624</v>
      </c>
      <c r="B36">
        <v>60</v>
      </c>
      <c r="D36" t="s">
        <v>13</v>
      </c>
      <c r="E36">
        <f t="shared" si="0"/>
        <v>440</v>
      </c>
      <c r="F36">
        <f t="shared" si="1"/>
        <v>220</v>
      </c>
      <c r="G36" t="s">
        <v>13</v>
      </c>
      <c r="H36">
        <v>10</v>
      </c>
      <c r="J36">
        <v>2</v>
      </c>
      <c r="L36" t="s">
        <v>674</v>
      </c>
      <c r="M36">
        <v>600</v>
      </c>
      <c r="N36">
        <f t="shared" si="2"/>
        <v>100</v>
      </c>
      <c r="P36">
        <f t="shared" si="3"/>
        <v>50</v>
      </c>
    </row>
    <row r="37" spans="1:16" x14ac:dyDescent="0.15">
      <c r="A37" t="s">
        <v>625</v>
      </c>
      <c r="B37">
        <v>75</v>
      </c>
      <c r="D37" t="s">
        <v>14</v>
      </c>
      <c r="E37">
        <f t="shared" si="0"/>
        <v>264</v>
      </c>
      <c r="F37">
        <f t="shared" si="1"/>
        <v>165</v>
      </c>
      <c r="G37" t="s">
        <v>14</v>
      </c>
      <c r="H37">
        <v>6</v>
      </c>
      <c r="J37">
        <v>1.6</v>
      </c>
      <c r="L37" t="s">
        <v>675</v>
      </c>
      <c r="M37">
        <v>100</v>
      </c>
      <c r="N37">
        <f t="shared" si="2"/>
        <v>600</v>
      </c>
      <c r="P37">
        <f t="shared" si="3"/>
        <v>300</v>
      </c>
    </row>
    <row r="38" spans="1:16" x14ac:dyDescent="0.15">
      <c r="A38" t="s">
        <v>626</v>
      </c>
      <c r="B38">
        <v>55</v>
      </c>
      <c r="D38" t="s">
        <v>664</v>
      </c>
      <c r="E38">
        <f t="shared" si="0"/>
        <v>308</v>
      </c>
      <c r="F38">
        <f t="shared" si="1"/>
        <v>181</v>
      </c>
      <c r="G38" t="s">
        <v>664</v>
      </c>
      <c r="H38">
        <v>7</v>
      </c>
      <c r="J38">
        <v>1.7</v>
      </c>
      <c r="L38" t="s">
        <v>676</v>
      </c>
      <c r="M38">
        <v>200</v>
      </c>
      <c r="N38">
        <f t="shared" si="2"/>
        <v>500</v>
      </c>
      <c r="P38">
        <f t="shared" si="3"/>
        <v>250</v>
      </c>
    </row>
    <row r="39" spans="1:16" x14ac:dyDescent="0.15">
      <c r="A39" t="s">
        <v>627</v>
      </c>
      <c r="B39">
        <v>70</v>
      </c>
      <c r="D39" t="s">
        <v>15</v>
      </c>
      <c r="E39">
        <f t="shared" si="0"/>
        <v>396</v>
      </c>
      <c r="F39">
        <f t="shared" si="1"/>
        <v>208</v>
      </c>
      <c r="G39" t="s">
        <v>15</v>
      </c>
      <c r="H39">
        <v>9</v>
      </c>
      <c r="J39">
        <v>1.9</v>
      </c>
      <c r="L39" t="s">
        <v>677</v>
      </c>
      <c r="M39">
        <v>400</v>
      </c>
      <c r="N39">
        <f t="shared" si="2"/>
        <v>300</v>
      </c>
      <c r="P39">
        <f t="shared" si="3"/>
        <v>150</v>
      </c>
    </row>
    <row r="40" spans="1:16" x14ac:dyDescent="0.15">
      <c r="A40" t="s">
        <v>628</v>
      </c>
      <c r="B40">
        <v>65</v>
      </c>
      <c r="D40" t="s">
        <v>16</v>
      </c>
      <c r="E40">
        <f t="shared" si="0"/>
        <v>352</v>
      </c>
      <c r="F40">
        <f t="shared" si="1"/>
        <v>195</v>
      </c>
      <c r="G40" t="s">
        <v>16</v>
      </c>
      <c r="H40">
        <v>8</v>
      </c>
      <c r="J40">
        <v>1.8</v>
      </c>
      <c r="L40" t="s">
        <v>678</v>
      </c>
      <c r="M40">
        <v>300</v>
      </c>
      <c r="N40">
        <f t="shared" si="2"/>
        <v>400</v>
      </c>
      <c r="P40">
        <f t="shared" si="3"/>
        <v>200</v>
      </c>
    </row>
    <row r="41" spans="1:16" x14ac:dyDescent="0.15">
      <c r="A41" t="s">
        <v>629</v>
      </c>
      <c r="B41">
        <v>70</v>
      </c>
      <c r="D41" t="s">
        <v>17</v>
      </c>
      <c r="E41">
        <f t="shared" si="0"/>
        <v>88</v>
      </c>
      <c r="F41">
        <f t="shared" si="1"/>
        <v>73</v>
      </c>
      <c r="G41" t="s">
        <v>17</v>
      </c>
      <c r="H41">
        <v>2</v>
      </c>
      <c r="J41">
        <v>1.2</v>
      </c>
      <c r="L41" t="s">
        <v>679</v>
      </c>
      <c r="M41">
        <v>100</v>
      </c>
      <c r="N41">
        <f t="shared" si="2"/>
        <v>600</v>
      </c>
      <c r="P41">
        <f t="shared" si="3"/>
        <v>300</v>
      </c>
    </row>
    <row r="42" spans="1:16" x14ac:dyDescent="0.15">
      <c r="A42" t="s">
        <v>630</v>
      </c>
      <c r="B42">
        <v>70</v>
      </c>
      <c r="D42" t="s">
        <v>665</v>
      </c>
      <c r="E42">
        <f t="shared" si="0"/>
        <v>220</v>
      </c>
      <c r="F42">
        <f t="shared" si="1"/>
        <v>146</v>
      </c>
      <c r="G42" t="s">
        <v>665</v>
      </c>
      <c r="H42">
        <v>5</v>
      </c>
      <c r="J42">
        <v>1.5</v>
      </c>
      <c r="L42" t="s">
        <v>680</v>
      </c>
      <c r="M42">
        <v>200</v>
      </c>
      <c r="N42">
        <f t="shared" si="2"/>
        <v>500</v>
      </c>
      <c r="P42">
        <f t="shared" si="3"/>
        <v>250</v>
      </c>
    </row>
    <row r="43" spans="1:16" x14ac:dyDescent="0.15">
      <c r="A43" t="s">
        <v>631</v>
      </c>
      <c r="B43">
        <v>72</v>
      </c>
      <c r="D43" t="s">
        <v>18</v>
      </c>
      <c r="E43">
        <f t="shared" si="0"/>
        <v>132</v>
      </c>
      <c r="F43">
        <f t="shared" si="1"/>
        <v>101</v>
      </c>
      <c r="G43" t="s">
        <v>18</v>
      </c>
      <c r="H43">
        <v>3</v>
      </c>
      <c r="J43">
        <v>1.3</v>
      </c>
      <c r="L43" t="s">
        <v>681</v>
      </c>
      <c r="M43">
        <v>100</v>
      </c>
      <c r="N43">
        <f t="shared" si="2"/>
        <v>600</v>
      </c>
      <c r="P43">
        <f t="shared" si="3"/>
        <v>300</v>
      </c>
    </row>
    <row r="44" spans="1:16" x14ac:dyDescent="0.15">
      <c r="A44" t="s">
        <v>632</v>
      </c>
      <c r="B44">
        <v>65</v>
      </c>
      <c r="D44" t="s">
        <v>666</v>
      </c>
      <c r="E44">
        <f t="shared" si="0"/>
        <v>132</v>
      </c>
      <c r="F44">
        <f t="shared" si="1"/>
        <v>101</v>
      </c>
      <c r="G44" t="s">
        <v>670</v>
      </c>
      <c r="H44">
        <v>3</v>
      </c>
      <c r="J44">
        <v>1.3</v>
      </c>
      <c r="L44" t="s">
        <v>682</v>
      </c>
      <c r="M44">
        <v>300</v>
      </c>
      <c r="N44">
        <f t="shared" si="2"/>
        <v>400</v>
      </c>
      <c r="P44">
        <f t="shared" si="3"/>
        <v>200</v>
      </c>
    </row>
    <row r="45" spans="1:16" x14ac:dyDescent="0.15">
      <c r="A45" t="s">
        <v>633</v>
      </c>
      <c r="B45">
        <v>82</v>
      </c>
      <c r="D45" t="s">
        <v>19</v>
      </c>
      <c r="E45">
        <f t="shared" si="0"/>
        <v>396</v>
      </c>
      <c r="F45">
        <f t="shared" si="1"/>
        <v>208</v>
      </c>
      <c r="G45" t="s">
        <v>19</v>
      </c>
      <c r="H45">
        <v>9</v>
      </c>
      <c r="J45">
        <v>1.9</v>
      </c>
      <c r="L45" t="s">
        <v>683</v>
      </c>
      <c r="M45">
        <v>200</v>
      </c>
      <c r="N45">
        <f t="shared" si="2"/>
        <v>500</v>
      </c>
      <c r="P45">
        <f t="shared" si="3"/>
        <v>250</v>
      </c>
    </row>
    <row r="46" spans="1:16" x14ac:dyDescent="0.15">
      <c r="A46" t="s">
        <v>634</v>
      </c>
      <c r="B46">
        <v>90</v>
      </c>
      <c r="D46" t="s">
        <v>667</v>
      </c>
      <c r="E46">
        <f t="shared" si="0"/>
        <v>396</v>
      </c>
      <c r="F46">
        <f t="shared" si="1"/>
        <v>208</v>
      </c>
      <c r="G46" t="s">
        <v>667</v>
      </c>
      <c r="H46">
        <v>9</v>
      </c>
      <c r="J46">
        <v>1.9</v>
      </c>
      <c r="L46" t="s">
        <v>684</v>
      </c>
      <c r="M46">
        <v>400</v>
      </c>
      <c r="N46">
        <f t="shared" si="2"/>
        <v>300</v>
      </c>
      <c r="P46">
        <f t="shared" si="3"/>
        <v>150</v>
      </c>
    </row>
    <row r="47" spans="1:16" x14ac:dyDescent="0.15">
      <c r="A47" t="s">
        <v>635</v>
      </c>
      <c r="B47">
        <v>75</v>
      </c>
      <c r="D47" t="s">
        <v>668</v>
      </c>
      <c r="E47">
        <f t="shared" si="0"/>
        <v>220</v>
      </c>
      <c r="F47">
        <f t="shared" si="1"/>
        <v>146</v>
      </c>
      <c r="G47" t="s">
        <v>668</v>
      </c>
      <c r="H47">
        <v>5</v>
      </c>
      <c r="J47">
        <v>1.5</v>
      </c>
      <c r="L47" t="s">
        <v>685</v>
      </c>
      <c r="M47">
        <v>500</v>
      </c>
      <c r="N47">
        <f t="shared" si="2"/>
        <v>200</v>
      </c>
      <c r="P47">
        <f t="shared" si="3"/>
        <v>100</v>
      </c>
    </row>
    <row r="48" spans="1:16" x14ac:dyDescent="0.15">
      <c r="A48" t="s">
        <v>636</v>
      </c>
      <c r="B48">
        <v>82</v>
      </c>
      <c r="D48" t="s">
        <v>20</v>
      </c>
      <c r="E48">
        <f t="shared" si="0"/>
        <v>176</v>
      </c>
      <c r="F48">
        <f t="shared" si="1"/>
        <v>125</v>
      </c>
      <c r="G48" t="s">
        <v>20</v>
      </c>
      <c r="H48">
        <v>4</v>
      </c>
      <c r="J48">
        <v>1.4</v>
      </c>
      <c r="L48" t="s">
        <v>686</v>
      </c>
      <c r="M48">
        <v>600</v>
      </c>
      <c r="N48">
        <f>700-M48</f>
        <v>100</v>
      </c>
      <c r="P48">
        <f t="shared" si="3"/>
        <v>50</v>
      </c>
    </row>
    <row r="49" spans="1:10" x14ac:dyDescent="0.15">
      <c r="A49" t="s">
        <v>637</v>
      </c>
      <c r="B49">
        <v>90</v>
      </c>
      <c r="D49" t="s">
        <v>669</v>
      </c>
      <c r="E49">
        <f t="shared" si="0"/>
        <v>396</v>
      </c>
      <c r="F49">
        <f t="shared" si="1"/>
        <v>208</v>
      </c>
      <c r="G49" t="s">
        <v>669</v>
      </c>
      <c r="H49">
        <v>9</v>
      </c>
      <c r="J49">
        <v>1.9</v>
      </c>
    </row>
    <row r="50" spans="1:10" x14ac:dyDescent="0.15">
      <c r="A50" t="s">
        <v>638</v>
      </c>
      <c r="B50">
        <v>110</v>
      </c>
      <c r="D50" t="s">
        <v>21</v>
      </c>
      <c r="E50">
        <f t="shared" si="0"/>
        <v>44</v>
      </c>
      <c r="F50">
        <f t="shared" si="1"/>
        <v>44</v>
      </c>
      <c r="G50" t="s">
        <v>21</v>
      </c>
      <c r="H50">
        <v>1</v>
      </c>
      <c r="J50">
        <v>1</v>
      </c>
    </row>
    <row r="51" spans="1:10" x14ac:dyDescent="0.15">
      <c r="A51" t="s">
        <v>639</v>
      </c>
      <c r="B51">
        <v>110</v>
      </c>
    </row>
    <row r="52" spans="1:10" x14ac:dyDescent="0.15">
      <c r="A52" t="s">
        <v>640</v>
      </c>
      <c r="B52">
        <v>100</v>
      </c>
    </row>
    <row r="53" spans="1:10" x14ac:dyDescent="0.15">
      <c r="A53" t="s">
        <v>641</v>
      </c>
      <c r="B53">
        <v>110</v>
      </c>
    </row>
    <row r="54" spans="1:10" x14ac:dyDescent="0.15">
      <c r="A54" t="s">
        <v>642</v>
      </c>
      <c r="B54">
        <v>120</v>
      </c>
    </row>
    <row r="55" spans="1:10" x14ac:dyDescent="0.15">
      <c r="A55" t="s">
        <v>643</v>
      </c>
      <c r="B55">
        <v>134</v>
      </c>
    </row>
    <row r="56" spans="1:10" x14ac:dyDescent="0.15">
      <c r="A56" t="s">
        <v>644</v>
      </c>
      <c r="B56">
        <v>130</v>
      </c>
    </row>
    <row r="57" spans="1:10" x14ac:dyDescent="0.15">
      <c r="A57" t="s">
        <v>645</v>
      </c>
      <c r="B57">
        <v>130</v>
      </c>
    </row>
    <row r="58" spans="1:10" x14ac:dyDescent="0.15">
      <c r="A58" t="s">
        <v>646</v>
      </c>
      <c r="B58">
        <v>120</v>
      </c>
    </row>
    <row r="59" spans="1:10" x14ac:dyDescent="0.15">
      <c r="A59" t="s">
        <v>647</v>
      </c>
      <c r="B59">
        <v>120</v>
      </c>
    </row>
    <row r="60" spans="1:10" x14ac:dyDescent="0.15">
      <c r="A60" t="s">
        <v>648</v>
      </c>
      <c r="B60">
        <v>160</v>
      </c>
    </row>
    <row r="61" spans="1:10" x14ac:dyDescent="0.15">
      <c r="A61" t="s">
        <v>649</v>
      </c>
      <c r="B61">
        <v>170</v>
      </c>
    </row>
    <row r="62" spans="1:10" x14ac:dyDescent="0.15">
      <c r="A62" t="s">
        <v>650</v>
      </c>
      <c r="B62">
        <v>170</v>
      </c>
    </row>
    <row r="63" spans="1:10" x14ac:dyDescent="0.15">
      <c r="A63" t="s">
        <v>651</v>
      </c>
      <c r="B63">
        <v>170</v>
      </c>
    </row>
    <row r="64" spans="1:10" x14ac:dyDescent="0.15">
      <c r="A64" t="s">
        <v>652</v>
      </c>
      <c r="B64">
        <v>200</v>
      </c>
    </row>
    <row r="65" spans="1:2" x14ac:dyDescent="0.15">
      <c r="A65" t="s">
        <v>653</v>
      </c>
      <c r="B65">
        <v>200</v>
      </c>
    </row>
    <row r="66" spans="1:2" x14ac:dyDescent="0.15">
      <c r="A66" t="s">
        <v>654</v>
      </c>
      <c r="B66">
        <v>200</v>
      </c>
    </row>
    <row r="67" spans="1:2" x14ac:dyDescent="0.15">
      <c r="A67" t="s">
        <v>655</v>
      </c>
      <c r="B67">
        <v>210</v>
      </c>
    </row>
    <row r="68" spans="1:2" x14ac:dyDescent="0.15">
      <c r="A68" t="s">
        <v>656</v>
      </c>
      <c r="B68">
        <v>232</v>
      </c>
    </row>
    <row r="69" spans="1:2" x14ac:dyDescent="0.15">
      <c r="A69" t="s">
        <v>22</v>
      </c>
      <c r="B69">
        <v>102</v>
      </c>
    </row>
    <row r="70" spans="1:2" x14ac:dyDescent="0.15">
      <c r="A70" t="s">
        <v>607</v>
      </c>
      <c r="B70">
        <v>114</v>
      </c>
    </row>
    <row r="71" spans="1:2" x14ac:dyDescent="0.15">
      <c r="A71" t="s">
        <v>608</v>
      </c>
      <c r="B71">
        <v>87</v>
      </c>
    </row>
    <row r="72" spans="1:2" x14ac:dyDescent="0.15">
      <c r="A72" t="s">
        <v>26</v>
      </c>
      <c r="B72">
        <v>177</v>
      </c>
    </row>
    <row r="73" spans="1:2" x14ac:dyDescent="0.15">
      <c r="A73" t="s">
        <v>32</v>
      </c>
      <c r="B73">
        <v>240</v>
      </c>
    </row>
    <row r="74" spans="1:2" x14ac:dyDescent="0.15">
      <c r="A74" t="s">
        <v>612</v>
      </c>
      <c r="B74">
        <v>354</v>
      </c>
    </row>
    <row r="75" spans="1:2" x14ac:dyDescent="0.15">
      <c r="A75" t="s">
        <v>29</v>
      </c>
      <c r="B75">
        <v>128</v>
      </c>
    </row>
    <row r="76" spans="1:2" x14ac:dyDescent="0.15">
      <c r="A76" t="s">
        <v>33</v>
      </c>
      <c r="B76">
        <v>228</v>
      </c>
    </row>
    <row r="77" spans="1:2" x14ac:dyDescent="0.15">
      <c r="A77" t="s">
        <v>657</v>
      </c>
      <c r="B77">
        <v>70</v>
      </c>
    </row>
    <row r="78" spans="1:2" x14ac:dyDescent="0.15">
      <c r="A78" t="s">
        <v>658</v>
      </c>
      <c r="B78">
        <v>100</v>
      </c>
    </row>
    <row r="79" spans="1:2" x14ac:dyDescent="0.15">
      <c r="A79" t="s">
        <v>659</v>
      </c>
      <c r="B79">
        <v>80</v>
      </c>
    </row>
    <row r="80" spans="1:2" x14ac:dyDescent="0.15">
      <c r="A80" t="s">
        <v>609</v>
      </c>
      <c r="B80">
        <v>378</v>
      </c>
    </row>
    <row r="81" spans="1:5" x14ac:dyDescent="0.15">
      <c r="A81" t="s">
        <v>614</v>
      </c>
      <c r="B81">
        <v>357</v>
      </c>
    </row>
    <row r="82" spans="1:5" x14ac:dyDescent="0.15">
      <c r="A82" t="s">
        <v>660</v>
      </c>
      <c r="B82">
        <v>60</v>
      </c>
    </row>
    <row r="83" spans="1:5" x14ac:dyDescent="0.15">
      <c r="A83" t="s">
        <v>661</v>
      </c>
      <c r="B83">
        <v>138</v>
      </c>
    </row>
    <row r="84" spans="1:5" x14ac:dyDescent="0.15">
      <c r="A84" t="s">
        <v>662</v>
      </c>
      <c r="B84">
        <v>73</v>
      </c>
      <c r="D84" t="s">
        <v>92</v>
      </c>
      <c r="E84">
        <f>INT(B84*0.8)</f>
        <v>58</v>
      </c>
    </row>
    <row r="85" spans="1:5" x14ac:dyDescent="0.15">
      <c r="A85" t="s">
        <v>12</v>
      </c>
      <c r="B85">
        <v>181</v>
      </c>
      <c r="D85" t="s">
        <v>93</v>
      </c>
      <c r="E85">
        <f t="shared" ref="E85:E101" si="4">INT(B85*0.8)</f>
        <v>144</v>
      </c>
    </row>
    <row r="86" spans="1:5" x14ac:dyDescent="0.15">
      <c r="A86" t="s">
        <v>663</v>
      </c>
      <c r="B86">
        <v>165</v>
      </c>
      <c r="D86" t="s">
        <v>94</v>
      </c>
      <c r="E86">
        <f t="shared" si="4"/>
        <v>132</v>
      </c>
    </row>
    <row r="87" spans="1:5" x14ac:dyDescent="0.15">
      <c r="A87" t="s">
        <v>13</v>
      </c>
      <c r="B87">
        <v>220</v>
      </c>
      <c r="D87" t="s">
        <v>95</v>
      </c>
      <c r="E87">
        <f t="shared" si="4"/>
        <v>176</v>
      </c>
    </row>
    <row r="88" spans="1:5" x14ac:dyDescent="0.15">
      <c r="A88" t="s">
        <v>14</v>
      </c>
      <c r="B88">
        <v>165</v>
      </c>
      <c r="D88" t="s">
        <v>96</v>
      </c>
      <c r="E88">
        <f t="shared" si="4"/>
        <v>132</v>
      </c>
    </row>
    <row r="89" spans="1:5" x14ac:dyDescent="0.15">
      <c r="A89" t="s">
        <v>664</v>
      </c>
      <c r="B89">
        <v>181</v>
      </c>
      <c r="D89" t="s">
        <v>97</v>
      </c>
      <c r="E89">
        <f t="shared" si="4"/>
        <v>144</v>
      </c>
    </row>
    <row r="90" spans="1:5" x14ac:dyDescent="0.15">
      <c r="A90" t="s">
        <v>15</v>
      </c>
      <c r="B90">
        <v>208</v>
      </c>
      <c r="D90" t="s">
        <v>98</v>
      </c>
      <c r="E90">
        <f t="shared" si="4"/>
        <v>166</v>
      </c>
    </row>
    <row r="91" spans="1:5" x14ac:dyDescent="0.15">
      <c r="A91" t="s">
        <v>16</v>
      </c>
      <c r="B91">
        <v>195</v>
      </c>
      <c r="D91" t="s">
        <v>99</v>
      </c>
      <c r="E91">
        <f t="shared" si="4"/>
        <v>156</v>
      </c>
    </row>
    <row r="92" spans="1:5" x14ac:dyDescent="0.15">
      <c r="A92" t="s">
        <v>17</v>
      </c>
      <c r="B92">
        <v>73</v>
      </c>
      <c r="D92" t="s">
        <v>100</v>
      </c>
      <c r="E92">
        <f t="shared" si="4"/>
        <v>58</v>
      </c>
    </row>
    <row r="93" spans="1:5" x14ac:dyDescent="0.15">
      <c r="A93" t="s">
        <v>665</v>
      </c>
      <c r="B93">
        <v>146</v>
      </c>
      <c r="D93" t="s">
        <v>101</v>
      </c>
      <c r="E93">
        <f t="shared" si="4"/>
        <v>116</v>
      </c>
    </row>
    <row r="94" spans="1:5" x14ac:dyDescent="0.15">
      <c r="A94" t="s">
        <v>18</v>
      </c>
      <c r="B94">
        <v>101</v>
      </c>
      <c r="D94" t="s">
        <v>102</v>
      </c>
      <c r="E94">
        <f t="shared" si="4"/>
        <v>80</v>
      </c>
    </row>
    <row r="95" spans="1:5" x14ac:dyDescent="0.15">
      <c r="A95" t="s">
        <v>666</v>
      </c>
      <c r="B95">
        <v>101</v>
      </c>
      <c r="D95" t="s">
        <v>103</v>
      </c>
      <c r="E95">
        <f t="shared" si="4"/>
        <v>80</v>
      </c>
    </row>
    <row r="96" spans="1:5" x14ac:dyDescent="0.15">
      <c r="A96" t="s">
        <v>19</v>
      </c>
      <c r="B96">
        <v>208</v>
      </c>
      <c r="D96" t="s">
        <v>104</v>
      </c>
      <c r="E96">
        <f t="shared" si="4"/>
        <v>166</v>
      </c>
    </row>
    <row r="97" spans="1:5" x14ac:dyDescent="0.15">
      <c r="A97" t="s">
        <v>667</v>
      </c>
      <c r="B97">
        <v>208</v>
      </c>
      <c r="D97" t="s">
        <v>105</v>
      </c>
      <c r="E97">
        <f t="shared" si="4"/>
        <v>166</v>
      </c>
    </row>
    <row r="98" spans="1:5" x14ac:dyDescent="0.15">
      <c r="A98" t="s">
        <v>668</v>
      </c>
      <c r="B98">
        <v>146</v>
      </c>
      <c r="D98" t="s">
        <v>106</v>
      </c>
      <c r="E98">
        <f t="shared" si="4"/>
        <v>116</v>
      </c>
    </row>
    <row r="99" spans="1:5" x14ac:dyDescent="0.15">
      <c r="A99" t="s">
        <v>20</v>
      </c>
      <c r="B99">
        <v>125</v>
      </c>
      <c r="D99" t="s">
        <v>107</v>
      </c>
      <c r="E99">
        <f t="shared" si="4"/>
        <v>100</v>
      </c>
    </row>
    <row r="100" spans="1:5" x14ac:dyDescent="0.15">
      <c r="A100" t="s">
        <v>669</v>
      </c>
      <c r="B100">
        <v>208</v>
      </c>
      <c r="D100" t="s">
        <v>108</v>
      </c>
      <c r="E100">
        <f t="shared" si="4"/>
        <v>166</v>
      </c>
    </row>
    <row r="101" spans="1:5" x14ac:dyDescent="0.15">
      <c r="A101" t="s">
        <v>21</v>
      </c>
      <c r="B101">
        <v>44</v>
      </c>
      <c r="D101" t="s">
        <v>109</v>
      </c>
      <c r="E101">
        <f t="shared" si="4"/>
        <v>35</v>
      </c>
    </row>
    <row r="102" spans="1:5" x14ac:dyDescent="0.15">
      <c r="A102" t="s">
        <v>671</v>
      </c>
      <c r="B102">
        <v>150</v>
      </c>
    </row>
    <row r="103" spans="1:5" x14ac:dyDescent="0.15">
      <c r="A103" t="s">
        <v>672</v>
      </c>
      <c r="B103">
        <v>200</v>
      </c>
    </row>
    <row r="104" spans="1:5" x14ac:dyDescent="0.15">
      <c r="A104" t="s">
        <v>673</v>
      </c>
      <c r="B104">
        <v>100</v>
      </c>
    </row>
    <row r="105" spans="1:5" x14ac:dyDescent="0.15">
      <c r="A105" t="s">
        <v>674</v>
      </c>
      <c r="B105">
        <v>50</v>
      </c>
    </row>
    <row r="106" spans="1:5" x14ac:dyDescent="0.15">
      <c r="A106" t="s">
        <v>675</v>
      </c>
      <c r="B106">
        <v>300</v>
      </c>
    </row>
    <row r="107" spans="1:5" x14ac:dyDescent="0.15">
      <c r="A107" t="s">
        <v>676</v>
      </c>
      <c r="B107">
        <v>250</v>
      </c>
    </row>
    <row r="108" spans="1:5" x14ac:dyDescent="0.15">
      <c r="A108" t="s">
        <v>677</v>
      </c>
      <c r="B108">
        <v>150</v>
      </c>
    </row>
    <row r="109" spans="1:5" x14ac:dyDescent="0.15">
      <c r="A109" t="s">
        <v>678</v>
      </c>
      <c r="B109">
        <v>200</v>
      </c>
    </row>
    <row r="110" spans="1:5" x14ac:dyDescent="0.15">
      <c r="A110" t="s">
        <v>679</v>
      </c>
      <c r="B110">
        <v>300</v>
      </c>
    </row>
    <row r="111" spans="1:5" x14ac:dyDescent="0.15">
      <c r="A111" t="s">
        <v>680</v>
      </c>
      <c r="B111">
        <v>250</v>
      </c>
    </row>
    <row r="112" spans="1:5" x14ac:dyDescent="0.15">
      <c r="A112" t="s">
        <v>681</v>
      </c>
      <c r="B112">
        <v>300</v>
      </c>
    </row>
    <row r="113" spans="1:19" x14ac:dyDescent="0.15">
      <c r="A113" t="s">
        <v>682</v>
      </c>
      <c r="B113">
        <v>200</v>
      </c>
    </row>
    <row r="114" spans="1:19" x14ac:dyDescent="0.15">
      <c r="A114" t="s">
        <v>683</v>
      </c>
      <c r="B114">
        <v>250</v>
      </c>
    </row>
    <row r="115" spans="1:19" x14ac:dyDescent="0.15">
      <c r="A115" t="s">
        <v>684</v>
      </c>
      <c r="B115">
        <v>150</v>
      </c>
    </row>
    <row r="116" spans="1:19" x14ac:dyDescent="0.15">
      <c r="A116" t="s">
        <v>685</v>
      </c>
      <c r="B116">
        <v>100</v>
      </c>
    </row>
    <row r="117" spans="1:19" x14ac:dyDescent="0.15">
      <c r="A117" t="s">
        <v>726</v>
      </c>
      <c r="B117">
        <v>50</v>
      </c>
    </row>
    <row r="118" spans="1:19" x14ac:dyDescent="0.15">
      <c r="A118" t="s">
        <v>720</v>
      </c>
      <c r="B118">
        <v>80</v>
      </c>
    </row>
    <row r="119" spans="1:19" x14ac:dyDescent="0.15">
      <c r="A119" t="s">
        <v>724</v>
      </c>
      <c r="B119">
        <v>100</v>
      </c>
      <c r="M119" t="s">
        <v>837</v>
      </c>
    </row>
    <row r="120" spans="1:19" x14ac:dyDescent="0.15">
      <c r="A120" t="s">
        <v>721</v>
      </c>
      <c r="B120">
        <v>80</v>
      </c>
      <c r="I120" t="s">
        <v>835</v>
      </c>
      <c r="J120" t="s">
        <v>836</v>
      </c>
      <c r="M120" t="s">
        <v>838</v>
      </c>
    </row>
    <row r="121" spans="1:19" x14ac:dyDescent="0.15">
      <c r="A121" t="s">
        <v>722</v>
      </c>
      <c r="B121">
        <v>100</v>
      </c>
      <c r="E121" t="s">
        <v>687</v>
      </c>
      <c r="F121" t="str">
        <f>IF(K121&lt;&gt;"","HP+","")&amp;K121&amp;IF(L121&lt;&gt;"",IF(K121&lt;&gt;"",",","")&amp;"RP+"&amp;L121,"")</f>
        <v>HP+20</v>
      </c>
      <c r="H121" t="s">
        <v>687</v>
      </c>
      <c r="I121">
        <v>1</v>
      </c>
      <c r="J121">
        <v>120</v>
      </c>
      <c r="K121">
        <v>20</v>
      </c>
      <c r="M121" t="s">
        <v>839</v>
      </c>
      <c r="O121" t="str">
        <f>IF(K121&lt;&gt;"",4&amp;",","")&amp;K121&amp;IF(L121&lt;&gt;"",IF(K121&lt;&gt;"",";","")&amp;6&amp;","&amp;L121,"")</f>
        <v>4,20</v>
      </c>
      <c r="P121">
        <v>28</v>
      </c>
      <c r="Q121">
        <v>13</v>
      </c>
      <c r="S121">
        <f>P121+Q121*50</f>
        <v>678</v>
      </c>
    </row>
    <row r="122" spans="1:19" x14ac:dyDescent="0.15">
      <c r="A122" t="s">
        <v>723</v>
      </c>
      <c r="B122">
        <v>100</v>
      </c>
      <c r="E122" t="s">
        <v>53</v>
      </c>
      <c r="F122" t="str">
        <f t="shared" ref="F122:F157" si="5">IF(K122&lt;&gt;"","HP+","")&amp;K122&amp;IF(L122&lt;&gt;"",IF(K122&lt;&gt;"",",","")&amp;"RP+"&amp;L122,"")</f>
        <v>HP+40</v>
      </c>
      <c r="H122" t="s">
        <v>53</v>
      </c>
      <c r="I122">
        <v>1</v>
      </c>
      <c r="J122">
        <v>180</v>
      </c>
      <c r="K122">
        <v>40</v>
      </c>
      <c r="M122" t="s">
        <v>840</v>
      </c>
      <c r="O122" t="str">
        <f t="shared" ref="O122:O157" si="6">IF(K122&lt;&gt;"",4&amp;",","")&amp;K122&amp;IF(L122&lt;&gt;"",IF(K122&lt;&gt;"",";","")&amp;6&amp;","&amp;L122,"")</f>
        <v>4,40</v>
      </c>
      <c r="P122">
        <v>100</v>
      </c>
      <c r="Q122">
        <v>10</v>
      </c>
      <c r="S122">
        <f>P122+Q122*50</f>
        <v>600</v>
      </c>
    </row>
    <row r="123" spans="1:19" x14ac:dyDescent="0.15">
      <c r="A123" t="s">
        <v>691</v>
      </c>
      <c r="B123">
        <v>40</v>
      </c>
      <c r="E123" t="s">
        <v>52</v>
      </c>
      <c r="F123" t="str">
        <f t="shared" si="5"/>
        <v>HP+80</v>
      </c>
      <c r="H123" t="s">
        <v>52</v>
      </c>
      <c r="I123">
        <v>1</v>
      </c>
      <c r="J123">
        <v>240</v>
      </c>
      <c r="K123">
        <v>80</v>
      </c>
      <c r="M123" t="s">
        <v>841</v>
      </c>
      <c r="O123" t="str">
        <f t="shared" si="6"/>
        <v>4,80</v>
      </c>
    </row>
    <row r="124" spans="1:19" x14ac:dyDescent="0.15">
      <c r="A124" t="s">
        <v>708</v>
      </c>
      <c r="B124">
        <v>260</v>
      </c>
      <c r="E124" t="s">
        <v>707</v>
      </c>
      <c r="F124" t="str">
        <f t="shared" si="5"/>
        <v>HP+120</v>
      </c>
      <c r="H124" t="s">
        <v>707</v>
      </c>
      <c r="I124">
        <v>1</v>
      </c>
      <c r="J124">
        <v>300</v>
      </c>
      <c r="K124">
        <v>120</v>
      </c>
      <c r="O124" t="str">
        <f t="shared" si="6"/>
        <v>4,120</v>
      </c>
    </row>
    <row r="125" spans="1:19" x14ac:dyDescent="0.15">
      <c r="A125" t="s">
        <v>728</v>
      </c>
      <c r="B125">
        <v>220</v>
      </c>
      <c r="E125" t="s">
        <v>576</v>
      </c>
      <c r="F125" t="str">
        <f t="shared" si="5"/>
        <v>HP+200</v>
      </c>
      <c r="H125" t="s">
        <v>576</v>
      </c>
      <c r="I125">
        <v>1</v>
      </c>
      <c r="J125">
        <v>360</v>
      </c>
      <c r="K125">
        <v>200</v>
      </c>
      <c r="O125" t="str">
        <f t="shared" si="6"/>
        <v>4,200</v>
      </c>
    </row>
    <row r="126" spans="1:19" x14ac:dyDescent="0.15">
      <c r="A126" s="9" t="s">
        <v>702</v>
      </c>
      <c r="B126">
        <f t="shared" ref="B126:B167" si="7">VLOOKUP(A126,$E$121:$J$157,6,FALSE)</f>
        <v>660</v>
      </c>
      <c r="E126" t="s">
        <v>54</v>
      </c>
      <c r="F126" t="str">
        <f t="shared" si="5"/>
        <v>HP+400</v>
      </c>
      <c r="H126" t="s">
        <v>54</v>
      </c>
      <c r="I126">
        <v>1</v>
      </c>
      <c r="J126">
        <v>520</v>
      </c>
      <c r="K126">
        <v>400</v>
      </c>
      <c r="O126" t="str">
        <f t="shared" si="6"/>
        <v>4,400</v>
      </c>
    </row>
    <row r="127" spans="1:19" x14ac:dyDescent="0.15">
      <c r="A127" t="s">
        <v>697</v>
      </c>
      <c r="B127">
        <f t="shared" si="7"/>
        <v>400</v>
      </c>
      <c r="E127" t="s">
        <v>702</v>
      </c>
      <c r="F127" t="str">
        <f t="shared" si="5"/>
        <v>HP+600</v>
      </c>
      <c r="H127" t="s">
        <v>702</v>
      </c>
      <c r="I127">
        <v>1</v>
      </c>
      <c r="J127">
        <v>660</v>
      </c>
      <c r="K127">
        <v>600</v>
      </c>
      <c r="O127" t="str">
        <f t="shared" si="6"/>
        <v>4,600</v>
      </c>
    </row>
    <row r="128" spans="1:19" x14ac:dyDescent="0.15">
      <c r="A128" t="s">
        <v>56</v>
      </c>
      <c r="B128">
        <f t="shared" si="7"/>
        <v>400</v>
      </c>
      <c r="E128" t="s">
        <v>690</v>
      </c>
      <c r="F128" t="str">
        <f t="shared" si="5"/>
        <v>RP+50</v>
      </c>
      <c r="H128" t="s">
        <v>690</v>
      </c>
      <c r="I128">
        <v>2</v>
      </c>
      <c r="J128">
        <v>100</v>
      </c>
      <c r="L128">
        <v>50</v>
      </c>
      <c r="O128" t="str">
        <f t="shared" si="6"/>
        <v>6,50</v>
      </c>
    </row>
    <row r="129" spans="1:15" x14ac:dyDescent="0.15">
      <c r="A129" t="s">
        <v>690</v>
      </c>
      <c r="B129">
        <f t="shared" si="7"/>
        <v>100</v>
      </c>
      <c r="E129" t="s">
        <v>68</v>
      </c>
      <c r="F129" t="str">
        <f t="shared" si="5"/>
        <v>RP+100</v>
      </c>
      <c r="H129" t="s">
        <v>68</v>
      </c>
      <c r="I129">
        <v>2</v>
      </c>
      <c r="J129">
        <v>200</v>
      </c>
      <c r="L129">
        <v>100</v>
      </c>
      <c r="O129" t="str">
        <f t="shared" si="6"/>
        <v>6,100</v>
      </c>
    </row>
    <row r="130" spans="1:15" x14ac:dyDescent="0.15">
      <c r="A130" t="s">
        <v>67</v>
      </c>
      <c r="B130">
        <f t="shared" si="7"/>
        <v>700</v>
      </c>
      <c r="E130" t="s">
        <v>56</v>
      </c>
      <c r="F130" t="str">
        <f t="shared" si="5"/>
        <v>RP+200</v>
      </c>
      <c r="H130" t="s">
        <v>56</v>
      </c>
      <c r="I130">
        <v>2</v>
      </c>
      <c r="J130">
        <v>400</v>
      </c>
      <c r="L130">
        <v>200</v>
      </c>
      <c r="O130" t="str">
        <f t="shared" si="6"/>
        <v>6,200</v>
      </c>
    </row>
    <row r="131" spans="1:15" x14ac:dyDescent="0.15">
      <c r="A131" t="s">
        <v>687</v>
      </c>
      <c r="B131">
        <f>VLOOKUP(A131,$E$121:$J$157,6,FALSE)</f>
        <v>120</v>
      </c>
      <c r="E131" t="s">
        <v>701</v>
      </c>
      <c r="F131" t="str">
        <f t="shared" si="5"/>
        <v>RP+300</v>
      </c>
      <c r="H131" t="s">
        <v>701</v>
      </c>
      <c r="I131">
        <v>2</v>
      </c>
      <c r="J131">
        <v>600</v>
      </c>
      <c r="L131">
        <v>300</v>
      </c>
      <c r="O131" t="str">
        <f t="shared" si="6"/>
        <v>6,300</v>
      </c>
    </row>
    <row r="132" spans="1:15" x14ac:dyDescent="0.15">
      <c r="A132" t="s">
        <v>689</v>
      </c>
      <c r="B132">
        <f t="shared" si="7"/>
        <v>1200</v>
      </c>
      <c r="E132" t="s">
        <v>695</v>
      </c>
      <c r="F132" t="str">
        <f t="shared" si="5"/>
        <v>RP+400</v>
      </c>
      <c r="H132" t="s">
        <v>695</v>
      </c>
      <c r="I132">
        <v>2</v>
      </c>
      <c r="J132">
        <v>800</v>
      </c>
      <c r="L132">
        <v>400</v>
      </c>
      <c r="O132" t="str">
        <f t="shared" si="6"/>
        <v>6,400</v>
      </c>
    </row>
    <row r="133" spans="1:15" x14ac:dyDescent="0.15">
      <c r="A133" t="s">
        <v>690</v>
      </c>
      <c r="B133">
        <f t="shared" si="7"/>
        <v>100</v>
      </c>
      <c r="E133" t="s">
        <v>692</v>
      </c>
      <c r="F133" t="str">
        <f t="shared" si="5"/>
        <v>HP+60,RP+60</v>
      </c>
      <c r="H133" t="s">
        <v>692</v>
      </c>
      <c r="I133">
        <v>3</v>
      </c>
      <c r="J133">
        <v>300</v>
      </c>
      <c r="K133">
        <v>60</v>
      </c>
      <c r="L133">
        <v>60</v>
      </c>
      <c r="M133">
        <f>K133*0.75</f>
        <v>45</v>
      </c>
      <c r="N133">
        <f>L133*0.75</f>
        <v>45</v>
      </c>
      <c r="O133" t="str">
        <f t="shared" si="6"/>
        <v>4,60;6,60</v>
      </c>
    </row>
    <row r="134" spans="1:15" x14ac:dyDescent="0.15">
      <c r="A134" t="s">
        <v>692</v>
      </c>
      <c r="B134">
        <f t="shared" si="7"/>
        <v>300</v>
      </c>
      <c r="E134" t="s">
        <v>699</v>
      </c>
      <c r="F134" t="str">
        <f t="shared" si="5"/>
        <v>HP+120,RP+120</v>
      </c>
      <c r="H134" t="s">
        <v>699</v>
      </c>
      <c r="I134">
        <v>3</v>
      </c>
      <c r="J134">
        <v>450</v>
      </c>
      <c r="K134">
        <v>120</v>
      </c>
      <c r="L134">
        <v>120</v>
      </c>
      <c r="M134">
        <f t="shared" ref="M134:M141" si="8">K134*0.75</f>
        <v>90</v>
      </c>
      <c r="N134">
        <f t="shared" ref="N134:N141" si="9">L134*0.75</f>
        <v>90</v>
      </c>
      <c r="O134" t="str">
        <f t="shared" si="6"/>
        <v>4,120;6,120</v>
      </c>
    </row>
    <row r="135" spans="1:15" x14ac:dyDescent="0.15">
      <c r="A135" t="s">
        <v>52</v>
      </c>
      <c r="B135">
        <f t="shared" si="7"/>
        <v>240</v>
      </c>
      <c r="E135" t="s">
        <v>698</v>
      </c>
      <c r="F135" t="str">
        <f t="shared" si="5"/>
        <v>HP+180,RP+180</v>
      </c>
      <c r="H135" t="s">
        <v>698</v>
      </c>
      <c r="I135">
        <v>3</v>
      </c>
      <c r="J135">
        <v>600</v>
      </c>
      <c r="K135">
        <v>180</v>
      </c>
      <c r="L135">
        <v>180</v>
      </c>
      <c r="M135">
        <f t="shared" si="8"/>
        <v>135</v>
      </c>
      <c r="N135">
        <f t="shared" si="9"/>
        <v>135</v>
      </c>
      <c r="O135" t="str">
        <f t="shared" si="6"/>
        <v>4,180;6,180</v>
      </c>
    </row>
    <row r="136" spans="1:15" x14ac:dyDescent="0.15">
      <c r="A136" t="s">
        <v>53</v>
      </c>
      <c r="B136">
        <f t="shared" si="7"/>
        <v>180</v>
      </c>
      <c r="E136" t="s">
        <v>55</v>
      </c>
      <c r="F136" t="str">
        <f t="shared" si="5"/>
        <v>HP+240,RP+240</v>
      </c>
      <c r="H136" t="s">
        <v>55</v>
      </c>
      <c r="I136">
        <v>3</v>
      </c>
      <c r="J136">
        <v>750</v>
      </c>
      <c r="K136">
        <v>240</v>
      </c>
      <c r="L136">
        <v>240</v>
      </c>
      <c r="M136">
        <f t="shared" si="8"/>
        <v>180</v>
      </c>
      <c r="N136">
        <f t="shared" si="9"/>
        <v>180</v>
      </c>
      <c r="O136" t="str">
        <f t="shared" si="6"/>
        <v>4,240;6,240</v>
      </c>
    </row>
    <row r="137" spans="1:15" x14ac:dyDescent="0.15">
      <c r="A137" t="s">
        <v>54</v>
      </c>
      <c r="B137">
        <f t="shared" si="7"/>
        <v>520</v>
      </c>
      <c r="E137" t="s">
        <v>704</v>
      </c>
      <c r="F137" t="str">
        <f t="shared" si="5"/>
        <v>HP+300,RP+300</v>
      </c>
      <c r="H137" t="s">
        <v>704</v>
      </c>
      <c r="I137">
        <v>3</v>
      </c>
      <c r="J137">
        <v>900</v>
      </c>
      <c r="K137">
        <v>300</v>
      </c>
      <c r="L137">
        <v>300</v>
      </c>
      <c r="M137">
        <f t="shared" si="8"/>
        <v>225</v>
      </c>
      <c r="N137">
        <f t="shared" si="9"/>
        <v>225</v>
      </c>
      <c r="O137" t="str">
        <f t="shared" si="6"/>
        <v>4,300;6,300</v>
      </c>
    </row>
    <row r="138" spans="1:15" x14ac:dyDescent="0.15">
      <c r="A138" t="s">
        <v>55</v>
      </c>
      <c r="B138">
        <f t="shared" si="7"/>
        <v>750</v>
      </c>
      <c r="E138" t="s">
        <v>696</v>
      </c>
      <c r="F138" t="str">
        <f t="shared" si="5"/>
        <v>HP+360,RP+360</v>
      </c>
      <c r="H138" t="s">
        <v>696</v>
      </c>
      <c r="I138">
        <v>3</v>
      </c>
      <c r="J138">
        <v>1050</v>
      </c>
      <c r="K138">
        <v>360</v>
      </c>
      <c r="L138">
        <v>360</v>
      </c>
      <c r="M138">
        <f t="shared" si="8"/>
        <v>270</v>
      </c>
      <c r="N138">
        <f t="shared" si="9"/>
        <v>270</v>
      </c>
      <c r="O138" t="str">
        <f t="shared" si="6"/>
        <v>4,360;6,360</v>
      </c>
    </row>
    <row r="139" spans="1:15" x14ac:dyDescent="0.15">
      <c r="A139" t="s">
        <v>56</v>
      </c>
      <c r="B139">
        <f t="shared" si="7"/>
        <v>400</v>
      </c>
      <c r="E139" t="s">
        <v>689</v>
      </c>
      <c r="F139" t="str">
        <f t="shared" si="5"/>
        <v>HP+420,RP+420</v>
      </c>
      <c r="H139" t="s">
        <v>689</v>
      </c>
      <c r="I139">
        <v>3</v>
      </c>
      <c r="J139">
        <v>1200</v>
      </c>
      <c r="K139">
        <v>420</v>
      </c>
      <c r="L139">
        <v>420</v>
      </c>
      <c r="M139">
        <f t="shared" si="8"/>
        <v>315</v>
      </c>
      <c r="N139">
        <f t="shared" si="9"/>
        <v>315</v>
      </c>
      <c r="O139" t="str">
        <f t="shared" si="6"/>
        <v>4,420;6,420</v>
      </c>
    </row>
    <row r="140" spans="1:15" x14ac:dyDescent="0.15">
      <c r="A140" t="s">
        <v>57</v>
      </c>
      <c r="B140">
        <f t="shared" si="7"/>
        <v>1500</v>
      </c>
      <c r="E140" t="s">
        <v>700</v>
      </c>
      <c r="F140" t="str">
        <f t="shared" si="5"/>
        <v>HP+480,RP+480</v>
      </c>
      <c r="H140" t="s">
        <v>700</v>
      </c>
      <c r="I140">
        <v>3</v>
      </c>
      <c r="J140">
        <v>1350</v>
      </c>
      <c r="K140">
        <v>480</v>
      </c>
      <c r="L140">
        <v>480</v>
      </c>
      <c r="M140">
        <f t="shared" si="8"/>
        <v>360</v>
      </c>
      <c r="N140">
        <f t="shared" si="9"/>
        <v>360</v>
      </c>
      <c r="O140" t="str">
        <f t="shared" si="6"/>
        <v>4,480;6,480</v>
      </c>
    </row>
    <row r="141" spans="1:15" x14ac:dyDescent="0.15">
      <c r="A141" t="s">
        <v>695</v>
      </c>
      <c r="B141">
        <f t="shared" si="7"/>
        <v>800</v>
      </c>
      <c r="E141" t="s">
        <v>57</v>
      </c>
      <c r="F141" t="str">
        <f t="shared" si="5"/>
        <v>HP+540,RP+540</v>
      </c>
      <c r="H141" t="s">
        <v>57</v>
      </c>
      <c r="I141">
        <v>3</v>
      </c>
      <c r="J141">
        <v>1500</v>
      </c>
      <c r="K141">
        <v>540</v>
      </c>
      <c r="L141">
        <v>540</v>
      </c>
      <c r="M141">
        <f t="shared" si="8"/>
        <v>405</v>
      </c>
      <c r="N141">
        <f t="shared" si="9"/>
        <v>405</v>
      </c>
      <c r="O141" t="str">
        <f t="shared" si="6"/>
        <v>4,540;6,540</v>
      </c>
    </row>
    <row r="142" spans="1:15" x14ac:dyDescent="0.15">
      <c r="A142" t="s">
        <v>576</v>
      </c>
      <c r="B142">
        <f t="shared" si="7"/>
        <v>360</v>
      </c>
      <c r="E142" t="s">
        <v>697</v>
      </c>
      <c r="F142" t="str">
        <f t="shared" si="5"/>
        <v>HP+120,RP+30</v>
      </c>
      <c r="H142" t="s">
        <v>697</v>
      </c>
      <c r="I142">
        <v>4</v>
      </c>
      <c r="J142">
        <v>400</v>
      </c>
      <c r="K142">
        <v>120</v>
      </c>
      <c r="L142">
        <f>L133*0.5</f>
        <v>30</v>
      </c>
      <c r="O142" t="str">
        <f t="shared" si="6"/>
        <v>4,120;6,30</v>
      </c>
    </row>
    <row r="143" spans="1:15" x14ac:dyDescent="0.15">
      <c r="A143" t="s">
        <v>696</v>
      </c>
      <c r="B143">
        <f t="shared" si="7"/>
        <v>1050</v>
      </c>
      <c r="E143" t="s">
        <v>215</v>
      </c>
      <c r="F143" t="str">
        <f t="shared" si="5"/>
        <v>HP+180,RP+60</v>
      </c>
      <c r="H143" t="s">
        <v>215</v>
      </c>
      <c r="I143">
        <v>4</v>
      </c>
      <c r="J143">
        <v>500</v>
      </c>
      <c r="K143">
        <v>180</v>
      </c>
      <c r="L143">
        <f t="shared" ref="L143:L149" si="10">L134*0.5</f>
        <v>60</v>
      </c>
      <c r="O143" t="str">
        <f t="shared" si="6"/>
        <v>4,180;6,60</v>
      </c>
    </row>
    <row r="144" spans="1:15" x14ac:dyDescent="0.15">
      <c r="A144" t="s">
        <v>698</v>
      </c>
      <c r="B144">
        <f t="shared" si="7"/>
        <v>600</v>
      </c>
      <c r="E144" t="s">
        <v>709</v>
      </c>
      <c r="F144" t="str">
        <f t="shared" si="5"/>
        <v>HP+240,RP+90</v>
      </c>
      <c r="H144" t="s">
        <v>709</v>
      </c>
      <c r="I144">
        <v>4</v>
      </c>
      <c r="J144">
        <v>600</v>
      </c>
      <c r="K144">
        <v>240</v>
      </c>
      <c r="L144">
        <f t="shared" si="10"/>
        <v>90</v>
      </c>
      <c r="O144" t="str">
        <f t="shared" si="6"/>
        <v>4,240;6,90</v>
      </c>
    </row>
    <row r="145" spans="1:15" x14ac:dyDescent="0.15">
      <c r="A145" t="s">
        <v>699</v>
      </c>
      <c r="B145">
        <f t="shared" si="7"/>
        <v>450</v>
      </c>
      <c r="E145" t="s">
        <v>67</v>
      </c>
      <c r="F145" t="str">
        <f t="shared" si="5"/>
        <v>HP+300,RP+120</v>
      </c>
      <c r="H145" t="s">
        <v>67</v>
      </c>
      <c r="I145">
        <v>4</v>
      </c>
      <c r="J145">
        <v>700</v>
      </c>
      <c r="K145">
        <v>300</v>
      </c>
      <c r="L145">
        <f t="shared" si="10"/>
        <v>120</v>
      </c>
      <c r="O145" t="str">
        <f t="shared" si="6"/>
        <v>4,300;6,120</v>
      </c>
    </row>
    <row r="146" spans="1:15" x14ac:dyDescent="0.15">
      <c r="A146" t="s">
        <v>700</v>
      </c>
      <c r="B146">
        <f t="shared" si="7"/>
        <v>1350</v>
      </c>
      <c r="E146" t="s">
        <v>711</v>
      </c>
      <c r="F146" t="str">
        <f t="shared" si="5"/>
        <v>HP+360,RP+150</v>
      </c>
      <c r="H146" t="s">
        <v>711</v>
      </c>
      <c r="I146">
        <v>4</v>
      </c>
      <c r="J146">
        <v>800</v>
      </c>
      <c r="K146">
        <v>360</v>
      </c>
      <c r="L146">
        <f t="shared" si="10"/>
        <v>150</v>
      </c>
      <c r="O146" t="str">
        <f t="shared" si="6"/>
        <v>4,360;6,150</v>
      </c>
    </row>
    <row r="147" spans="1:15" x14ac:dyDescent="0.15">
      <c r="A147" t="s">
        <v>697</v>
      </c>
      <c r="B147">
        <f t="shared" si="7"/>
        <v>400</v>
      </c>
      <c r="E147" t="s">
        <v>705</v>
      </c>
      <c r="F147" t="str">
        <f t="shared" si="5"/>
        <v>HP+420,RP+180</v>
      </c>
      <c r="H147" t="s">
        <v>705</v>
      </c>
      <c r="I147">
        <v>4</v>
      </c>
      <c r="J147">
        <v>900</v>
      </c>
      <c r="K147">
        <v>420</v>
      </c>
      <c r="L147">
        <f t="shared" si="10"/>
        <v>180</v>
      </c>
      <c r="O147" t="str">
        <f t="shared" si="6"/>
        <v>4,420;6,180</v>
      </c>
    </row>
    <row r="148" spans="1:15" x14ac:dyDescent="0.15">
      <c r="A148" t="s">
        <v>701</v>
      </c>
      <c r="B148">
        <f t="shared" si="7"/>
        <v>600</v>
      </c>
      <c r="E148" t="s">
        <v>706</v>
      </c>
      <c r="F148" t="str">
        <f t="shared" si="5"/>
        <v>HP+480,RP+210</v>
      </c>
      <c r="H148" t="s">
        <v>706</v>
      </c>
      <c r="I148">
        <v>4</v>
      </c>
      <c r="J148">
        <v>1000</v>
      </c>
      <c r="K148">
        <v>480</v>
      </c>
      <c r="L148">
        <f t="shared" si="10"/>
        <v>210</v>
      </c>
      <c r="O148" t="str">
        <f t="shared" si="6"/>
        <v>4,480;6,210</v>
      </c>
    </row>
    <row r="149" spans="1:15" x14ac:dyDescent="0.15">
      <c r="A149" t="s">
        <v>702</v>
      </c>
      <c r="B149">
        <f t="shared" si="7"/>
        <v>660</v>
      </c>
      <c r="E149" t="s">
        <v>710</v>
      </c>
      <c r="F149" t="str">
        <f t="shared" si="5"/>
        <v>HP+540,RP+240</v>
      </c>
      <c r="H149" t="s">
        <v>710</v>
      </c>
      <c r="I149">
        <v>4</v>
      </c>
      <c r="J149">
        <v>1100</v>
      </c>
      <c r="K149">
        <v>540</v>
      </c>
      <c r="L149">
        <f t="shared" si="10"/>
        <v>240</v>
      </c>
      <c r="O149" t="str">
        <f t="shared" si="6"/>
        <v>4,540;6,240</v>
      </c>
    </row>
    <row r="150" spans="1:15" x14ac:dyDescent="0.15">
      <c r="A150" t="s">
        <v>704</v>
      </c>
      <c r="B150">
        <f t="shared" si="7"/>
        <v>900</v>
      </c>
      <c r="E150" t="s">
        <v>713</v>
      </c>
      <c r="F150" t="str">
        <f t="shared" si="5"/>
        <v>HP+30,RP+120</v>
      </c>
      <c r="H150" t="s">
        <v>713</v>
      </c>
      <c r="I150">
        <v>5</v>
      </c>
      <c r="J150">
        <v>400</v>
      </c>
      <c r="K150">
        <v>30</v>
      </c>
      <c r="L150">
        <v>120</v>
      </c>
      <c r="O150" t="str">
        <f t="shared" si="6"/>
        <v>4,30;6,120</v>
      </c>
    </row>
    <row r="151" spans="1:15" x14ac:dyDescent="0.15">
      <c r="A151" t="s">
        <v>705</v>
      </c>
      <c r="B151">
        <f t="shared" si="7"/>
        <v>900</v>
      </c>
      <c r="E151" t="s">
        <v>712</v>
      </c>
      <c r="F151" t="str">
        <f t="shared" si="5"/>
        <v>HP+60,RP+180</v>
      </c>
      <c r="H151" t="s">
        <v>712</v>
      </c>
      <c r="I151">
        <v>5</v>
      </c>
      <c r="J151">
        <v>500</v>
      </c>
      <c r="K151">
        <v>60</v>
      </c>
      <c r="L151">
        <v>180</v>
      </c>
      <c r="O151" t="str">
        <f t="shared" si="6"/>
        <v>4,60;6,180</v>
      </c>
    </row>
    <row r="152" spans="1:15" x14ac:dyDescent="0.15">
      <c r="A152" t="s">
        <v>706</v>
      </c>
      <c r="B152">
        <f t="shared" si="7"/>
        <v>1000</v>
      </c>
      <c r="E152" t="s">
        <v>714</v>
      </c>
      <c r="F152" t="str">
        <f t="shared" si="5"/>
        <v>HP+90,RP+240</v>
      </c>
      <c r="H152" t="s">
        <v>714</v>
      </c>
      <c r="I152">
        <v>5</v>
      </c>
      <c r="J152">
        <v>600</v>
      </c>
      <c r="K152">
        <v>90</v>
      </c>
      <c r="L152">
        <v>240</v>
      </c>
      <c r="O152" t="str">
        <f t="shared" si="6"/>
        <v>4,90;6,240</v>
      </c>
    </row>
    <row r="153" spans="1:15" x14ac:dyDescent="0.15">
      <c r="A153" t="s">
        <v>215</v>
      </c>
      <c r="B153">
        <f t="shared" si="7"/>
        <v>500</v>
      </c>
      <c r="E153" t="s">
        <v>718</v>
      </c>
      <c r="F153" t="str">
        <f t="shared" si="5"/>
        <v>HP+120,RP+300</v>
      </c>
      <c r="H153" t="s">
        <v>718</v>
      </c>
      <c r="I153">
        <v>5</v>
      </c>
      <c r="J153">
        <v>700</v>
      </c>
      <c r="K153">
        <v>120</v>
      </c>
      <c r="L153">
        <v>300</v>
      </c>
      <c r="O153" t="str">
        <f t="shared" si="6"/>
        <v>4,120;6,300</v>
      </c>
    </row>
    <row r="154" spans="1:15" x14ac:dyDescent="0.15">
      <c r="A154" t="s">
        <v>707</v>
      </c>
      <c r="B154">
        <f t="shared" si="7"/>
        <v>300</v>
      </c>
      <c r="E154" t="s">
        <v>717</v>
      </c>
      <c r="F154" t="str">
        <f t="shared" si="5"/>
        <v>HP+150,RP+360</v>
      </c>
      <c r="H154" t="s">
        <v>717</v>
      </c>
      <c r="I154">
        <v>5</v>
      </c>
      <c r="J154">
        <v>800</v>
      </c>
      <c r="K154">
        <v>150</v>
      </c>
      <c r="L154">
        <v>360</v>
      </c>
      <c r="O154" t="str">
        <f t="shared" si="6"/>
        <v>4,150;6,360</v>
      </c>
    </row>
    <row r="155" spans="1:15" x14ac:dyDescent="0.15">
      <c r="A155" t="s">
        <v>67</v>
      </c>
      <c r="B155">
        <f t="shared" si="7"/>
        <v>700</v>
      </c>
      <c r="E155" t="s">
        <v>716</v>
      </c>
      <c r="F155" t="str">
        <f t="shared" si="5"/>
        <v>HP+180,RP+420</v>
      </c>
      <c r="H155" t="s">
        <v>716</v>
      </c>
      <c r="I155">
        <v>5</v>
      </c>
      <c r="J155">
        <v>900</v>
      </c>
      <c r="K155">
        <v>180</v>
      </c>
      <c r="L155">
        <v>420</v>
      </c>
      <c r="O155" t="str">
        <f t="shared" si="6"/>
        <v>4,180;6,420</v>
      </c>
    </row>
    <row r="156" spans="1:15" x14ac:dyDescent="0.15">
      <c r="A156" t="s">
        <v>68</v>
      </c>
      <c r="B156">
        <f t="shared" si="7"/>
        <v>200</v>
      </c>
      <c r="E156" t="s">
        <v>583</v>
      </c>
      <c r="F156" t="str">
        <f t="shared" si="5"/>
        <v>HP+210,RP+480</v>
      </c>
      <c r="H156" t="s">
        <v>583</v>
      </c>
      <c r="I156">
        <v>5</v>
      </c>
      <c r="J156">
        <v>1000</v>
      </c>
      <c r="K156">
        <v>210</v>
      </c>
      <c r="L156">
        <v>480</v>
      </c>
      <c r="O156" t="str">
        <f t="shared" si="6"/>
        <v>4,210;6,480</v>
      </c>
    </row>
    <row r="157" spans="1:15" x14ac:dyDescent="0.15">
      <c r="A157" t="s">
        <v>709</v>
      </c>
      <c r="B157">
        <f t="shared" si="7"/>
        <v>600</v>
      </c>
      <c r="E157" t="s">
        <v>715</v>
      </c>
      <c r="F157" t="str">
        <f t="shared" si="5"/>
        <v>HP+240,RP+540</v>
      </c>
      <c r="H157" t="s">
        <v>715</v>
      </c>
      <c r="I157">
        <v>5</v>
      </c>
      <c r="J157">
        <v>1100</v>
      </c>
      <c r="K157">
        <v>240</v>
      </c>
      <c r="L157">
        <v>540</v>
      </c>
      <c r="O157" t="str">
        <f t="shared" si="6"/>
        <v>4,240;6,540</v>
      </c>
    </row>
    <row r="158" spans="1:15" x14ac:dyDescent="0.15">
      <c r="A158" t="s">
        <v>710</v>
      </c>
      <c r="B158">
        <f t="shared" si="7"/>
        <v>1100</v>
      </c>
    </row>
    <row r="159" spans="1:15" x14ac:dyDescent="0.15">
      <c r="A159" t="s">
        <v>711</v>
      </c>
      <c r="B159">
        <f t="shared" si="7"/>
        <v>800</v>
      </c>
    </row>
    <row r="160" spans="1:15" x14ac:dyDescent="0.15">
      <c r="A160" t="s">
        <v>712</v>
      </c>
      <c r="B160">
        <f t="shared" si="7"/>
        <v>500</v>
      </c>
    </row>
    <row r="161" spans="1:2" x14ac:dyDescent="0.15">
      <c r="A161" t="s">
        <v>713</v>
      </c>
      <c r="B161">
        <f t="shared" si="7"/>
        <v>400</v>
      </c>
    </row>
    <row r="162" spans="1:2" x14ac:dyDescent="0.15">
      <c r="A162" t="s">
        <v>714</v>
      </c>
      <c r="B162">
        <f t="shared" si="7"/>
        <v>600</v>
      </c>
    </row>
    <row r="163" spans="1:2" x14ac:dyDescent="0.15">
      <c r="A163" t="s">
        <v>715</v>
      </c>
      <c r="B163">
        <f t="shared" si="7"/>
        <v>1100</v>
      </c>
    </row>
    <row r="164" spans="1:2" x14ac:dyDescent="0.15">
      <c r="A164" t="s">
        <v>716</v>
      </c>
      <c r="B164">
        <f t="shared" si="7"/>
        <v>900</v>
      </c>
    </row>
    <row r="165" spans="1:2" x14ac:dyDescent="0.15">
      <c r="A165" t="s">
        <v>583</v>
      </c>
      <c r="B165">
        <f t="shared" si="7"/>
        <v>1000</v>
      </c>
    </row>
    <row r="166" spans="1:2" x14ac:dyDescent="0.15">
      <c r="A166" t="s">
        <v>717</v>
      </c>
      <c r="B166">
        <f t="shared" si="7"/>
        <v>800</v>
      </c>
    </row>
    <row r="167" spans="1:2" x14ac:dyDescent="0.15">
      <c r="A167" t="s">
        <v>718</v>
      </c>
      <c r="B167">
        <f t="shared" si="7"/>
        <v>700</v>
      </c>
    </row>
  </sheetData>
  <sortState ref="H121:J157">
    <sortCondition ref="I121:I157"/>
    <sortCondition ref="J121:J157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69"/>
  <sheetViews>
    <sheetView topLeftCell="A16" workbookViewId="0">
      <selection activeCell="I2" sqref="I2"/>
    </sheetView>
  </sheetViews>
  <sheetFormatPr defaultRowHeight="13.5" x14ac:dyDescent="0.15"/>
  <sheetData>
    <row r="1" spans="1:15" x14ac:dyDescent="0.15">
      <c r="A1" t="s">
        <v>687</v>
      </c>
      <c r="B1">
        <f>F1+I1+L1+O1</f>
        <v>80</v>
      </c>
      <c r="C1">
        <f>INT(B1*(120+8*(D1-1))/100)</f>
        <v>96</v>
      </c>
      <c r="D1">
        <v>1</v>
      </c>
      <c r="E1" t="s">
        <v>688</v>
      </c>
      <c r="F1">
        <f>IF(E1=0,0,VLOOKUP(E1,Sheet1!$A$1:$B$148,2,FALSE))</f>
        <v>80</v>
      </c>
      <c r="I1">
        <f>IF(H1=0,0,VLOOKUP(H1,Sheet1!$A$1:$B$148,2,FALSE))</f>
        <v>0</v>
      </c>
      <c r="L1">
        <f>IF(K1=0,0,VLOOKUP(K1,Sheet1!$A$1:$B$148,2,FALSE))</f>
        <v>0</v>
      </c>
      <c r="O1">
        <f>IF(N1=0,0,VLOOKUP(N1,Sheet1!$A$1:$B$148,2,FALSE))</f>
        <v>0</v>
      </c>
    </row>
    <row r="2" spans="1:15" x14ac:dyDescent="0.15">
      <c r="A2" t="s">
        <v>689</v>
      </c>
      <c r="B2">
        <f t="shared" ref="B2:B37" si="0">F2+I2+L2+O2</f>
        <v>776</v>
      </c>
      <c r="C2">
        <f t="shared" ref="C2:C37" si="1">INT(B2*(120+8*(D2-1))/100)</f>
        <v>1117</v>
      </c>
      <c r="D2">
        <v>4</v>
      </c>
      <c r="E2" t="s">
        <v>688</v>
      </c>
      <c r="F2">
        <f>IF(E2=0,0,VLOOKUP(E2,Sheet1!$A$1:$B$148,2,FALSE))</f>
        <v>80</v>
      </c>
      <c r="H2" t="s">
        <v>675</v>
      </c>
      <c r="I2">
        <f>IF(H2=0,0,VLOOKUP(H2,Sheet1!$A$1:$B$148,2,FALSE))</f>
        <v>300</v>
      </c>
      <c r="K2" t="s">
        <v>680</v>
      </c>
      <c r="L2">
        <f>IF(K2=0,0,VLOOKUP(K2,Sheet1!$A$1:$B$148,2,FALSE))</f>
        <v>250</v>
      </c>
      <c r="N2" t="s">
        <v>668</v>
      </c>
      <c r="O2">
        <f>IF(N2=0,0,VLOOKUP(N2,Sheet1!$A$1:$B$148,2,FALSE))</f>
        <v>146</v>
      </c>
    </row>
    <row r="3" spans="1:15" x14ac:dyDescent="0.15">
      <c r="A3" t="s">
        <v>690</v>
      </c>
      <c r="B3">
        <f t="shared" si="0"/>
        <v>40</v>
      </c>
      <c r="C3">
        <f t="shared" si="1"/>
        <v>48</v>
      </c>
      <c r="D3">
        <v>1</v>
      </c>
      <c r="E3" t="s">
        <v>725</v>
      </c>
      <c r="F3">
        <f>IF(E3=0,0,VLOOKUP(E3,Sheet1!$A$1:$B$148,2,FALSE))</f>
        <v>40</v>
      </c>
      <c r="I3">
        <f>IF(H3=0,0,VLOOKUP(H3,Sheet1!$A$1:$B$148,2,FALSE))</f>
        <v>0</v>
      </c>
      <c r="L3">
        <f>IF(K3=0,0,VLOOKUP(K3,Sheet1!$A$1:$B$148,2,FALSE))</f>
        <v>0</v>
      </c>
      <c r="O3">
        <f>IF(N3=0,0,VLOOKUP(N3,Sheet1!$A$1:$B$148,2,FALSE))</f>
        <v>0</v>
      </c>
    </row>
    <row r="4" spans="1:15" x14ac:dyDescent="0.15">
      <c r="A4" t="s">
        <v>692</v>
      </c>
      <c r="B4">
        <f t="shared" si="0"/>
        <v>221</v>
      </c>
      <c r="C4">
        <f t="shared" si="1"/>
        <v>300</v>
      </c>
      <c r="D4">
        <v>3</v>
      </c>
      <c r="E4" t="s">
        <v>688</v>
      </c>
      <c r="F4">
        <f>IF(E4=0,0,VLOOKUP(E4,Sheet1!$A$1:$B$148,2,FALSE))</f>
        <v>80</v>
      </c>
      <c r="H4" t="s">
        <v>691</v>
      </c>
      <c r="I4">
        <f>IF(H4=0,0,VLOOKUP(H4,Sheet1!$A$1:$B$148,2,FALSE))</f>
        <v>40</v>
      </c>
      <c r="K4" t="s">
        <v>18</v>
      </c>
      <c r="L4">
        <f>IF(K4=0,0,VLOOKUP(K4,Sheet1!$A$1:$B$148,2,FALSE))</f>
        <v>101</v>
      </c>
      <c r="O4">
        <f>IF(N4=0,0,VLOOKUP(N4,Sheet1!$A$1:$B$148,2,FALSE))</f>
        <v>0</v>
      </c>
    </row>
    <row r="5" spans="1:15" x14ac:dyDescent="0.15">
      <c r="A5" t="s">
        <v>52</v>
      </c>
      <c r="B5">
        <f t="shared" si="0"/>
        <v>173</v>
      </c>
      <c r="C5">
        <f t="shared" si="1"/>
        <v>221</v>
      </c>
      <c r="D5">
        <v>2</v>
      </c>
      <c r="E5" t="s">
        <v>17</v>
      </c>
      <c r="F5">
        <f>IF(E5=0,0,VLOOKUP(E5,Sheet1!$A$1:$B$148,2,FALSE))</f>
        <v>73</v>
      </c>
      <c r="H5" t="s">
        <v>693</v>
      </c>
      <c r="I5">
        <f>IF(H5=0,0,VLOOKUP(H5,Sheet1!$A$1:$B$148,2,FALSE))</f>
        <v>100</v>
      </c>
      <c r="L5">
        <f>IF(K5=0,0,VLOOKUP(K5,Sheet1!$A$1:$B$148,2,FALSE))</f>
        <v>0</v>
      </c>
      <c r="O5">
        <f>IF(N5=0,0,VLOOKUP(N5,Sheet1!$A$1:$B$148,2,FALSE))</f>
        <v>0</v>
      </c>
    </row>
    <row r="6" spans="1:15" x14ac:dyDescent="0.15">
      <c r="A6" t="s">
        <v>53</v>
      </c>
      <c r="B6">
        <f t="shared" si="0"/>
        <v>124</v>
      </c>
      <c r="C6">
        <f t="shared" si="1"/>
        <v>158</v>
      </c>
      <c r="D6">
        <v>2</v>
      </c>
      <c r="E6" t="s">
        <v>688</v>
      </c>
      <c r="F6">
        <f>IF(E6=0,0,VLOOKUP(E6,Sheet1!$A$1:$B$148,2,FALSE))</f>
        <v>80</v>
      </c>
      <c r="H6" t="s">
        <v>621</v>
      </c>
      <c r="I6">
        <f>IF(H6=0,0,VLOOKUP(H6,Sheet1!$A$1:$B$148,2,FALSE))</f>
        <v>44</v>
      </c>
      <c r="L6">
        <f>IF(K6=0,0,VLOOKUP(K6,Sheet1!$A$1:$B$148,2,FALSE))</f>
        <v>0</v>
      </c>
      <c r="O6">
        <f>IF(N6=0,0,VLOOKUP(N6,Sheet1!$A$1:$B$148,2,FALSE))</f>
        <v>0</v>
      </c>
    </row>
    <row r="7" spans="1:15" x14ac:dyDescent="0.15">
      <c r="A7" t="s">
        <v>54</v>
      </c>
      <c r="B7">
        <f t="shared" si="0"/>
        <v>265</v>
      </c>
      <c r="C7">
        <f t="shared" si="1"/>
        <v>339</v>
      </c>
      <c r="D7">
        <v>2</v>
      </c>
      <c r="E7" t="s">
        <v>663</v>
      </c>
      <c r="F7">
        <f>IF(E7=0,0,VLOOKUP(E7,Sheet1!$A$1:$B$148,2,FALSE))</f>
        <v>165</v>
      </c>
      <c r="H7" t="s">
        <v>693</v>
      </c>
      <c r="I7">
        <f>IF(H7=0,0,VLOOKUP(H7,Sheet1!$A$1:$B$148,2,FALSE))</f>
        <v>100</v>
      </c>
      <c r="L7">
        <f>IF(K7=0,0,VLOOKUP(K7,Sheet1!$A$1:$B$148,2,FALSE))</f>
        <v>0</v>
      </c>
      <c r="O7">
        <f>IF(N7=0,0,VLOOKUP(N7,Sheet1!$A$1:$B$148,2,FALSE))</f>
        <v>0</v>
      </c>
    </row>
    <row r="8" spans="1:15" x14ac:dyDescent="0.15">
      <c r="A8" t="s">
        <v>55</v>
      </c>
      <c r="B8">
        <f t="shared" si="0"/>
        <v>380</v>
      </c>
      <c r="C8">
        <f t="shared" si="1"/>
        <v>486</v>
      </c>
      <c r="D8">
        <v>2</v>
      </c>
      <c r="E8" t="s">
        <v>688</v>
      </c>
      <c r="F8">
        <f>IF(E8=0,0,VLOOKUP(E8,Sheet1!$A$1:$B$148,2,FALSE))</f>
        <v>80</v>
      </c>
      <c r="H8" t="s">
        <v>719</v>
      </c>
      <c r="I8">
        <f>IF(H8=0,0,VLOOKUP(H8,Sheet1!$A$1:$B$148,2,FALSE))</f>
        <v>300</v>
      </c>
      <c r="L8">
        <f>IF(K8=0,0,VLOOKUP(K8,Sheet1!$A$1:$B$148,2,FALSE))</f>
        <v>0</v>
      </c>
      <c r="O8">
        <f>IF(N8=0,0,VLOOKUP(N8,Sheet1!$A$1:$B$148,2,FALSE))</f>
        <v>0</v>
      </c>
    </row>
    <row r="9" spans="1:15" x14ac:dyDescent="0.15">
      <c r="A9" t="s">
        <v>56</v>
      </c>
      <c r="B9">
        <f t="shared" si="0"/>
        <v>320</v>
      </c>
      <c r="C9">
        <f t="shared" si="1"/>
        <v>409</v>
      </c>
      <c r="D9">
        <v>2</v>
      </c>
      <c r="E9" t="s">
        <v>694</v>
      </c>
      <c r="F9">
        <f>IF(E9=0,0,VLOOKUP(E9,Sheet1!$A$1:$B$148,2,FALSE))</f>
        <v>220</v>
      </c>
      <c r="H9" t="s">
        <v>724</v>
      </c>
      <c r="I9">
        <f>IF(H9=0,0,VLOOKUP(H9,Sheet1!$A$1:$B$148,2,FALSE))</f>
        <v>100</v>
      </c>
      <c r="L9">
        <f>IF(K9=0,0,VLOOKUP(K9,Sheet1!$A$1:$B$148,2,FALSE))</f>
        <v>0</v>
      </c>
      <c r="O9">
        <f>IF(N9=0,0,VLOOKUP(N9,Sheet1!$A$1:$B$148,2,FALSE))</f>
        <v>0</v>
      </c>
    </row>
    <row r="10" spans="1:15" x14ac:dyDescent="0.15">
      <c r="A10" t="s">
        <v>57</v>
      </c>
      <c r="B10">
        <f t="shared" si="0"/>
        <v>1233</v>
      </c>
      <c r="C10">
        <f t="shared" si="1"/>
        <v>1775</v>
      </c>
      <c r="D10">
        <v>4</v>
      </c>
      <c r="E10" t="s">
        <v>702</v>
      </c>
      <c r="F10">
        <f>IF(E10=0,0,VLOOKUP(E10,Sheet1!$A$1:$B$148,2,FALSE))</f>
        <v>660</v>
      </c>
      <c r="H10" t="s">
        <v>662</v>
      </c>
      <c r="I10">
        <f>IF(H10=0,0,VLOOKUP(H10,Sheet1!$A$1:$B$148,2,FALSE))</f>
        <v>73</v>
      </c>
      <c r="K10" t="s">
        <v>56</v>
      </c>
      <c r="L10">
        <f>IF(K10=0,0,VLOOKUP(K10,Sheet1!$A$1:$B$148,2,FALSE))</f>
        <v>400</v>
      </c>
      <c r="N10" t="s">
        <v>690</v>
      </c>
      <c r="O10">
        <f>IF(N10=0,0,VLOOKUP(N10,Sheet1!$A$1:$B$148,2,FALSE))</f>
        <v>100</v>
      </c>
    </row>
    <row r="11" spans="1:15" x14ac:dyDescent="0.15">
      <c r="A11" t="s">
        <v>695</v>
      </c>
      <c r="B11">
        <f t="shared" si="0"/>
        <v>484</v>
      </c>
      <c r="C11">
        <f t="shared" si="1"/>
        <v>696</v>
      </c>
      <c r="D11">
        <v>4</v>
      </c>
      <c r="E11" t="s">
        <v>663</v>
      </c>
      <c r="F11">
        <f>IF(E11=0,0,VLOOKUP(E11,Sheet1!$A$1:$B$148,2,FALSE))</f>
        <v>165</v>
      </c>
      <c r="H11" t="s">
        <v>666</v>
      </c>
      <c r="I11">
        <f>IF(H11=0,0,VLOOKUP(H11,Sheet1!$A$1:$B$148,2,FALSE))</f>
        <v>101</v>
      </c>
      <c r="K11" t="s">
        <v>665</v>
      </c>
      <c r="L11">
        <f>IF(K11=0,0,VLOOKUP(K11,Sheet1!$A$1:$B$148,2,FALSE))</f>
        <v>146</v>
      </c>
      <c r="N11" t="s">
        <v>631</v>
      </c>
      <c r="O11">
        <f>IF(N11=0,0,VLOOKUP(N11,Sheet1!$A$1:$B$148,2,FALSE))</f>
        <v>72</v>
      </c>
    </row>
    <row r="12" spans="1:15" x14ac:dyDescent="0.15">
      <c r="A12" t="s">
        <v>576</v>
      </c>
      <c r="B12">
        <f t="shared" si="0"/>
        <v>300</v>
      </c>
      <c r="C12">
        <f t="shared" si="1"/>
        <v>360</v>
      </c>
      <c r="D12">
        <v>1</v>
      </c>
      <c r="E12" t="s">
        <v>681</v>
      </c>
      <c r="F12">
        <f>IF(E12=0,0,VLOOKUP(E12,Sheet1!$A$1:$B$148,2,FALSE))</f>
        <v>300</v>
      </c>
      <c r="I12">
        <f>IF(H12=0,0,VLOOKUP(H12,Sheet1!$A$1:$B$148,2,FALSE))</f>
        <v>0</v>
      </c>
      <c r="L12">
        <f>IF(K12=0,0,VLOOKUP(K12,Sheet1!$A$1:$B$148,2,FALSE))</f>
        <v>0</v>
      </c>
      <c r="O12">
        <f>IF(N12=0,0,VLOOKUP(N12,Sheet1!$A$1:$B$148,2,FALSE))</f>
        <v>0</v>
      </c>
    </row>
    <row r="13" spans="1:15" x14ac:dyDescent="0.15">
      <c r="A13" t="s">
        <v>696</v>
      </c>
      <c r="B13">
        <f t="shared" si="0"/>
        <v>480</v>
      </c>
      <c r="C13">
        <f t="shared" si="1"/>
        <v>614</v>
      </c>
      <c r="D13">
        <v>2</v>
      </c>
      <c r="E13" t="s">
        <v>697</v>
      </c>
      <c r="F13">
        <f>IF(E13=0,0,VLOOKUP(E13,Sheet1!$A$1:$B$148,2,FALSE))</f>
        <v>400</v>
      </c>
      <c r="H13" t="s">
        <v>688</v>
      </c>
      <c r="I13">
        <f>IF(H13=0,0,VLOOKUP(H13,Sheet1!$A$1:$B$148,2,FALSE))</f>
        <v>80</v>
      </c>
      <c r="L13">
        <f>IF(K13=0,0,VLOOKUP(K13,Sheet1!$A$1:$B$148,2,FALSE))</f>
        <v>0</v>
      </c>
      <c r="O13">
        <f>IF(N13=0,0,VLOOKUP(N13,Sheet1!$A$1:$B$148,2,FALSE))</f>
        <v>0</v>
      </c>
    </row>
    <row r="14" spans="1:15" x14ac:dyDescent="0.15">
      <c r="A14" t="s">
        <v>698</v>
      </c>
      <c r="B14">
        <f t="shared" si="0"/>
        <v>310</v>
      </c>
      <c r="C14">
        <f t="shared" si="1"/>
        <v>421</v>
      </c>
      <c r="D14">
        <v>3</v>
      </c>
      <c r="E14" t="s">
        <v>686</v>
      </c>
      <c r="F14">
        <f>IF(E14=0,0,VLOOKUP(E14,Sheet1!$A$1:$B$148,2,FALSE))</f>
        <v>50</v>
      </c>
      <c r="H14" t="s">
        <v>677</v>
      </c>
      <c r="I14">
        <f>IF(H14=0,0,VLOOKUP(H14,Sheet1!$A$1:$B$148,2,FALSE))</f>
        <v>150</v>
      </c>
      <c r="K14" t="s">
        <v>639</v>
      </c>
      <c r="L14">
        <f>IF(K14=0,0,VLOOKUP(K14,Sheet1!$A$1:$B$148,2,FALSE))</f>
        <v>110</v>
      </c>
      <c r="O14">
        <f>IF(N14=0,0,VLOOKUP(N14,Sheet1!$A$1:$B$148,2,FALSE))</f>
        <v>0</v>
      </c>
    </row>
    <row r="15" spans="1:15" x14ac:dyDescent="0.15">
      <c r="A15" t="s">
        <v>699</v>
      </c>
      <c r="B15">
        <f t="shared" si="0"/>
        <v>260</v>
      </c>
      <c r="C15">
        <f t="shared" si="1"/>
        <v>353</v>
      </c>
      <c r="D15">
        <v>3</v>
      </c>
      <c r="E15" t="s">
        <v>686</v>
      </c>
      <c r="F15">
        <f>IF(E15=0,0,VLOOKUP(E15,Sheet1!$A$1:$B$148,2,FALSE))</f>
        <v>50</v>
      </c>
      <c r="H15" t="s">
        <v>673</v>
      </c>
      <c r="I15">
        <f>IF(H15=0,0,VLOOKUP(H15,Sheet1!$A$1:$B$148,2,FALSE))</f>
        <v>100</v>
      </c>
      <c r="K15" t="s">
        <v>639</v>
      </c>
      <c r="L15">
        <f>IF(K15=0,0,VLOOKUP(K15,Sheet1!$A$1:$B$148,2,FALSE))</f>
        <v>110</v>
      </c>
      <c r="O15">
        <f>IF(N15=0,0,VLOOKUP(N15,Sheet1!$A$1:$B$148,2,FALSE))</f>
        <v>0</v>
      </c>
    </row>
    <row r="16" spans="1:15" x14ac:dyDescent="0.15">
      <c r="A16" t="s">
        <v>700</v>
      </c>
      <c r="B16">
        <f t="shared" si="0"/>
        <v>1433</v>
      </c>
      <c r="C16">
        <f t="shared" si="1"/>
        <v>1948</v>
      </c>
      <c r="D16">
        <v>3</v>
      </c>
      <c r="E16" t="s">
        <v>729</v>
      </c>
      <c r="F16">
        <f>IF(E16=0,0,VLOOKUP(E16,Sheet1!$A$1:$B$148,2,FALSE))</f>
        <v>660</v>
      </c>
      <c r="H16" t="s">
        <v>662</v>
      </c>
      <c r="I16">
        <f>IF(H16=0,0,VLOOKUP(H16,Sheet1!$A$1:$B$148,2,FALSE))</f>
        <v>73</v>
      </c>
      <c r="K16" t="s">
        <v>67</v>
      </c>
      <c r="L16">
        <f>IF(K16=0,0,VLOOKUP(K16,Sheet1!$A$1:$B$148,2,FALSE))</f>
        <v>700</v>
      </c>
      <c r="O16">
        <f>IF(N16=0,0,VLOOKUP(N16,Sheet1!$A$1:$B$148,2,FALSE))</f>
        <v>0</v>
      </c>
    </row>
    <row r="17" spans="1:15" x14ac:dyDescent="0.15">
      <c r="A17" t="s">
        <v>697</v>
      </c>
      <c r="B17">
        <f t="shared" si="0"/>
        <v>300</v>
      </c>
      <c r="C17">
        <f t="shared" si="1"/>
        <v>384</v>
      </c>
      <c r="D17">
        <v>2</v>
      </c>
      <c r="E17" t="s">
        <v>672</v>
      </c>
      <c r="F17">
        <f>IF(E17=0,0,VLOOKUP(E17,Sheet1!$A$1:$B$148,2,FALSE))</f>
        <v>200</v>
      </c>
      <c r="H17" t="s">
        <v>693</v>
      </c>
      <c r="I17">
        <f>IF(H17=0,0,VLOOKUP(H17,Sheet1!$A$1:$B$148,2,FALSE))</f>
        <v>100</v>
      </c>
      <c r="L17">
        <f>IF(K17=0,0,VLOOKUP(K17,Sheet1!$A$1:$B$148,2,FALSE))</f>
        <v>0</v>
      </c>
      <c r="O17">
        <f>IF(N17=0,0,VLOOKUP(N17,Sheet1!$A$1:$B$148,2,FALSE))</f>
        <v>0</v>
      </c>
    </row>
    <row r="18" spans="1:15" x14ac:dyDescent="0.15">
      <c r="A18" t="s">
        <v>701</v>
      </c>
      <c r="B18">
        <f t="shared" si="0"/>
        <v>460</v>
      </c>
      <c r="C18">
        <f t="shared" si="1"/>
        <v>625</v>
      </c>
      <c r="D18">
        <v>3</v>
      </c>
      <c r="E18" t="s">
        <v>679</v>
      </c>
      <c r="F18">
        <f>IF(E18=0,0,VLOOKUP(E18,Sheet1!$A$1:$B$148,2,FALSE))</f>
        <v>300</v>
      </c>
      <c r="H18" t="s">
        <v>686</v>
      </c>
      <c r="I18">
        <f>IF(H18=0,0,VLOOKUP(H18,Sheet1!$A$1:$B$148,2,FALSE))</f>
        <v>50</v>
      </c>
      <c r="K18" t="s">
        <v>639</v>
      </c>
      <c r="L18">
        <f>IF(K18=0,0,VLOOKUP(K18,Sheet1!$A$1:$B$148,2,FALSE))</f>
        <v>110</v>
      </c>
      <c r="O18">
        <f>IF(N18=0,0,VLOOKUP(N18,Sheet1!$A$1:$B$148,2,FALSE))</f>
        <v>0</v>
      </c>
    </row>
    <row r="19" spans="1:15" x14ac:dyDescent="0.15">
      <c r="A19" t="s">
        <v>702</v>
      </c>
      <c r="B19">
        <f t="shared" si="0"/>
        <v>280</v>
      </c>
      <c r="C19">
        <f t="shared" si="1"/>
        <v>380</v>
      </c>
      <c r="D19">
        <v>3</v>
      </c>
      <c r="E19" t="s">
        <v>703</v>
      </c>
      <c r="F19">
        <f>IF(E19=0,0,VLOOKUP(E19,Sheet1!$A$1:$B$148,2,FALSE))</f>
        <v>80</v>
      </c>
      <c r="H19" t="s">
        <v>724</v>
      </c>
      <c r="I19">
        <f>IF(H19=0,0,VLOOKUP(H19,Sheet1!$A$1:$B$148,2,FALSE))</f>
        <v>100</v>
      </c>
      <c r="K19" t="s">
        <v>693</v>
      </c>
      <c r="L19">
        <f>IF(K19=0,0,VLOOKUP(K19,Sheet1!$A$1:$B$148,2,FALSE))</f>
        <v>100</v>
      </c>
      <c r="O19">
        <f>IF(N19=0,0,VLOOKUP(N19,Sheet1!$A$1:$B$148,2,FALSE))</f>
        <v>0</v>
      </c>
    </row>
    <row r="20" spans="1:15" x14ac:dyDescent="0.15">
      <c r="A20" t="s">
        <v>704</v>
      </c>
      <c r="B20">
        <f t="shared" si="0"/>
        <v>375</v>
      </c>
      <c r="C20">
        <f t="shared" si="1"/>
        <v>510</v>
      </c>
      <c r="D20">
        <v>3</v>
      </c>
      <c r="E20" t="s">
        <v>671</v>
      </c>
      <c r="F20">
        <f>IF(E20=0,0,VLOOKUP(E20,Sheet1!$A$1:$B$148,2,FALSE))</f>
        <v>150</v>
      </c>
      <c r="H20" t="s">
        <v>693</v>
      </c>
      <c r="I20">
        <f>IF(H20=0,0,VLOOKUP(H20,Sheet1!$A$1:$B$148,2,FALSE))</f>
        <v>100</v>
      </c>
      <c r="K20" t="s">
        <v>20</v>
      </c>
      <c r="L20">
        <f>IF(K20=0,0,VLOOKUP(K20,Sheet1!$A$1:$B$148,2,FALSE))</f>
        <v>125</v>
      </c>
      <c r="O20">
        <f>IF(N20=0,0,VLOOKUP(N20,Sheet1!$A$1:$B$148,2,FALSE))</f>
        <v>0</v>
      </c>
    </row>
    <row r="21" spans="1:15" x14ac:dyDescent="0.15">
      <c r="A21" t="s">
        <v>705</v>
      </c>
      <c r="B21">
        <f t="shared" si="0"/>
        <v>351</v>
      </c>
      <c r="C21">
        <f t="shared" si="1"/>
        <v>477</v>
      </c>
      <c r="D21">
        <v>3</v>
      </c>
      <c r="E21" t="s">
        <v>684</v>
      </c>
      <c r="F21">
        <f>IF(E21=0,0,VLOOKUP(E21,Sheet1!$A$1:$B$148,2,FALSE))</f>
        <v>150</v>
      </c>
      <c r="H21" t="s">
        <v>18</v>
      </c>
      <c r="I21">
        <f>IF(H21=0,0,VLOOKUP(H21,Sheet1!$A$1:$B$148,2,FALSE))</f>
        <v>101</v>
      </c>
      <c r="K21" t="s">
        <v>693</v>
      </c>
      <c r="L21">
        <f>IF(K21=0,0,VLOOKUP(K21,Sheet1!$A$1:$B$148,2,FALSE))</f>
        <v>100</v>
      </c>
      <c r="O21">
        <f>IF(N21=0,0,VLOOKUP(N21,Sheet1!$A$1:$B$148,2,FALSE))</f>
        <v>0</v>
      </c>
    </row>
    <row r="22" spans="1:15" x14ac:dyDescent="0.15">
      <c r="A22" t="s">
        <v>706</v>
      </c>
      <c r="B22">
        <f t="shared" si="0"/>
        <v>475</v>
      </c>
      <c r="C22">
        <f t="shared" si="1"/>
        <v>646</v>
      </c>
      <c r="D22">
        <v>3</v>
      </c>
      <c r="E22" t="s">
        <v>676</v>
      </c>
      <c r="F22">
        <f>IF(E22=0,0,VLOOKUP(E22,Sheet1!$A$1:$B$148,2,FALSE))</f>
        <v>250</v>
      </c>
      <c r="H22" t="s">
        <v>20</v>
      </c>
      <c r="I22">
        <f>IF(H22=0,0,VLOOKUP(H22,Sheet1!$A$1:$B$148,2,FALSE))</f>
        <v>125</v>
      </c>
      <c r="K22" t="s">
        <v>693</v>
      </c>
      <c r="L22">
        <f>IF(K22=0,0,VLOOKUP(K22,Sheet1!$A$1:$B$148,2,FALSE))</f>
        <v>100</v>
      </c>
      <c r="O22">
        <f>IF(N22=0,0,VLOOKUP(N22,Sheet1!$A$1:$B$148,2,FALSE))</f>
        <v>0</v>
      </c>
    </row>
    <row r="23" spans="1:15" x14ac:dyDescent="0.15">
      <c r="A23" t="s">
        <v>215</v>
      </c>
      <c r="B23">
        <f t="shared" si="0"/>
        <v>325</v>
      </c>
      <c r="C23">
        <f t="shared" si="1"/>
        <v>442</v>
      </c>
      <c r="D23">
        <v>3</v>
      </c>
      <c r="E23" t="s">
        <v>685</v>
      </c>
      <c r="F23">
        <f>IF(E23=0,0,VLOOKUP(E23,Sheet1!$A$1:$B$148,2,FALSE))</f>
        <v>100</v>
      </c>
      <c r="H23" t="s">
        <v>20</v>
      </c>
      <c r="I23">
        <f>IF(H23=0,0,VLOOKUP(H23,Sheet1!$A$1:$B$148,2,FALSE))</f>
        <v>125</v>
      </c>
      <c r="K23" t="s">
        <v>693</v>
      </c>
      <c r="L23">
        <f>IF(K23=0,0,VLOOKUP(K23,Sheet1!$A$1:$B$148,2,FALSE))</f>
        <v>100</v>
      </c>
      <c r="O23">
        <f>IF(N23=0,0,VLOOKUP(N23,Sheet1!$A$1:$B$148,2,FALSE))</f>
        <v>0</v>
      </c>
    </row>
    <row r="24" spans="1:15" x14ac:dyDescent="0.15">
      <c r="A24" t="s">
        <v>707</v>
      </c>
      <c r="B24">
        <f t="shared" si="0"/>
        <v>208</v>
      </c>
      <c r="C24">
        <f t="shared" si="1"/>
        <v>249</v>
      </c>
      <c r="D24">
        <v>1</v>
      </c>
      <c r="E24" t="s">
        <v>15</v>
      </c>
      <c r="F24">
        <f>IF(E24=0,0,VLOOKUP(E24,Sheet1!$A$1:$B$148,2,FALSE))</f>
        <v>208</v>
      </c>
      <c r="I24">
        <f>IF(H24=0,0,VLOOKUP(H24,Sheet1!$A$1:$B$148,2,FALSE))</f>
        <v>0</v>
      </c>
      <c r="L24">
        <f>IF(K24=0,0,VLOOKUP(K24,Sheet1!$A$1:$B$148,2,FALSE))</f>
        <v>0</v>
      </c>
      <c r="O24">
        <f>IF(N24=0,0,VLOOKUP(N24,Sheet1!$A$1:$B$148,2,FALSE))</f>
        <v>0</v>
      </c>
    </row>
    <row r="25" spans="1:15" x14ac:dyDescent="0.15">
      <c r="A25" t="s">
        <v>67</v>
      </c>
      <c r="B25">
        <f t="shared" si="0"/>
        <v>385</v>
      </c>
      <c r="C25">
        <f t="shared" si="1"/>
        <v>492</v>
      </c>
      <c r="D25">
        <v>2</v>
      </c>
      <c r="E25" t="s">
        <v>727</v>
      </c>
      <c r="F25">
        <f>IF(E25=0,0,VLOOKUP(E25,Sheet1!$A$1:$B$148,2,FALSE))</f>
        <v>260</v>
      </c>
      <c r="H25" t="s">
        <v>20</v>
      </c>
      <c r="I25">
        <f>IF(H25=0,0,VLOOKUP(H25,Sheet1!$A$1:$B$148,2,FALSE))</f>
        <v>125</v>
      </c>
      <c r="L25">
        <f>IF(K25=0,0,VLOOKUP(K25,Sheet1!$A$1:$B$148,2,FALSE))</f>
        <v>0</v>
      </c>
      <c r="O25">
        <f>IF(N25=0,0,VLOOKUP(N25,Sheet1!$A$1:$B$148,2,FALSE))</f>
        <v>0</v>
      </c>
    </row>
    <row r="26" spans="1:15" x14ac:dyDescent="0.15">
      <c r="A26" t="s">
        <v>68</v>
      </c>
      <c r="B26">
        <f t="shared" si="0"/>
        <v>220</v>
      </c>
      <c r="C26">
        <f t="shared" si="1"/>
        <v>264</v>
      </c>
      <c r="D26">
        <v>1</v>
      </c>
      <c r="E26" t="s">
        <v>13</v>
      </c>
      <c r="F26">
        <f>IF(E26=0,0,VLOOKUP(E26,Sheet1!$A$1:$B$148,2,FALSE))</f>
        <v>220</v>
      </c>
      <c r="I26">
        <f>IF(H26=0,0,VLOOKUP(H26,Sheet1!$A$1:$B$148,2,FALSE))</f>
        <v>0</v>
      </c>
      <c r="L26">
        <f>IF(K26=0,0,VLOOKUP(K26,Sheet1!$A$1:$B$148,2,FALSE))</f>
        <v>0</v>
      </c>
      <c r="O26">
        <f>IF(N26=0,0,VLOOKUP(N26,Sheet1!$A$1:$B$148,2,FALSE))</f>
        <v>0</v>
      </c>
    </row>
    <row r="27" spans="1:15" x14ac:dyDescent="0.15">
      <c r="A27" t="s">
        <v>709</v>
      </c>
      <c r="B27">
        <f t="shared" si="0"/>
        <v>336</v>
      </c>
      <c r="C27">
        <f t="shared" si="1"/>
        <v>483</v>
      </c>
      <c r="D27">
        <v>4</v>
      </c>
      <c r="E27" t="s">
        <v>674</v>
      </c>
      <c r="F27">
        <f>IF(E27=0,0,VLOOKUP(E27,Sheet1!$A$1:$B$148,2,FALSE))</f>
        <v>50</v>
      </c>
      <c r="H27" t="s">
        <v>624</v>
      </c>
      <c r="I27">
        <f>IF(H27=0,0,VLOOKUP(H27,Sheet1!$A$1:$B$148,2,FALSE))</f>
        <v>60</v>
      </c>
      <c r="K27" t="s">
        <v>20</v>
      </c>
      <c r="L27">
        <f>IF(K27=0,0,VLOOKUP(K27,Sheet1!$A$1:$B$148,2,FALSE))</f>
        <v>125</v>
      </c>
      <c r="N27" t="s">
        <v>18</v>
      </c>
      <c r="O27">
        <f>IF(N27=0,0,VLOOKUP(N27,Sheet1!$A$1:$B$148,2,FALSE))</f>
        <v>101</v>
      </c>
    </row>
    <row r="28" spans="1:15" x14ac:dyDescent="0.15">
      <c r="A28" t="s">
        <v>710</v>
      </c>
      <c r="B28">
        <f t="shared" si="0"/>
        <v>721</v>
      </c>
      <c r="C28">
        <f t="shared" si="1"/>
        <v>1038</v>
      </c>
      <c r="D28">
        <v>4</v>
      </c>
      <c r="E28" t="s">
        <v>683</v>
      </c>
      <c r="F28">
        <f>IF(E28=0,0,VLOOKUP(E28,Sheet1!$A$1:$B$148,2,FALSE))</f>
        <v>250</v>
      </c>
      <c r="H28" t="s">
        <v>678</v>
      </c>
      <c r="I28">
        <f>IF(H28=0,0,VLOOKUP(H28,Sheet1!$A$1:$B$148,2,FALSE))</f>
        <v>200</v>
      </c>
      <c r="K28" t="s">
        <v>20</v>
      </c>
      <c r="L28">
        <f>IF(K28=0,0,VLOOKUP(K28,Sheet1!$A$1:$B$148,2,FALSE))</f>
        <v>125</v>
      </c>
      <c r="N28" t="s">
        <v>668</v>
      </c>
      <c r="O28">
        <f>IF(N28=0,0,VLOOKUP(N28,Sheet1!$A$1:$B$148,2,FALSE))</f>
        <v>146</v>
      </c>
    </row>
    <row r="29" spans="1:15" x14ac:dyDescent="0.15">
      <c r="A29" t="s">
        <v>711</v>
      </c>
      <c r="B29">
        <f t="shared" si="0"/>
        <v>385</v>
      </c>
      <c r="C29">
        <f t="shared" si="1"/>
        <v>492</v>
      </c>
      <c r="D29">
        <v>2</v>
      </c>
      <c r="E29" t="s">
        <v>708</v>
      </c>
      <c r="F29">
        <f>IF(E29=0,0,VLOOKUP(E29,Sheet1!$A$1:$B$148,2,FALSE))</f>
        <v>260</v>
      </c>
      <c r="H29" t="s">
        <v>20</v>
      </c>
      <c r="I29">
        <f>IF(H29=0,0,VLOOKUP(H29,Sheet1!$A$1:$B$148,2,FALSE))</f>
        <v>125</v>
      </c>
      <c r="L29">
        <f>IF(K29=0,0,VLOOKUP(K29,Sheet1!$A$1:$B$148,2,FALSE))</f>
        <v>0</v>
      </c>
      <c r="O29">
        <f>IF(N29=0,0,VLOOKUP(N29,Sheet1!$A$1:$B$148,2,FALSE))</f>
        <v>0</v>
      </c>
    </row>
    <row r="30" spans="1:15" x14ac:dyDescent="0.15">
      <c r="A30" t="s">
        <v>712</v>
      </c>
      <c r="B30">
        <f t="shared" si="0"/>
        <v>308</v>
      </c>
      <c r="C30">
        <f t="shared" si="1"/>
        <v>394</v>
      </c>
      <c r="D30">
        <v>2</v>
      </c>
      <c r="E30" t="s">
        <v>19</v>
      </c>
      <c r="F30">
        <f>IF(E30=0,0,VLOOKUP(E30,Sheet1!$A$1:$B$148,2,FALSE))</f>
        <v>208</v>
      </c>
      <c r="H30" t="s">
        <v>724</v>
      </c>
      <c r="I30">
        <f>IF(H30=0,0,VLOOKUP(H30,Sheet1!$A$1:$B$148,2,FALSE))</f>
        <v>100</v>
      </c>
      <c r="L30">
        <f>IF(K30=0,0,VLOOKUP(K30,Sheet1!$A$1:$B$148,2,FALSE))</f>
        <v>0</v>
      </c>
      <c r="O30">
        <f>IF(N30=0,0,VLOOKUP(N30,Sheet1!$A$1:$B$148,2,FALSE))</f>
        <v>0</v>
      </c>
    </row>
    <row r="31" spans="1:15" x14ac:dyDescent="0.15">
      <c r="A31" t="s">
        <v>713</v>
      </c>
      <c r="B31">
        <f t="shared" si="0"/>
        <v>220</v>
      </c>
      <c r="C31">
        <f t="shared" si="1"/>
        <v>281</v>
      </c>
      <c r="D31">
        <v>2</v>
      </c>
      <c r="E31" t="s">
        <v>646</v>
      </c>
      <c r="F31">
        <f>IF(E31=0,0,VLOOKUP(E31,Sheet1!$A$1:$B$148,2,FALSE))</f>
        <v>120</v>
      </c>
      <c r="H31" t="s">
        <v>724</v>
      </c>
      <c r="I31">
        <f>IF(H31=0,0,VLOOKUP(H31,Sheet1!$A$1:$B$148,2,FALSE))</f>
        <v>100</v>
      </c>
      <c r="L31">
        <f>IF(K31=0,0,VLOOKUP(K31,Sheet1!$A$1:$B$148,2,FALSE))</f>
        <v>0</v>
      </c>
      <c r="O31">
        <f>IF(N31=0,0,VLOOKUP(N31,Sheet1!$A$1:$B$148,2,FALSE))</f>
        <v>0</v>
      </c>
    </row>
    <row r="32" spans="1:15" x14ac:dyDescent="0.15">
      <c r="A32" t="s">
        <v>714</v>
      </c>
      <c r="B32">
        <f t="shared" si="0"/>
        <v>308</v>
      </c>
      <c r="C32">
        <f t="shared" si="1"/>
        <v>394</v>
      </c>
      <c r="D32">
        <v>2</v>
      </c>
      <c r="E32" t="s">
        <v>667</v>
      </c>
      <c r="F32">
        <f>IF(E32=0,0,VLOOKUP(E32,Sheet1!$A$1:$B$148,2,FALSE))</f>
        <v>208</v>
      </c>
      <c r="H32" t="s">
        <v>724</v>
      </c>
      <c r="I32">
        <f>IF(H32=0,0,VLOOKUP(H32,Sheet1!$A$1:$B$148,2,FALSE))</f>
        <v>100</v>
      </c>
      <c r="L32">
        <f>IF(K32=0,0,VLOOKUP(K32,Sheet1!$A$1:$B$148,2,FALSE))</f>
        <v>0</v>
      </c>
      <c r="O32">
        <f>IF(N32=0,0,VLOOKUP(N32,Sheet1!$A$1:$B$148,2,FALSE))</f>
        <v>0</v>
      </c>
    </row>
    <row r="33" spans="1:15" x14ac:dyDescent="0.15">
      <c r="A33" t="s">
        <v>715</v>
      </c>
      <c r="B33">
        <f t="shared" si="0"/>
        <v>688</v>
      </c>
      <c r="C33">
        <f t="shared" si="1"/>
        <v>990</v>
      </c>
      <c r="D33">
        <v>4</v>
      </c>
      <c r="E33" t="s">
        <v>14</v>
      </c>
      <c r="F33">
        <f>IF(E33=0,0,VLOOKUP(E33,Sheet1!$A$1:$B$148,2,FALSE))</f>
        <v>165</v>
      </c>
      <c r="H33" t="s">
        <v>646</v>
      </c>
      <c r="I33">
        <f>IF(H33=0,0,VLOOKUP(H33,Sheet1!$A$1:$B$148,2,FALSE))</f>
        <v>120</v>
      </c>
      <c r="K33" t="s">
        <v>19</v>
      </c>
      <c r="L33">
        <f>IF(K33=0,0,VLOOKUP(K33,Sheet1!$A$1:$B$148,2,FALSE))</f>
        <v>208</v>
      </c>
      <c r="N33" t="s">
        <v>16</v>
      </c>
      <c r="O33">
        <f>IF(N33=0,0,VLOOKUP(N33,Sheet1!$A$1:$B$148,2,FALSE))</f>
        <v>195</v>
      </c>
    </row>
    <row r="34" spans="1:15" x14ac:dyDescent="0.15">
      <c r="A34" t="s">
        <v>716</v>
      </c>
      <c r="B34">
        <f t="shared" si="0"/>
        <v>565</v>
      </c>
      <c r="C34">
        <f t="shared" si="1"/>
        <v>813</v>
      </c>
      <c r="D34">
        <v>4</v>
      </c>
      <c r="E34" t="s">
        <v>669</v>
      </c>
      <c r="F34">
        <f>IF(E34=0,0,VLOOKUP(E34,Sheet1!$A$1:$B$148,2,FALSE))</f>
        <v>208</v>
      </c>
      <c r="H34" t="s">
        <v>14</v>
      </c>
      <c r="I34">
        <f>IF(H34=0,0,VLOOKUP(H34,Sheet1!$A$1:$B$148,2,FALSE))</f>
        <v>165</v>
      </c>
      <c r="K34" t="s">
        <v>647</v>
      </c>
      <c r="L34">
        <f>IF(K34=0,0,VLOOKUP(K34,Sheet1!$A$1:$B$148,2,FALSE))</f>
        <v>120</v>
      </c>
      <c r="N34" t="s">
        <v>631</v>
      </c>
      <c r="O34">
        <f>IF(N34=0,0,VLOOKUP(N34,Sheet1!$A$1:$B$148,2,FALSE))</f>
        <v>72</v>
      </c>
    </row>
    <row r="35" spans="1:15" x14ac:dyDescent="0.15">
      <c r="A35" t="s">
        <v>583</v>
      </c>
      <c r="B35">
        <f t="shared" si="0"/>
        <v>820</v>
      </c>
      <c r="C35">
        <f t="shared" si="1"/>
        <v>1115</v>
      </c>
      <c r="D35">
        <v>3</v>
      </c>
      <c r="E35" t="s">
        <v>702</v>
      </c>
      <c r="F35">
        <f>IF(E35=0,0,VLOOKUP(E35,Sheet1!$A$1:$B$148,2,FALSE))</f>
        <v>660</v>
      </c>
      <c r="H35" t="s">
        <v>724</v>
      </c>
      <c r="I35">
        <f>IF(H35=0,0,VLOOKUP(H35,Sheet1!$A$1:$B$148,2,FALSE))</f>
        <v>100</v>
      </c>
      <c r="K35" t="s">
        <v>624</v>
      </c>
      <c r="L35">
        <f>IF(K35=0,0,VLOOKUP(K35,Sheet1!$A$1:$B$148,2,FALSE))</f>
        <v>60</v>
      </c>
      <c r="O35">
        <f>IF(N35=0,0,VLOOKUP(N35,Sheet1!$A$1:$B$148,2,FALSE))</f>
        <v>0</v>
      </c>
    </row>
    <row r="36" spans="1:15" x14ac:dyDescent="0.15">
      <c r="A36" t="s">
        <v>717</v>
      </c>
      <c r="B36">
        <f t="shared" si="0"/>
        <v>430</v>
      </c>
      <c r="C36">
        <f t="shared" si="1"/>
        <v>584</v>
      </c>
      <c r="D36">
        <v>3</v>
      </c>
      <c r="E36" t="s">
        <v>694</v>
      </c>
      <c r="F36">
        <f>IF(E36=0,0,VLOOKUP(E36,Sheet1!$A$1:$B$148,2,FALSE))</f>
        <v>220</v>
      </c>
      <c r="H36" t="s">
        <v>724</v>
      </c>
      <c r="I36">
        <f>IF(H36=0,0,VLOOKUP(H36,Sheet1!$A$1:$B$148,2,FALSE))</f>
        <v>100</v>
      </c>
      <c r="K36" t="s">
        <v>639</v>
      </c>
      <c r="L36">
        <f>IF(K36=0,0,VLOOKUP(K36,Sheet1!$A$1:$B$148,2,FALSE))</f>
        <v>110</v>
      </c>
      <c r="O36">
        <f>IF(N36=0,0,VLOOKUP(N36,Sheet1!$A$1:$B$148,2,FALSE))</f>
        <v>0</v>
      </c>
    </row>
    <row r="37" spans="1:15" x14ac:dyDescent="0.15">
      <c r="A37" t="s">
        <v>718</v>
      </c>
      <c r="B37">
        <f t="shared" si="0"/>
        <v>382</v>
      </c>
      <c r="C37">
        <f t="shared" si="1"/>
        <v>519</v>
      </c>
      <c r="D37">
        <v>3</v>
      </c>
      <c r="E37" t="s">
        <v>694</v>
      </c>
      <c r="F37">
        <f>IF(E37=0,0,VLOOKUP(E37,Sheet1!$A$1:$B$148,2,FALSE))</f>
        <v>220</v>
      </c>
      <c r="H37" t="s">
        <v>634</v>
      </c>
      <c r="I37">
        <f>IF(H37=0,0,VLOOKUP(H37,Sheet1!$A$1:$B$148,2,FALSE))</f>
        <v>90</v>
      </c>
      <c r="K37" t="s">
        <v>631</v>
      </c>
      <c r="L37">
        <f>IF(K37=0,0,VLOOKUP(K37,Sheet1!$A$1:$B$148,2,FALSE))</f>
        <v>72</v>
      </c>
      <c r="O37">
        <f>IF(N37=0,0,VLOOKUP(N37,Sheet1!$A$1:$B$148,2,FALSE))</f>
        <v>0</v>
      </c>
    </row>
    <row r="40" spans="1:15" x14ac:dyDescent="0.15">
      <c r="A40" t="s">
        <v>22</v>
      </c>
      <c r="C40" t="s">
        <v>731</v>
      </c>
      <c r="E40" t="s">
        <v>22</v>
      </c>
      <c r="F40" t="str">
        <f>VLOOKUP(E40,$A$40:$C$69,3,FALSE)</f>
        <v>1,17</v>
      </c>
    </row>
    <row r="41" spans="1:15" x14ac:dyDescent="0.15">
      <c r="A41" t="s">
        <v>26</v>
      </c>
      <c r="C41" t="s">
        <v>732</v>
      </c>
      <c r="E41" t="s">
        <v>23</v>
      </c>
      <c r="F41" t="str">
        <f t="shared" ref="F41:F69" si="2">VLOOKUP(E41,$A$40:$C$69,3,FALSE)</f>
        <v>1,36</v>
      </c>
    </row>
    <row r="42" spans="1:15" x14ac:dyDescent="0.15">
      <c r="A42" t="s">
        <v>32</v>
      </c>
      <c r="C42" t="s">
        <v>733</v>
      </c>
      <c r="E42" t="s">
        <v>24</v>
      </c>
      <c r="F42" t="str">
        <f t="shared" si="2"/>
        <v>1,72</v>
      </c>
    </row>
    <row r="43" spans="1:15" x14ac:dyDescent="0.15">
      <c r="A43" t="s">
        <v>581</v>
      </c>
      <c r="C43" t="s">
        <v>734</v>
      </c>
      <c r="E43" t="s">
        <v>25</v>
      </c>
      <c r="F43" t="str">
        <f t="shared" si="2"/>
        <v>1,63</v>
      </c>
    </row>
    <row r="44" spans="1:15" x14ac:dyDescent="0.15">
      <c r="A44" t="s">
        <v>23</v>
      </c>
      <c r="C44" t="s">
        <v>735</v>
      </c>
      <c r="E44" t="s">
        <v>26</v>
      </c>
      <c r="F44" t="str">
        <f t="shared" si="2"/>
        <v>1,22;8,10</v>
      </c>
    </row>
    <row r="45" spans="1:15" x14ac:dyDescent="0.15">
      <c r="A45" t="s">
        <v>28</v>
      </c>
      <c r="C45" t="s">
        <v>736</v>
      </c>
      <c r="E45" t="s">
        <v>27</v>
      </c>
      <c r="F45" t="str">
        <f t="shared" si="2"/>
        <v>1,43;8,12</v>
      </c>
    </row>
    <row r="46" spans="1:15" x14ac:dyDescent="0.15">
      <c r="A46" t="s">
        <v>27</v>
      </c>
      <c r="C46" t="s">
        <v>737</v>
      </c>
      <c r="E46" t="s">
        <v>28</v>
      </c>
      <c r="F46" t="str">
        <f t="shared" si="2"/>
        <v>1,36;8,12</v>
      </c>
    </row>
    <row r="47" spans="1:15" x14ac:dyDescent="0.15">
      <c r="A47" t="s">
        <v>29</v>
      </c>
      <c r="C47" t="s">
        <v>738</v>
      </c>
      <c r="E47" t="s">
        <v>29</v>
      </c>
      <c r="F47" t="str">
        <f t="shared" si="2"/>
        <v>1,50;9,12</v>
      </c>
    </row>
    <row r="48" spans="1:15" x14ac:dyDescent="0.15">
      <c r="A48" t="s">
        <v>30</v>
      </c>
      <c r="C48" t="s">
        <v>739</v>
      </c>
      <c r="E48" t="s">
        <v>30</v>
      </c>
      <c r="F48" t="str">
        <f t="shared" si="2"/>
        <v>1,54;9,12</v>
      </c>
    </row>
    <row r="49" spans="1:6" x14ac:dyDescent="0.15">
      <c r="A49" t="s">
        <v>25</v>
      </c>
      <c r="C49" t="s">
        <v>740</v>
      </c>
      <c r="E49" t="s">
        <v>31</v>
      </c>
      <c r="F49" t="str">
        <f t="shared" si="2"/>
        <v>1,65;9,14</v>
      </c>
    </row>
    <row r="50" spans="1:6" x14ac:dyDescent="0.15">
      <c r="A50" t="s">
        <v>33</v>
      </c>
      <c r="C50" t="s">
        <v>741</v>
      </c>
      <c r="E50" t="s">
        <v>32</v>
      </c>
      <c r="F50" t="str">
        <f t="shared" si="2"/>
        <v>1,29;8,4;9,6</v>
      </c>
    </row>
    <row r="51" spans="1:6" x14ac:dyDescent="0.15">
      <c r="A51" t="s">
        <v>579</v>
      </c>
      <c r="C51" t="s">
        <v>742</v>
      </c>
      <c r="E51" t="s">
        <v>33</v>
      </c>
      <c r="F51" t="str">
        <f t="shared" si="2"/>
        <v>1,51;8,6;9,6</v>
      </c>
    </row>
    <row r="52" spans="1:6" x14ac:dyDescent="0.15">
      <c r="A52" t="s">
        <v>34</v>
      </c>
      <c r="C52" t="s">
        <v>743</v>
      </c>
      <c r="E52" t="s">
        <v>579</v>
      </c>
      <c r="F52" t="str">
        <f t="shared" si="2"/>
        <v>1,58;8,6;9,6</v>
      </c>
    </row>
    <row r="53" spans="1:6" x14ac:dyDescent="0.15">
      <c r="A53" t="s">
        <v>24</v>
      </c>
      <c r="C53" t="s">
        <v>744</v>
      </c>
      <c r="E53" t="s">
        <v>581</v>
      </c>
      <c r="F53" t="str">
        <f t="shared" si="2"/>
        <v>1,32;8,4;9,6</v>
      </c>
    </row>
    <row r="54" spans="1:6" x14ac:dyDescent="0.15">
      <c r="A54" t="s">
        <v>31</v>
      </c>
      <c r="C54" t="s">
        <v>745</v>
      </c>
      <c r="E54" t="s">
        <v>34</v>
      </c>
      <c r="F54" t="str">
        <f t="shared" si="2"/>
        <v>1,58;9,14</v>
      </c>
    </row>
    <row r="55" spans="1:6" x14ac:dyDescent="0.15">
      <c r="A55" t="s">
        <v>46</v>
      </c>
      <c r="C55" t="s">
        <v>746</v>
      </c>
      <c r="E55" t="s">
        <v>607</v>
      </c>
      <c r="F55" t="str">
        <f t="shared" si="2"/>
        <v>2,11;8,10</v>
      </c>
    </row>
    <row r="56" spans="1:6" x14ac:dyDescent="0.15">
      <c r="A56" t="s">
        <v>607</v>
      </c>
      <c r="C56" t="s">
        <v>747</v>
      </c>
      <c r="E56" t="s">
        <v>608</v>
      </c>
      <c r="F56" t="str">
        <f t="shared" si="2"/>
        <v>2,14</v>
      </c>
    </row>
    <row r="57" spans="1:6" x14ac:dyDescent="0.15">
      <c r="A57" t="s">
        <v>608</v>
      </c>
      <c r="C57" t="s">
        <v>748</v>
      </c>
      <c r="E57" t="s">
        <v>614</v>
      </c>
      <c r="F57" t="str">
        <f t="shared" si="2"/>
        <v>2,42</v>
      </c>
    </row>
    <row r="58" spans="1:6" x14ac:dyDescent="0.15">
      <c r="A58" t="s">
        <v>609</v>
      </c>
      <c r="C58" t="s">
        <v>749</v>
      </c>
      <c r="E58" t="s">
        <v>609</v>
      </c>
      <c r="F58" t="str">
        <f t="shared" si="2"/>
        <v>2,18;8,10</v>
      </c>
    </row>
    <row r="59" spans="1:6" x14ac:dyDescent="0.15">
      <c r="A59" t="s">
        <v>661</v>
      </c>
      <c r="C59" t="s">
        <v>750</v>
      </c>
      <c r="E59" t="s">
        <v>661</v>
      </c>
      <c r="F59" t="str">
        <f t="shared" si="2"/>
        <v>2,23</v>
      </c>
    </row>
    <row r="60" spans="1:6" x14ac:dyDescent="0.15">
      <c r="A60" t="s">
        <v>612</v>
      </c>
      <c r="C60" t="s">
        <v>751</v>
      </c>
      <c r="E60" t="s">
        <v>573</v>
      </c>
      <c r="F60" t="str">
        <f t="shared" si="2"/>
        <v>2,45</v>
      </c>
    </row>
    <row r="61" spans="1:6" x14ac:dyDescent="0.15">
      <c r="A61" t="s">
        <v>613</v>
      </c>
      <c r="C61" t="s">
        <v>752</v>
      </c>
      <c r="E61" t="s">
        <v>612</v>
      </c>
      <c r="F61" t="str">
        <f t="shared" si="2"/>
        <v>2,24;8,11</v>
      </c>
    </row>
    <row r="62" spans="1:6" x14ac:dyDescent="0.15">
      <c r="A62" t="s">
        <v>614</v>
      </c>
      <c r="C62" t="s">
        <v>753</v>
      </c>
      <c r="E62" t="s">
        <v>613</v>
      </c>
      <c r="F62" t="str">
        <f t="shared" si="2"/>
        <v>2,38</v>
      </c>
    </row>
    <row r="63" spans="1:6" x14ac:dyDescent="0.15">
      <c r="A63" t="s">
        <v>47</v>
      </c>
      <c r="C63" t="s">
        <v>754</v>
      </c>
      <c r="E63" t="s">
        <v>618</v>
      </c>
      <c r="F63" t="str">
        <f t="shared" si="2"/>
        <v>2,54;8,14</v>
      </c>
    </row>
    <row r="64" spans="1:6" x14ac:dyDescent="0.15">
      <c r="A64" t="s">
        <v>43</v>
      </c>
      <c r="C64" t="s">
        <v>755</v>
      </c>
      <c r="E64" t="s">
        <v>43</v>
      </c>
      <c r="F64" t="str">
        <f t="shared" si="2"/>
        <v>2,36;8,13</v>
      </c>
    </row>
    <row r="65" spans="1:6" x14ac:dyDescent="0.15">
      <c r="A65" t="s">
        <v>45</v>
      </c>
      <c r="C65" t="s">
        <v>756</v>
      </c>
      <c r="E65" t="s">
        <v>44</v>
      </c>
      <c r="F65" t="str">
        <f t="shared" si="2"/>
        <v>2,60</v>
      </c>
    </row>
    <row r="66" spans="1:6" x14ac:dyDescent="0.15">
      <c r="A66" t="s">
        <v>573</v>
      </c>
      <c r="C66" t="s">
        <v>757</v>
      </c>
      <c r="E66" t="s">
        <v>761</v>
      </c>
      <c r="F66" t="str">
        <f t="shared" si="2"/>
        <v>2,53</v>
      </c>
    </row>
    <row r="67" spans="1:6" x14ac:dyDescent="0.15">
      <c r="A67" t="s">
        <v>761</v>
      </c>
      <c r="C67" t="s">
        <v>758</v>
      </c>
      <c r="E67" t="s">
        <v>45</v>
      </c>
      <c r="F67" t="str">
        <f t="shared" si="2"/>
        <v>2,39;8,13</v>
      </c>
    </row>
    <row r="68" spans="1:6" x14ac:dyDescent="0.15">
      <c r="A68" t="s">
        <v>44</v>
      </c>
      <c r="C68" t="s">
        <v>759</v>
      </c>
      <c r="E68" t="s">
        <v>46</v>
      </c>
      <c r="F68" t="str">
        <f t="shared" si="2"/>
        <v>2,48;8,14</v>
      </c>
    </row>
    <row r="69" spans="1:6" x14ac:dyDescent="0.15">
      <c r="A69" t="s">
        <v>618</v>
      </c>
      <c r="C69" t="s">
        <v>760</v>
      </c>
      <c r="E69" t="s">
        <v>47</v>
      </c>
      <c r="F69" t="str">
        <f t="shared" si="2"/>
        <v>2,30;8,12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item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flyer</cp:lastModifiedBy>
  <dcterms:created xsi:type="dcterms:W3CDTF">2018-01-26T12:49:06Z</dcterms:created>
  <dcterms:modified xsi:type="dcterms:W3CDTF">2024-05-06T01:59:43Z</dcterms:modified>
</cp:coreProperties>
</file>