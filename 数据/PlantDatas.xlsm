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une Factory\数据\"/>
    </mc:Choice>
  </mc:AlternateContent>
  <bookViews>
    <workbookView xWindow="240" yWindow="135" windowWidth="9675" windowHeight="7380" activeTab="2"/>
  </bookViews>
  <sheets>
    <sheet name="PlantDatas" sheetId="1" r:id="rId1"/>
    <sheet name="Sheet1" sheetId="2" r:id="rId2"/>
    <sheet name="Sheet2" sheetId="3" r:id="rId3"/>
  </sheets>
  <definedNames>
    <definedName name="_xlnm._FilterDatabase" localSheetId="0" hidden="1">PlantDatas!$A$3:$E$3</definedName>
    <definedName name="_xlnm._FilterDatabase" localSheetId="1" hidden="1">Sheet1!$I$2:$J$2</definedName>
  </definedNames>
  <calcPr calcId="152511"/>
</workbook>
</file>

<file path=xl/calcChain.xml><?xml version="1.0" encoding="utf-8"?>
<calcChain xmlns="http://schemas.openxmlformats.org/spreadsheetml/2006/main">
  <c r="C5" i="3" l="1"/>
  <c r="C6" i="3"/>
  <c r="I6" i="3" s="1"/>
  <c r="C7" i="3"/>
  <c r="H7" i="3" s="1"/>
  <c r="C8" i="3"/>
  <c r="H8" i="3" s="1"/>
  <c r="C9" i="3"/>
  <c r="C10" i="3"/>
  <c r="C11" i="3"/>
  <c r="C12" i="3"/>
  <c r="C13" i="3"/>
  <c r="I13" i="3" s="1"/>
  <c r="H5" i="3"/>
  <c r="H10" i="3"/>
  <c r="H11" i="3"/>
  <c r="I9" i="3"/>
  <c r="I10" i="3"/>
  <c r="I12" i="3"/>
  <c r="H6" i="3"/>
  <c r="H9" i="3"/>
  <c r="H12" i="3"/>
  <c r="G6" i="3"/>
  <c r="G7" i="3"/>
  <c r="G8" i="3"/>
  <c r="G9" i="3"/>
  <c r="G10" i="3"/>
  <c r="G11" i="3"/>
  <c r="G12" i="3"/>
  <c r="G13" i="3"/>
  <c r="G5" i="3"/>
  <c r="E13" i="3"/>
  <c r="E7" i="3"/>
  <c r="E8" i="3"/>
  <c r="E9" i="3" s="1"/>
  <c r="E10" i="3" s="1"/>
  <c r="E11" i="3" s="1"/>
  <c r="E12" i="3" s="1"/>
  <c r="E6" i="3"/>
  <c r="I8" i="3" l="1"/>
  <c r="I7" i="3"/>
  <c r="I11" i="3"/>
  <c r="H13" i="3"/>
  <c r="I5" i="3"/>
  <c r="E3" i="2"/>
  <c r="E4" i="2"/>
  <c r="E5" i="2"/>
  <c r="E6" i="2"/>
  <c r="E7" i="2"/>
  <c r="E8" i="2"/>
  <c r="E9" i="2"/>
  <c r="E10" i="2"/>
  <c r="E11" i="2"/>
  <c r="E2" i="2"/>
  <c r="F4" i="2"/>
  <c r="F5" i="2"/>
  <c r="F6" i="2" s="1"/>
  <c r="F7" i="2" s="1"/>
  <c r="F8" i="2" s="1"/>
  <c r="F9" i="2" s="1"/>
  <c r="F10" i="2" s="1"/>
  <c r="F11" i="2" s="1"/>
  <c r="F3" i="2"/>
  <c r="G4" i="2"/>
  <c r="G5" i="2"/>
  <c r="G6" i="2" s="1"/>
  <c r="G7" i="2" s="1"/>
  <c r="G8" i="2" s="1"/>
  <c r="G9" i="2" s="1"/>
  <c r="G10" i="2" s="1"/>
  <c r="G11" i="2" s="1"/>
  <c r="G3" i="2"/>
  <c r="M28" i="2" l="1"/>
  <c r="M29" i="2"/>
  <c r="M30" i="2"/>
  <c r="M31" i="2"/>
  <c r="M32" i="2"/>
  <c r="M33" i="2"/>
  <c r="M27" i="2"/>
  <c r="M16" i="2"/>
  <c r="M17" i="2"/>
  <c r="M18" i="2"/>
  <c r="M19" i="2"/>
  <c r="M20" i="2"/>
  <c r="M21" i="2"/>
  <c r="M22" i="2"/>
  <c r="M23" i="2"/>
  <c r="M24" i="2"/>
  <c r="M25" i="2"/>
  <c r="M15" i="2"/>
  <c r="M4" i="2"/>
  <c r="M5" i="2"/>
  <c r="M6" i="2"/>
  <c r="M7" i="2"/>
  <c r="M8" i="2"/>
  <c r="M9" i="2"/>
  <c r="M10" i="2"/>
  <c r="M11" i="2"/>
  <c r="M3" i="2"/>
</calcChain>
</file>

<file path=xl/sharedStrings.xml><?xml version="1.0" encoding="utf-8"?>
<sst xmlns="http://schemas.openxmlformats.org/spreadsheetml/2006/main" count="278" uniqueCount="183">
  <si>
    <t>int</t>
    <phoneticPr fontId="1" type="noConversion"/>
  </si>
  <si>
    <t>string</t>
    <phoneticPr fontId="1" type="noConversion"/>
  </si>
  <si>
    <t>name</t>
    <phoneticPr fontId="1" type="noConversion"/>
  </si>
  <si>
    <t>SeedId</t>
  </si>
  <si>
    <t>fruitId</t>
  </si>
  <si>
    <t>fruitIdNum</t>
  </si>
  <si>
    <t>GrowthDays</t>
  </si>
  <si>
    <t>AdvantageSeasons</t>
  </si>
  <si>
    <t>SeedGameObjectName</t>
  </si>
  <si>
    <t>GrowthGameObjectNames</t>
  </si>
  <si>
    <t>卷心菜</t>
  </si>
  <si>
    <t>南瓜</t>
  </si>
  <si>
    <t>黄瓜</t>
  </si>
  <si>
    <t>玉米</t>
  </si>
  <si>
    <t>番茄</t>
  </si>
  <si>
    <t>茄子</t>
  </si>
  <si>
    <t>马铃薯</t>
  </si>
  <si>
    <t>胡萝卜</t>
  </si>
  <si>
    <t>芜菁</t>
  </si>
  <si>
    <t>萝卜</t>
  </si>
  <si>
    <t>大葱</t>
  </si>
  <si>
    <t>甘蓝</t>
  </si>
  <si>
    <t>葡萄</t>
  </si>
  <si>
    <t>蓝莓</t>
  </si>
  <si>
    <t>辣椒</t>
  </si>
  <si>
    <t>大蒜</t>
  </si>
  <si>
    <t>草莓</t>
  </si>
  <si>
    <t>牧草</t>
  </si>
  <si>
    <t>1,2</t>
    <phoneticPr fontId="1" type="noConversion"/>
  </si>
  <si>
    <t>2,3</t>
    <phoneticPr fontId="1" type="noConversion"/>
  </si>
  <si>
    <t>1,4</t>
    <phoneticPr fontId="1" type="noConversion"/>
  </si>
  <si>
    <t>1,2,3</t>
    <phoneticPr fontId="1" type="noConversion"/>
  </si>
  <si>
    <t>seed2</t>
  </si>
  <si>
    <t>seed12</t>
  </si>
  <si>
    <t>seed1</t>
  </si>
  <si>
    <t>seed11</t>
  </si>
  <si>
    <t>seed13</t>
  </si>
  <si>
    <t>seed3</t>
  </si>
  <si>
    <t>seed10</t>
  </si>
  <si>
    <t>seed6</t>
  </si>
  <si>
    <t>seed14</t>
  </si>
  <si>
    <t>seed5</t>
  </si>
  <si>
    <t>seed4</t>
  </si>
  <si>
    <t>seed9</t>
  </si>
  <si>
    <t>seed17</t>
  </si>
  <si>
    <t>seed16</t>
  </si>
  <si>
    <t>seed8</t>
  </si>
  <si>
    <t>seed0</t>
  </si>
  <si>
    <t>seed15</t>
  </si>
  <si>
    <t>seed7</t>
  </si>
  <si>
    <t>p8_4</t>
    <phoneticPr fontId="1" type="noConversion"/>
  </si>
  <si>
    <t>p16_5</t>
  </si>
  <si>
    <t>p1_4</t>
  </si>
  <si>
    <t>p9_5</t>
  </si>
  <si>
    <t>p17_5</t>
  </si>
  <si>
    <t>p18_5</t>
  </si>
  <si>
    <t>p10_5</t>
  </si>
  <si>
    <t>p5_4</t>
  </si>
  <si>
    <t>p6_5</t>
  </si>
  <si>
    <t>p15_4</t>
  </si>
  <si>
    <t>p7_5</t>
  </si>
  <si>
    <t>p11_5</t>
  </si>
  <si>
    <t>p14_5</t>
  </si>
  <si>
    <t>p12_6</t>
    <phoneticPr fontId="1" type="noConversion"/>
  </si>
  <si>
    <t>p13_5</t>
  </si>
  <si>
    <t>p4_5</t>
  </si>
  <si>
    <t>p2_6</t>
  </si>
  <si>
    <t>p3_5</t>
  </si>
  <si>
    <t>MatureGameObjectName</t>
    <phoneticPr fontId="1" type="noConversion"/>
  </si>
  <si>
    <t>p2_1,p2_2,p2_3,p2_4,p2_5</t>
  </si>
  <si>
    <t>p12_1,p12_2,p12_3,p12_4,p12_5</t>
  </si>
  <si>
    <t>p3_1,p3_2,p3_3,p3_4</t>
    <phoneticPr fontId="1" type="noConversion"/>
  </si>
  <si>
    <t>p13_1,p13_2,p13_3,p13_4</t>
    <phoneticPr fontId="1" type="noConversion"/>
  </si>
  <si>
    <t>p14_1,p14_2,p14_3,p14_4</t>
    <phoneticPr fontId="1" type="noConversion"/>
  </si>
  <si>
    <t>p11_1,p11_2,p11_3,p11_4</t>
    <phoneticPr fontId="1" type="noConversion"/>
  </si>
  <si>
    <t>p4_1,p4_2,p4_3,p4_4</t>
    <phoneticPr fontId="1" type="noConversion"/>
  </si>
  <si>
    <t>p7_1,p7_2,p7_3,p7_4</t>
    <phoneticPr fontId="1" type="noConversion"/>
  </si>
  <si>
    <t>p15_1,p15_2,p15_3</t>
    <phoneticPr fontId="1" type="noConversion"/>
  </si>
  <si>
    <t>p6_1,p6_2,p6_3,p6_4</t>
    <phoneticPr fontId="1" type="noConversion"/>
  </si>
  <si>
    <t>p5_1,p5_2,p5_3</t>
    <phoneticPr fontId="1" type="noConversion"/>
  </si>
  <si>
    <t>p10_1,p10_2,p10_3,p10_4</t>
    <phoneticPr fontId="1" type="noConversion"/>
  </si>
  <si>
    <t>p18_1,p18_2,p18_3,p18_4</t>
    <phoneticPr fontId="1" type="noConversion"/>
  </si>
  <si>
    <t>p17_1,p17_2,p17_3,p17_4</t>
    <phoneticPr fontId="1" type="noConversion"/>
  </si>
  <si>
    <t>p9_1,p9_2,p9_3,p9_4</t>
    <phoneticPr fontId="1" type="noConversion"/>
  </si>
  <si>
    <t>p1_1,p1_2,p1_3</t>
    <phoneticPr fontId="1" type="noConversion"/>
  </si>
  <si>
    <t>p16_1,p16_2,p16_3,p16_4</t>
    <phoneticPr fontId="1" type="noConversion"/>
  </si>
  <si>
    <t>p8_1,p8_2,p8_3</t>
    <phoneticPr fontId="1" type="noConversion"/>
  </si>
  <si>
    <t>开放等级</t>
    <phoneticPr fontId="1" type="noConversion"/>
  </si>
  <si>
    <t>甘蓝</t>
    <phoneticPr fontId="1" type="noConversion"/>
  </si>
  <si>
    <t>新手农夫</t>
    <phoneticPr fontId="1" type="noConversion"/>
  </si>
  <si>
    <t>入门农夫</t>
    <phoneticPr fontId="1" type="noConversion"/>
  </si>
  <si>
    <t>老练农夫</t>
    <phoneticPr fontId="1" type="noConversion"/>
  </si>
  <si>
    <t>专业农夫</t>
    <phoneticPr fontId="1" type="noConversion"/>
  </si>
  <si>
    <t>精英农夫</t>
    <phoneticPr fontId="1" type="noConversion"/>
  </si>
  <si>
    <t>大师农夫</t>
    <phoneticPr fontId="1" type="noConversion"/>
  </si>
  <si>
    <t>天才农夫</t>
    <phoneticPr fontId="1" type="noConversion"/>
  </si>
  <si>
    <t>神级农夫</t>
    <phoneticPr fontId="1" type="noConversion"/>
  </si>
  <si>
    <t>动物之友</t>
    <phoneticPr fontId="1" type="noConversion"/>
  </si>
  <si>
    <t>动物之神</t>
    <phoneticPr fontId="1" type="noConversion"/>
  </si>
  <si>
    <t>生疏饲养者</t>
    <phoneticPr fontId="1" type="noConversion"/>
  </si>
  <si>
    <t>老练饲养者</t>
    <phoneticPr fontId="1" type="noConversion"/>
  </si>
  <si>
    <t>饲养大师</t>
    <phoneticPr fontId="1" type="noConversion"/>
  </si>
  <si>
    <t>饲养天才</t>
    <phoneticPr fontId="1" type="noConversion"/>
  </si>
  <si>
    <t>生疏的渔夫</t>
    <phoneticPr fontId="1" type="noConversion"/>
  </si>
  <si>
    <t>熟练的渔夫</t>
    <phoneticPr fontId="1" type="noConversion"/>
  </si>
  <si>
    <t>专业的渔夫</t>
    <phoneticPr fontId="1" type="noConversion"/>
  </si>
  <si>
    <t>天才的渔夫</t>
    <phoneticPr fontId="1" type="noConversion"/>
  </si>
  <si>
    <t>沙丁鱼猎手</t>
  </si>
  <si>
    <t>鱿鱼猎手</t>
  </si>
  <si>
    <t>鳗鱼猎手</t>
  </si>
  <si>
    <t>河蚌猎手</t>
  </si>
  <si>
    <t>金枪鱼猎手</t>
  </si>
  <si>
    <t>龙虾猎手</t>
  </si>
  <si>
    <t>鲱鱼猎手</t>
  </si>
  <si>
    <t>海参猎手</t>
  </si>
  <si>
    <t>鲟鱼猎手</t>
  </si>
  <si>
    <t>比目鱼猎手</t>
  </si>
  <si>
    <t>鲑鱼猎手</t>
  </si>
  <si>
    <t>鲶鱼猎手</t>
  </si>
  <si>
    <t>鳟鱼猎手</t>
  </si>
  <si>
    <t>河豚猎手</t>
  </si>
  <si>
    <t>螃蟹猎手</t>
  </si>
  <si>
    <t>罐头盒猎手</t>
  </si>
  <si>
    <t>海鲜天敌</t>
    <phoneticPr fontId="1" type="noConversion"/>
  </si>
  <si>
    <t>新手商人</t>
    <phoneticPr fontId="1" type="noConversion"/>
  </si>
  <si>
    <t>入门商人</t>
    <phoneticPr fontId="1" type="noConversion"/>
  </si>
  <si>
    <t>老练商人</t>
    <phoneticPr fontId="1" type="noConversion"/>
  </si>
  <si>
    <t>天才商人</t>
    <phoneticPr fontId="1" type="noConversion"/>
  </si>
  <si>
    <t>商界传奇</t>
    <phoneticPr fontId="1" type="noConversion"/>
  </si>
  <si>
    <t>经商之神</t>
    <phoneticPr fontId="1" type="noConversion"/>
  </si>
  <si>
    <t>农贸市场</t>
    <phoneticPr fontId="1" type="noConversion"/>
  </si>
  <si>
    <t>海鲜市场</t>
    <phoneticPr fontId="1" type="noConversion"/>
  </si>
  <si>
    <t>装备市场</t>
    <phoneticPr fontId="1" type="noConversion"/>
  </si>
  <si>
    <t>食品市场</t>
    <phoneticPr fontId="1" type="noConversion"/>
  </si>
  <si>
    <t>制造大师</t>
    <phoneticPr fontId="1" type="noConversion"/>
  </si>
  <si>
    <t>生疏的手工</t>
    <phoneticPr fontId="1" type="noConversion"/>
  </si>
  <si>
    <t>熟练的工人</t>
    <phoneticPr fontId="1" type="noConversion"/>
  </si>
  <si>
    <t>专业的制造</t>
    <phoneticPr fontId="1" type="noConversion"/>
  </si>
  <si>
    <t>传奇制造者</t>
    <phoneticPr fontId="1" type="noConversion"/>
  </si>
  <si>
    <t>武器工厂</t>
    <phoneticPr fontId="1" type="noConversion"/>
  </si>
  <si>
    <t>防具工厂</t>
    <phoneticPr fontId="1" type="noConversion"/>
  </si>
  <si>
    <t>武器作坊</t>
    <phoneticPr fontId="1" type="noConversion"/>
  </si>
  <si>
    <t>防具作坊</t>
    <phoneticPr fontId="1" type="noConversion"/>
  </si>
  <si>
    <t>烹饪初学者</t>
    <phoneticPr fontId="1" type="noConversion"/>
  </si>
  <si>
    <t>厨艺大师</t>
    <phoneticPr fontId="1" type="noConversion"/>
  </si>
  <si>
    <t>初级厨师</t>
    <phoneticPr fontId="1" type="noConversion"/>
  </si>
  <si>
    <t>中级厨师</t>
    <phoneticPr fontId="1" type="noConversion"/>
  </si>
  <si>
    <t>高级厨师</t>
    <phoneticPr fontId="1" type="noConversion"/>
  </si>
  <si>
    <t>米饭专家</t>
    <phoneticPr fontId="1" type="noConversion"/>
  </si>
  <si>
    <t>酿酒师</t>
    <phoneticPr fontId="1" type="noConversion"/>
  </si>
  <si>
    <t>鱼类烹饪师</t>
    <phoneticPr fontId="1" type="noConversion"/>
  </si>
  <si>
    <t>汤达人</t>
    <phoneticPr fontId="1" type="noConversion"/>
  </si>
  <si>
    <t>蔬菜专家</t>
    <phoneticPr fontId="1" type="noConversion"/>
  </si>
  <si>
    <t>罐头生产商</t>
    <phoneticPr fontId="1" type="noConversion"/>
  </si>
  <si>
    <t>菜鸟探险者</t>
    <phoneticPr fontId="1" type="noConversion"/>
  </si>
  <si>
    <t>大师探险家</t>
    <phoneticPr fontId="1" type="noConversion"/>
  </si>
  <si>
    <t>专业探险家</t>
    <phoneticPr fontId="1" type="noConversion"/>
  </si>
  <si>
    <t>蹩脚探险家</t>
    <phoneticPr fontId="1" type="noConversion"/>
  </si>
  <si>
    <t>天才探险家</t>
    <phoneticPr fontId="1" type="noConversion"/>
  </si>
  <si>
    <t>传奇探险家</t>
    <phoneticPr fontId="1" type="noConversion"/>
  </si>
  <si>
    <t>神级探险家</t>
    <phoneticPr fontId="1" type="noConversion"/>
  </si>
  <si>
    <t>精英探险家</t>
    <phoneticPr fontId="1" type="noConversion"/>
  </si>
  <si>
    <t>暴发户</t>
    <phoneticPr fontId="1" type="noConversion"/>
  </si>
  <si>
    <t>大富翁</t>
    <phoneticPr fontId="1" type="noConversion"/>
  </si>
  <si>
    <t>超级大富豪</t>
    <phoneticPr fontId="1" type="noConversion"/>
  </si>
  <si>
    <t>有钱人</t>
    <phoneticPr fontId="1" type="noConversion"/>
  </si>
  <si>
    <t>收集爱好者</t>
    <phoneticPr fontId="1" type="noConversion"/>
  </si>
  <si>
    <t>收藏专家</t>
    <phoneticPr fontId="1" type="noConversion"/>
  </si>
  <si>
    <t>怪物猎人</t>
    <phoneticPr fontId="1" type="noConversion"/>
  </si>
  <si>
    <t>怪物杀手</t>
    <phoneticPr fontId="1" type="noConversion"/>
  </si>
  <si>
    <t>怪物天敌</t>
    <phoneticPr fontId="1" type="noConversion"/>
  </si>
  <si>
    <t>收藏大师</t>
    <phoneticPr fontId="1" type="noConversion"/>
  </si>
  <si>
    <t>人见人爱</t>
    <phoneticPr fontId="1" type="noConversion"/>
  </si>
  <si>
    <t>社交红人</t>
    <phoneticPr fontId="1" type="noConversion"/>
  </si>
  <si>
    <t>小镇明星</t>
    <phoneticPr fontId="1" type="noConversion"/>
  </si>
  <si>
    <t>嗜睡者</t>
    <phoneticPr fontId="1" type="noConversion"/>
  </si>
  <si>
    <t>睡魔</t>
    <phoneticPr fontId="1" type="noConversion"/>
  </si>
  <si>
    <t>初尝失败</t>
    <phoneticPr fontId="1" type="noConversion"/>
  </si>
  <si>
    <t>屡战屡败</t>
    <phoneticPr fontId="1" type="noConversion"/>
  </si>
  <si>
    <t>成功之母</t>
    <phoneticPr fontId="1" type="noConversion"/>
  </si>
  <si>
    <t>turnCount</t>
  </si>
  <si>
    <t>紫甘蓝</t>
    <phoneticPr fontId="1" type="noConversion"/>
  </si>
  <si>
    <t>1,2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</si>
</sst>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C21"/>
  <sheetViews>
    <sheetView workbookViewId="0">
      <pane ySplit="3" topLeftCell="A7" activePane="bottomLeft" state="frozen"/>
      <selection activeCell="B1" sqref="B1"/>
      <selection pane="bottomLeft" sqref="A1:G1048576"/>
    </sheetView>
  </sheetViews>
  <sheetFormatPr defaultColWidth="7.75" defaultRowHeight="13.5" x14ac:dyDescent="0.15"/>
  <cols>
    <col min="1" max="1" width="11.125" style="1" customWidth="1"/>
    <col min="2" max="2" width="7.75" style="1"/>
    <col min="3" max="3" width="9.25" style="1" customWidth="1"/>
    <col min="4" max="4" width="10.625" style="1" customWidth="1"/>
    <col min="5" max="8" width="7.75" style="1"/>
    <col min="9" max="9" width="11.5" style="1" customWidth="1"/>
    <col min="10" max="10" width="19.75" style="1" customWidth="1"/>
    <col min="11" max="25" width="7.75" style="1"/>
    <col min="26" max="26" width="9.375" style="1" hidden="1" customWidth="1"/>
    <col min="27" max="28" width="7.75" style="1" hidden="1" customWidth="1"/>
    <col min="29" max="29" width="7.75" style="1" customWidth="1"/>
    <col min="30" max="16384" width="7.75" style="1"/>
  </cols>
  <sheetData>
    <row r="2" spans="1:29" x14ac:dyDescent="0.15">
      <c r="A2" s="1" t="s">
        <v>1</v>
      </c>
      <c r="B2" s="1" t="s">
        <v>0</v>
      </c>
      <c r="C2" s="1" t="s">
        <v>0</v>
      </c>
      <c r="D2" s="1" t="s">
        <v>0</v>
      </c>
      <c r="E2" s="1" t="s">
        <v>0</v>
      </c>
      <c r="F2" s="1" t="s">
        <v>0</v>
      </c>
      <c r="G2" s="1" t="s">
        <v>1</v>
      </c>
      <c r="H2" s="1" t="s">
        <v>1</v>
      </c>
      <c r="I2" s="1" t="s">
        <v>1</v>
      </c>
      <c r="J2" s="1" t="s">
        <v>1</v>
      </c>
    </row>
    <row r="3" spans="1:29" ht="40.5" x14ac:dyDescent="0.1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180</v>
      </c>
      <c r="G3" s="1" t="s">
        <v>7</v>
      </c>
      <c r="H3" s="1" t="s">
        <v>8</v>
      </c>
      <c r="I3" s="1" t="s">
        <v>68</v>
      </c>
      <c r="J3" s="1" t="s">
        <v>9</v>
      </c>
    </row>
    <row r="4" spans="1:29" x14ac:dyDescent="0.15">
      <c r="A4" t="s">
        <v>10</v>
      </c>
      <c r="B4">
        <v>1132</v>
      </c>
      <c r="C4" s="1">
        <v>1001</v>
      </c>
      <c r="D4" s="1">
        <v>2</v>
      </c>
      <c r="E4" s="1">
        <v>4</v>
      </c>
      <c r="F4" s="1">
        <v>1</v>
      </c>
      <c r="G4" s="1" t="s">
        <v>28</v>
      </c>
      <c r="H4" s="1" t="s">
        <v>32</v>
      </c>
      <c r="I4" s="1" t="s">
        <v>67</v>
      </c>
      <c r="J4" s="1" t="s">
        <v>71</v>
      </c>
      <c r="Z4" s="2"/>
      <c r="AA4" s="2"/>
      <c r="AB4" s="2"/>
      <c r="AC4" s="2"/>
    </row>
    <row r="5" spans="1:29" ht="27" x14ac:dyDescent="0.15">
      <c r="A5" t="s">
        <v>11</v>
      </c>
      <c r="B5">
        <v>1133</v>
      </c>
      <c r="C5" s="1">
        <v>1002</v>
      </c>
      <c r="D5" s="1">
        <v>2</v>
      </c>
      <c r="E5" s="1">
        <v>9</v>
      </c>
      <c r="F5" s="1">
        <v>1</v>
      </c>
      <c r="G5" s="1" t="s">
        <v>29</v>
      </c>
      <c r="H5" s="1" t="s">
        <v>33</v>
      </c>
      <c r="I5" s="1" t="s">
        <v>64</v>
      </c>
      <c r="J5" s="1" t="s">
        <v>72</v>
      </c>
      <c r="Z5" s="2"/>
      <c r="AA5" s="2"/>
      <c r="AB5" s="2"/>
      <c r="AC5" s="2"/>
    </row>
    <row r="6" spans="1:29" x14ac:dyDescent="0.15">
      <c r="A6" t="s">
        <v>12</v>
      </c>
      <c r="B6">
        <v>1134</v>
      </c>
      <c r="C6" s="1">
        <v>1003</v>
      </c>
      <c r="D6" s="1">
        <v>2</v>
      </c>
      <c r="E6" s="1">
        <v>10</v>
      </c>
      <c r="F6" s="1">
        <v>1</v>
      </c>
      <c r="G6" s="1" t="s">
        <v>28</v>
      </c>
      <c r="H6" s="1" t="s">
        <v>34</v>
      </c>
      <c r="I6" s="1" t="s">
        <v>66</v>
      </c>
      <c r="J6" t="s">
        <v>69</v>
      </c>
      <c r="Z6" s="2"/>
      <c r="AA6" s="2"/>
      <c r="AB6" s="2"/>
      <c r="AC6" s="2"/>
    </row>
    <row r="7" spans="1:29" x14ac:dyDescent="0.15">
      <c r="A7" t="s">
        <v>13</v>
      </c>
      <c r="B7">
        <v>1135</v>
      </c>
      <c r="C7" s="1">
        <v>1004</v>
      </c>
      <c r="D7" s="1">
        <v>2</v>
      </c>
      <c r="E7" s="1">
        <v>20</v>
      </c>
      <c r="F7" s="1">
        <v>1</v>
      </c>
      <c r="G7" s="1" t="s">
        <v>28</v>
      </c>
      <c r="H7" s="1" t="s">
        <v>35</v>
      </c>
      <c r="I7" s="1" t="s">
        <v>63</v>
      </c>
      <c r="J7" t="s">
        <v>70</v>
      </c>
      <c r="Z7" s="2"/>
      <c r="AA7" s="2"/>
      <c r="AB7" s="2"/>
      <c r="AC7" s="2"/>
    </row>
    <row r="8" spans="1:29" x14ac:dyDescent="0.15">
      <c r="A8" t="s">
        <v>14</v>
      </c>
      <c r="B8">
        <v>1136</v>
      </c>
      <c r="C8" s="1">
        <v>1005</v>
      </c>
      <c r="D8" s="1">
        <v>2</v>
      </c>
      <c r="E8" s="1">
        <v>10</v>
      </c>
      <c r="F8" s="1">
        <v>1</v>
      </c>
      <c r="G8" s="1">
        <v>2</v>
      </c>
      <c r="H8" s="1" t="s">
        <v>36</v>
      </c>
      <c r="I8" s="1" t="s">
        <v>62</v>
      </c>
      <c r="J8" t="s">
        <v>73</v>
      </c>
      <c r="Z8" s="2"/>
      <c r="AA8" s="2"/>
      <c r="AB8" s="2"/>
      <c r="AC8" s="2"/>
    </row>
    <row r="9" spans="1:29" x14ac:dyDescent="0.15">
      <c r="A9" t="s">
        <v>15</v>
      </c>
      <c r="B9">
        <v>1137</v>
      </c>
      <c r="C9" s="1">
        <v>1006</v>
      </c>
      <c r="D9" s="1">
        <v>2</v>
      </c>
      <c r="E9" s="1">
        <v>8</v>
      </c>
      <c r="F9" s="1">
        <v>1</v>
      </c>
      <c r="G9" s="1">
        <v>3</v>
      </c>
      <c r="H9" s="1" t="s">
        <v>38</v>
      </c>
      <c r="I9" s="1" t="s">
        <v>61</v>
      </c>
      <c r="J9" t="s">
        <v>74</v>
      </c>
      <c r="Z9" s="2"/>
      <c r="AA9" s="2"/>
      <c r="AB9" s="2"/>
      <c r="AC9" s="2"/>
    </row>
    <row r="10" spans="1:29" x14ac:dyDescent="0.15">
      <c r="A10" t="s">
        <v>16</v>
      </c>
      <c r="B10">
        <v>1138</v>
      </c>
      <c r="C10" s="1">
        <v>1007</v>
      </c>
      <c r="D10" s="1">
        <v>2</v>
      </c>
      <c r="E10" s="1">
        <v>15</v>
      </c>
      <c r="F10" s="1">
        <v>1</v>
      </c>
      <c r="G10" s="1" t="s">
        <v>29</v>
      </c>
      <c r="H10" s="1" t="s">
        <v>37</v>
      </c>
      <c r="I10" s="1" t="s">
        <v>65</v>
      </c>
      <c r="J10" t="s">
        <v>75</v>
      </c>
      <c r="Z10" s="2"/>
      <c r="AA10" s="2"/>
      <c r="AB10" s="2"/>
      <c r="AC10" s="2"/>
    </row>
    <row r="11" spans="1:29" x14ac:dyDescent="0.15">
      <c r="A11" t="s">
        <v>17</v>
      </c>
      <c r="B11">
        <v>1139</v>
      </c>
      <c r="C11" s="1">
        <v>1008</v>
      </c>
      <c r="D11" s="1">
        <v>2</v>
      </c>
      <c r="E11" s="1">
        <v>9</v>
      </c>
      <c r="F11" s="1">
        <v>1</v>
      </c>
      <c r="G11" s="1">
        <v>3</v>
      </c>
      <c r="H11" s="1" t="s">
        <v>39</v>
      </c>
      <c r="I11" s="1" t="s">
        <v>60</v>
      </c>
      <c r="J11" t="s">
        <v>76</v>
      </c>
      <c r="Z11" s="2"/>
      <c r="AA11" s="2"/>
      <c r="AB11" s="2"/>
      <c r="AC11" s="2"/>
    </row>
    <row r="12" spans="1:29" x14ac:dyDescent="0.15">
      <c r="A12" t="s">
        <v>18</v>
      </c>
      <c r="B12">
        <v>1140</v>
      </c>
      <c r="C12" s="1">
        <v>1009</v>
      </c>
      <c r="D12" s="1">
        <v>2</v>
      </c>
      <c r="E12" s="1">
        <v>4</v>
      </c>
      <c r="F12" s="1">
        <v>1</v>
      </c>
      <c r="G12" s="1" t="s">
        <v>182</v>
      </c>
      <c r="H12" s="1" t="s">
        <v>40</v>
      </c>
      <c r="I12" s="1" t="s">
        <v>59</v>
      </c>
      <c r="J12" t="s">
        <v>77</v>
      </c>
      <c r="Z12" s="2"/>
      <c r="AA12" s="2"/>
      <c r="AB12" s="2"/>
      <c r="AC12" s="2"/>
    </row>
    <row r="13" spans="1:29" x14ac:dyDescent="0.15">
      <c r="A13" t="s">
        <v>19</v>
      </c>
      <c r="B13">
        <v>1141</v>
      </c>
      <c r="C13" s="1">
        <v>1010</v>
      </c>
      <c r="D13" s="1">
        <v>2</v>
      </c>
      <c r="E13" s="1">
        <v>7</v>
      </c>
      <c r="F13" s="1">
        <v>1</v>
      </c>
      <c r="G13" s="1">
        <v>3</v>
      </c>
      <c r="H13" s="1" t="s">
        <v>41</v>
      </c>
      <c r="I13" s="1" t="s">
        <v>58</v>
      </c>
      <c r="J13" t="s">
        <v>78</v>
      </c>
      <c r="Z13" s="2"/>
      <c r="AA13" s="2"/>
      <c r="AB13" s="2"/>
      <c r="AC13" s="2"/>
    </row>
    <row r="14" spans="1:29" x14ac:dyDescent="0.15">
      <c r="A14" t="s">
        <v>20</v>
      </c>
      <c r="B14">
        <v>1142</v>
      </c>
      <c r="C14" s="1">
        <v>1011</v>
      </c>
      <c r="D14" s="1">
        <v>2</v>
      </c>
      <c r="E14" s="1">
        <v>5</v>
      </c>
      <c r="F14" s="1">
        <v>1</v>
      </c>
      <c r="G14" s="1" t="s">
        <v>29</v>
      </c>
      <c r="H14" s="1" t="s">
        <v>42</v>
      </c>
      <c r="I14" s="1" t="s">
        <v>57</v>
      </c>
      <c r="J14" t="s">
        <v>79</v>
      </c>
      <c r="Z14" s="2"/>
      <c r="AA14" s="2"/>
      <c r="AB14" s="2"/>
      <c r="AC14" s="2"/>
    </row>
    <row r="15" spans="1:29" x14ac:dyDescent="0.15">
      <c r="A15" t="s">
        <v>181</v>
      </c>
      <c r="B15">
        <v>1143</v>
      </c>
      <c r="C15" s="1">
        <v>1012</v>
      </c>
      <c r="D15" s="1">
        <v>2</v>
      </c>
      <c r="E15" s="1">
        <v>5</v>
      </c>
      <c r="F15" s="1">
        <v>1</v>
      </c>
      <c r="G15" s="1">
        <v>3</v>
      </c>
      <c r="H15" s="1" t="s">
        <v>43</v>
      </c>
      <c r="I15" s="1" t="s">
        <v>56</v>
      </c>
      <c r="J15" t="s">
        <v>80</v>
      </c>
      <c r="Z15" s="2"/>
      <c r="AA15" s="2"/>
      <c r="AB15" s="2"/>
      <c r="AC15" s="2"/>
    </row>
    <row r="16" spans="1:29" x14ac:dyDescent="0.15">
      <c r="A16" t="s">
        <v>22</v>
      </c>
      <c r="B16">
        <v>1144</v>
      </c>
      <c r="C16" s="1">
        <v>1013</v>
      </c>
      <c r="D16" s="1">
        <v>2</v>
      </c>
      <c r="E16" s="1">
        <v>45</v>
      </c>
      <c r="F16" s="1">
        <v>6</v>
      </c>
      <c r="G16" s="1" t="s">
        <v>28</v>
      </c>
      <c r="H16" s="1" t="s">
        <v>44</v>
      </c>
      <c r="I16" s="1" t="s">
        <v>55</v>
      </c>
      <c r="J16" t="s">
        <v>81</v>
      </c>
      <c r="Z16" s="2"/>
      <c r="AA16" s="2"/>
      <c r="AB16" s="2"/>
      <c r="AC16" s="2"/>
    </row>
    <row r="17" spans="1:29" ht="27" x14ac:dyDescent="0.15">
      <c r="A17" t="s">
        <v>23</v>
      </c>
      <c r="B17">
        <v>1145</v>
      </c>
      <c r="C17" s="1">
        <v>1014</v>
      </c>
      <c r="D17" s="1">
        <v>2</v>
      </c>
      <c r="E17" s="1">
        <v>30</v>
      </c>
      <c r="F17" s="1">
        <v>3</v>
      </c>
      <c r="G17" s="1" t="s">
        <v>30</v>
      </c>
      <c r="H17" s="1" t="s">
        <v>45</v>
      </c>
      <c r="I17" s="1" t="s">
        <v>54</v>
      </c>
      <c r="J17" s="1" t="s">
        <v>82</v>
      </c>
      <c r="Z17" s="2"/>
      <c r="AA17" s="2"/>
      <c r="AB17" s="2"/>
      <c r="AC17" s="2"/>
    </row>
    <row r="18" spans="1:29" x14ac:dyDescent="0.15">
      <c r="A18" t="s">
        <v>24</v>
      </c>
      <c r="B18">
        <v>1146</v>
      </c>
      <c r="C18" s="1">
        <v>1015</v>
      </c>
      <c r="D18" s="1">
        <v>2</v>
      </c>
      <c r="E18" s="1">
        <v>7</v>
      </c>
      <c r="F18" s="1">
        <v>1</v>
      </c>
      <c r="G18" s="1">
        <v>2</v>
      </c>
      <c r="H18" s="1" t="s">
        <v>46</v>
      </c>
      <c r="I18" s="1" t="s">
        <v>53</v>
      </c>
      <c r="J18" t="s">
        <v>83</v>
      </c>
      <c r="Z18" s="2"/>
      <c r="AA18" s="2"/>
      <c r="AB18" s="2"/>
      <c r="AC18" s="2"/>
    </row>
    <row r="19" spans="1:29" x14ac:dyDescent="0.15">
      <c r="A19" t="s">
        <v>25</v>
      </c>
      <c r="B19">
        <v>1147</v>
      </c>
      <c r="C19" s="1">
        <v>1016</v>
      </c>
      <c r="D19" s="1">
        <v>2</v>
      </c>
      <c r="E19" s="1">
        <v>6</v>
      </c>
      <c r="F19" s="1">
        <v>1</v>
      </c>
      <c r="G19" s="1" t="s">
        <v>29</v>
      </c>
      <c r="H19" s="1" t="s">
        <v>47</v>
      </c>
      <c r="I19" s="1" t="s">
        <v>52</v>
      </c>
      <c r="J19" t="s">
        <v>84</v>
      </c>
      <c r="Z19" s="2"/>
      <c r="AA19" s="2"/>
      <c r="AB19" s="2"/>
      <c r="AC19" s="2"/>
    </row>
    <row r="20" spans="1:29" x14ac:dyDescent="0.15">
      <c r="A20" s="1" t="s">
        <v>26</v>
      </c>
      <c r="B20" s="1">
        <v>1148</v>
      </c>
      <c r="C20" s="1">
        <v>1017</v>
      </c>
      <c r="D20" s="1">
        <v>2</v>
      </c>
      <c r="E20" s="1">
        <v>30</v>
      </c>
      <c r="F20" s="1">
        <v>3</v>
      </c>
      <c r="G20" s="1" t="s">
        <v>28</v>
      </c>
      <c r="H20" s="1" t="s">
        <v>48</v>
      </c>
      <c r="I20" s="1" t="s">
        <v>51</v>
      </c>
      <c r="J20" t="s">
        <v>85</v>
      </c>
      <c r="Z20" s="2"/>
      <c r="AA20" s="2"/>
      <c r="AB20" s="2"/>
      <c r="AC20" s="2"/>
    </row>
    <row r="21" spans="1:29" x14ac:dyDescent="0.15">
      <c r="A21" s="1" t="s">
        <v>27</v>
      </c>
      <c r="B21" s="1">
        <v>1149</v>
      </c>
      <c r="C21" s="1">
        <v>1018</v>
      </c>
      <c r="D21" s="1">
        <v>2</v>
      </c>
      <c r="E21" s="1">
        <v>4</v>
      </c>
      <c r="F21" s="1">
        <v>3</v>
      </c>
      <c r="G21" s="1" t="s">
        <v>31</v>
      </c>
      <c r="H21" s="1" t="s">
        <v>49</v>
      </c>
      <c r="I21" s="1" t="s">
        <v>50</v>
      </c>
      <c r="J21" t="s">
        <v>86</v>
      </c>
      <c r="Z21" s="2"/>
      <c r="AA21" s="2"/>
      <c r="AB21" s="2"/>
      <c r="AC21" s="2"/>
    </row>
  </sheetData>
  <autoFilter ref="A3:E61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R54"/>
  <sheetViews>
    <sheetView workbookViewId="0">
      <selection activeCell="I3" sqref="I3:J20"/>
    </sheetView>
  </sheetViews>
  <sheetFormatPr defaultRowHeight="13.5" x14ac:dyDescent="0.15"/>
  <sheetData>
    <row r="2" spans="1:18" x14ac:dyDescent="0.15">
      <c r="E2">
        <f>F2*6</f>
        <v>60</v>
      </c>
      <c r="F2">
        <v>10</v>
      </c>
      <c r="G2">
        <v>10</v>
      </c>
      <c r="H2" t="s">
        <v>87</v>
      </c>
    </row>
    <row r="3" spans="1:18" x14ac:dyDescent="0.15">
      <c r="A3" t="s">
        <v>25</v>
      </c>
      <c r="B3">
        <v>1</v>
      </c>
      <c r="C3">
        <v>2</v>
      </c>
      <c r="D3">
        <v>3</v>
      </c>
      <c r="E3">
        <f t="shared" ref="E3:E11" si="0">F3*6</f>
        <v>120</v>
      </c>
      <c r="F3">
        <f>F2+G2</f>
        <v>20</v>
      </c>
      <c r="G3">
        <f>G2+5</f>
        <v>15</v>
      </c>
      <c r="I3" t="s">
        <v>10</v>
      </c>
      <c r="J3">
        <v>1</v>
      </c>
      <c r="K3" t="s">
        <v>10</v>
      </c>
      <c r="L3">
        <v>1</v>
      </c>
      <c r="M3">
        <f>VLOOKUP(K3,$Q$3:$R$20,2,FALSE)</f>
        <v>73</v>
      </c>
      <c r="N3">
        <v>1</v>
      </c>
      <c r="Q3" t="s">
        <v>10</v>
      </c>
      <c r="R3">
        <v>73</v>
      </c>
    </row>
    <row r="4" spans="1:18" x14ac:dyDescent="0.15">
      <c r="A4" t="s">
        <v>27</v>
      </c>
      <c r="B4">
        <v>1</v>
      </c>
      <c r="C4">
        <v>2</v>
      </c>
      <c r="D4">
        <v>3</v>
      </c>
      <c r="E4">
        <f t="shared" si="0"/>
        <v>210</v>
      </c>
      <c r="F4">
        <f t="shared" ref="F4:F11" si="1">F3+G3</f>
        <v>35</v>
      </c>
      <c r="G4">
        <f t="shared" ref="G4:G11" si="2">G3+5</f>
        <v>20</v>
      </c>
      <c r="H4">
        <v>2</v>
      </c>
      <c r="I4" t="s">
        <v>18</v>
      </c>
      <c r="J4">
        <v>1</v>
      </c>
      <c r="K4" t="s">
        <v>11</v>
      </c>
      <c r="L4">
        <v>1</v>
      </c>
      <c r="M4">
        <f t="shared" ref="M4:M11" si="3">VLOOKUP(K4,$Q$3:$R$20,2,FALSE)</f>
        <v>181</v>
      </c>
      <c r="N4">
        <v>6</v>
      </c>
      <c r="Q4" t="s">
        <v>11</v>
      </c>
      <c r="R4">
        <v>181</v>
      </c>
    </row>
    <row r="5" spans="1:18" x14ac:dyDescent="0.15">
      <c r="A5" t="s">
        <v>10</v>
      </c>
      <c r="B5">
        <v>1</v>
      </c>
      <c r="C5">
        <v>2</v>
      </c>
      <c r="E5">
        <f t="shared" si="0"/>
        <v>330</v>
      </c>
      <c r="F5">
        <f t="shared" si="1"/>
        <v>55</v>
      </c>
      <c r="G5">
        <f t="shared" si="2"/>
        <v>25</v>
      </c>
      <c r="I5" t="s">
        <v>21</v>
      </c>
      <c r="J5">
        <v>2</v>
      </c>
      <c r="K5" t="s">
        <v>16</v>
      </c>
      <c r="L5">
        <v>1</v>
      </c>
      <c r="M5">
        <f t="shared" si="3"/>
        <v>208</v>
      </c>
      <c r="N5">
        <v>8</v>
      </c>
      <c r="Q5" t="s">
        <v>12</v>
      </c>
      <c r="R5">
        <v>165</v>
      </c>
    </row>
    <row r="6" spans="1:18" x14ac:dyDescent="0.15">
      <c r="A6" t="s">
        <v>11</v>
      </c>
      <c r="B6">
        <v>1</v>
      </c>
      <c r="C6">
        <v>2</v>
      </c>
      <c r="E6">
        <f t="shared" si="0"/>
        <v>480</v>
      </c>
      <c r="F6">
        <f t="shared" si="1"/>
        <v>80</v>
      </c>
      <c r="G6">
        <f t="shared" si="2"/>
        <v>30</v>
      </c>
      <c r="I6" t="s">
        <v>27</v>
      </c>
      <c r="J6">
        <v>2</v>
      </c>
      <c r="K6" t="s">
        <v>19</v>
      </c>
      <c r="L6">
        <v>1</v>
      </c>
      <c r="M6">
        <f t="shared" si="3"/>
        <v>146</v>
      </c>
      <c r="N6">
        <v>4</v>
      </c>
      <c r="Q6" t="s">
        <v>13</v>
      </c>
      <c r="R6">
        <v>220</v>
      </c>
    </row>
    <row r="7" spans="1:18" x14ac:dyDescent="0.15">
      <c r="A7" t="s">
        <v>20</v>
      </c>
      <c r="B7">
        <v>1</v>
      </c>
      <c r="C7">
        <v>2</v>
      </c>
      <c r="E7">
        <f t="shared" si="0"/>
        <v>660</v>
      </c>
      <c r="F7">
        <f t="shared" si="1"/>
        <v>110</v>
      </c>
      <c r="G7">
        <f t="shared" si="2"/>
        <v>35</v>
      </c>
      <c r="I7" t="s">
        <v>20</v>
      </c>
      <c r="J7">
        <v>3</v>
      </c>
      <c r="K7" t="s">
        <v>20</v>
      </c>
      <c r="L7">
        <v>1</v>
      </c>
      <c r="M7">
        <f t="shared" si="3"/>
        <v>101</v>
      </c>
      <c r="N7">
        <v>2</v>
      </c>
      <c r="Q7" t="s">
        <v>14</v>
      </c>
      <c r="R7">
        <v>165</v>
      </c>
    </row>
    <row r="8" spans="1:18" x14ac:dyDescent="0.15">
      <c r="A8" t="s">
        <v>24</v>
      </c>
      <c r="B8">
        <v>1</v>
      </c>
      <c r="C8">
        <v>2</v>
      </c>
      <c r="E8">
        <f t="shared" si="0"/>
        <v>870</v>
      </c>
      <c r="F8">
        <f t="shared" si="1"/>
        <v>145</v>
      </c>
      <c r="G8">
        <f t="shared" si="2"/>
        <v>40</v>
      </c>
      <c r="I8" t="s">
        <v>25</v>
      </c>
      <c r="J8">
        <v>3</v>
      </c>
      <c r="K8" t="s">
        <v>21</v>
      </c>
      <c r="L8">
        <v>1</v>
      </c>
      <c r="M8">
        <f t="shared" si="3"/>
        <v>101</v>
      </c>
      <c r="N8">
        <v>2</v>
      </c>
      <c r="Q8" t="s">
        <v>15</v>
      </c>
      <c r="R8">
        <v>181</v>
      </c>
    </row>
    <row r="9" spans="1:18" x14ac:dyDescent="0.15">
      <c r="A9" t="s">
        <v>26</v>
      </c>
      <c r="B9">
        <v>1</v>
      </c>
      <c r="C9">
        <v>2</v>
      </c>
      <c r="E9">
        <f t="shared" si="0"/>
        <v>1110</v>
      </c>
      <c r="F9">
        <f t="shared" si="1"/>
        <v>185</v>
      </c>
      <c r="G9">
        <f t="shared" si="2"/>
        <v>45</v>
      </c>
      <c r="I9" t="s">
        <v>24</v>
      </c>
      <c r="J9">
        <v>4</v>
      </c>
      <c r="K9" t="s">
        <v>24</v>
      </c>
      <c r="L9">
        <v>1</v>
      </c>
      <c r="M9">
        <f t="shared" si="3"/>
        <v>146</v>
      </c>
      <c r="N9">
        <v>4</v>
      </c>
      <c r="Q9" t="s">
        <v>16</v>
      </c>
      <c r="R9">
        <v>208</v>
      </c>
    </row>
    <row r="10" spans="1:18" x14ac:dyDescent="0.15">
      <c r="A10" t="s">
        <v>14</v>
      </c>
      <c r="B10">
        <v>2</v>
      </c>
      <c r="C10">
        <v>3</v>
      </c>
      <c r="E10">
        <f t="shared" si="0"/>
        <v>1380</v>
      </c>
      <c r="F10">
        <f t="shared" si="1"/>
        <v>230</v>
      </c>
      <c r="G10">
        <f t="shared" si="2"/>
        <v>50</v>
      </c>
      <c r="I10" t="s">
        <v>19</v>
      </c>
      <c r="J10">
        <v>4</v>
      </c>
      <c r="K10" t="s">
        <v>25</v>
      </c>
      <c r="L10">
        <v>1</v>
      </c>
      <c r="M10">
        <f t="shared" si="3"/>
        <v>125</v>
      </c>
      <c r="N10">
        <v>3</v>
      </c>
      <c r="Q10" t="s">
        <v>17</v>
      </c>
      <c r="R10">
        <v>195</v>
      </c>
    </row>
    <row r="11" spans="1:18" x14ac:dyDescent="0.15">
      <c r="A11" t="s">
        <v>18</v>
      </c>
      <c r="B11">
        <v>2</v>
      </c>
      <c r="C11">
        <v>3</v>
      </c>
      <c r="E11">
        <f t="shared" si="0"/>
        <v>1680</v>
      </c>
      <c r="F11">
        <f t="shared" si="1"/>
        <v>280</v>
      </c>
      <c r="G11">
        <f t="shared" si="2"/>
        <v>55</v>
      </c>
      <c r="I11" t="s">
        <v>12</v>
      </c>
      <c r="J11">
        <v>5</v>
      </c>
      <c r="K11" t="s">
        <v>26</v>
      </c>
      <c r="L11">
        <v>1</v>
      </c>
      <c r="M11">
        <f t="shared" si="3"/>
        <v>208</v>
      </c>
      <c r="N11">
        <v>8</v>
      </c>
      <c r="Q11" t="s">
        <v>18</v>
      </c>
      <c r="R11">
        <v>73</v>
      </c>
    </row>
    <row r="12" spans="1:18" x14ac:dyDescent="0.15">
      <c r="A12" t="s">
        <v>23</v>
      </c>
      <c r="B12">
        <v>2</v>
      </c>
      <c r="C12">
        <v>3</v>
      </c>
      <c r="I12" t="s">
        <v>14</v>
      </c>
      <c r="J12">
        <v>5</v>
      </c>
      <c r="K12" t="s">
        <v>27</v>
      </c>
      <c r="N12">
        <v>2</v>
      </c>
      <c r="Q12" t="s">
        <v>19</v>
      </c>
      <c r="R12">
        <v>146</v>
      </c>
    </row>
    <row r="13" spans="1:18" x14ac:dyDescent="0.15">
      <c r="A13" t="s">
        <v>21</v>
      </c>
      <c r="B13">
        <v>1</v>
      </c>
      <c r="C13">
        <v>4</v>
      </c>
      <c r="I13" t="s">
        <v>11</v>
      </c>
      <c r="J13">
        <v>6</v>
      </c>
      <c r="Q13" t="s">
        <v>20</v>
      </c>
      <c r="R13">
        <v>101</v>
      </c>
    </row>
    <row r="14" spans="1:18" x14ac:dyDescent="0.15">
      <c r="A14" t="s">
        <v>16</v>
      </c>
      <c r="B14">
        <v>1</v>
      </c>
      <c r="I14" t="s">
        <v>15</v>
      </c>
      <c r="J14">
        <v>6</v>
      </c>
      <c r="Q14" t="s">
        <v>88</v>
      </c>
      <c r="R14">
        <v>101</v>
      </c>
    </row>
    <row r="15" spans="1:18" x14ac:dyDescent="0.15">
      <c r="A15" t="s">
        <v>19</v>
      </c>
      <c r="B15">
        <v>1</v>
      </c>
      <c r="I15" t="s">
        <v>17</v>
      </c>
      <c r="J15">
        <v>7</v>
      </c>
      <c r="K15" t="s">
        <v>12</v>
      </c>
      <c r="L15">
        <v>2</v>
      </c>
      <c r="M15">
        <f t="shared" ref="M15:M33" si="4">VLOOKUP(K15,$Q$3:$R$20,2,FALSE)</f>
        <v>165</v>
      </c>
      <c r="N15">
        <v>5</v>
      </c>
      <c r="Q15" t="s">
        <v>22</v>
      </c>
      <c r="R15">
        <v>208</v>
      </c>
    </row>
    <row r="16" spans="1:18" x14ac:dyDescent="0.15">
      <c r="A16" t="s">
        <v>12</v>
      </c>
      <c r="B16">
        <v>2</v>
      </c>
      <c r="I16" t="s">
        <v>22</v>
      </c>
      <c r="J16">
        <v>7</v>
      </c>
      <c r="K16" t="s">
        <v>14</v>
      </c>
      <c r="L16">
        <v>2</v>
      </c>
      <c r="M16">
        <f t="shared" si="4"/>
        <v>165</v>
      </c>
      <c r="N16">
        <v>5</v>
      </c>
      <c r="Q16" t="s">
        <v>23</v>
      </c>
      <c r="R16">
        <v>208</v>
      </c>
    </row>
    <row r="17" spans="1:18" x14ac:dyDescent="0.15">
      <c r="A17" t="s">
        <v>22</v>
      </c>
      <c r="B17">
        <v>2</v>
      </c>
      <c r="I17" t="s">
        <v>26</v>
      </c>
      <c r="J17">
        <v>8</v>
      </c>
      <c r="K17" t="s">
        <v>18</v>
      </c>
      <c r="L17">
        <v>2</v>
      </c>
      <c r="M17">
        <f t="shared" si="4"/>
        <v>73</v>
      </c>
      <c r="N17">
        <v>1</v>
      </c>
      <c r="Q17" t="s">
        <v>24</v>
      </c>
      <c r="R17">
        <v>146</v>
      </c>
    </row>
    <row r="18" spans="1:18" x14ac:dyDescent="0.15">
      <c r="A18" t="s">
        <v>13</v>
      </c>
      <c r="B18">
        <v>3</v>
      </c>
      <c r="I18" t="s">
        <v>23</v>
      </c>
      <c r="J18">
        <v>8</v>
      </c>
      <c r="K18" t="s">
        <v>22</v>
      </c>
      <c r="L18">
        <v>2</v>
      </c>
      <c r="M18">
        <f t="shared" si="4"/>
        <v>208</v>
      </c>
      <c r="N18">
        <v>8</v>
      </c>
      <c r="Q18" t="s">
        <v>25</v>
      </c>
      <c r="R18">
        <v>125</v>
      </c>
    </row>
    <row r="19" spans="1:18" x14ac:dyDescent="0.15">
      <c r="A19" t="s">
        <v>15</v>
      </c>
      <c r="B19">
        <v>3</v>
      </c>
      <c r="I19" t="s">
        <v>16</v>
      </c>
      <c r="J19">
        <v>9</v>
      </c>
      <c r="K19" t="s">
        <v>23</v>
      </c>
      <c r="L19">
        <v>2</v>
      </c>
      <c r="M19">
        <f t="shared" si="4"/>
        <v>208</v>
      </c>
      <c r="N19">
        <v>8</v>
      </c>
      <c r="Q19" t="s">
        <v>26</v>
      </c>
      <c r="R19">
        <v>208</v>
      </c>
    </row>
    <row r="20" spans="1:18" x14ac:dyDescent="0.15">
      <c r="A20" t="s">
        <v>17</v>
      </c>
      <c r="B20">
        <v>3</v>
      </c>
      <c r="D20">
        <v>1</v>
      </c>
      <c r="I20" t="s">
        <v>13</v>
      </c>
      <c r="J20">
        <v>9</v>
      </c>
      <c r="K20" t="s">
        <v>10</v>
      </c>
      <c r="L20">
        <v>2</v>
      </c>
      <c r="M20">
        <f t="shared" si="4"/>
        <v>73</v>
      </c>
      <c r="N20">
        <v>1</v>
      </c>
      <c r="Q20" t="s">
        <v>27</v>
      </c>
      <c r="R20">
        <v>44</v>
      </c>
    </row>
    <row r="21" spans="1:18" x14ac:dyDescent="0.15">
      <c r="D21">
        <v>2</v>
      </c>
      <c r="E21" t="s">
        <v>89</v>
      </c>
      <c r="K21" t="s">
        <v>11</v>
      </c>
      <c r="L21">
        <v>2</v>
      </c>
      <c r="M21">
        <f t="shared" si="4"/>
        <v>181</v>
      </c>
      <c r="N21">
        <v>6</v>
      </c>
    </row>
    <row r="22" spans="1:18" x14ac:dyDescent="0.15">
      <c r="D22">
        <v>3</v>
      </c>
      <c r="E22" t="s">
        <v>90</v>
      </c>
      <c r="G22" t="s">
        <v>99</v>
      </c>
      <c r="K22" t="s">
        <v>20</v>
      </c>
      <c r="L22">
        <v>2</v>
      </c>
      <c r="M22">
        <f t="shared" si="4"/>
        <v>101</v>
      </c>
      <c r="N22">
        <v>2</v>
      </c>
    </row>
    <row r="23" spans="1:18" x14ac:dyDescent="0.15">
      <c r="D23">
        <v>4</v>
      </c>
      <c r="E23" t="s">
        <v>91</v>
      </c>
      <c r="G23" t="s">
        <v>100</v>
      </c>
      <c r="K23" t="s">
        <v>24</v>
      </c>
      <c r="L23">
        <v>2</v>
      </c>
      <c r="M23">
        <f t="shared" si="4"/>
        <v>146</v>
      </c>
      <c r="N23">
        <v>4</v>
      </c>
    </row>
    <row r="24" spans="1:18" x14ac:dyDescent="0.15">
      <c r="D24">
        <v>5</v>
      </c>
      <c r="E24" t="s">
        <v>92</v>
      </c>
      <c r="G24" t="s">
        <v>101</v>
      </c>
      <c r="K24" t="s">
        <v>25</v>
      </c>
      <c r="L24">
        <v>2</v>
      </c>
      <c r="M24">
        <f t="shared" si="4"/>
        <v>125</v>
      </c>
      <c r="N24">
        <v>3</v>
      </c>
    </row>
    <row r="25" spans="1:18" x14ac:dyDescent="0.15">
      <c r="D25">
        <v>6</v>
      </c>
      <c r="E25" t="s">
        <v>93</v>
      </c>
      <c r="G25" t="s">
        <v>102</v>
      </c>
      <c r="K25" t="s">
        <v>26</v>
      </c>
      <c r="L25">
        <v>2</v>
      </c>
      <c r="M25">
        <f t="shared" si="4"/>
        <v>208</v>
      </c>
      <c r="N25">
        <v>8</v>
      </c>
    </row>
    <row r="26" spans="1:18" x14ac:dyDescent="0.15">
      <c r="D26">
        <v>7</v>
      </c>
      <c r="E26" t="s">
        <v>94</v>
      </c>
      <c r="G26" t="s">
        <v>97</v>
      </c>
    </row>
    <row r="27" spans="1:18" x14ac:dyDescent="0.15">
      <c r="D27">
        <v>8</v>
      </c>
      <c r="E27" t="s">
        <v>95</v>
      </c>
      <c r="G27" t="s">
        <v>98</v>
      </c>
      <c r="K27" t="s">
        <v>13</v>
      </c>
      <c r="L27">
        <v>3</v>
      </c>
      <c r="M27">
        <f t="shared" si="4"/>
        <v>220</v>
      </c>
      <c r="N27">
        <v>9</v>
      </c>
    </row>
    <row r="28" spans="1:18" x14ac:dyDescent="0.15">
      <c r="D28">
        <v>9</v>
      </c>
      <c r="E28" t="s">
        <v>96</v>
      </c>
      <c r="K28" t="s">
        <v>15</v>
      </c>
      <c r="L28">
        <v>3</v>
      </c>
      <c r="M28">
        <f t="shared" si="4"/>
        <v>181</v>
      </c>
      <c r="N28">
        <v>6</v>
      </c>
    </row>
    <row r="29" spans="1:18" x14ac:dyDescent="0.15">
      <c r="K29" t="s">
        <v>17</v>
      </c>
      <c r="L29">
        <v>3</v>
      </c>
      <c r="M29">
        <f t="shared" si="4"/>
        <v>195</v>
      </c>
      <c r="N29">
        <v>7</v>
      </c>
    </row>
    <row r="30" spans="1:18" x14ac:dyDescent="0.15">
      <c r="G30" t="s">
        <v>124</v>
      </c>
      <c r="I30" t="s">
        <v>135</v>
      </c>
      <c r="K30" t="s">
        <v>14</v>
      </c>
      <c r="L30">
        <v>3</v>
      </c>
      <c r="M30">
        <f t="shared" si="4"/>
        <v>165</v>
      </c>
      <c r="N30">
        <v>5</v>
      </c>
    </row>
    <row r="31" spans="1:18" x14ac:dyDescent="0.15">
      <c r="C31" t="s">
        <v>143</v>
      </c>
      <c r="E31" t="s">
        <v>103</v>
      </c>
      <c r="G31" t="s">
        <v>125</v>
      </c>
      <c r="I31" t="s">
        <v>136</v>
      </c>
      <c r="K31" t="s">
        <v>18</v>
      </c>
      <c r="L31">
        <v>3</v>
      </c>
      <c r="M31">
        <f t="shared" si="4"/>
        <v>73</v>
      </c>
      <c r="N31">
        <v>1</v>
      </c>
    </row>
    <row r="32" spans="1:18" x14ac:dyDescent="0.15">
      <c r="C32" t="s">
        <v>145</v>
      </c>
      <c r="E32" t="s">
        <v>104</v>
      </c>
      <c r="G32" t="s">
        <v>126</v>
      </c>
      <c r="I32" t="s">
        <v>137</v>
      </c>
      <c r="K32" t="s">
        <v>23</v>
      </c>
      <c r="L32">
        <v>3</v>
      </c>
      <c r="M32">
        <f t="shared" si="4"/>
        <v>208</v>
      </c>
      <c r="N32">
        <v>8</v>
      </c>
    </row>
    <row r="33" spans="3:14" x14ac:dyDescent="0.15">
      <c r="C33" t="s">
        <v>146</v>
      </c>
      <c r="E33" t="s">
        <v>105</v>
      </c>
      <c r="G33" t="s">
        <v>127</v>
      </c>
      <c r="I33" t="s">
        <v>134</v>
      </c>
      <c r="K33" t="s">
        <v>25</v>
      </c>
      <c r="L33">
        <v>3</v>
      </c>
      <c r="M33">
        <f t="shared" si="4"/>
        <v>125</v>
      </c>
      <c r="N33">
        <v>3</v>
      </c>
    </row>
    <row r="34" spans="3:14" x14ac:dyDescent="0.15">
      <c r="C34" t="s">
        <v>147</v>
      </c>
      <c r="E34" t="s">
        <v>106</v>
      </c>
      <c r="G34" t="s">
        <v>128</v>
      </c>
      <c r="I34" t="s">
        <v>138</v>
      </c>
    </row>
    <row r="35" spans="3:14" x14ac:dyDescent="0.15">
      <c r="C35" t="s">
        <v>144</v>
      </c>
      <c r="E35" t="s">
        <v>108</v>
      </c>
      <c r="G35" t="s">
        <v>129</v>
      </c>
      <c r="I35" t="s">
        <v>141</v>
      </c>
    </row>
    <row r="36" spans="3:14" x14ac:dyDescent="0.15">
      <c r="C36" t="s">
        <v>148</v>
      </c>
      <c r="E36" t="s">
        <v>109</v>
      </c>
      <c r="G36" t="s">
        <v>131</v>
      </c>
      <c r="I36" t="s">
        <v>139</v>
      </c>
    </row>
    <row r="37" spans="3:14" x14ac:dyDescent="0.15">
      <c r="C37" t="s">
        <v>149</v>
      </c>
      <c r="E37" t="s">
        <v>107</v>
      </c>
      <c r="G37" t="s">
        <v>132</v>
      </c>
      <c r="I37" t="s">
        <v>142</v>
      </c>
    </row>
    <row r="38" spans="3:14" x14ac:dyDescent="0.15">
      <c r="C38" t="s">
        <v>150</v>
      </c>
      <c r="E38" t="s">
        <v>110</v>
      </c>
      <c r="G38" t="s">
        <v>133</v>
      </c>
      <c r="I38" t="s">
        <v>140</v>
      </c>
    </row>
    <row r="39" spans="3:14" x14ac:dyDescent="0.15">
      <c r="C39" t="s">
        <v>151</v>
      </c>
      <c r="E39" t="s">
        <v>111</v>
      </c>
      <c r="G39" t="s">
        <v>130</v>
      </c>
    </row>
    <row r="40" spans="3:14" x14ac:dyDescent="0.15">
      <c r="C40" t="s">
        <v>152</v>
      </c>
      <c r="E40" t="s">
        <v>112</v>
      </c>
    </row>
    <row r="41" spans="3:14" x14ac:dyDescent="0.15">
      <c r="C41" t="s">
        <v>153</v>
      </c>
      <c r="E41" t="s">
        <v>113</v>
      </c>
      <c r="H41" t="s">
        <v>154</v>
      </c>
      <c r="J41" t="s">
        <v>165</v>
      </c>
    </row>
    <row r="42" spans="3:14" x14ac:dyDescent="0.15">
      <c r="E42" t="s">
        <v>114</v>
      </c>
      <c r="H42" t="s">
        <v>157</v>
      </c>
      <c r="J42" t="s">
        <v>162</v>
      </c>
    </row>
    <row r="43" spans="3:14" x14ac:dyDescent="0.15">
      <c r="E43" t="s">
        <v>115</v>
      </c>
      <c r="H43" t="s">
        <v>156</v>
      </c>
      <c r="J43" t="s">
        <v>163</v>
      </c>
    </row>
    <row r="44" spans="3:14" x14ac:dyDescent="0.15">
      <c r="E44" t="s">
        <v>116</v>
      </c>
      <c r="H44" t="s">
        <v>161</v>
      </c>
      <c r="J44" t="s">
        <v>164</v>
      </c>
    </row>
    <row r="45" spans="3:14" x14ac:dyDescent="0.15">
      <c r="E45" t="s">
        <v>117</v>
      </c>
      <c r="H45" t="s">
        <v>155</v>
      </c>
      <c r="J45" t="s">
        <v>166</v>
      </c>
    </row>
    <row r="46" spans="3:14" x14ac:dyDescent="0.15">
      <c r="E46" t="s">
        <v>118</v>
      </c>
      <c r="H46" t="s">
        <v>158</v>
      </c>
      <c r="J46" t="s">
        <v>167</v>
      </c>
    </row>
    <row r="47" spans="3:14" x14ac:dyDescent="0.15">
      <c r="E47" t="s">
        <v>119</v>
      </c>
      <c r="H47" t="s">
        <v>159</v>
      </c>
      <c r="J47" t="s">
        <v>171</v>
      </c>
    </row>
    <row r="48" spans="3:14" x14ac:dyDescent="0.15">
      <c r="E48" t="s">
        <v>120</v>
      </c>
      <c r="H48" t="s">
        <v>160</v>
      </c>
      <c r="J48" t="s">
        <v>172</v>
      </c>
    </row>
    <row r="49" spans="5:10" x14ac:dyDescent="0.15">
      <c r="E49" t="s">
        <v>121</v>
      </c>
      <c r="H49" t="s">
        <v>168</v>
      </c>
      <c r="J49" t="s">
        <v>173</v>
      </c>
    </row>
    <row r="50" spans="5:10" x14ac:dyDescent="0.15">
      <c r="E50" t="s">
        <v>122</v>
      </c>
      <c r="H50" t="s">
        <v>169</v>
      </c>
      <c r="J50" t="s">
        <v>174</v>
      </c>
    </row>
    <row r="51" spans="5:10" x14ac:dyDescent="0.15">
      <c r="E51" t="s">
        <v>123</v>
      </c>
      <c r="H51" t="s">
        <v>170</v>
      </c>
      <c r="J51" t="s">
        <v>175</v>
      </c>
    </row>
    <row r="52" spans="5:10" x14ac:dyDescent="0.15">
      <c r="H52" t="s">
        <v>177</v>
      </c>
      <c r="J52" t="s">
        <v>176</v>
      </c>
    </row>
    <row r="53" spans="5:10" x14ac:dyDescent="0.15">
      <c r="H53" t="s">
        <v>178</v>
      </c>
    </row>
    <row r="54" spans="5:10" x14ac:dyDescent="0.15">
      <c r="H54" t="s">
        <v>179</v>
      </c>
    </row>
  </sheetData>
  <autoFilter ref="I2:J12">
    <sortState ref="I3:J25">
      <sortCondition ref="J2:J12"/>
    </sortState>
  </autoFilter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3"/>
  <sheetViews>
    <sheetView tabSelected="1" workbookViewId="0">
      <selection activeCell="K16" sqref="K16"/>
    </sheetView>
  </sheetViews>
  <sheetFormatPr defaultRowHeight="13.5" x14ac:dyDescent="0.15"/>
  <sheetData>
    <row r="1" spans="2:9" x14ac:dyDescent="0.15">
      <c r="D1">
        <v>1.6</v>
      </c>
      <c r="E1">
        <v>2.8</v>
      </c>
    </row>
    <row r="5" spans="2:9" x14ac:dyDescent="0.15">
      <c r="B5">
        <v>1</v>
      </c>
      <c r="C5">
        <f>(B5-1)*0.3+1</f>
        <v>1</v>
      </c>
      <c r="E5">
        <v>1</v>
      </c>
      <c r="G5">
        <f>0.6/E5</f>
        <v>0.6</v>
      </c>
      <c r="H5">
        <f>1.6/C5</f>
        <v>1.6</v>
      </c>
      <c r="I5">
        <f>2.8/C5</f>
        <v>2.8</v>
      </c>
    </row>
    <row r="6" spans="2:9" x14ac:dyDescent="0.15">
      <c r="B6">
        <v>2</v>
      </c>
      <c r="C6">
        <f t="shared" ref="C6:C13" si="0">(B6-1)*0.3+1</f>
        <v>1.3</v>
      </c>
      <c r="E6">
        <f>E5+0.125</f>
        <v>1.125</v>
      </c>
      <c r="G6">
        <f t="shared" ref="G6:G13" si="1">0.6/E6</f>
        <v>0.53333333333333333</v>
      </c>
      <c r="H6">
        <f t="shared" ref="H6:H13" si="2">1.6/C6</f>
        <v>1.2307692307692308</v>
      </c>
      <c r="I6">
        <f t="shared" ref="I6:I13" si="3">2.8/C6</f>
        <v>2.1538461538461537</v>
      </c>
    </row>
    <row r="7" spans="2:9" x14ac:dyDescent="0.15">
      <c r="B7">
        <v>3</v>
      </c>
      <c r="C7">
        <f t="shared" si="0"/>
        <v>1.6</v>
      </c>
      <c r="E7">
        <f t="shared" ref="E7:E12" si="4">E6+0.125</f>
        <v>1.25</v>
      </c>
      <c r="G7">
        <f t="shared" si="1"/>
        <v>0.48</v>
      </c>
      <c r="H7">
        <f t="shared" si="2"/>
        <v>1</v>
      </c>
      <c r="I7">
        <f t="shared" si="3"/>
        <v>1.7499999999999998</v>
      </c>
    </row>
    <row r="8" spans="2:9" x14ac:dyDescent="0.15">
      <c r="B8">
        <v>4</v>
      </c>
      <c r="C8">
        <f t="shared" si="0"/>
        <v>1.9</v>
      </c>
      <c r="E8">
        <f t="shared" si="4"/>
        <v>1.375</v>
      </c>
      <c r="G8">
        <f t="shared" si="1"/>
        <v>0.43636363636363634</v>
      </c>
      <c r="H8">
        <f t="shared" si="2"/>
        <v>0.8421052631578948</v>
      </c>
      <c r="I8">
        <f t="shared" si="3"/>
        <v>1.4736842105263157</v>
      </c>
    </row>
    <row r="9" spans="2:9" x14ac:dyDescent="0.15">
      <c r="B9">
        <v>5</v>
      </c>
      <c r="C9">
        <f t="shared" si="0"/>
        <v>2.2000000000000002</v>
      </c>
      <c r="E9">
        <f t="shared" si="4"/>
        <v>1.5</v>
      </c>
      <c r="G9">
        <f t="shared" si="1"/>
        <v>0.39999999999999997</v>
      </c>
      <c r="H9">
        <f t="shared" si="2"/>
        <v>0.72727272727272729</v>
      </c>
      <c r="I9">
        <f t="shared" si="3"/>
        <v>1.2727272727272725</v>
      </c>
    </row>
    <row r="10" spans="2:9" x14ac:dyDescent="0.15">
      <c r="B10">
        <v>6</v>
      </c>
      <c r="C10">
        <f t="shared" si="0"/>
        <v>2.5</v>
      </c>
      <c r="E10">
        <f t="shared" si="4"/>
        <v>1.625</v>
      </c>
      <c r="G10">
        <f t="shared" si="1"/>
        <v>0.3692307692307692</v>
      </c>
      <c r="H10">
        <f t="shared" si="2"/>
        <v>0.64</v>
      </c>
      <c r="I10">
        <f t="shared" si="3"/>
        <v>1.1199999999999999</v>
      </c>
    </row>
    <row r="11" spans="2:9" x14ac:dyDescent="0.15">
      <c r="B11">
        <v>7</v>
      </c>
      <c r="C11">
        <f t="shared" si="0"/>
        <v>2.8</v>
      </c>
      <c r="E11">
        <f t="shared" si="4"/>
        <v>1.75</v>
      </c>
      <c r="G11">
        <f t="shared" si="1"/>
        <v>0.34285714285714286</v>
      </c>
      <c r="H11">
        <f t="shared" si="2"/>
        <v>0.57142857142857151</v>
      </c>
      <c r="I11">
        <f t="shared" si="3"/>
        <v>1</v>
      </c>
    </row>
    <row r="12" spans="2:9" x14ac:dyDescent="0.15">
      <c r="B12">
        <v>8</v>
      </c>
      <c r="C12">
        <f t="shared" si="0"/>
        <v>3.1</v>
      </c>
      <c r="E12">
        <f t="shared" si="4"/>
        <v>1.875</v>
      </c>
      <c r="G12">
        <f t="shared" si="1"/>
        <v>0.32</v>
      </c>
      <c r="H12">
        <f t="shared" si="2"/>
        <v>0.5161290322580645</v>
      </c>
      <c r="I12">
        <f t="shared" si="3"/>
        <v>0.90322580645161277</v>
      </c>
    </row>
    <row r="13" spans="2:9" x14ac:dyDescent="0.15">
      <c r="B13">
        <v>9</v>
      </c>
      <c r="C13">
        <f t="shared" si="0"/>
        <v>3.4</v>
      </c>
      <c r="E13">
        <f>E12+0.125</f>
        <v>2</v>
      </c>
      <c r="G13">
        <f t="shared" si="1"/>
        <v>0.3</v>
      </c>
      <c r="H13">
        <f t="shared" si="2"/>
        <v>0.4705882352941177</v>
      </c>
      <c r="I13">
        <f t="shared" si="3"/>
        <v>0.82352941176470584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PlantDatas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2018-01-26T12:49:06Z</dcterms:created>
  <dcterms:modified xsi:type="dcterms:W3CDTF">2019-01-07T09:39:01Z</dcterms:modified>
</cp:coreProperties>
</file>