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6345"/>
  </bookViews>
  <sheets>
    <sheet name="MonsterDatas" sheetId="1" r:id="rId1"/>
    <sheet name="Sheet1" sheetId="3" r:id="rId2"/>
    <sheet name="Sheet2" sheetId="4" r:id="rId3"/>
    <sheet name="Sheet3" sheetId="5" r:id="rId4"/>
    <sheet name="Sheet5" sheetId="7" r:id="rId5"/>
    <sheet name="Sheet6" sheetId="8" r:id="rId6"/>
  </sheets>
  <definedNames>
    <definedName name="_xlnm._FilterDatabase" localSheetId="0" hidden="1">MonsterDatas!$A$3:$J$51</definedName>
    <definedName name="_xlnm._FilterDatabase" localSheetId="3" hidden="1">Sheet3!$A$1:$B$198</definedName>
    <definedName name="_xlnm._FilterDatabase" localSheetId="5" hidden="1">Sheet6!$F$1:$I$1</definedName>
  </definedNames>
  <calcPr calcId="152511"/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2" i="7"/>
  <c r="J4" i="1" s="1"/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R35" i="7"/>
  <c r="S35" i="7" s="1"/>
  <c r="R28" i="7"/>
  <c r="S28" i="7" s="1"/>
  <c r="R23" i="7"/>
  <c r="S23" i="7" s="1"/>
  <c r="R22" i="7"/>
  <c r="S22" i="7" s="1"/>
  <c r="R16" i="7"/>
  <c r="S16" i="7" s="1"/>
  <c r="R14" i="7"/>
  <c r="S14" i="7" s="1"/>
  <c r="R11" i="7"/>
  <c r="S11" i="7" s="1"/>
  <c r="R9" i="7"/>
  <c r="S9" i="7" s="1"/>
  <c r="R3" i="7"/>
  <c r="S3" i="7" s="1"/>
  <c r="L19" i="8"/>
  <c r="N19" i="8"/>
  <c r="O19" i="8"/>
  <c r="P19" i="8"/>
  <c r="Q19" i="8"/>
  <c r="L20" i="8"/>
  <c r="N20" i="8"/>
  <c r="P20" i="8"/>
  <c r="Q20" i="8"/>
  <c r="K21" i="8"/>
  <c r="L21" i="8"/>
  <c r="M21" i="8"/>
  <c r="N21" i="8"/>
  <c r="P21" i="8"/>
  <c r="Q21" i="8"/>
  <c r="L22" i="8"/>
  <c r="N22" i="8"/>
  <c r="P22" i="8"/>
  <c r="Q22" i="8"/>
  <c r="L23" i="8"/>
  <c r="N23" i="8"/>
  <c r="P23" i="8"/>
  <c r="Q23" i="8"/>
  <c r="L24" i="8"/>
  <c r="N24" i="8"/>
  <c r="O24" i="8"/>
  <c r="P24" i="8"/>
  <c r="Q24" i="8"/>
  <c r="K25" i="8"/>
  <c r="L25" i="8"/>
  <c r="M25" i="8"/>
  <c r="N25" i="8"/>
  <c r="P25" i="8"/>
  <c r="Q25" i="8"/>
  <c r="K26" i="8"/>
  <c r="L26" i="8"/>
  <c r="N26" i="8"/>
  <c r="O26" i="8"/>
  <c r="P26" i="8"/>
  <c r="Q26" i="8"/>
  <c r="K27" i="8"/>
  <c r="L27" i="8"/>
  <c r="N27" i="8"/>
  <c r="O27" i="8"/>
  <c r="P27" i="8"/>
  <c r="Q27" i="8"/>
  <c r="K28" i="8"/>
  <c r="L28" i="8"/>
  <c r="N28" i="8"/>
  <c r="O28" i="8"/>
  <c r="P28" i="8"/>
  <c r="Q28" i="8"/>
  <c r="K29" i="8"/>
  <c r="L29" i="8"/>
  <c r="N29" i="8"/>
  <c r="O29" i="8"/>
  <c r="P29" i="8"/>
  <c r="Q29" i="8"/>
  <c r="K30" i="8"/>
  <c r="L30" i="8"/>
  <c r="M30" i="8"/>
  <c r="N30" i="8"/>
  <c r="O30" i="8"/>
  <c r="P30" i="8"/>
  <c r="Q30" i="8"/>
  <c r="P18" i="8"/>
  <c r="Q18" i="8"/>
  <c r="L18" i="8"/>
  <c r="M18" i="8"/>
  <c r="N18" i="8"/>
  <c r="K18" i="8"/>
  <c r="O33" i="7"/>
  <c r="P33" i="7" s="1"/>
  <c r="O26" i="7"/>
  <c r="P26" i="7" s="1"/>
  <c r="O23" i="7"/>
  <c r="P23" i="7" s="1"/>
  <c r="O17" i="7"/>
  <c r="P17" i="7" s="1"/>
  <c r="O5" i="7"/>
  <c r="P5" i="7" s="1"/>
  <c r="O2" i="7"/>
  <c r="P2" i="7" s="1"/>
  <c r="L2" i="7"/>
  <c r="M2" i="7" s="1"/>
  <c r="M7" i="7"/>
  <c r="L7" i="7"/>
  <c r="K2" i="7" l="1"/>
  <c r="G40" i="3" l="1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39" i="3"/>
  <c r="H12" i="1" l="1"/>
  <c r="I12" i="1"/>
  <c r="U49" i="7"/>
  <c r="V49" i="7" s="1"/>
  <c r="X49" i="7"/>
  <c r="Y49" i="7" s="1"/>
  <c r="R49" i="7"/>
  <c r="S49" i="7" s="1"/>
  <c r="O49" i="7"/>
  <c r="P49" i="7" s="1"/>
  <c r="O48" i="7"/>
  <c r="P48" i="7" s="1"/>
  <c r="O42" i="7"/>
  <c r="P42" i="7" s="1"/>
  <c r="O43" i="7"/>
  <c r="P43" i="7" s="1"/>
  <c r="R43" i="7"/>
  <c r="S43" i="7" s="1"/>
  <c r="U43" i="7"/>
  <c r="V43" i="7" s="1"/>
  <c r="X43" i="7"/>
  <c r="Y43" i="7" s="1"/>
  <c r="X37" i="7"/>
  <c r="Y37" i="7" s="1"/>
  <c r="U37" i="7"/>
  <c r="V37" i="7" s="1"/>
  <c r="R37" i="7"/>
  <c r="S37" i="7" s="1"/>
  <c r="O37" i="7"/>
  <c r="P37" i="7" s="1"/>
  <c r="X31" i="7"/>
  <c r="Y31" i="7" s="1"/>
  <c r="X25" i="7"/>
  <c r="Y25" i="7" s="1"/>
  <c r="U31" i="7"/>
  <c r="V31" i="7" s="1"/>
  <c r="U25" i="7"/>
  <c r="V25" i="7" s="1"/>
  <c r="R31" i="7"/>
  <c r="S31" i="7" s="1"/>
  <c r="R25" i="7"/>
  <c r="S25" i="7" s="1"/>
  <c r="O31" i="7"/>
  <c r="P31" i="7" s="1"/>
  <c r="O25" i="7"/>
  <c r="P25" i="7" s="1"/>
  <c r="O19" i="7"/>
  <c r="P19" i="7" s="1"/>
  <c r="R19" i="7"/>
  <c r="S19" i="7" s="1"/>
  <c r="U19" i="7"/>
  <c r="V19" i="7" s="1"/>
  <c r="X19" i="7"/>
  <c r="Y19" i="7" s="1"/>
  <c r="X13" i="7"/>
  <c r="Y13" i="7" s="1"/>
  <c r="U13" i="7"/>
  <c r="V13" i="7" s="1"/>
  <c r="R13" i="7"/>
  <c r="S13" i="7" s="1"/>
  <c r="O13" i="7"/>
  <c r="P13" i="7" s="1"/>
  <c r="X7" i="7"/>
  <c r="Y7" i="7" s="1"/>
  <c r="U7" i="7"/>
  <c r="V7" i="7" s="1"/>
  <c r="R7" i="7"/>
  <c r="S7" i="7" s="1"/>
  <c r="O7" i="7"/>
  <c r="P7" i="7" s="1"/>
  <c r="L3" i="7"/>
  <c r="L4" i="7"/>
  <c r="L5" i="7"/>
  <c r="L6" i="7"/>
  <c r="L8" i="7"/>
  <c r="L9" i="7"/>
  <c r="L10" i="7"/>
  <c r="L11" i="7"/>
  <c r="L12" i="7"/>
  <c r="L13" i="7"/>
  <c r="M13" i="7" s="1"/>
  <c r="L14" i="7"/>
  <c r="L15" i="7"/>
  <c r="L16" i="7"/>
  <c r="L17" i="7"/>
  <c r="L18" i="7"/>
  <c r="L19" i="7"/>
  <c r="M19" i="7" s="1"/>
  <c r="L20" i="7"/>
  <c r="L21" i="7"/>
  <c r="L22" i="7"/>
  <c r="L23" i="7"/>
  <c r="L24" i="7"/>
  <c r="L25" i="7"/>
  <c r="M25" i="7" s="1"/>
  <c r="L26" i="7"/>
  <c r="L27" i="7"/>
  <c r="L28" i="7"/>
  <c r="L29" i="7"/>
  <c r="L30" i="7"/>
  <c r="L31" i="7"/>
  <c r="M31" i="7" s="1"/>
  <c r="L32" i="7"/>
  <c r="L33" i="7"/>
  <c r="L34" i="7"/>
  <c r="L35" i="7"/>
  <c r="L36" i="7"/>
  <c r="L37" i="7"/>
  <c r="M37" i="7" s="1"/>
  <c r="L38" i="7"/>
  <c r="L39" i="7"/>
  <c r="L40" i="7"/>
  <c r="L41" i="7"/>
  <c r="L42" i="7"/>
  <c r="L43" i="7"/>
  <c r="M43" i="7" s="1"/>
  <c r="L44" i="7"/>
  <c r="L45" i="7"/>
  <c r="L46" i="7"/>
  <c r="L47" i="7"/>
  <c r="L48" i="7"/>
  <c r="L49" i="7"/>
  <c r="Z2" i="7"/>
  <c r="I11" i="1"/>
  <c r="I16" i="1"/>
  <c r="I13" i="1"/>
  <c r="C7" i="1"/>
  <c r="I7" i="1" s="1"/>
  <c r="C8" i="1"/>
  <c r="I8" i="1" s="1"/>
  <c r="I9" i="1"/>
  <c r="C6" i="1"/>
  <c r="I6" i="1" s="1"/>
  <c r="I19" i="1"/>
  <c r="I10" i="1"/>
  <c r="C4" i="1"/>
  <c r="I4" i="1" s="1"/>
  <c r="I15" i="1"/>
  <c r="I20" i="1"/>
  <c r="I18" i="1"/>
  <c r="I35" i="1"/>
  <c r="I17" i="1"/>
  <c r="I14" i="1"/>
  <c r="I21" i="1"/>
  <c r="I26" i="1"/>
  <c r="I22" i="1"/>
  <c r="I23" i="1"/>
  <c r="I25" i="1"/>
  <c r="I24" i="1"/>
  <c r="I27" i="1"/>
  <c r="I29" i="1"/>
  <c r="I33" i="1"/>
  <c r="I30" i="1"/>
  <c r="I31" i="1"/>
  <c r="I32" i="1"/>
  <c r="I34" i="1"/>
  <c r="I28" i="1"/>
  <c r="I38" i="1"/>
  <c r="I36" i="1"/>
  <c r="I37" i="1"/>
  <c r="I39" i="1"/>
  <c r="I45" i="1"/>
  <c r="I43" i="1"/>
  <c r="I42" i="1"/>
  <c r="I44" i="1"/>
  <c r="I41" i="1"/>
  <c r="I40" i="1"/>
  <c r="I47" i="1"/>
  <c r="I49" i="1"/>
  <c r="I51" i="1"/>
  <c r="I46" i="1"/>
  <c r="I48" i="1"/>
  <c r="I50" i="1"/>
  <c r="C5" i="1"/>
  <c r="I5" i="1" s="1"/>
  <c r="K6" i="7" l="1"/>
  <c r="M6" i="7"/>
  <c r="Z6" i="7" s="1"/>
  <c r="K46" i="7"/>
  <c r="M46" i="7"/>
  <c r="Z46" i="7" s="1"/>
  <c r="Z30" i="7"/>
  <c r="K30" i="7"/>
  <c r="M30" i="7"/>
  <c r="K45" i="7"/>
  <c r="M45" i="7"/>
  <c r="Z45" i="7" s="1"/>
  <c r="K21" i="7"/>
  <c r="M21" i="7"/>
  <c r="Z21" i="7" s="1"/>
  <c r="Z4" i="7"/>
  <c r="K4" i="7"/>
  <c r="M4" i="7"/>
  <c r="M36" i="7"/>
  <c r="Z36" i="7" s="1"/>
  <c r="K36" i="7"/>
  <c r="M28" i="7"/>
  <c r="Z28" i="7" s="1"/>
  <c r="K28" i="7"/>
  <c r="Z20" i="7"/>
  <c r="M20" i="7"/>
  <c r="K20" i="7"/>
  <c r="K12" i="7"/>
  <c r="M12" i="7"/>
  <c r="Z12" i="7" s="1"/>
  <c r="Z3" i="7"/>
  <c r="K3" i="7"/>
  <c r="M3" i="7"/>
  <c r="K35" i="7"/>
  <c r="M35" i="7"/>
  <c r="Z35" i="7" s="1"/>
  <c r="K27" i="7"/>
  <c r="M27" i="7"/>
  <c r="Z27" i="7" s="1"/>
  <c r="Z11" i="7"/>
  <c r="K11" i="7"/>
  <c r="M11" i="7"/>
  <c r="M47" i="7"/>
  <c r="Z47" i="7" s="1"/>
  <c r="K47" i="7"/>
  <c r="K39" i="7"/>
  <c r="M39" i="7"/>
  <c r="Z39" i="7" s="1"/>
  <c r="K23" i="7"/>
  <c r="M23" i="7"/>
  <c r="Z23" i="7" s="1"/>
  <c r="K22" i="7"/>
  <c r="M22" i="7"/>
  <c r="Z22" i="7" s="1"/>
  <c r="M5" i="7"/>
  <c r="Z5" i="7" s="1"/>
  <c r="K5" i="7"/>
  <c r="K42" i="7"/>
  <c r="M42" i="7"/>
  <c r="K26" i="7"/>
  <c r="M26" i="7"/>
  <c r="Z26" i="7" s="1"/>
  <c r="M18" i="7"/>
  <c r="Z18" i="7" s="1"/>
  <c r="K18" i="7"/>
  <c r="K10" i="7"/>
  <c r="M10" i="7"/>
  <c r="Z10" i="7" s="1"/>
  <c r="K49" i="7"/>
  <c r="M49" i="7"/>
  <c r="Z41" i="7"/>
  <c r="K41" i="7"/>
  <c r="M41" i="7"/>
  <c r="M33" i="7"/>
  <c r="Z33" i="7" s="1"/>
  <c r="K33" i="7"/>
  <c r="M17" i="7"/>
  <c r="Z17" i="7" s="1"/>
  <c r="K17" i="7"/>
  <c r="Z9" i="7"/>
  <c r="M9" i="7"/>
  <c r="K9" i="7"/>
  <c r="M15" i="7"/>
  <c r="Z15" i="7" s="1"/>
  <c r="K15" i="7"/>
  <c r="K38" i="7"/>
  <c r="M38" i="7"/>
  <c r="Z38" i="7" s="1"/>
  <c r="K14" i="7"/>
  <c r="M14" i="7"/>
  <c r="Z14" i="7" s="1"/>
  <c r="K29" i="7"/>
  <c r="M29" i="7"/>
  <c r="Z29" i="7" s="1"/>
  <c r="M44" i="7"/>
  <c r="Z44" i="7" s="1"/>
  <c r="K44" i="7"/>
  <c r="M34" i="7"/>
  <c r="Z34" i="7" s="1"/>
  <c r="K34" i="7"/>
  <c r="M48" i="7"/>
  <c r="K48" i="7"/>
  <c r="Z40" i="7"/>
  <c r="K40" i="7"/>
  <c r="M40" i="7"/>
  <c r="M32" i="7"/>
  <c r="Z32" i="7" s="1"/>
  <c r="K32" i="7"/>
  <c r="M24" i="7"/>
  <c r="Z24" i="7" s="1"/>
  <c r="K24" i="7"/>
  <c r="Z16" i="7"/>
  <c r="M16" i="7"/>
  <c r="K16" i="7"/>
  <c r="M8" i="7"/>
  <c r="Z8" i="7" s="1"/>
  <c r="K8" i="7"/>
  <c r="Z48" i="7"/>
  <c r="Z42" i="7"/>
  <c r="Z49" i="7"/>
  <c r="Z31" i="7"/>
  <c r="Z7" i="7"/>
  <c r="Z13" i="7"/>
  <c r="Z25" i="7"/>
  <c r="Z37" i="7"/>
  <c r="Z43" i="7"/>
  <c r="Z19" i="7"/>
  <c r="H40" i="1"/>
  <c r="H36" i="1"/>
  <c r="H29" i="1"/>
  <c r="H14" i="1"/>
  <c r="H10" i="1"/>
  <c r="H11" i="1"/>
  <c r="H5" i="1"/>
  <c r="H41" i="1"/>
  <c r="H38" i="1"/>
  <c r="H27" i="1"/>
  <c r="H17" i="1"/>
  <c r="H19" i="1"/>
  <c r="H50" i="1"/>
  <c r="H44" i="1"/>
  <c r="H28" i="1"/>
  <c r="H24" i="1"/>
  <c r="H6" i="1"/>
  <c r="H48" i="1"/>
  <c r="H42" i="1"/>
  <c r="H34" i="1"/>
  <c r="H25" i="1"/>
  <c r="H35" i="1"/>
  <c r="H9" i="1"/>
  <c r="H46" i="1"/>
  <c r="H43" i="1"/>
  <c r="H32" i="1"/>
  <c r="H23" i="1"/>
  <c r="H18" i="1"/>
  <c r="H8" i="1"/>
  <c r="H51" i="1"/>
  <c r="H45" i="1"/>
  <c r="H31" i="1"/>
  <c r="H22" i="1"/>
  <c r="H20" i="1"/>
  <c r="H7" i="1"/>
  <c r="H49" i="1"/>
  <c r="H39" i="1"/>
  <c r="H30" i="1"/>
  <c r="H26" i="1"/>
  <c r="H15" i="1"/>
  <c r="H13" i="1"/>
  <c r="H47" i="1"/>
  <c r="H37" i="1"/>
  <c r="H33" i="1"/>
  <c r="H21" i="1"/>
  <c r="H4" i="1"/>
  <c r="H16" i="1"/>
  <c r="B76" i="3"/>
  <c r="M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63" i="3"/>
  <c r="G63" i="3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L57" i="3"/>
  <c r="M57" i="3"/>
  <c r="N57" i="3"/>
  <c r="N58" i="3" s="1"/>
  <c r="L18" i="3"/>
  <c r="L24" i="3" s="1"/>
  <c r="L44" i="3"/>
  <c r="F58" i="3"/>
  <c r="E58" i="3"/>
  <c r="C58" i="3"/>
  <c r="G37" i="3"/>
  <c r="L45" i="3"/>
  <c r="M45" i="3"/>
  <c r="N45" i="3"/>
  <c r="N51" i="3" s="1"/>
  <c r="L46" i="3"/>
  <c r="M46" i="3"/>
  <c r="N46" i="3"/>
  <c r="N52" i="3" s="1"/>
  <c r="L47" i="3"/>
  <c r="M47" i="3"/>
  <c r="N47" i="3"/>
  <c r="N53" i="3" s="1"/>
  <c r="L48" i="3"/>
  <c r="M48" i="3"/>
  <c r="N48" i="3"/>
  <c r="N54" i="3" s="1"/>
  <c r="L49" i="3"/>
  <c r="M49" i="3"/>
  <c r="N49" i="3"/>
  <c r="N55" i="3" s="1"/>
  <c r="N44" i="3"/>
  <c r="N50" i="3" s="1"/>
  <c r="M44" i="3"/>
  <c r="L31" i="3"/>
  <c r="L36" i="3"/>
  <c r="N32" i="3"/>
  <c r="N38" i="3" s="1"/>
  <c r="N33" i="3"/>
  <c r="N39" i="3" s="1"/>
  <c r="N34" i="3"/>
  <c r="N40" i="3" s="1"/>
  <c r="N35" i="3"/>
  <c r="N41" i="3" s="1"/>
  <c r="N36" i="3"/>
  <c r="N42" i="3" s="1"/>
  <c r="N31" i="3"/>
  <c r="N37" i="3" s="1"/>
  <c r="M32" i="3"/>
  <c r="M33" i="3"/>
  <c r="M34" i="3"/>
  <c r="M35" i="3"/>
  <c r="M36" i="3"/>
  <c r="M31" i="3"/>
  <c r="L32" i="3"/>
  <c r="L33" i="3"/>
  <c r="L34" i="3"/>
  <c r="L35" i="3"/>
  <c r="N18" i="3"/>
  <c r="N24" i="3" s="1"/>
  <c r="N19" i="3"/>
  <c r="N25" i="3" s="1"/>
  <c r="N21" i="3"/>
  <c r="N27" i="3" s="1"/>
  <c r="N22" i="3"/>
  <c r="N28" i="3" s="1"/>
  <c r="N23" i="3"/>
  <c r="N29" i="3" s="1"/>
  <c r="N20" i="3"/>
  <c r="N26" i="3" s="1"/>
  <c r="M18" i="3"/>
  <c r="M24" i="3" s="1"/>
  <c r="M19" i="3"/>
  <c r="M25" i="3" s="1"/>
  <c r="M20" i="3"/>
  <c r="M26" i="3" s="1"/>
  <c r="M21" i="3"/>
  <c r="M27" i="3" s="1"/>
  <c r="M23" i="3"/>
  <c r="M29" i="3" s="1"/>
  <c r="M22" i="3"/>
  <c r="M28" i="3" s="1"/>
  <c r="L23" i="3"/>
  <c r="L29" i="3" s="1"/>
  <c r="L19" i="3"/>
  <c r="L25" i="3" s="1"/>
  <c r="L20" i="3"/>
  <c r="L26" i="3" s="1"/>
  <c r="L21" i="3"/>
  <c r="L27" i="3" s="1"/>
  <c r="L22" i="3"/>
  <c r="L28" i="3" s="1"/>
  <c r="E52" i="3"/>
  <c r="F52" i="3"/>
  <c r="E53" i="3"/>
  <c r="F53" i="3"/>
  <c r="E54" i="3"/>
  <c r="F54" i="3"/>
  <c r="E55" i="3"/>
  <c r="F55" i="3"/>
  <c r="E56" i="3"/>
  <c r="F56" i="3"/>
  <c r="F51" i="3"/>
  <c r="E51" i="3"/>
  <c r="C51" i="3"/>
  <c r="C52" i="3"/>
  <c r="M51" i="3" s="1"/>
  <c r="C53" i="3"/>
  <c r="C54" i="3"/>
  <c r="C55" i="3"/>
  <c r="C56" i="3"/>
  <c r="B51" i="3"/>
  <c r="B52" i="3"/>
  <c r="B53" i="3"/>
  <c r="B54" i="3"/>
  <c r="B55" i="3"/>
  <c r="B56" i="3"/>
  <c r="G31" i="3"/>
  <c r="G32" i="3"/>
  <c r="G33" i="3"/>
  <c r="G34" i="3"/>
  <c r="G35" i="3"/>
  <c r="G30" i="3"/>
  <c r="E49" i="3"/>
  <c r="E50" i="3"/>
  <c r="F46" i="3"/>
  <c r="F45" i="3"/>
  <c r="F47" i="3"/>
  <c r="F48" i="3"/>
  <c r="F49" i="3"/>
  <c r="F50" i="3"/>
  <c r="C46" i="3"/>
  <c r="C47" i="3"/>
  <c r="C48" i="3"/>
  <c r="C49" i="3"/>
  <c r="C50" i="3"/>
  <c r="C45" i="3"/>
  <c r="M37" i="3" s="1"/>
  <c r="B46" i="3"/>
  <c r="B47" i="3"/>
  <c r="B48" i="3"/>
  <c r="B49" i="3"/>
  <c r="B50" i="3"/>
  <c r="B45" i="3"/>
  <c r="G25" i="3"/>
  <c r="G26" i="3"/>
  <c r="G27" i="3"/>
  <c r="G28" i="3"/>
  <c r="G29" i="3"/>
  <c r="G24" i="3"/>
  <c r="F44" i="3"/>
  <c r="E44" i="3"/>
  <c r="G23" i="3"/>
  <c r="F39" i="3"/>
  <c r="F40" i="3"/>
  <c r="F41" i="3"/>
  <c r="F42" i="3"/>
  <c r="F43" i="3"/>
  <c r="E40" i="3"/>
  <c r="E41" i="3"/>
  <c r="E42" i="3"/>
  <c r="E43" i="3"/>
  <c r="E39" i="3"/>
  <c r="G19" i="3"/>
  <c r="G20" i="3"/>
  <c r="G21" i="3"/>
  <c r="G22" i="3"/>
  <c r="G18" i="3"/>
  <c r="E63" i="3" l="1"/>
  <c r="J63" i="3" s="1"/>
  <c r="M52" i="3"/>
  <c r="M42" i="3"/>
  <c r="L50" i="3"/>
  <c r="M58" i="3"/>
  <c r="L58" i="3"/>
  <c r="L37" i="3"/>
  <c r="L51" i="3"/>
  <c r="L41" i="3"/>
  <c r="L55" i="3"/>
  <c r="L53" i="3"/>
  <c r="L42" i="3"/>
  <c r="M53" i="3"/>
  <c r="L39" i="3"/>
  <c r="L40" i="3"/>
  <c r="L54" i="3"/>
  <c r="L38" i="3"/>
  <c r="L52" i="3"/>
  <c r="M50" i="3"/>
  <c r="M38" i="3"/>
  <c r="M41" i="3"/>
  <c r="M55" i="3"/>
  <c r="M40" i="3"/>
  <c r="M54" i="3"/>
  <c r="M39" i="3"/>
  <c r="C8" i="3"/>
  <c r="H10" i="3"/>
  <c r="H6" i="3"/>
  <c r="H2" i="3"/>
  <c r="D12" i="3"/>
  <c r="D4" i="3"/>
  <c r="D8" i="3"/>
  <c r="C4" i="3"/>
  <c r="B4" i="3"/>
  <c r="B8" i="3"/>
  <c r="C12" i="3"/>
  <c r="B12" i="3"/>
  <c r="E64" i="3" l="1"/>
  <c r="H8" i="3"/>
  <c r="H4" i="3"/>
  <c r="H12" i="3"/>
  <c r="E65" i="3" l="1"/>
  <c r="J64" i="3"/>
  <c r="M64" i="3" s="1"/>
  <c r="E66" i="3" l="1"/>
  <c r="J65" i="3"/>
  <c r="M65" i="3" s="1"/>
  <c r="E67" i="3" l="1"/>
  <c r="J66" i="3"/>
  <c r="M66" i="3" s="1"/>
  <c r="E68" i="3" l="1"/>
  <c r="J67" i="3"/>
  <c r="M67" i="3" s="1"/>
  <c r="E69" i="3" l="1"/>
  <c r="J68" i="3"/>
  <c r="M68" i="3" s="1"/>
  <c r="E70" i="3" l="1"/>
  <c r="J69" i="3"/>
  <c r="M69" i="3" s="1"/>
  <c r="E71" i="3" l="1"/>
  <c r="J70" i="3"/>
  <c r="M70" i="3" s="1"/>
  <c r="E72" i="3" l="1"/>
  <c r="J71" i="3"/>
  <c r="M71" i="3" s="1"/>
  <c r="E73" i="3" l="1"/>
  <c r="J72" i="3"/>
  <c r="M72" i="3" s="1"/>
  <c r="E74" i="3" l="1"/>
  <c r="J73" i="3"/>
  <c r="M73" i="3" s="1"/>
  <c r="E75" i="3" l="1"/>
  <c r="J74" i="3"/>
  <c r="M74" i="3" s="1"/>
  <c r="E76" i="3" l="1"/>
  <c r="J75" i="3"/>
  <c r="M75" i="3" s="1"/>
  <c r="E77" i="3" l="1"/>
  <c r="J76" i="3"/>
  <c r="M76" i="3" s="1"/>
  <c r="E78" i="3" l="1"/>
  <c r="J77" i="3"/>
  <c r="M77" i="3" s="1"/>
  <c r="E79" i="3" l="1"/>
  <c r="J78" i="3"/>
  <c r="M78" i="3" s="1"/>
  <c r="E80" i="3" l="1"/>
  <c r="J79" i="3"/>
  <c r="M79" i="3" s="1"/>
  <c r="E81" i="3" l="1"/>
  <c r="J80" i="3"/>
  <c r="M80" i="3" s="1"/>
  <c r="E82" i="3" l="1"/>
  <c r="J81" i="3"/>
  <c r="M81" i="3" s="1"/>
  <c r="E83" i="3" l="1"/>
  <c r="J82" i="3"/>
  <c r="M82" i="3" s="1"/>
  <c r="E84" i="3" l="1"/>
  <c r="J83" i="3"/>
  <c r="M83" i="3" s="1"/>
  <c r="E85" i="3" l="1"/>
  <c r="J84" i="3"/>
  <c r="M84" i="3" s="1"/>
  <c r="E86" i="3" l="1"/>
  <c r="J85" i="3"/>
  <c r="M85" i="3" s="1"/>
  <c r="E87" i="3" l="1"/>
  <c r="J86" i="3"/>
  <c r="M86" i="3" s="1"/>
  <c r="E88" i="3" l="1"/>
  <c r="J87" i="3"/>
  <c r="M87" i="3" s="1"/>
  <c r="E89" i="3" l="1"/>
  <c r="J88" i="3"/>
  <c r="M88" i="3" s="1"/>
  <c r="E90" i="3" l="1"/>
  <c r="J89" i="3"/>
  <c r="M89" i="3" s="1"/>
  <c r="E91" i="3" l="1"/>
  <c r="J90" i="3"/>
  <c r="M90" i="3" s="1"/>
  <c r="E92" i="3" l="1"/>
  <c r="J91" i="3"/>
  <c r="M91" i="3" s="1"/>
  <c r="E93" i="3" l="1"/>
  <c r="J92" i="3"/>
  <c r="M92" i="3" s="1"/>
  <c r="E94" i="3" l="1"/>
  <c r="J93" i="3"/>
  <c r="M93" i="3" s="1"/>
  <c r="E95" i="3" l="1"/>
  <c r="J94" i="3"/>
  <c r="M94" i="3" s="1"/>
  <c r="E96" i="3" l="1"/>
  <c r="J95" i="3"/>
  <c r="M95" i="3" s="1"/>
  <c r="E97" i="3" l="1"/>
  <c r="J96" i="3"/>
  <c r="M96" i="3" s="1"/>
  <c r="E98" i="3" l="1"/>
  <c r="J97" i="3"/>
  <c r="M97" i="3" s="1"/>
  <c r="E99" i="3" l="1"/>
  <c r="J98" i="3"/>
  <c r="M98" i="3" s="1"/>
  <c r="E100" i="3" l="1"/>
  <c r="J99" i="3"/>
  <c r="M99" i="3" s="1"/>
  <c r="E101" i="3" l="1"/>
  <c r="J100" i="3"/>
  <c r="M100" i="3" s="1"/>
  <c r="E102" i="3" l="1"/>
  <c r="J101" i="3"/>
  <c r="M101" i="3" s="1"/>
  <c r="E103" i="3" l="1"/>
  <c r="J102" i="3"/>
  <c r="M102" i="3" s="1"/>
  <c r="E104" i="3" l="1"/>
  <c r="J103" i="3"/>
  <c r="M103" i="3" s="1"/>
  <c r="E105" i="3" l="1"/>
  <c r="J104" i="3"/>
  <c r="M104" i="3" s="1"/>
  <c r="E106" i="3" l="1"/>
  <c r="J105" i="3"/>
  <c r="M105" i="3" s="1"/>
  <c r="E107" i="3" l="1"/>
  <c r="J106" i="3"/>
  <c r="M106" i="3" s="1"/>
  <c r="E108" i="3" l="1"/>
  <c r="J107" i="3"/>
  <c r="M107" i="3" s="1"/>
  <c r="E109" i="3" l="1"/>
  <c r="J108" i="3"/>
  <c r="M108" i="3" s="1"/>
  <c r="E110" i="3" l="1"/>
  <c r="J109" i="3"/>
  <c r="M109" i="3" s="1"/>
  <c r="E111" i="3" l="1"/>
  <c r="J110" i="3"/>
  <c r="M110" i="3" s="1"/>
  <c r="E112" i="3" l="1"/>
  <c r="J112" i="3" s="1"/>
  <c r="M112" i="3" s="1"/>
  <c r="J111" i="3"/>
  <c r="M111" i="3" s="1"/>
  <c r="N112" i="3" l="1"/>
  <c r="P112" i="3" s="1"/>
  <c r="J113" i="3"/>
  <c r="K113" i="3" s="1"/>
  <c r="L113" i="3" s="1"/>
  <c r="L114" i="3" s="1"/>
  <c r="M114" i="3" s="1"/>
  <c r="M115" i="3" s="1"/>
</calcChain>
</file>

<file path=xl/sharedStrings.xml><?xml version="1.0" encoding="utf-8"?>
<sst xmlns="http://schemas.openxmlformats.org/spreadsheetml/2006/main" count="1285" uniqueCount="734">
  <si>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</si>
  <si>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</si>
  <si>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</si>
  <si>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</si>
  <si>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level</t>
    <phoneticPr fontId="1" type="noConversion"/>
  </si>
  <si>
    <t>int</t>
    <phoneticPr fontId="1" type="noConversion"/>
  </si>
  <si>
    <t>string</t>
    <phoneticPr fontId="1" type="noConversion"/>
  </si>
  <si>
    <t>hitName</t>
    <phoneticPr fontId="1" type="noConversion"/>
  </si>
  <si>
    <t>rewardMoneyMin</t>
  </si>
  <si>
    <t>rewardMoneyMax</t>
  </si>
  <si>
    <t>rewardItemStr</t>
  </si>
  <si>
    <t>史莱姆</t>
  </si>
  <si>
    <t>进化史莱姆</t>
  </si>
  <si>
    <t>狼蝠</t>
  </si>
  <si>
    <t>蛮兽</t>
  </si>
  <si>
    <t>雷霆蛮兽</t>
  </si>
  <si>
    <t>风精灵</t>
  </si>
  <si>
    <t>利刃蜘蛛</t>
  </si>
  <si>
    <t>邪眼</t>
  </si>
  <si>
    <t>巨魔</t>
  </si>
  <si>
    <t>哥布林战士</t>
  </si>
  <si>
    <t>守护者</t>
  </si>
  <si>
    <t>彩虹鸟</t>
  </si>
  <si>
    <t>毒蜂</t>
  </si>
  <si>
    <t>食人花</t>
  </si>
  <si>
    <t>巨蟒</t>
  </si>
  <si>
    <t>魔狼</t>
  </si>
  <si>
    <t>水元素</t>
  </si>
  <si>
    <t>水螅</t>
  </si>
  <si>
    <t>水母</t>
  </si>
  <si>
    <t>鱼人</t>
  </si>
  <si>
    <t>飞鲨</t>
  </si>
  <si>
    <t>盗贼</t>
  </si>
  <si>
    <t>牛头人</t>
  </si>
  <si>
    <t>毒蝎</t>
  </si>
  <si>
    <t>狂战</t>
  </si>
  <si>
    <t>空鼠</t>
  </si>
  <si>
    <t>老鼠</t>
  </si>
  <si>
    <t>盔甲</t>
  </si>
  <si>
    <t>宝箱怪</t>
  </si>
  <si>
    <t>傀儡</t>
  </si>
  <si>
    <t>恶法师</t>
  </si>
  <si>
    <t>死神</t>
  </si>
  <si>
    <t>白龙</t>
  </si>
  <si>
    <t>浮游</t>
  </si>
  <si>
    <t>地狱犬</t>
  </si>
  <si>
    <t>骷髅兵</t>
  </si>
  <si>
    <t>僵尸</t>
  </si>
  <si>
    <t>魔族大将</t>
  </si>
  <si>
    <t>羊角恶魔</t>
  </si>
  <si>
    <t>千手天使</t>
  </si>
  <si>
    <t>小恶魔</t>
  </si>
  <si>
    <t>魅魔</t>
  </si>
  <si>
    <t>血族伯爵</t>
  </si>
  <si>
    <t>攻击生长高于血量成长</t>
    <phoneticPr fontId="1" type="noConversion"/>
  </si>
  <si>
    <t>攻击生长低于血量成长</t>
    <phoneticPr fontId="1" type="noConversion"/>
  </si>
  <si>
    <t>攻击生长等于血量成长</t>
    <phoneticPr fontId="1" type="noConversion"/>
  </si>
  <si>
    <t>スライム</t>
  </si>
  <si>
    <t>Slime</t>
  </si>
  <si>
    <t>トラペッタ地方</t>
  </si>
  <si>
    <t>Farebury</t>
  </si>
  <si>
    <t>トロデーン国領</t>
  </si>
  <si>
    <t>Trodain</t>
  </si>
  <si>
    <t>やくそう(1/32)</t>
  </si>
  <si>
    <t>Medicinal Herb</t>
  </si>
  <si>
    <t>アモールの水(1/64)</t>
  </si>
  <si>
    <t>Amor seco essence</t>
  </si>
  <si>
    <t>しましまキャット</t>
  </si>
  <si>
    <t>Candy Cat</t>
  </si>
  <si>
    <t>とうぞくのこしみの(1/64)</t>
  </si>
  <si>
    <t>Bandit's grass skirt</t>
  </si>
  <si>
    <t>リップス</t>
  </si>
  <si>
    <t>Lips</t>
  </si>
  <si>
    <t>やくそう(1/16)</t>
  </si>
  <si>
    <t>まんげつ草(1/64)</t>
  </si>
  <si>
    <t>Moonwart bulb</t>
  </si>
  <si>
    <t>ドラキー</t>
  </si>
  <si>
    <t>Dracky</t>
  </si>
  <si>
    <t>やくそう(1/64)</t>
  </si>
  <si>
    <t>キメラのつばさ(1/128)</t>
  </si>
  <si>
    <t>Chimaera wing</t>
  </si>
  <si>
    <t>プークプック</t>
  </si>
  <si>
    <t>Satyr</t>
  </si>
  <si>
    <t>布の服(1/16)</t>
  </si>
  <si>
    <t>Plain clothes</t>
  </si>
  <si>
    <t>たびびとの服(1/64)</t>
  </si>
  <si>
    <t>Wayfarer's clothes</t>
  </si>
  <si>
    <t>くしざしツインズ</t>
  </si>
  <si>
    <t>Capsichum</t>
  </si>
  <si>
    <t>ひのきのぼう(1/64)</t>
  </si>
  <si>
    <t>Cypress Stick</t>
  </si>
  <si>
    <t>どうのつるぎ(1/256)</t>
  </si>
  <si>
    <t>Copper Sword</t>
  </si>
  <si>
    <t>いっかくウサギ</t>
  </si>
  <si>
    <t>Bunicorn</t>
  </si>
  <si>
    <t>皮のぼうし(1/64)</t>
  </si>
  <si>
    <t>Leather hat</t>
  </si>
  <si>
    <t>うさぎのしっぽ(1/128)</t>
  </si>
  <si>
    <t>Bunny tail</t>
  </si>
  <si>
    <t>スライムべス</t>
  </si>
  <si>
    <t>She-Slime</t>
  </si>
  <si>
    <t>マイエラ地方</t>
  </si>
  <si>
    <t>Maella Abbey</t>
  </si>
  <si>
    <t>アスカンタ国領</t>
  </si>
  <si>
    <t>Ascantha</t>
  </si>
  <si>
    <t>スライムピアス(1/128)</t>
  </si>
  <si>
    <t>Slime Earrings</t>
  </si>
  <si>
    <t>メラゴースト</t>
  </si>
  <si>
    <t>Firespirit</t>
  </si>
  <si>
    <t>滝の洞窟</t>
  </si>
  <si>
    <t>Waterfall Cave</t>
  </si>
  <si>
    <t>せいすい(1/64)</t>
  </si>
  <si>
    <t>Holy water</t>
  </si>
  <si>
    <t>アモールの水(1/128)</t>
  </si>
  <si>
    <t>いたずらもぐら</t>
  </si>
  <si>
    <t>Mischievous Mole</t>
  </si>
  <si>
    <t>モグラのアジト</t>
  </si>
  <si>
    <t>Mole Hole</t>
  </si>
  <si>
    <t>こんぼう(1/128)</t>
  </si>
  <si>
    <t>Oaken Club</t>
  </si>
  <si>
    <t>メタッピー</t>
  </si>
  <si>
    <t>Mecha-Mynah</t>
  </si>
  <si>
    <t>リーザス地方</t>
  </si>
  <si>
    <t>Alexandria</t>
  </si>
  <si>
    <t>おなべのふた(1/32)</t>
  </si>
  <si>
    <t>Pot lid</t>
  </si>
  <si>
    <t>キメラのつばさ(1/64)</t>
  </si>
  <si>
    <t>バブルスライム</t>
  </si>
  <si>
    <t>Bubble Slime</t>
  </si>
  <si>
    <t>どくけし草(1/16)</t>
  </si>
  <si>
    <t>Antidotal herb</t>
  </si>
  <si>
    <t>まんげつ草(1/32)</t>
  </si>
  <si>
    <t>びっくりサタン</t>
  </si>
  <si>
    <t>Dancing Devil</t>
  </si>
  <si>
    <t>キメラのつばさ(1/32)</t>
  </si>
  <si>
    <t>ステテコパンツ(1/32)</t>
  </si>
  <si>
    <t>Boxer shorts</t>
  </si>
  <si>
    <t>リリパット</t>
  </si>
  <si>
    <t>Bodkin Archer</t>
  </si>
  <si>
    <t>バンダナ(1/32)</t>
  </si>
  <si>
    <t>Bandana</t>
  </si>
  <si>
    <t>ふつうのチーズ(1/128)</t>
  </si>
  <si>
    <t>Plain cheese</t>
  </si>
  <si>
    <t>スキッパー</t>
  </si>
  <si>
    <t>Skipper</t>
  </si>
  <si>
    <t>うさぎのしっぽ(1/32)</t>
  </si>
  <si>
    <t>タホドラキー</t>
  </si>
  <si>
    <t>Drackmage</t>
  </si>
  <si>
    <t>かぶとこぞう</t>
  </si>
  <si>
    <t>Beetleboy</t>
  </si>
  <si>
    <t>ベビーサタン</t>
  </si>
  <si>
    <t>Imp</t>
  </si>
  <si>
    <t>リーザス像の塔</t>
  </si>
  <si>
    <t>Tower of Alexandra</t>
  </si>
  <si>
    <t>冷たいチーズ(1/128)</t>
  </si>
  <si>
    <t>Cool cheese</t>
  </si>
  <si>
    <t>おばけきのこ</t>
  </si>
  <si>
    <t>Funghoul</t>
  </si>
  <si>
    <t>どくけし草(1/32)</t>
  </si>
  <si>
    <t>サーベルきつね</t>
  </si>
  <si>
    <t>Fencing Fox</t>
  </si>
  <si>
    <t>たびびとの服(1/32)</t>
  </si>
  <si>
    <t>金のブレスレット(1/256)</t>
  </si>
  <si>
    <t>Gold bracer</t>
  </si>
  <si>
    <t>ホイミスライム</t>
  </si>
  <si>
    <t>Healslime</t>
  </si>
  <si>
    <t>トロデーン城国領</t>
  </si>
  <si>
    <t>アモールの水(1/32)</t>
  </si>
  <si>
    <t>おおきづち</t>
  </si>
  <si>
    <t>Hammerhood</t>
  </si>
  <si>
    <t>こんぼう(1/32)</t>
  </si>
  <si>
    <t>大きづち(1/64)</t>
  </si>
  <si>
    <t>Giant Mallet</t>
  </si>
  <si>
    <t>プリズニャン</t>
  </si>
  <si>
    <t>Jailcat</t>
  </si>
  <si>
    <t>バンダナ(1/64)</t>
  </si>
  <si>
    <t>ふつうのチーズ(1/256)</t>
  </si>
  <si>
    <t>じんめんガエル</t>
  </si>
  <si>
    <t>Frogface</t>
  </si>
  <si>
    <t>げんじゅつし</t>
  </si>
  <si>
    <t>Lump Mage</t>
  </si>
  <si>
    <t>ひのきのぼう(1/32)</t>
  </si>
  <si>
    <t>まどうしの杖(1/256)</t>
  </si>
  <si>
    <t>Wizard's Staff</t>
  </si>
  <si>
    <t>おおめだま</t>
  </si>
  <si>
    <t>Winky</t>
  </si>
  <si>
    <t>せいすい(1/32)</t>
  </si>
  <si>
    <t>まほうのせいすい(1/256)</t>
  </si>
  <si>
    <t>Magic water</t>
  </si>
  <si>
    <t>アルミラージ</t>
  </si>
  <si>
    <t>Spiked Hare</t>
  </si>
  <si>
    <t>ワンダーフール</t>
  </si>
  <si>
    <t>Chainine</t>
  </si>
  <si>
    <t>デスファレーナ</t>
  </si>
  <si>
    <t>Giant Moth</t>
  </si>
  <si>
    <t>レンネットのこな(1/16)</t>
  </si>
  <si>
    <t>Rennet powder</t>
  </si>
  <si>
    <t>あかいカビ(1/64)</t>
  </si>
  <si>
    <t>Red mould</t>
  </si>
  <si>
    <t>リンリン</t>
  </si>
  <si>
    <t>Dingaling</t>
  </si>
  <si>
    <t>ヘアバンド(1/64)</t>
  </si>
  <si>
    <t>Hairband</t>
  </si>
  <si>
    <t>金のブレスレット(1/128)</t>
  </si>
  <si>
    <t>デンデン竜</t>
  </si>
  <si>
    <t>Jargon</t>
  </si>
  <si>
    <t>おいしいミルク(1/32)</t>
  </si>
  <si>
    <t>Fresh milk</t>
  </si>
  <si>
    <t>ドラキーマ</t>
  </si>
  <si>
    <t>Drackyma</t>
  </si>
  <si>
    <t>リブルアーチ地方</t>
  </si>
  <si>
    <t>Arcadia</t>
  </si>
  <si>
    <t>まんげつ草(1/16)</t>
  </si>
  <si>
    <t>こうもりの羽(1/16)</t>
  </si>
  <si>
    <t>Wing of bat</t>
  </si>
  <si>
    <t>あばれうしどり</t>
  </si>
  <si>
    <t>Bullfinch</t>
  </si>
  <si>
    <t>旧修道院跡地</t>
  </si>
  <si>
    <t>Ruined Abbey</t>
  </si>
  <si>
    <t>うしのふん(1/16)</t>
  </si>
  <si>
    <t>Cowpat</t>
  </si>
  <si>
    <r>
      <t>まじゅうの皮</t>
    </r>
    <r>
      <rPr>
        <sz val="11"/>
        <color rgb="FFFF0000"/>
        <rFont val="Tahoma"/>
        <family val="2"/>
      </rPr>
      <t>(1/64)</t>
    </r>
  </si>
  <si>
    <t>Magic beast hide</t>
  </si>
  <si>
    <t>わらいぶくろ</t>
  </si>
  <si>
    <t>Bag o' Laughs</t>
  </si>
  <si>
    <t>ヘアバンド(1/32)</t>
  </si>
  <si>
    <t>がいこつ</t>
  </si>
  <si>
    <t>Skeleton</t>
  </si>
  <si>
    <t>兵士の剣(1/32)</t>
  </si>
  <si>
    <t>Soldier's Sword</t>
  </si>
  <si>
    <t>騎士団の服(1/256)</t>
  </si>
  <si>
    <t>Templar's uniform</t>
  </si>
  <si>
    <t>メタルスライム</t>
  </si>
  <si>
    <t>Metal Slime</t>
  </si>
  <si>
    <t>サザンビーク国領</t>
  </si>
  <si>
    <t>Argonia</t>
  </si>
  <si>
    <r>
      <t>まもりのたね</t>
    </r>
    <r>
      <rPr>
        <sz val="11"/>
        <color rgb="FF0000FF"/>
        <rFont val="Tahoma"/>
        <family val="2"/>
      </rPr>
      <t>(1/128)</t>
    </r>
  </si>
  <si>
    <t>Seed of defence</t>
  </si>
  <si>
    <r>
      <t>すばやさのたね</t>
    </r>
    <r>
      <rPr>
        <sz val="11"/>
        <color rgb="FF0000FF"/>
        <rFont val="Tahoma"/>
        <family val="2"/>
      </rPr>
      <t>(1/256)</t>
    </r>
  </si>
  <si>
    <t>Seed of agility</t>
  </si>
  <si>
    <t>おおさそり</t>
  </si>
  <si>
    <t>Scorpion</t>
  </si>
  <si>
    <t>鉄のヤリ(1/128)</t>
  </si>
  <si>
    <t>Iron Lance</t>
  </si>
  <si>
    <t>マタンゴ</t>
  </si>
  <si>
    <t>Morphean Mushroom</t>
  </si>
  <si>
    <t>あかいカビ(1/16)</t>
  </si>
  <si>
    <t>ふつうのチーズ(1/64)</t>
  </si>
  <si>
    <t>ブラウニー</t>
  </si>
  <si>
    <t>Brownie</t>
  </si>
  <si>
    <t>おおきづち(1/64)</t>
  </si>
  <si>
    <t>ハエ男</t>
  </si>
  <si>
    <t>Flyguy</t>
  </si>
  <si>
    <t>うしのふん(1/8)</t>
  </si>
  <si>
    <t>パペットこぞう</t>
  </si>
  <si>
    <t>Puppeteer</t>
  </si>
  <si>
    <t>絹のローブ(1/32)</t>
  </si>
  <si>
    <t>Silk Robe</t>
  </si>
  <si>
    <t>スライムピアス(1/64)</t>
  </si>
  <si>
    <t>アローインプ</t>
  </si>
  <si>
    <t>Bodkin Bowyer</t>
  </si>
  <si>
    <t>願いの丘</t>
  </si>
  <si>
    <t>Wisher's Peak</t>
  </si>
  <si>
    <t>絹のローブ(1/16)</t>
  </si>
  <si>
    <t>ショートボウ(1/256)</t>
  </si>
  <si>
    <t>Short Bow</t>
  </si>
  <si>
    <t>ナイトウォーカー</t>
  </si>
  <si>
    <t>Night Sneaker</t>
  </si>
  <si>
    <t>うさぎのしっぽ(1/64)</t>
  </si>
  <si>
    <t>ミイラ男</t>
  </si>
  <si>
    <t>Mummy Boy</t>
  </si>
  <si>
    <t>バンダナ(1/16)</t>
  </si>
  <si>
    <t>ターバン(1/128)</t>
  </si>
  <si>
    <t>Turban</t>
  </si>
  <si>
    <t>ヘルホーネット</t>
  </si>
  <si>
    <t>Hell Hornet</t>
  </si>
  <si>
    <t>どくがのナイフ(1/256)</t>
  </si>
  <si>
    <t>Poison moth Knife</t>
  </si>
  <si>
    <t>コサックシープ</t>
  </si>
  <si>
    <t>Pan Piper</t>
  </si>
  <si>
    <t>皮のこしまき(1/128)</t>
  </si>
  <si>
    <t>Leather kilt</t>
  </si>
  <si>
    <t>スライムナイト</t>
  </si>
  <si>
    <t>Slime Knight</t>
  </si>
  <si>
    <t>スライムピアス(1/32)</t>
  </si>
  <si>
    <t>騎士団の盾(1/256)</t>
  </si>
  <si>
    <t>Templar's shield</t>
  </si>
  <si>
    <t>ガチャコッコ</t>
  </si>
  <si>
    <t>Clockwork Cuckoo</t>
  </si>
  <si>
    <t>パルミド地方</t>
  </si>
  <si>
    <t>Pickham</t>
  </si>
  <si>
    <t>鉄のクギ(1/16)</t>
  </si>
  <si>
    <t>Iron nail</t>
  </si>
  <si>
    <t>ダガーナイフ(1/64)</t>
  </si>
  <si>
    <t>Dagger</t>
  </si>
  <si>
    <t>じんめんじゅ</t>
  </si>
  <si>
    <t>Treeface</t>
  </si>
  <si>
    <t>やくそう(1/8)</t>
  </si>
  <si>
    <t>上やくそう(1/64)</t>
  </si>
  <si>
    <t>Strong Medicine</t>
  </si>
  <si>
    <t>プチュチュンパ</t>
  </si>
  <si>
    <t>Kisser</t>
  </si>
  <si>
    <t>hp</t>
    <phoneticPr fontId="1" type="noConversion"/>
  </si>
  <si>
    <t>at</t>
    <phoneticPr fontId="1" type="noConversion"/>
  </si>
  <si>
    <t>初始HP</t>
    <phoneticPr fontId="1" type="noConversion"/>
  </si>
  <si>
    <t>初始AT</t>
    <phoneticPr fontId="1" type="noConversion"/>
  </si>
  <si>
    <t>HP增加</t>
    <phoneticPr fontId="1" type="noConversion"/>
  </si>
  <si>
    <t>AT增加</t>
    <phoneticPr fontId="1" type="noConversion"/>
  </si>
  <si>
    <t>初始DF</t>
    <phoneticPr fontId="1" type="noConversion"/>
  </si>
  <si>
    <t>DF增加</t>
    <phoneticPr fontId="1" type="noConversion"/>
  </si>
  <si>
    <t>低攻高防高血</t>
    <phoneticPr fontId="1" type="noConversion"/>
  </si>
  <si>
    <t>高攻低防高血</t>
    <phoneticPr fontId="1" type="noConversion"/>
  </si>
  <si>
    <t>高攻中防中血</t>
    <phoneticPr fontId="1" type="noConversion"/>
  </si>
  <si>
    <t>中攻中防高血</t>
    <phoneticPr fontId="1" type="noConversion"/>
  </si>
  <si>
    <t>战士</t>
    <phoneticPr fontId="1" type="noConversion"/>
  </si>
  <si>
    <t>法师</t>
    <phoneticPr fontId="1" type="noConversion"/>
  </si>
  <si>
    <t>objName</t>
    <phoneticPr fontId="1" type="noConversion"/>
  </si>
  <si>
    <t>Bat1</t>
    <phoneticPr fontId="1" type="noConversion"/>
  </si>
  <si>
    <t>Behemoth0</t>
  </si>
  <si>
    <t>Behemoth1</t>
    <phoneticPr fontId="1" type="noConversion"/>
  </si>
  <si>
    <t>Gayzer0</t>
  </si>
  <si>
    <t>Ogre</t>
  </si>
  <si>
    <t>Paladin_f</t>
  </si>
  <si>
    <t>Cockatrice</t>
  </si>
  <si>
    <t>Hornet1</t>
  </si>
  <si>
    <t>Plant</t>
    <phoneticPr fontId="1" type="noConversion"/>
  </si>
  <si>
    <t>Snake2</t>
  </si>
  <si>
    <t>Werewolf</t>
  </si>
  <si>
    <t>Dragon1</t>
  </si>
  <si>
    <t>Waterspirit</t>
  </si>
  <si>
    <t>Jellyfish1</t>
  </si>
  <si>
    <t>Jellyfish2</t>
  </si>
  <si>
    <t>蛇女</t>
    <phoneticPr fontId="1" type="noConversion"/>
  </si>
  <si>
    <t>Lamia</t>
  </si>
  <si>
    <t>Sahagin</t>
  </si>
  <si>
    <t>Garuda</t>
  </si>
  <si>
    <t>Minotaur</t>
  </si>
  <si>
    <t>Warrior_m</t>
  </si>
  <si>
    <t>Rat2</t>
  </si>
  <si>
    <t>Rat3</t>
  </si>
  <si>
    <t>Captain</t>
  </si>
  <si>
    <t>Mimic1</t>
  </si>
  <si>
    <t>Puppet</t>
  </si>
  <si>
    <t>Gargoyle1</t>
  </si>
  <si>
    <t>Ghost</t>
  </si>
  <si>
    <t>Kerberos</t>
  </si>
  <si>
    <t>Skeleton1</t>
  </si>
  <si>
    <t>Zombie1</t>
  </si>
  <si>
    <t>General</t>
  </si>
  <si>
    <t>God</t>
  </si>
  <si>
    <t>Succubus</t>
  </si>
  <si>
    <t>Vampire</t>
  </si>
  <si>
    <t>Bandit</t>
  </si>
  <si>
    <t>Windspirit</t>
  </si>
  <si>
    <t>蛇女</t>
  </si>
  <si>
    <t>暴击系数</t>
    <phoneticPr fontId="1" type="noConversion"/>
  </si>
  <si>
    <t>躲避系数</t>
    <phoneticPr fontId="1" type="noConversion"/>
  </si>
  <si>
    <t>(a-b)/100</t>
    <phoneticPr fontId="1" type="noConversion"/>
  </si>
  <si>
    <t>1-(b-a)/100</t>
    <phoneticPr fontId="1" type="noConversion"/>
  </si>
  <si>
    <t>攻击型</t>
    <phoneticPr fontId="1" type="noConversion"/>
  </si>
  <si>
    <t>暴击型</t>
    <phoneticPr fontId="1" type="noConversion"/>
  </si>
  <si>
    <t>坦克型</t>
    <phoneticPr fontId="1" type="noConversion"/>
  </si>
  <si>
    <t>灵敏型</t>
    <phoneticPr fontId="1" type="noConversion"/>
  </si>
  <si>
    <t>防御型</t>
    <phoneticPr fontId="1" type="noConversion"/>
  </si>
  <si>
    <t>at</t>
    <phoneticPr fontId="1" type="noConversion"/>
  </si>
  <si>
    <t>df</t>
    <phoneticPr fontId="1" type="noConversion"/>
  </si>
  <si>
    <t>hp</t>
    <phoneticPr fontId="1" type="noConversion"/>
  </si>
  <si>
    <t>c</t>
    <phoneticPr fontId="1" type="noConversion"/>
  </si>
  <si>
    <t>d</t>
    <phoneticPr fontId="1" type="noConversion"/>
  </si>
  <si>
    <t>平均型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</si>
  <si>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</si>
  <si>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</si>
  <si>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</si>
  <si>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</si>
  <si>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</si>
  <si>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</si>
  <si>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</si>
  <si>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</si>
  <si>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</si>
  <si>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暴击-</t>
    <phoneticPr fontId="1" type="noConversion"/>
  </si>
  <si>
    <t>灵敏-</t>
    <phoneticPr fontId="1" type="noConversion"/>
  </si>
  <si>
    <t>防御-</t>
    <phoneticPr fontId="1" type="noConversion"/>
  </si>
  <si>
    <t>坦克-</t>
    <phoneticPr fontId="1" type="noConversion"/>
  </si>
  <si>
    <t>平均-</t>
    <phoneticPr fontId="1" type="noConversion"/>
  </si>
  <si>
    <t>攻击-</t>
    <phoneticPr fontId="1" type="noConversion"/>
  </si>
  <si>
    <t>灵敏+</t>
    <phoneticPr fontId="1" type="noConversion"/>
  </si>
  <si>
    <t>平均+</t>
    <phoneticPr fontId="1" type="noConversion"/>
  </si>
  <si>
    <t>攻击+</t>
    <phoneticPr fontId="1" type="noConversion"/>
  </si>
  <si>
    <t>攻击型-</t>
  </si>
  <si>
    <t>暴击型-</t>
  </si>
  <si>
    <t>坦克型-</t>
  </si>
  <si>
    <t>灵敏型-</t>
  </si>
  <si>
    <t>防御型-</t>
  </si>
  <si>
    <t>平均型-</t>
  </si>
  <si>
    <t>攻击型+</t>
  </si>
  <si>
    <t>暴击型+</t>
  </si>
  <si>
    <t>坦克型+</t>
  </si>
  <si>
    <t>灵敏型+</t>
  </si>
  <si>
    <t>防御型+</t>
  </si>
  <si>
    <t>平均型+</t>
  </si>
  <si>
    <t>at+</t>
    <phoneticPr fontId="1" type="noConversion"/>
  </si>
  <si>
    <t>df+</t>
    <phoneticPr fontId="1" type="noConversion"/>
  </si>
  <si>
    <t>hp+</t>
    <phoneticPr fontId="1" type="noConversion"/>
  </si>
  <si>
    <t>c+</t>
    <phoneticPr fontId="1" type="noConversion"/>
  </si>
  <si>
    <t>d+</t>
    <phoneticPr fontId="1" type="noConversion"/>
  </si>
  <si>
    <t>player</t>
    <phoneticPr fontId="1" type="noConversion"/>
  </si>
  <si>
    <t>总价</t>
    <phoneticPr fontId="1" type="noConversion"/>
  </si>
  <si>
    <t>购买种子</t>
    <phoneticPr fontId="1" type="noConversion"/>
  </si>
  <si>
    <t>购买动物</t>
    <phoneticPr fontId="1" type="noConversion"/>
  </si>
  <si>
    <t>购买地皮</t>
    <phoneticPr fontId="1" type="noConversion"/>
  </si>
  <si>
    <t>购买牧场</t>
    <phoneticPr fontId="1" type="noConversion"/>
  </si>
  <si>
    <t>profession</t>
    <phoneticPr fontId="1" type="noConversion"/>
  </si>
  <si>
    <t>春之山脉</t>
  </si>
  <si>
    <t>阿莫尔之水</t>
  </si>
  <si>
    <t>兽角</t>
  </si>
  <si>
    <t>兽皮</t>
  </si>
  <si>
    <t>风元素结晶</t>
  </si>
  <si>
    <t>瀑布洞穴</t>
  </si>
  <si>
    <t>刀刃</t>
    <phoneticPr fontId="1" type="noConversion"/>
  </si>
  <si>
    <t>蛛丝</t>
  </si>
  <si>
    <t>眼球</t>
  </si>
  <si>
    <t>木棒</t>
  </si>
  <si>
    <t>布片</t>
  </si>
  <si>
    <t>废铁</t>
  </si>
  <si>
    <t>钢</t>
  </si>
  <si>
    <t>夏之丛林</t>
  </si>
  <si>
    <t>彩色羽毛</t>
  </si>
  <si>
    <t>蜂刺</t>
  </si>
  <si>
    <t>蜂蜜</t>
  </si>
  <si>
    <t>植物的茎</t>
  </si>
  <si>
    <t>蛇皮</t>
  </si>
  <si>
    <t>魔兽皮毛</t>
  </si>
  <si>
    <t>和风海岸</t>
  </si>
  <si>
    <t>水元素结晶</t>
  </si>
  <si>
    <t>纯净之水</t>
  </si>
  <si>
    <t>珊瑚</t>
  </si>
  <si>
    <t>石化之眼</t>
  </si>
  <si>
    <t>鱼胶</t>
  </si>
  <si>
    <t>秋风之谷</t>
  </si>
  <si>
    <t>银块</t>
  </si>
  <si>
    <t>奇美拉之翼</t>
  </si>
  <si>
    <t>刀刃</t>
  </si>
  <si>
    <t>金块</t>
  </si>
  <si>
    <t>废墟</t>
  </si>
  <si>
    <t>水晶球</t>
  </si>
  <si>
    <t>冬之雪原</t>
  </si>
  <si>
    <t>幽魂</t>
  </si>
  <si>
    <t>极寒冰隙</t>
  </si>
  <si>
    <t>亡者之土</t>
  </si>
  <si>
    <t>魔族之血</t>
  </si>
  <si>
    <t>迦楼罗</t>
    <phoneticPr fontId="1" type="noConversion"/>
  </si>
  <si>
    <t>迦楼罗</t>
    <phoneticPr fontId="1" type="noConversion"/>
  </si>
  <si>
    <t>竹笋</t>
  </si>
  <si>
    <t>蜘蛛</t>
  </si>
  <si>
    <t>蜘蛛</t>
    <phoneticPr fontId="1" type="noConversion"/>
  </si>
  <si>
    <t>蜜蜂</t>
    <phoneticPr fontId="1" type="noConversion"/>
  </si>
  <si>
    <t>椰子</t>
  </si>
  <si>
    <t>蝎尾</t>
    <phoneticPr fontId="1" type="noConversion"/>
  </si>
  <si>
    <t>土元素结晶</t>
  </si>
  <si>
    <t>苹果</t>
  </si>
  <si>
    <t>樱桃</t>
  </si>
  <si>
    <t>雪球</t>
  </si>
  <si>
    <t>冰晶</t>
  </si>
  <si>
    <t>暗元素结晶</t>
  </si>
  <si>
    <t>Hornet</t>
    <phoneticPr fontId="1" type="noConversion"/>
  </si>
  <si>
    <t>南瓜</t>
  </si>
  <si>
    <t>玉米</t>
  </si>
  <si>
    <t>番茄</t>
  </si>
  <si>
    <t>马铃薯</t>
  </si>
  <si>
    <t>胡萝卜</t>
  </si>
  <si>
    <t>芜菁</t>
  </si>
  <si>
    <t>大葱</t>
  </si>
  <si>
    <t>葡萄</t>
  </si>
  <si>
    <t>大蒜</t>
  </si>
  <si>
    <t>牧草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</si>
  <si>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</si>
  <si>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</si>
  <si>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</si>
  <si>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</si>
  <si>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</si>
  <si>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</si>
  <si>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</si>
  <si>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法杖</t>
  </si>
  <si>
    <t>银杖</t>
  </si>
  <si>
    <t>雷霆之杖</t>
  </si>
  <si>
    <t>亡灵之杖</t>
  </si>
  <si>
    <t>魔力法杖</t>
  </si>
  <si>
    <t>战斧</t>
  </si>
  <si>
    <t>毒蜥之牙</t>
  </si>
  <si>
    <t>恶魔之斧</t>
  </si>
  <si>
    <t>蛇皮鞭</t>
  </si>
  <si>
    <t>藤鞭</t>
  </si>
  <si>
    <t>冻结鞭</t>
  </si>
  <si>
    <t>龙尾鞭</t>
  </si>
  <si>
    <t>暴雪斧</t>
  </si>
  <si>
    <t>疾风背心</t>
  </si>
  <si>
    <t>魔法铠甲</t>
  </si>
  <si>
    <t>刀刃锁甲</t>
  </si>
  <si>
    <t>丝织长袍</t>
  </si>
  <si>
    <t>兔女郎装</t>
  </si>
  <si>
    <t>咒术师衣</t>
  </si>
  <si>
    <t>水之羽衣</t>
  </si>
  <si>
    <t>腌芜菁</t>
  </si>
  <si>
    <t>竹笋饭</t>
  </si>
  <si>
    <t>腌黄瓜</t>
  </si>
  <si>
    <t>鲑鱼饭团</t>
  </si>
  <si>
    <t>奶酪</t>
  </si>
  <si>
    <t>三明治</t>
  </si>
  <si>
    <t>沙拉</t>
  </si>
  <si>
    <t>烤蟹肉</t>
  </si>
  <si>
    <t>炸肉饼</t>
  </si>
  <si>
    <t>爆玉米花</t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</si>
  <si>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</si>
  <si>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</si>
  <si>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</si>
  <si>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</si>
  <si>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</si>
  <si>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</si>
  <si>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</si>
  <si>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</si>
  <si>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</si>
  <si>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</si>
  <si>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</si>
  <si>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</si>
  <si>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</si>
  <si>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</si>
  <si>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</si>
  <si>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</si>
  <si>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</si>
  <si>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</si>
  <si>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卷心菜</t>
    <phoneticPr fontId="1" type="noConversion"/>
  </si>
  <si>
    <t>黄瓜</t>
    <phoneticPr fontId="1" type="noConversion"/>
  </si>
  <si>
    <t>茄子</t>
    <phoneticPr fontId="1" type="noConversion"/>
  </si>
  <si>
    <t>萝卜</t>
    <phoneticPr fontId="1" type="noConversion"/>
  </si>
  <si>
    <t>紫甘蓝</t>
    <phoneticPr fontId="1" type="noConversion"/>
  </si>
  <si>
    <t>蓝莓</t>
    <phoneticPr fontId="1" type="noConversion"/>
  </si>
  <si>
    <t>辣椒</t>
    <phoneticPr fontId="1" type="noConversion"/>
  </si>
  <si>
    <t>草莓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</si>
  <si>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</si>
  <si>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</si>
  <si>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</si>
  <si>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</si>
  <si>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</si>
  <si>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</si>
  <si>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</si>
  <si>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</si>
  <si>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</si>
  <si>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钢刃锁甲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</si>
  <si>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</si>
  <si>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</si>
  <si>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</si>
  <si>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</si>
  <si>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  <phoneticPr fontId="1" type="noConversion"/>
  </si>
  <si>
    <t>鲑鱼刺身</t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</si>
  <si>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</si>
  <si>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</si>
  <si>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</si>
  <si>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</si>
  <si>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</si>
  <si>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</si>
  <si>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烤面包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</si>
  <si>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</si>
  <si>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</si>
  <si>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</si>
  <si>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</si>
  <si>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</si>
  <si>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</si>
  <si>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</si>
  <si>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</si>
  <si>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</si>
  <si>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</si>
  <si>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格瓦斯</t>
    <phoneticPr fontId="1" type="noConversion"/>
  </si>
  <si>
    <t>酸奶</t>
    <phoneticPr fontId="1" type="noConversion"/>
  </si>
  <si>
    <t>竹笋</t>
    <phoneticPr fontId="1" type="noConversion"/>
  </si>
  <si>
    <t>樱桃</t>
    <phoneticPr fontId="1" type="noConversion"/>
  </si>
  <si>
    <t>椰子</t>
    <phoneticPr fontId="1" type="noConversion"/>
  </si>
  <si>
    <t>鸡蛋</t>
    <phoneticPr fontId="1" type="noConversion"/>
  </si>
  <si>
    <t>废铁</t>
    <phoneticPr fontId="1" type="noConversion"/>
  </si>
  <si>
    <t>冰晶</t>
    <phoneticPr fontId="1" type="noConversion"/>
  </si>
  <si>
    <t>亡者之土</t>
    <phoneticPr fontId="1" type="noConversion"/>
  </si>
  <si>
    <t>金块</t>
    <phoneticPr fontId="1" type="noConversion"/>
  </si>
  <si>
    <t>兽角</t>
    <phoneticPr fontId="1" type="noConversion"/>
  </si>
  <si>
    <t>风元素结晶</t>
    <phoneticPr fontId="1" type="noConversion"/>
  </si>
  <si>
    <t>眼球</t>
    <phoneticPr fontId="1" type="noConversion"/>
  </si>
  <si>
    <t>布片</t>
    <phoneticPr fontId="1" type="noConversion"/>
  </si>
  <si>
    <t>彩色羽毛</t>
    <phoneticPr fontId="1" type="noConversion"/>
  </si>
  <si>
    <t>蜂刺</t>
    <phoneticPr fontId="1" type="noConversion"/>
  </si>
  <si>
    <t>蛇皮</t>
    <phoneticPr fontId="1" type="noConversion"/>
  </si>
  <si>
    <t>狼牙</t>
    <phoneticPr fontId="1" type="noConversion"/>
  </si>
  <si>
    <t>水元素结晶</t>
    <phoneticPr fontId="1" type="noConversion"/>
  </si>
  <si>
    <t>纯净之水</t>
    <phoneticPr fontId="1" type="noConversion"/>
  </si>
  <si>
    <t>鱼胶</t>
    <phoneticPr fontId="1" type="noConversion"/>
  </si>
  <si>
    <t>奇美拉之翼</t>
    <phoneticPr fontId="1" type="noConversion"/>
  </si>
  <si>
    <t>水晶球</t>
    <phoneticPr fontId="1" type="noConversion"/>
  </si>
  <si>
    <t>幽魂</t>
    <phoneticPr fontId="1" type="noConversion"/>
  </si>
  <si>
    <t>魔族之血</t>
    <phoneticPr fontId="1" type="noConversion"/>
  </si>
  <si>
    <t>阿莫尔之水</t>
    <phoneticPr fontId="1" type="noConversion"/>
  </si>
  <si>
    <t>木棒</t>
    <phoneticPr fontId="1" type="noConversion"/>
  </si>
  <si>
    <t>蜂蜜</t>
    <phoneticPr fontId="1" type="noConversion"/>
  </si>
  <si>
    <t>魔兽皮毛</t>
    <phoneticPr fontId="1" type="noConversion"/>
  </si>
  <si>
    <t>石化之眼</t>
    <phoneticPr fontId="1" type="noConversion"/>
  </si>
  <si>
    <t>鱼饵</t>
    <phoneticPr fontId="1" type="noConversion"/>
  </si>
  <si>
    <t>羊毛</t>
    <phoneticPr fontId="1" type="noConversion"/>
  </si>
  <si>
    <t>马尾</t>
    <phoneticPr fontId="1" type="noConversion"/>
  </si>
  <si>
    <t>松鼠</t>
    <phoneticPr fontId="1" type="noConversion"/>
  </si>
  <si>
    <t>蘑菇怪</t>
    <phoneticPr fontId="1" type="noConversion"/>
  </si>
  <si>
    <t>米饭</t>
    <phoneticPr fontId="1" type="noConversion"/>
  </si>
  <si>
    <t>小麦粉</t>
    <phoneticPr fontId="1" type="noConversion"/>
  </si>
  <si>
    <t>发酵粉</t>
    <phoneticPr fontId="1" type="noConversion"/>
  </si>
  <si>
    <t>武器配方</t>
    <phoneticPr fontId="1" type="noConversion"/>
  </si>
  <si>
    <t>防具配方</t>
    <phoneticPr fontId="1" type="noConversion"/>
  </si>
  <si>
    <t>冷食配方</t>
    <phoneticPr fontId="1" type="noConversion"/>
  </si>
  <si>
    <t>热食配方</t>
    <phoneticPr fontId="1" type="noConversion"/>
  </si>
  <si>
    <t>酿造配方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</si>
  <si>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</si>
  <si>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</si>
  <si>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</si>
  <si>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</si>
  <si>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</si>
  <si>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</si>
  <si>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</si>
  <si>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</si>
  <si>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</si>
  <si>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</si>
  <si>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</si>
  <si>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</si>
  <si>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</si>
  <si>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</si>
  <si>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</si>
  <si>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</si>
  <si>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</si>
  <si>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</si>
  <si>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</si>
  <si>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</si>
  <si>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</si>
  <si>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</si>
  <si>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</si>
  <si>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</si>
  <si>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</si>
  <si>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</si>
  <si>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</si>
  <si>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</si>
  <si>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海鲜浓汤</t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</si>
  <si>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</si>
  <si>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</si>
  <si>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</si>
  <si>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</si>
  <si>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</si>
  <si>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淡麦酒</t>
    <phoneticPr fontId="1" type="noConversion"/>
  </si>
  <si>
    <t>酸奶</t>
    <phoneticPr fontId="1" type="noConversion"/>
  </si>
  <si>
    <t>椰奶</t>
    <phoneticPr fontId="1" type="noConversion"/>
  </si>
  <si>
    <t>烤面包</t>
    <phoneticPr fontId="1" type="noConversion"/>
  </si>
  <si>
    <t>鱿鱼</t>
    <phoneticPr fontId="1" type="noConversion"/>
  </si>
  <si>
    <t>鳗鱼</t>
    <phoneticPr fontId="1" type="noConversion"/>
  </si>
  <si>
    <t>沙丁鱼</t>
    <phoneticPr fontId="1" type="noConversion"/>
  </si>
  <si>
    <t>河蚌</t>
    <phoneticPr fontId="1" type="noConversion"/>
  </si>
  <si>
    <t>金枪鱼</t>
    <phoneticPr fontId="1" type="noConversion"/>
  </si>
  <si>
    <t>龙虾</t>
    <phoneticPr fontId="1" type="noConversion"/>
  </si>
  <si>
    <t>鲱鱼</t>
    <phoneticPr fontId="1" type="noConversion"/>
  </si>
  <si>
    <t>海参</t>
    <phoneticPr fontId="1" type="noConversion"/>
  </si>
  <si>
    <t>鲟鱼</t>
    <phoneticPr fontId="1" type="noConversion"/>
  </si>
  <si>
    <t>比目鱼</t>
    <phoneticPr fontId="1" type="noConversion"/>
  </si>
  <si>
    <t>鲑鱼</t>
    <phoneticPr fontId="1" type="noConversion"/>
  </si>
  <si>
    <t>鲶鱼</t>
    <phoneticPr fontId="1" type="noConversion"/>
  </si>
  <si>
    <t>鳟鱼</t>
    <phoneticPr fontId="1" type="noConversion"/>
  </si>
  <si>
    <t>河豚</t>
    <phoneticPr fontId="1" type="noConversion"/>
  </si>
  <si>
    <t>螃蟹</t>
    <phoneticPr fontId="1" type="noConversion"/>
  </si>
  <si>
    <t>空罐头盒</t>
    <phoneticPr fontId="1" type="noConversion"/>
  </si>
  <si>
    <t>双人床</t>
    <phoneticPr fontId="1" type="noConversion"/>
  </si>
  <si>
    <t>冰箱</t>
    <phoneticPr fontId="1" type="noConversion"/>
  </si>
  <si>
    <t>冷餐台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</si>
  <si>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</si>
  <si>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</si>
  <si>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</si>
  <si>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</si>
  <si>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热餐台</t>
    <phoneticPr fontId="1" type="noConversion"/>
  </si>
  <si>
    <t>海鲜浓汤</t>
    <phoneticPr fontId="1" type="noConversion"/>
  </si>
  <si>
    <t>绯红之吻</t>
    <phoneticPr fontId="1" type="noConversion"/>
  </si>
  <si>
    <t>椰奶</t>
    <phoneticPr fontId="1" type="noConversion"/>
  </si>
  <si>
    <t>苹果</t>
    <phoneticPr fontId="1" type="noConversion"/>
  </si>
  <si>
    <t>雪球</t>
    <phoneticPr fontId="1" type="noConversion"/>
  </si>
  <si>
    <t>蛛丝</t>
    <phoneticPr fontId="1" type="noConversion"/>
  </si>
  <si>
    <t>蝎尾</t>
    <phoneticPr fontId="1" type="noConversion"/>
  </si>
  <si>
    <t>珊瑚</t>
    <phoneticPr fontId="1" type="noConversion"/>
  </si>
  <si>
    <t>土元素结晶</t>
    <phoneticPr fontId="1" type="noConversion"/>
  </si>
  <si>
    <t>暗元素结晶</t>
    <phoneticPr fontId="1" type="noConversion"/>
  </si>
  <si>
    <t>兽皮</t>
    <phoneticPr fontId="1" type="noConversion"/>
  </si>
  <si>
    <t>钢</t>
    <phoneticPr fontId="1" type="noConversion"/>
  </si>
  <si>
    <t>植物的茎</t>
    <phoneticPr fontId="1" type="noConversion"/>
  </si>
  <si>
    <t>银块</t>
    <phoneticPr fontId="1" type="noConversion"/>
  </si>
  <si>
    <t>兔耳</t>
    <phoneticPr fontId="1" type="noConversion"/>
  </si>
  <si>
    <t>猪肉</t>
    <phoneticPr fontId="1" type="noConversion"/>
  </si>
  <si>
    <t>牛奶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</si>
  <si>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</si>
  <si>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</si>
  <si>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</si>
  <si>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</si>
  <si>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</si>
  <si>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</si>
  <si>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</si>
  <si>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盐</t>
    <phoneticPr fontId="1" type="noConversion"/>
  </si>
  <si>
    <t>Spider1</t>
    <phoneticPr fontId="1" type="noConversion"/>
  </si>
  <si>
    <t>Slime</t>
    <phoneticPr fontId="1" type="noConversion"/>
  </si>
  <si>
    <t>Orc</t>
  </si>
  <si>
    <t>蓝龙</t>
  </si>
  <si>
    <t>Sahagin1</t>
  </si>
  <si>
    <t>Priest</t>
  </si>
  <si>
    <t>Death</t>
  </si>
  <si>
    <t>Demon</t>
  </si>
  <si>
    <t>hitSe</t>
    <phoneticPr fontId="1" type="noConversion"/>
  </si>
  <si>
    <t>Blow3</t>
  </si>
  <si>
    <t>Blow3</t>
    <phoneticPr fontId="1" type="noConversion"/>
  </si>
  <si>
    <t>Slash4</t>
  </si>
  <si>
    <t>Slash1</t>
  </si>
  <si>
    <t>Slash10</t>
  </si>
  <si>
    <t>Saint6</t>
  </si>
  <si>
    <t>biteBase</t>
  </si>
  <si>
    <t>Hit</t>
  </si>
  <si>
    <t>Sword3</t>
  </si>
  <si>
    <t>Hit1</t>
    <phoneticPr fontId="1" type="noConversion"/>
  </si>
  <si>
    <t>Hit2</t>
    <phoneticPr fontId="1" type="noConversion"/>
  </si>
  <si>
    <t>Hit3</t>
    <phoneticPr fontId="1" type="noConversion"/>
  </si>
  <si>
    <t>Hit4</t>
  </si>
  <si>
    <t>卷心菜</t>
  </si>
  <si>
    <t>黄瓜</t>
  </si>
  <si>
    <t>茄子</t>
  </si>
  <si>
    <t>萝卜</t>
  </si>
  <si>
    <t>紫甘蓝</t>
  </si>
  <si>
    <t>蓝莓</t>
  </si>
  <si>
    <t>辣椒</t>
  </si>
  <si>
    <t>草莓</t>
  </si>
  <si>
    <t>蓝龙</t>
    <phoneticPr fontId="1" type="noConversion"/>
  </si>
  <si>
    <t>int</t>
    <phoneticPr fontId="1" type="noConversion"/>
  </si>
  <si>
    <t>skill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</si>
</sst>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Tahoma"/>
      <family val="2"/>
    </font>
    <font>
      <sz val="11"/>
      <color rgb="FF0000FF"/>
      <name val="Tahoma"/>
      <family val="2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11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8" borderId="0" xfId="0" applyFill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6684789401324832E-2"/>
          <c:y val="0.1595567867036011"/>
          <c:w val="0.91252155980502436"/>
          <c:h val="0.7732289281014388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Sheet1!$D$63:$D$112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Sheet1!$J$63:$J$112</c:f>
              <c:numCache>
                <c:formatCode>General</c:formatCode>
                <c:ptCount val="50"/>
                <c:pt idx="0">
                  <c:v>10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26</c:v>
                </c:pt>
                <c:pt idx="11">
                  <c:v>29</c:v>
                </c:pt>
                <c:pt idx="12">
                  <c:v>32</c:v>
                </c:pt>
                <c:pt idx="13">
                  <c:v>34</c:v>
                </c:pt>
                <c:pt idx="14">
                  <c:v>37</c:v>
                </c:pt>
                <c:pt idx="15">
                  <c:v>39</c:v>
                </c:pt>
                <c:pt idx="16">
                  <c:v>42</c:v>
                </c:pt>
                <c:pt idx="17">
                  <c:v>44</c:v>
                </c:pt>
                <c:pt idx="18">
                  <c:v>47</c:v>
                </c:pt>
                <c:pt idx="19">
                  <c:v>49</c:v>
                </c:pt>
                <c:pt idx="20">
                  <c:v>52</c:v>
                </c:pt>
                <c:pt idx="21">
                  <c:v>55</c:v>
                </c:pt>
                <c:pt idx="22">
                  <c:v>57</c:v>
                </c:pt>
                <c:pt idx="23">
                  <c:v>60</c:v>
                </c:pt>
                <c:pt idx="24">
                  <c:v>62</c:v>
                </c:pt>
                <c:pt idx="25">
                  <c:v>65</c:v>
                </c:pt>
                <c:pt idx="26">
                  <c:v>67</c:v>
                </c:pt>
                <c:pt idx="27">
                  <c:v>70</c:v>
                </c:pt>
                <c:pt idx="28">
                  <c:v>73</c:v>
                </c:pt>
                <c:pt idx="29">
                  <c:v>75</c:v>
                </c:pt>
                <c:pt idx="30">
                  <c:v>78</c:v>
                </c:pt>
                <c:pt idx="31">
                  <c:v>80</c:v>
                </c:pt>
                <c:pt idx="32">
                  <c:v>83</c:v>
                </c:pt>
                <c:pt idx="33">
                  <c:v>85</c:v>
                </c:pt>
                <c:pt idx="34">
                  <c:v>88</c:v>
                </c:pt>
                <c:pt idx="35">
                  <c:v>91</c:v>
                </c:pt>
                <c:pt idx="36">
                  <c:v>93</c:v>
                </c:pt>
                <c:pt idx="37">
                  <c:v>96</c:v>
                </c:pt>
                <c:pt idx="38">
                  <c:v>98</c:v>
                </c:pt>
                <c:pt idx="39">
                  <c:v>101</c:v>
                </c:pt>
                <c:pt idx="40">
                  <c:v>104</c:v>
                </c:pt>
                <c:pt idx="41">
                  <c:v>106</c:v>
                </c:pt>
                <c:pt idx="42">
                  <c:v>109</c:v>
                </c:pt>
                <c:pt idx="43">
                  <c:v>111</c:v>
                </c:pt>
                <c:pt idx="44">
                  <c:v>114</c:v>
                </c:pt>
                <c:pt idx="45">
                  <c:v>116</c:v>
                </c:pt>
                <c:pt idx="46">
                  <c:v>119</c:v>
                </c:pt>
                <c:pt idx="47">
                  <c:v>122</c:v>
                </c:pt>
                <c:pt idx="48">
                  <c:v>124</c:v>
                </c:pt>
                <c:pt idx="49">
                  <c:v>127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32336"/>
        <c:axId val="245333456"/>
      </c:scatterChart>
      <c:valAx>
        <c:axId val="24533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33456"/>
        <c:crosses val="autoZero"/>
        <c:crossBetween val="midCat"/>
      </c:valAx>
      <c:valAx>
        <c:axId val="2453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3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117</xdr:row>
      <xdr:rowOff>76199</xdr:rowOff>
    </xdr:from>
    <xdr:to>
      <xdr:col>11</xdr:col>
      <xdr:colOff>123825</xdr:colOff>
      <xdr:row>137</xdr:row>
      <xdr:rowOff>85724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219075</xdr:colOff>
      <xdr:row>1</xdr:row>
      <xdr:rowOff>57150</xdr:rowOff>
    </xdr:to>
    <xdr:pic>
      <xdr:nvPicPr>
        <xdr:cNvPr id="51" name="图片 5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619125</xdr:colOff>
      <xdr:row>6</xdr:row>
      <xdr:rowOff>57150</xdr:rowOff>
    </xdr:to>
    <xdr:pic>
      <xdr:nvPicPr>
        <xdr:cNvPr id="52" name="图片 5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819275"/>
          <a:ext cx="6191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504825</xdr:colOff>
      <xdr:row>10</xdr:row>
      <xdr:rowOff>152400</xdr:rowOff>
    </xdr:to>
    <xdr:pic>
      <xdr:nvPicPr>
        <xdr:cNvPr id="53" name="图片 5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457575"/>
          <a:ext cx="504825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476250</xdr:colOff>
      <xdr:row>14</xdr:row>
      <xdr:rowOff>0</xdr:rowOff>
    </xdr:to>
    <xdr:pic>
      <xdr:nvPicPr>
        <xdr:cNvPr id="54" name="图片 5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914900"/>
          <a:ext cx="47625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561975</xdr:colOff>
      <xdr:row>19</xdr:row>
      <xdr:rowOff>123825</xdr:rowOff>
    </xdr:to>
    <xdr:pic>
      <xdr:nvPicPr>
        <xdr:cNvPr id="55" name="图片 5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553200"/>
          <a:ext cx="56197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8</xdr:col>
      <xdr:colOff>276225</xdr:colOff>
      <xdr:row>22</xdr:row>
      <xdr:rowOff>85725</xdr:rowOff>
    </xdr:to>
    <xdr:pic>
      <xdr:nvPicPr>
        <xdr:cNvPr id="56" name="图片 5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8191500"/>
          <a:ext cx="9620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428625</xdr:colOff>
      <xdr:row>26</xdr:row>
      <xdr:rowOff>38100</xdr:rowOff>
    </xdr:to>
    <xdr:pic>
      <xdr:nvPicPr>
        <xdr:cNvPr id="57" name="图片 5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0010775"/>
          <a:ext cx="4286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219075</xdr:colOff>
      <xdr:row>29</xdr:row>
      <xdr:rowOff>66675</xdr:rowOff>
    </xdr:to>
    <xdr:pic>
      <xdr:nvPicPr>
        <xdr:cNvPr id="58" name="图片 5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1468100"/>
          <a:ext cx="2190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285750</xdr:colOff>
      <xdr:row>34</xdr:row>
      <xdr:rowOff>133350</xdr:rowOff>
    </xdr:to>
    <xdr:pic>
      <xdr:nvPicPr>
        <xdr:cNvPr id="59" name="图片 5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3106400"/>
          <a:ext cx="2857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447675</xdr:colOff>
      <xdr:row>38</xdr:row>
      <xdr:rowOff>114300</xdr:rowOff>
    </xdr:to>
    <xdr:pic>
      <xdr:nvPicPr>
        <xdr:cNvPr id="60" name="图片 5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4925675"/>
          <a:ext cx="44767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590550</xdr:colOff>
      <xdr:row>43</xdr:row>
      <xdr:rowOff>152400</xdr:rowOff>
    </xdr:to>
    <xdr:pic>
      <xdr:nvPicPr>
        <xdr:cNvPr id="61" name="图片 6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6383000"/>
          <a:ext cx="5905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523875</xdr:colOff>
      <xdr:row>45</xdr:row>
      <xdr:rowOff>152400</xdr:rowOff>
    </xdr:to>
    <xdr:pic>
      <xdr:nvPicPr>
        <xdr:cNvPr id="62" name="图片 6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8202275"/>
          <a:ext cx="523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495300</xdr:colOff>
      <xdr:row>52</xdr:row>
      <xdr:rowOff>95250</xdr:rowOff>
    </xdr:to>
    <xdr:pic>
      <xdr:nvPicPr>
        <xdr:cNvPr id="63" name="图片 6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9659600"/>
          <a:ext cx="49530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466725</xdr:colOff>
      <xdr:row>54</xdr:row>
      <xdr:rowOff>123825</xdr:rowOff>
    </xdr:to>
    <xdr:pic>
      <xdr:nvPicPr>
        <xdr:cNvPr id="64" name="图片 6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1478875"/>
          <a:ext cx="4667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295275</xdr:colOff>
      <xdr:row>59</xdr:row>
      <xdr:rowOff>66675</xdr:rowOff>
    </xdr:to>
    <xdr:pic>
      <xdr:nvPicPr>
        <xdr:cNvPr id="65" name="图片 6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3117175"/>
          <a:ext cx="2952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438150</xdr:colOff>
      <xdr:row>62</xdr:row>
      <xdr:rowOff>38100</xdr:rowOff>
    </xdr:to>
    <xdr:pic>
      <xdr:nvPicPr>
        <xdr:cNvPr id="66" name="图片 6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4574500"/>
          <a:ext cx="4381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514350</xdr:colOff>
      <xdr:row>67</xdr:row>
      <xdr:rowOff>133350</xdr:rowOff>
    </xdr:to>
    <xdr:pic>
      <xdr:nvPicPr>
        <xdr:cNvPr id="67" name="图片 6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6212800"/>
          <a:ext cx="5143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523875</xdr:colOff>
      <xdr:row>71</xdr:row>
      <xdr:rowOff>28575</xdr:rowOff>
    </xdr:to>
    <xdr:pic>
      <xdr:nvPicPr>
        <xdr:cNvPr id="68" name="图片 6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7670125"/>
          <a:ext cx="52387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381000</xdr:colOff>
      <xdr:row>74</xdr:row>
      <xdr:rowOff>123825</xdr:rowOff>
    </xdr:to>
    <xdr:pic>
      <xdr:nvPicPr>
        <xdr:cNvPr id="69" name="图片 6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9489400"/>
          <a:ext cx="3810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523875</xdr:colOff>
      <xdr:row>80</xdr:row>
      <xdr:rowOff>0</xdr:rowOff>
    </xdr:to>
    <xdr:pic>
      <xdr:nvPicPr>
        <xdr:cNvPr id="70" name="图片 6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1127700"/>
          <a:ext cx="52387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266700</xdr:colOff>
      <xdr:row>82</xdr:row>
      <xdr:rowOff>85725</xdr:rowOff>
    </xdr:to>
    <xdr:pic>
      <xdr:nvPicPr>
        <xdr:cNvPr id="71" name="图片 7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2946975"/>
          <a:ext cx="2667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609600</xdr:colOff>
      <xdr:row>86</xdr:row>
      <xdr:rowOff>76200</xdr:rowOff>
    </xdr:to>
    <xdr:pic>
      <xdr:nvPicPr>
        <xdr:cNvPr id="72" name="图片 7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4766250"/>
          <a:ext cx="6096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581025</xdr:colOff>
      <xdr:row>90</xdr:row>
      <xdr:rowOff>57150</xdr:rowOff>
    </xdr:to>
    <xdr:pic>
      <xdr:nvPicPr>
        <xdr:cNvPr id="73" name="图片 7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6223575"/>
          <a:ext cx="5810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7</xdr:col>
      <xdr:colOff>485775</xdr:colOff>
      <xdr:row>94</xdr:row>
      <xdr:rowOff>85725</xdr:rowOff>
    </xdr:to>
    <xdr:pic>
      <xdr:nvPicPr>
        <xdr:cNvPr id="74" name="图片 7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7680900"/>
          <a:ext cx="48577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96</xdr:row>
      <xdr:rowOff>0</xdr:rowOff>
    </xdr:from>
    <xdr:to>
      <xdr:col>7</xdr:col>
      <xdr:colOff>609600</xdr:colOff>
      <xdr:row>98</xdr:row>
      <xdr:rowOff>123825</xdr:rowOff>
    </xdr:to>
    <xdr:pic>
      <xdr:nvPicPr>
        <xdr:cNvPr id="75" name="图片 7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9500175"/>
          <a:ext cx="6096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7</xdr:col>
      <xdr:colOff>419100</xdr:colOff>
      <xdr:row>103</xdr:row>
      <xdr:rowOff>57150</xdr:rowOff>
    </xdr:to>
    <xdr:pic>
      <xdr:nvPicPr>
        <xdr:cNvPr id="76" name="图片 7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1319450"/>
          <a:ext cx="4191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7</xdr:col>
      <xdr:colOff>409575</xdr:colOff>
      <xdr:row>106</xdr:row>
      <xdr:rowOff>28575</xdr:rowOff>
    </xdr:to>
    <xdr:pic>
      <xdr:nvPicPr>
        <xdr:cNvPr id="77" name="图片 7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2957750"/>
          <a:ext cx="4095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108</xdr:row>
      <xdr:rowOff>0</xdr:rowOff>
    </xdr:from>
    <xdr:to>
      <xdr:col>8</xdr:col>
      <xdr:colOff>114300</xdr:colOff>
      <xdr:row>112</xdr:row>
      <xdr:rowOff>0</xdr:rowOff>
    </xdr:to>
    <xdr:pic>
      <xdr:nvPicPr>
        <xdr:cNvPr id="78" name="图片 7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4415075"/>
          <a:ext cx="8001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8</xdr:col>
      <xdr:colOff>238125</xdr:colOff>
      <xdr:row>115</xdr:row>
      <xdr:rowOff>0</xdr:rowOff>
    </xdr:to>
    <xdr:pic>
      <xdr:nvPicPr>
        <xdr:cNvPr id="79" name="图片 7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6053375"/>
          <a:ext cx="92392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7</xdr:col>
      <xdr:colOff>447675</xdr:colOff>
      <xdr:row>119</xdr:row>
      <xdr:rowOff>95250</xdr:rowOff>
    </xdr:to>
    <xdr:pic>
      <xdr:nvPicPr>
        <xdr:cNvPr id="80" name="图片 7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7691675"/>
          <a:ext cx="4476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120</xdr:row>
      <xdr:rowOff>0</xdr:rowOff>
    </xdr:from>
    <xdr:to>
      <xdr:col>8</xdr:col>
      <xdr:colOff>381000</xdr:colOff>
      <xdr:row>125</xdr:row>
      <xdr:rowOff>76200</xdr:rowOff>
    </xdr:to>
    <xdr:pic>
      <xdr:nvPicPr>
        <xdr:cNvPr id="81" name="图片 8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9329975"/>
          <a:ext cx="1066800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504825</xdr:colOff>
      <xdr:row>126</xdr:row>
      <xdr:rowOff>76200</xdr:rowOff>
    </xdr:to>
    <xdr:pic>
      <xdr:nvPicPr>
        <xdr:cNvPr id="82" name="图片 8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0968275"/>
          <a:ext cx="5048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8</xdr:col>
      <xdr:colOff>28575</xdr:colOff>
      <xdr:row>131</xdr:row>
      <xdr:rowOff>66675</xdr:rowOff>
    </xdr:to>
    <xdr:pic>
      <xdr:nvPicPr>
        <xdr:cNvPr id="83" name="图片 8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2606575"/>
          <a:ext cx="7143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371475</xdr:colOff>
      <xdr:row>133</xdr:row>
      <xdr:rowOff>152400</xdr:rowOff>
    </xdr:to>
    <xdr:pic>
      <xdr:nvPicPr>
        <xdr:cNvPr id="84" name="图片 8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4425850"/>
          <a:ext cx="3714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7</xdr:col>
      <xdr:colOff>523875</xdr:colOff>
      <xdr:row>139</xdr:row>
      <xdr:rowOff>161925</xdr:rowOff>
    </xdr:to>
    <xdr:pic>
      <xdr:nvPicPr>
        <xdr:cNvPr id="85" name="图片 8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5883175"/>
          <a:ext cx="5238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7</xdr:col>
      <xdr:colOff>219075</xdr:colOff>
      <xdr:row>141</xdr:row>
      <xdr:rowOff>38100</xdr:rowOff>
    </xdr:to>
    <xdr:pic>
      <xdr:nvPicPr>
        <xdr:cNvPr id="86" name="图片 8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34050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8</xdr:col>
      <xdr:colOff>57150</xdr:colOff>
      <xdr:row>146</xdr:row>
      <xdr:rowOff>95250</xdr:rowOff>
    </xdr:to>
    <xdr:pic>
      <xdr:nvPicPr>
        <xdr:cNvPr id="87" name="图片 8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9159775"/>
          <a:ext cx="7429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7</xdr:col>
      <xdr:colOff>390525</xdr:colOff>
      <xdr:row>150</xdr:row>
      <xdr:rowOff>104775</xdr:rowOff>
    </xdr:to>
    <xdr:pic>
      <xdr:nvPicPr>
        <xdr:cNvPr id="88" name="图片 8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0617100"/>
          <a:ext cx="39052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7</xdr:col>
      <xdr:colOff>628650</xdr:colOff>
      <xdr:row>154</xdr:row>
      <xdr:rowOff>76200</xdr:rowOff>
    </xdr:to>
    <xdr:pic>
      <xdr:nvPicPr>
        <xdr:cNvPr id="89" name="图片 8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2436375"/>
          <a:ext cx="6286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156</xdr:row>
      <xdr:rowOff>0</xdr:rowOff>
    </xdr:from>
    <xdr:to>
      <xdr:col>7</xdr:col>
      <xdr:colOff>571500</xdr:colOff>
      <xdr:row>158</xdr:row>
      <xdr:rowOff>76200</xdr:rowOff>
    </xdr:to>
    <xdr:pic>
      <xdr:nvPicPr>
        <xdr:cNvPr id="90" name="图片 8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3893700"/>
          <a:ext cx="5715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8</xdr:col>
      <xdr:colOff>85725</xdr:colOff>
      <xdr:row>163</xdr:row>
      <xdr:rowOff>95250</xdr:rowOff>
    </xdr:to>
    <xdr:pic>
      <xdr:nvPicPr>
        <xdr:cNvPr id="91" name="图片 9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5351025"/>
          <a:ext cx="7715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7</xdr:col>
      <xdr:colOff>495300</xdr:colOff>
      <xdr:row>166</xdr:row>
      <xdr:rowOff>123825</xdr:rowOff>
    </xdr:to>
    <xdr:pic>
      <xdr:nvPicPr>
        <xdr:cNvPr id="92" name="图片 9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6808350"/>
          <a:ext cx="4953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168</xdr:row>
      <xdr:rowOff>0</xdr:rowOff>
    </xdr:from>
    <xdr:to>
      <xdr:col>7</xdr:col>
      <xdr:colOff>285750</xdr:colOff>
      <xdr:row>171</xdr:row>
      <xdr:rowOff>57150</xdr:rowOff>
    </xdr:to>
    <xdr:pic>
      <xdr:nvPicPr>
        <xdr:cNvPr id="93" name="图片 9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8446650"/>
          <a:ext cx="2857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7</xdr:col>
      <xdr:colOff>657225</xdr:colOff>
      <xdr:row>175</xdr:row>
      <xdr:rowOff>152400</xdr:rowOff>
    </xdr:to>
    <xdr:pic>
      <xdr:nvPicPr>
        <xdr:cNvPr id="94" name="图片 9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9903975"/>
          <a:ext cx="6572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7</xdr:col>
      <xdr:colOff>561975</xdr:colOff>
      <xdr:row>179</xdr:row>
      <xdr:rowOff>47625</xdr:rowOff>
    </xdr:to>
    <xdr:pic>
      <xdr:nvPicPr>
        <xdr:cNvPr id="95" name="图片 9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1361300"/>
          <a:ext cx="5619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180</xdr:row>
      <xdr:rowOff>0</xdr:rowOff>
    </xdr:from>
    <xdr:to>
      <xdr:col>7</xdr:col>
      <xdr:colOff>581025</xdr:colOff>
      <xdr:row>183</xdr:row>
      <xdr:rowOff>95250</xdr:rowOff>
    </xdr:to>
    <xdr:pic>
      <xdr:nvPicPr>
        <xdr:cNvPr id="96" name="图片 9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3180575"/>
          <a:ext cx="581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7</xdr:col>
      <xdr:colOff>371475</xdr:colOff>
      <xdr:row>187</xdr:row>
      <xdr:rowOff>38100</xdr:rowOff>
    </xdr:to>
    <xdr:pic>
      <xdr:nvPicPr>
        <xdr:cNvPr id="97" name="图片 9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4818875"/>
          <a:ext cx="3714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7</xdr:col>
      <xdr:colOff>571500</xdr:colOff>
      <xdr:row>191</xdr:row>
      <xdr:rowOff>133350</xdr:rowOff>
    </xdr:to>
    <xdr:pic>
      <xdr:nvPicPr>
        <xdr:cNvPr id="98" name="图片 9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6457175"/>
          <a:ext cx="57150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192</xdr:row>
      <xdr:rowOff>0</xdr:rowOff>
    </xdr:from>
    <xdr:to>
      <xdr:col>8</xdr:col>
      <xdr:colOff>133350</xdr:colOff>
      <xdr:row>197</xdr:row>
      <xdr:rowOff>66675</xdr:rowOff>
    </xdr:to>
    <xdr:pic>
      <xdr:nvPicPr>
        <xdr:cNvPr id="99" name="图片 9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7914500"/>
          <a:ext cx="81915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52"/>
  <sheetViews>
    <sheetView tabSelected="1" workbookViewId="0">
      <pane ySplit="3" topLeftCell="A43" activePane="bottomLeft" state="frozen"/>
      <selection activeCell="B1" sqref="B1"/>
      <selection pane="bottomLeft" activeCell="F62" sqref="F62"/>
    </sheetView>
  </sheetViews>
  <sheetFormatPr defaultColWidth="7.75" defaultRowHeight="13.5" x14ac:dyDescent="0.15"/>
  <cols>
    <col min="1" max="1" width="11.125" style="2" customWidth="1"/>
    <col min="2" max="2" width="9.375" style="2" customWidth="1"/>
    <col min="3" max="3" width="6.5" style="2" customWidth="1"/>
    <col min="4" max="7" width="11.125" style="2" customWidth="1"/>
    <col min="8" max="8" width="7.375" style="2" customWidth="1"/>
    <col min="9" max="9" width="8.125" style="2" customWidth="1"/>
    <col min="10" max="10" width="15.375" style="2" customWidth="1"/>
    <col min="11" max="16384" width="7.75" style="1"/>
  </cols>
  <sheetData>
    <row r="2" spans="1:11" x14ac:dyDescent="0.15">
      <c r="A2" s="2" t="s">
        <v>1</v>
      </c>
      <c r="B2" s="2" t="s">
        <v>0</v>
      </c>
      <c r="C2" s="2" t="s">
        <v>5</v>
      </c>
      <c r="D2" s="2" t="s">
        <v>0</v>
      </c>
      <c r="E2" s="2" t="s">
        <v>6</v>
      </c>
      <c r="F2" s="2" t="s">
        <v>6</v>
      </c>
      <c r="G2" s="2" t="s">
        <v>6</v>
      </c>
      <c r="H2" s="2" t="s">
        <v>5</v>
      </c>
      <c r="I2" s="2" t="s">
        <v>5</v>
      </c>
      <c r="J2" s="2" t="s">
        <v>1</v>
      </c>
      <c r="K2" s="1" t="s">
        <v>732</v>
      </c>
    </row>
    <row r="3" spans="1:11" x14ac:dyDescent="0.15">
      <c r="A3" s="2" t="s">
        <v>2</v>
      </c>
      <c r="B3" s="2" t="s">
        <v>3</v>
      </c>
      <c r="C3" s="2" t="s">
        <v>4</v>
      </c>
      <c r="D3" s="2" t="s">
        <v>411</v>
      </c>
      <c r="E3" s="2" t="s">
        <v>316</v>
      </c>
      <c r="F3" s="2" t="s">
        <v>7</v>
      </c>
      <c r="G3" s="2" t="s">
        <v>709</v>
      </c>
      <c r="H3" s="2" t="s">
        <v>8</v>
      </c>
      <c r="I3" s="2" t="s">
        <v>9</v>
      </c>
      <c r="J3" s="2" t="s">
        <v>10</v>
      </c>
      <c r="K3" s="1" t="s">
        <v>733</v>
      </c>
    </row>
    <row r="4" spans="1:11" x14ac:dyDescent="0.15">
      <c r="A4" s="14" t="s">
        <v>20</v>
      </c>
      <c r="B4" s="2">
        <v>7000000</v>
      </c>
      <c r="C4" s="1">
        <f>VLOOKUP(A4,Sheet5!$A$2:$E$50,4,FALSE)</f>
        <v>1</v>
      </c>
      <c r="D4" s="1">
        <v>1005</v>
      </c>
      <c r="E4" s="1" t="s">
        <v>703</v>
      </c>
      <c r="F4" s="2" t="s">
        <v>719</v>
      </c>
      <c r="G4" s="2" t="s">
        <v>713</v>
      </c>
      <c r="H4" s="2">
        <f t="shared" ref="H4:H51" si="0">4*C4</f>
        <v>4</v>
      </c>
      <c r="I4" s="2">
        <f t="shared" ref="I4:I51" si="1">6*C4</f>
        <v>6</v>
      </c>
      <c r="J4" s="2" t="str">
        <f>VLOOKUP(A4,Sheet5!$A$2:$B$50,2,FALSE)</f>
        <v>1100,2,4,10000;1100,3,6,5000;1018,3,6,5000</v>
      </c>
      <c r="K4" s="1">
        <v>0</v>
      </c>
    </row>
    <row r="5" spans="1:11" x14ac:dyDescent="0.15">
      <c r="A5" s="14" t="s">
        <v>11</v>
      </c>
      <c r="B5" s="2">
        <v>7000001</v>
      </c>
      <c r="C5" s="1">
        <f>VLOOKUP(A5,Sheet5!$A$2:$E$50,4,FALSE)</f>
        <v>2</v>
      </c>
      <c r="D5" s="1">
        <v>1005</v>
      </c>
      <c r="E5" s="1" t="s">
        <v>702</v>
      </c>
      <c r="F5" s="2" t="s">
        <v>717</v>
      </c>
      <c r="G5" s="2" t="s">
        <v>711</v>
      </c>
      <c r="H5" s="2">
        <f t="shared" si="0"/>
        <v>8</v>
      </c>
      <c r="I5" s="2">
        <f t="shared" si="1"/>
        <v>12</v>
      </c>
      <c r="J5" s="2" t="str">
        <f>VLOOKUP(A5,Sheet5!$A$2:$B$50,2,FALSE)</f>
        <v>1091,2,4,10000;1091,3,6,5000;1140,1,2,5000</v>
      </c>
      <c r="K5" s="1">
        <v>0</v>
      </c>
    </row>
    <row r="6" spans="1:11" x14ac:dyDescent="0.15">
      <c r="A6" s="14" t="s">
        <v>17</v>
      </c>
      <c r="B6" s="2">
        <v>7000002</v>
      </c>
      <c r="C6" s="1">
        <f>VLOOKUP(A6,Sheet5!$A$2:$E$50,4,FALSE)</f>
        <v>3</v>
      </c>
      <c r="D6" s="1">
        <v>1000</v>
      </c>
      <c r="E6" s="1" t="s">
        <v>701</v>
      </c>
      <c r="F6" s="2" t="s">
        <v>719</v>
      </c>
      <c r="G6" s="2" t="s">
        <v>713</v>
      </c>
      <c r="H6" s="2">
        <f t="shared" si="0"/>
        <v>12</v>
      </c>
      <c r="I6" s="2">
        <f t="shared" si="1"/>
        <v>18</v>
      </c>
      <c r="J6" s="2" t="str">
        <f>VLOOKUP(A6,Sheet5!$A$2:$B$50,2,FALSE)</f>
        <v>1112,2,4,10000;1112,3,6,5000</v>
      </c>
      <c r="K6" s="1">
        <v>0</v>
      </c>
    </row>
    <row r="7" spans="1:11" x14ac:dyDescent="0.15">
      <c r="A7" s="14" t="s">
        <v>14</v>
      </c>
      <c r="B7" s="2">
        <v>7000003</v>
      </c>
      <c r="C7" s="1">
        <f>VLOOKUP(A7,Sheet5!$A$2:$E$50,4,FALSE)</f>
        <v>4</v>
      </c>
      <c r="D7" s="1">
        <v>1002</v>
      </c>
      <c r="E7" s="1" t="s">
        <v>318</v>
      </c>
      <c r="F7" s="2" t="s">
        <v>717</v>
      </c>
      <c r="G7" s="2" t="s">
        <v>710</v>
      </c>
      <c r="H7" s="2">
        <f t="shared" si="0"/>
        <v>16</v>
      </c>
      <c r="I7" s="2">
        <f t="shared" si="1"/>
        <v>24</v>
      </c>
      <c r="J7" s="2" t="str">
        <f>VLOOKUP(A7,Sheet5!$A$2:$B$50,2,FALSE)</f>
        <v>1086,2,4,10000;1086,3,6,5000;1018,3,6,5000</v>
      </c>
      <c r="K7" s="1">
        <v>0</v>
      </c>
    </row>
    <row r="8" spans="1:11" x14ac:dyDescent="0.15">
      <c r="A8" s="14" t="s">
        <v>15</v>
      </c>
      <c r="B8" s="2">
        <v>7000004</v>
      </c>
      <c r="C8" s="1">
        <f>VLOOKUP(A8,Sheet5!$A$2:$E$50,4,FALSE)</f>
        <v>5</v>
      </c>
      <c r="D8" s="1">
        <v>1002</v>
      </c>
      <c r="E8" s="1" t="s">
        <v>319</v>
      </c>
      <c r="F8" s="2" t="s">
        <v>717</v>
      </c>
      <c r="G8" s="2" t="s">
        <v>710</v>
      </c>
      <c r="H8" s="2">
        <f t="shared" si="0"/>
        <v>20</v>
      </c>
      <c r="I8" s="2">
        <f t="shared" si="1"/>
        <v>30</v>
      </c>
      <c r="J8" s="2" t="str">
        <f>VLOOKUP(A8,Sheet5!$A$2:$B$50,2,FALSE)</f>
        <v>1097,2,4,10000;1097,3,6,5000</v>
      </c>
      <c r="K8" s="1">
        <v>0</v>
      </c>
    </row>
    <row r="9" spans="1:11" x14ac:dyDescent="0.15">
      <c r="A9" s="14" t="s">
        <v>16</v>
      </c>
      <c r="B9" s="2">
        <v>7000005</v>
      </c>
      <c r="C9" s="1">
        <v>8</v>
      </c>
      <c r="D9" s="1">
        <v>1003</v>
      </c>
      <c r="E9" s="1" t="s">
        <v>353</v>
      </c>
      <c r="F9" s="2" t="s">
        <v>717</v>
      </c>
      <c r="G9" s="2" t="s">
        <v>710</v>
      </c>
      <c r="H9" s="2">
        <f t="shared" si="0"/>
        <v>32</v>
      </c>
      <c r="I9" s="2">
        <f t="shared" si="1"/>
        <v>48</v>
      </c>
      <c r="J9" s="2" t="str">
        <f>VLOOKUP(A9,Sheet5!$A$2:$B$50,2,FALSE)</f>
        <v>1100,3,6,10000;1091,3,6,10000;1112,3,6,10000;1086,3,6,10000;1097,3,6,10000</v>
      </c>
      <c r="K9" s="1">
        <v>10300</v>
      </c>
    </row>
    <row r="10" spans="1:11" x14ac:dyDescent="0.15">
      <c r="A10" s="14" t="s">
        <v>19</v>
      </c>
      <c r="B10" s="2">
        <v>7000006</v>
      </c>
      <c r="C10" s="1">
        <v>6</v>
      </c>
      <c r="D10" s="1">
        <v>1000</v>
      </c>
      <c r="E10" s="1" t="s">
        <v>321</v>
      </c>
      <c r="F10" s="2" t="s">
        <v>721</v>
      </c>
      <c r="G10" s="2" t="s">
        <v>712</v>
      </c>
      <c r="H10" s="2">
        <f t="shared" si="0"/>
        <v>24</v>
      </c>
      <c r="I10" s="2">
        <f t="shared" si="1"/>
        <v>36</v>
      </c>
      <c r="J10" s="2" t="str">
        <f>VLOOKUP(A10,Sheet5!$A$2:$B$50,2,FALSE)</f>
        <v>1119,2,4,10000;1119,3,6,5000</v>
      </c>
      <c r="K10" s="1">
        <v>0</v>
      </c>
    </row>
    <row r="11" spans="1:11" x14ac:dyDescent="0.15">
      <c r="A11" s="14" t="s">
        <v>12</v>
      </c>
      <c r="B11" s="2">
        <v>7000007</v>
      </c>
      <c r="C11" s="1">
        <v>7</v>
      </c>
      <c r="D11" s="1">
        <v>1005</v>
      </c>
      <c r="E11" s="1" t="s">
        <v>58</v>
      </c>
      <c r="F11" s="2" t="s">
        <v>717</v>
      </c>
      <c r="G11" s="2" t="s">
        <v>710</v>
      </c>
      <c r="H11" s="2">
        <f t="shared" si="0"/>
        <v>28</v>
      </c>
      <c r="I11" s="2">
        <f t="shared" si="1"/>
        <v>42</v>
      </c>
      <c r="J11" s="2" t="str">
        <f>VLOOKUP(A11,Sheet5!$A$2:$B$50,2,FALSE)</f>
        <v>1109,2,4,10000;1109,3,6,5000;1149,1,2,5000</v>
      </c>
      <c r="K11" s="1">
        <v>0</v>
      </c>
    </row>
    <row r="12" spans="1:11" x14ac:dyDescent="0.15">
      <c r="A12" s="15" t="s">
        <v>453</v>
      </c>
      <c r="B12" s="2">
        <v>7000008</v>
      </c>
      <c r="C12" s="1">
        <v>8</v>
      </c>
      <c r="D12" s="1">
        <v>1005</v>
      </c>
      <c r="E12" s="1" t="s">
        <v>701</v>
      </c>
      <c r="F12" s="2" t="s">
        <v>717</v>
      </c>
      <c r="G12" s="2" t="s">
        <v>710</v>
      </c>
      <c r="H12" s="2">
        <f t="shared" si="0"/>
        <v>32</v>
      </c>
      <c r="I12" s="2">
        <f t="shared" si="1"/>
        <v>48</v>
      </c>
      <c r="J12" s="2" t="str">
        <f>VLOOKUP(A12,Sheet5!$A$2:$B$50,2,FALSE)</f>
        <v>1098,2,4,10000;1098,3,6,5000</v>
      </c>
      <c r="K12" s="1">
        <v>0</v>
      </c>
    </row>
    <row r="13" spans="1:11" x14ac:dyDescent="0.15">
      <c r="A13" s="14" t="s">
        <v>13</v>
      </c>
      <c r="B13" s="2">
        <v>7000009</v>
      </c>
      <c r="C13" s="1">
        <v>9</v>
      </c>
      <c r="D13" s="1">
        <v>1000</v>
      </c>
      <c r="E13" s="1" t="s">
        <v>317</v>
      </c>
      <c r="F13" s="2" t="s">
        <v>716</v>
      </c>
      <c r="G13" s="2" t="s">
        <v>718</v>
      </c>
      <c r="H13" s="2">
        <f t="shared" si="0"/>
        <v>36</v>
      </c>
      <c r="I13" s="2">
        <f t="shared" si="1"/>
        <v>54</v>
      </c>
      <c r="J13" s="2" t="str">
        <f>VLOOKUP(A13,Sheet5!$A$2:$B$50,2,FALSE)</f>
        <v>1118,2,4,10000;1118,3,6,5000;1132,1,2,5000</v>
      </c>
      <c r="K13" s="1">
        <v>0</v>
      </c>
    </row>
    <row r="14" spans="1:11" x14ac:dyDescent="0.15">
      <c r="A14" s="14" t="s">
        <v>26</v>
      </c>
      <c r="B14" s="2">
        <v>7000010</v>
      </c>
      <c r="C14" s="1">
        <v>10</v>
      </c>
      <c r="D14" s="1">
        <v>1002</v>
      </c>
      <c r="E14" s="1" t="s">
        <v>327</v>
      </c>
      <c r="F14" s="2" t="s">
        <v>716</v>
      </c>
      <c r="G14" s="2" t="s">
        <v>718</v>
      </c>
      <c r="H14" s="2">
        <f t="shared" si="0"/>
        <v>40</v>
      </c>
      <c r="I14" s="2">
        <f t="shared" si="1"/>
        <v>60</v>
      </c>
      <c r="J14" s="2" t="str">
        <f>VLOOKUP(A14,Sheet5!$A$2:$B$50,2,FALSE)</f>
        <v>1123,2,4,10000;1123,3,6,5000</v>
      </c>
      <c r="K14" s="1">
        <v>0</v>
      </c>
    </row>
    <row r="15" spans="1:11" x14ac:dyDescent="0.15">
      <c r="A15" s="14" t="s">
        <v>21</v>
      </c>
      <c r="B15" s="2">
        <v>7000011</v>
      </c>
      <c r="C15" s="1">
        <v>13</v>
      </c>
      <c r="D15" s="1">
        <v>1002</v>
      </c>
      <c r="E15" s="1" t="s">
        <v>322</v>
      </c>
      <c r="F15" s="2" t="s">
        <v>719</v>
      </c>
      <c r="G15" s="2" t="s">
        <v>713</v>
      </c>
      <c r="H15" s="2">
        <f t="shared" si="0"/>
        <v>52</v>
      </c>
      <c r="I15" s="2">
        <f t="shared" si="1"/>
        <v>78</v>
      </c>
      <c r="J15" s="2" t="str">
        <f>VLOOKUP(A15,Sheet5!$A$2:$B$50,2,FALSE)</f>
        <v>1119,3,6,10000;1109,3,6,10000;1098,3,6,10000;1118,3,6,10000;1123,3,6,10000</v>
      </c>
      <c r="K15" s="1">
        <v>10200</v>
      </c>
    </row>
    <row r="16" spans="1:11" x14ac:dyDescent="0.15">
      <c r="A16" s="16" t="s">
        <v>455</v>
      </c>
      <c r="B16" s="2">
        <v>7000012</v>
      </c>
      <c r="C16" s="1">
        <v>11</v>
      </c>
      <c r="D16" s="1">
        <v>1000</v>
      </c>
      <c r="E16" s="1" t="s">
        <v>464</v>
      </c>
      <c r="F16" s="2" t="s">
        <v>720</v>
      </c>
      <c r="G16" s="2" t="s">
        <v>714</v>
      </c>
      <c r="H16" s="2">
        <f t="shared" si="0"/>
        <v>44</v>
      </c>
      <c r="I16" s="2">
        <f t="shared" si="1"/>
        <v>66</v>
      </c>
      <c r="J16" s="2" t="str">
        <f>VLOOKUP(A16,Sheet5!$A$2:$B$50,2,FALSE)</f>
        <v>1121,2,4,10000;1121,3,6,5000;1149,1,2,5000</v>
      </c>
      <c r="K16" s="1">
        <v>0</v>
      </c>
    </row>
    <row r="17" spans="1:11" x14ac:dyDescent="0.15">
      <c r="A17" s="16" t="s">
        <v>25</v>
      </c>
      <c r="B17" s="2">
        <v>7000013</v>
      </c>
      <c r="C17" s="1">
        <v>12</v>
      </c>
      <c r="D17" s="1">
        <v>1002</v>
      </c>
      <c r="E17" s="1" t="s">
        <v>326</v>
      </c>
      <c r="F17" s="2" t="s">
        <v>717</v>
      </c>
      <c r="G17" s="2" t="s">
        <v>710</v>
      </c>
      <c r="H17" s="2">
        <f t="shared" si="0"/>
        <v>48</v>
      </c>
      <c r="I17" s="2">
        <f t="shared" si="1"/>
        <v>72</v>
      </c>
      <c r="J17" s="2" t="str">
        <f>VLOOKUP(A17,Sheet5!$A$2:$B$50,2,FALSE)</f>
        <v>1103,2,4,10000;1103,3,6,5000</v>
      </c>
      <c r="K17" s="1">
        <v>0</v>
      </c>
    </row>
    <row r="18" spans="1:11" x14ac:dyDescent="0.15">
      <c r="A18" s="16" t="s">
        <v>23</v>
      </c>
      <c r="B18" s="2">
        <v>7000014</v>
      </c>
      <c r="C18" s="1">
        <v>13</v>
      </c>
      <c r="D18" s="1">
        <v>1000</v>
      </c>
      <c r="E18" s="1" t="s">
        <v>324</v>
      </c>
      <c r="F18" s="2" t="s">
        <v>720</v>
      </c>
      <c r="G18" s="2" t="s">
        <v>714</v>
      </c>
      <c r="H18" s="2">
        <f t="shared" si="0"/>
        <v>52</v>
      </c>
      <c r="I18" s="2">
        <f t="shared" si="1"/>
        <v>78</v>
      </c>
      <c r="J18" s="2" t="str">
        <f>VLOOKUP(A18,Sheet5!$A$2:$B$50,2,FALSE)</f>
        <v>1102,2,4,10000;1102,3,6,5000;1133,1,2,5000</v>
      </c>
      <c r="K18" s="1">
        <v>0</v>
      </c>
    </row>
    <row r="19" spans="1:11" x14ac:dyDescent="0.15">
      <c r="A19" s="16" t="s">
        <v>18</v>
      </c>
      <c r="B19" s="2">
        <v>7000015</v>
      </c>
      <c r="C19" s="1">
        <v>14</v>
      </c>
      <c r="D19" s="1">
        <v>1001</v>
      </c>
      <c r="E19" s="1" t="s">
        <v>320</v>
      </c>
      <c r="F19" s="2" t="s">
        <v>717</v>
      </c>
      <c r="G19" s="2" t="s">
        <v>710</v>
      </c>
      <c r="H19" s="2">
        <f t="shared" si="0"/>
        <v>56</v>
      </c>
      <c r="I19" s="2">
        <f t="shared" si="1"/>
        <v>84</v>
      </c>
      <c r="J19" s="2" t="str">
        <f>VLOOKUP(A19,Sheet5!$A$2:$B$50,2,FALSE)</f>
        <v>1099,2,4,10000;1099,3,6,5000;1013,3,6,5000</v>
      </c>
      <c r="K19" s="1">
        <v>0</v>
      </c>
    </row>
    <row r="20" spans="1:11" x14ac:dyDescent="0.15">
      <c r="A20" s="16" t="s">
        <v>22</v>
      </c>
      <c r="B20" s="2">
        <v>7000016</v>
      </c>
      <c r="C20" s="1">
        <v>15</v>
      </c>
      <c r="D20" s="1">
        <v>1003</v>
      </c>
      <c r="E20" s="1" t="s">
        <v>323</v>
      </c>
      <c r="F20" s="2" t="s">
        <v>722</v>
      </c>
      <c r="G20" s="2" t="s">
        <v>715</v>
      </c>
      <c r="H20" s="2">
        <f t="shared" si="0"/>
        <v>60</v>
      </c>
      <c r="I20" s="2">
        <f t="shared" si="1"/>
        <v>90</v>
      </c>
      <c r="J20" s="2" t="str">
        <f>VLOOKUP(A20,Sheet5!$A$2:$B$50,2,FALSE)</f>
        <v>1101,2,4,10000;1101,3,6,5000</v>
      </c>
      <c r="K20" s="1">
        <v>0</v>
      </c>
    </row>
    <row r="21" spans="1:11" x14ac:dyDescent="0.15">
      <c r="A21" s="16" t="s">
        <v>731</v>
      </c>
      <c r="B21" s="2">
        <v>7000017</v>
      </c>
      <c r="C21" s="1">
        <v>18</v>
      </c>
      <c r="D21" s="1">
        <v>1002</v>
      </c>
      <c r="E21" s="1" t="s">
        <v>328</v>
      </c>
      <c r="F21" s="2" t="s">
        <v>722</v>
      </c>
      <c r="G21" s="2" t="s">
        <v>715</v>
      </c>
      <c r="H21" s="2">
        <f t="shared" si="0"/>
        <v>72</v>
      </c>
      <c r="I21" s="2">
        <f t="shared" si="1"/>
        <v>108</v>
      </c>
      <c r="J21" s="2" t="str">
        <f>VLOOKUP(A21,Sheet5!$A$2:$B$50,2,FALSE)</f>
        <v>1121,3,6,10000;1103,3,6,10000;1102,3,6,10000;1099,3,6,10000;1101,3,6,10000</v>
      </c>
      <c r="K21" s="1">
        <v>10100</v>
      </c>
    </row>
    <row r="22" spans="1:11" x14ac:dyDescent="0.15">
      <c r="A22" s="16" t="s">
        <v>28</v>
      </c>
      <c r="B22" s="2">
        <v>7000018</v>
      </c>
      <c r="C22" s="1">
        <v>16</v>
      </c>
      <c r="D22" s="1">
        <v>1005</v>
      </c>
      <c r="E22" s="1" t="s">
        <v>330</v>
      </c>
      <c r="F22" s="2" t="s">
        <v>717</v>
      </c>
      <c r="G22" s="2" t="s">
        <v>710</v>
      </c>
      <c r="H22" s="2">
        <f t="shared" si="0"/>
        <v>64</v>
      </c>
      <c r="I22" s="2">
        <f t="shared" si="1"/>
        <v>96</v>
      </c>
      <c r="J22" s="2" t="str">
        <f>VLOOKUP(A22,Sheet5!$A$2:$B$50,2,FALSE)</f>
        <v>1089,2,4,10000;1089,3,6,5000</v>
      </c>
      <c r="K22" s="1">
        <v>0</v>
      </c>
    </row>
    <row r="23" spans="1:11" x14ac:dyDescent="0.15">
      <c r="A23" s="16" t="s">
        <v>29</v>
      </c>
      <c r="B23" s="2">
        <v>7000019</v>
      </c>
      <c r="C23" s="1">
        <v>17</v>
      </c>
      <c r="D23" s="1">
        <v>1005</v>
      </c>
      <c r="E23" s="1" t="s">
        <v>331</v>
      </c>
      <c r="F23" s="2" t="s">
        <v>717</v>
      </c>
      <c r="G23" s="2" t="s">
        <v>710</v>
      </c>
      <c r="H23" s="2">
        <f t="shared" si="0"/>
        <v>68</v>
      </c>
      <c r="I23" s="2">
        <f t="shared" si="1"/>
        <v>102</v>
      </c>
      <c r="J23" s="2" t="str">
        <f>VLOOKUP(A23,Sheet5!$A$2:$B$50,2,FALSE)</f>
        <v>1106,2,4,10000;1106,3,6,5000</v>
      </c>
      <c r="K23" s="1">
        <v>0</v>
      </c>
    </row>
    <row r="24" spans="1:11" x14ac:dyDescent="0.15">
      <c r="A24" s="16" t="s">
        <v>30</v>
      </c>
      <c r="B24" s="2">
        <v>7000020</v>
      </c>
      <c r="C24" s="1">
        <v>18</v>
      </c>
      <c r="D24" s="1">
        <v>1000</v>
      </c>
      <c r="E24" s="1" t="s">
        <v>705</v>
      </c>
      <c r="F24" s="2" t="s">
        <v>720</v>
      </c>
      <c r="G24" s="2" t="s">
        <v>714</v>
      </c>
      <c r="H24" s="2">
        <f t="shared" si="0"/>
        <v>72</v>
      </c>
      <c r="I24" s="2">
        <f t="shared" si="1"/>
        <v>108</v>
      </c>
      <c r="J24" s="2" t="str">
        <f>VLOOKUP(A24,Sheet5!$A$2:$B$50,2,FALSE)</f>
        <v>1110,2,4,10000;1110,3,6,5000;1142,1,2,5000</v>
      </c>
      <c r="K24" s="1">
        <v>0</v>
      </c>
    </row>
    <row r="25" spans="1:11" x14ac:dyDescent="0.15">
      <c r="A25" s="16" t="s">
        <v>332</v>
      </c>
      <c r="B25" s="2">
        <v>7000021</v>
      </c>
      <c r="C25" s="1">
        <v>19</v>
      </c>
      <c r="D25" s="1">
        <v>1005</v>
      </c>
      <c r="E25" s="1" t="s">
        <v>333</v>
      </c>
      <c r="F25" s="2" t="s">
        <v>717</v>
      </c>
      <c r="G25" s="2" t="s">
        <v>710</v>
      </c>
      <c r="H25" s="2">
        <f t="shared" si="0"/>
        <v>76</v>
      </c>
      <c r="I25" s="2">
        <f t="shared" si="1"/>
        <v>114</v>
      </c>
      <c r="J25" s="2" t="str">
        <f>VLOOKUP(A25,Sheet5!$A$2:$B$50,2,FALSE)</f>
        <v>1124,2,4,10000;1124,3,6,5000;1013,3,6,5000;1134,1,2,5000</v>
      </c>
      <c r="K25" s="1">
        <v>0</v>
      </c>
    </row>
    <row r="26" spans="1:11" ht="27" x14ac:dyDescent="0.15">
      <c r="A26" s="16" t="s">
        <v>27</v>
      </c>
      <c r="B26" s="2">
        <v>7000022</v>
      </c>
      <c r="C26" s="1">
        <v>20</v>
      </c>
      <c r="D26" s="1">
        <v>1000</v>
      </c>
      <c r="E26" s="1" t="s">
        <v>329</v>
      </c>
      <c r="F26" s="2" t="s">
        <v>717</v>
      </c>
      <c r="G26" s="2" t="s">
        <v>710</v>
      </c>
      <c r="H26" s="2">
        <f t="shared" si="0"/>
        <v>80</v>
      </c>
      <c r="I26" s="2">
        <f t="shared" si="1"/>
        <v>120</v>
      </c>
      <c r="J26" s="2" t="str">
        <f>VLOOKUP(A26,Sheet5!$A$2:$B$50,2,FALSE)</f>
        <v>1108,2,4,10000;1108,3,6,5000</v>
      </c>
      <c r="K26" s="1">
        <v>0</v>
      </c>
    </row>
    <row r="27" spans="1:11" x14ac:dyDescent="0.15">
      <c r="A27" s="16" t="s">
        <v>31</v>
      </c>
      <c r="B27" s="2">
        <v>7000023</v>
      </c>
      <c r="C27" s="1">
        <v>23</v>
      </c>
      <c r="D27" s="1">
        <v>1002</v>
      </c>
      <c r="E27" s="1" t="s">
        <v>334</v>
      </c>
      <c r="F27" s="2" t="s">
        <v>716</v>
      </c>
      <c r="G27" s="2" t="s">
        <v>718</v>
      </c>
      <c r="H27" s="2">
        <f t="shared" si="0"/>
        <v>92</v>
      </c>
      <c r="I27" s="2">
        <f t="shared" si="1"/>
        <v>138</v>
      </c>
      <c r="J27" s="2" t="str">
        <f>VLOOKUP(A27,Sheet5!$A$2:$B$50,2,FALSE)</f>
        <v>1089,3,6,10000;1106,3,6,10000;1110,3,6,10000;1124,3,6,10000;1108,3,6,10000</v>
      </c>
      <c r="K27" s="1">
        <v>10400</v>
      </c>
    </row>
    <row r="28" spans="1:11" x14ac:dyDescent="0.15">
      <c r="A28" s="17" t="s">
        <v>37</v>
      </c>
      <c r="B28" s="2">
        <v>7000024</v>
      </c>
      <c r="C28" s="1">
        <v>21</v>
      </c>
      <c r="D28" s="1">
        <v>1003</v>
      </c>
      <c r="E28" s="1" t="s">
        <v>339</v>
      </c>
      <c r="F28" s="2" t="s">
        <v>717</v>
      </c>
      <c r="G28" s="2" t="s">
        <v>710</v>
      </c>
      <c r="H28" s="2">
        <f t="shared" si="0"/>
        <v>84</v>
      </c>
      <c r="I28" s="2">
        <f t="shared" si="1"/>
        <v>126</v>
      </c>
      <c r="J28" s="2" t="str">
        <f>VLOOKUP(A28,Sheet5!$A$2:$B$50,2,FALSE)</f>
        <v>1126,2,4,10000;1126,3,6,5000;1008,3,6,5000</v>
      </c>
      <c r="K28" s="1">
        <v>0</v>
      </c>
    </row>
    <row r="29" spans="1:11" x14ac:dyDescent="0.15">
      <c r="A29" s="17" t="s">
        <v>32</v>
      </c>
      <c r="B29" s="2">
        <v>7000025</v>
      </c>
      <c r="C29" s="1">
        <v>22</v>
      </c>
      <c r="D29" s="1">
        <v>1000</v>
      </c>
      <c r="E29" s="1" t="s">
        <v>352</v>
      </c>
      <c r="F29" s="2" t="s">
        <v>719</v>
      </c>
      <c r="G29" s="2" t="s">
        <v>713</v>
      </c>
      <c r="H29" s="2">
        <f t="shared" si="0"/>
        <v>88</v>
      </c>
      <c r="I29" s="2">
        <f t="shared" si="1"/>
        <v>132</v>
      </c>
      <c r="J29" s="2" t="str">
        <f>VLOOKUP(A29,Sheet5!$A$2:$B$50,2,FALSE)</f>
        <v>1117,2,4,10000;1117,3,6,5000</v>
      </c>
      <c r="K29" s="1">
        <v>0</v>
      </c>
    </row>
    <row r="30" spans="1:11" x14ac:dyDescent="0.15">
      <c r="A30" s="17" t="s">
        <v>33</v>
      </c>
      <c r="B30" s="2">
        <v>7000026</v>
      </c>
      <c r="C30" s="1">
        <v>23</v>
      </c>
      <c r="D30" s="1">
        <v>1002</v>
      </c>
      <c r="E30" s="1" t="s">
        <v>336</v>
      </c>
      <c r="F30" s="2" t="s">
        <v>719</v>
      </c>
      <c r="G30" s="2" t="s">
        <v>713</v>
      </c>
      <c r="H30" s="2">
        <f t="shared" si="0"/>
        <v>92</v>
      </c>
      <c r="I30" s="2">
        <f t="shared" si="1"/>
        <v>138</v>
      </c>
      <c r="J30" s="2" t="str">
        <f>VLOOKUP(A30,Sheet5!$A$2:$B$50,2,FALSE)</f>
        <v>1096,2,4,10000;1096,3,6,5000;1138,1,2,5000</v>
      </c>
      <c r="K30" s="1">
        <v>0</v>
      </c>
    </row>
    <row r="31" spans="1:11" x14ac:dyDescent="0.15">
      <c r="A31" s="17" t="s">
        <v>34</v>
      </c>
      <c r="B31" s="2">
        <v>7000027</v>
      </c>
      <c r="C31" s="1">
        <v>24</v>
      </c>
      <c r="D31" s="1">
        <v>1001</v>
      </c>
      <c r="E31" s="1" t="s">
        <v>241</v>
      </c>
      <c r="F31" s="2" t="s">
        <v>720</v>
      </c>
      <c r="G31" s="2" t="s">
        <v>714</v>
      </c>
      <c r="H31" s="2">
        <f t="shared" si="0"/>
        <v>96</v>
      </c>
      <c r="I31" s="2">
        <f t="shared" si="1"/>
        <v>144</v>
      </c>
      <c r="J31" s="2" t="str">
        <f>VLOOKUP(A31,Sheet5!$A$2:$B$50,2,FALSE)</f>
        <v>1105,2,4,10000;1105,3,6,5000</v>
      </c>
      <c r="K31" s="1">
        <v>0</v>
      </c>
    </row>
    <row r="32" spans="1:11" x14ac:dyDescent="0.15">
      <c r="A32" s="17" t="s">
        <v>35</v>
      </c>
      <c r="B32" s="2">
        <v>7000028</v>
      </c>
      <c r="C32" s="1">
        <v>25</v>
      </c>
      <c r="D32" s="1">
        <v>1001</v>
      </c>
      <c r="E32" s="1" t="s">
        <v>337</v>
      </c>
      <c r="F32" s="2" t="s">
        <v>719</v>
      </c>
      <c r="G32" s="2" t="s">
        <v>713</v>
      </c>
      <c r="H32" s="2">
        <f t="shared" si="0"/>
        <v>100</v>
      </c>
      <c r="I32" s="2">
        <f t="shared" si="1"/>
        <v>150</v>
      </c>
      <c r="J32" s="2" t="str">
        <f>VLOOKUP(A32,Sheet5!$A$2:$B$50,2,FALSE)</f>
        <v>1111,2,4,10000;1111,3,6,5000</v>
      </c>
      <c r="K32" s="1">
        <v>0</v>
      </c>
    </row>
    <row r="33" spans="1:11" x14ac:dyDescent="0.15">
      <c r="A33" s="17" t="s">
        <v>451</v>
      </c>
      <c r="B33" s="2">
        <v>7000029</v>
      </c>
      <c r="C33" s="1">
        <v>29</v>
      </c>
      <c r="D33" s="1">
        <v>1001</v>
      </c>
      <c r="E33" s="1" t="s">
        <v>335</v>
      </c>
      <c r="F33" s="2" t="s">
        <v>717</v>
      </c>
      <c r="G33" s="2" t="s">
        <v>710</v>
      </c>
      <c r="H33" s="2">
        <f t="shared" si="0"/>
        <v>116</v>
      </c>
      <c r="I33" s="2">
        <f t="shared" si="1"/>
        <v>174</v>
      </c>
      <c r="J33" s="2" t="str">
        <f>VLOOKUP(A33,Sheet5!$A$2:$B$50,2,FALSE)</f>
        <v>1126,3,6,10000;1117,3,6,10000;1096,3,6,10000;1105,3,6,10000;1111,3,6,10000</v>
      </c>
      <c r="K33" s="1">
        <v>10300</v>
      </c>
    </row>
    <row r="34" spans="1:11" x14ac:dyDescent="0.15">
      <c r="A34" s="17" t="s">
        <v>36</v>
      </c>
      <c r="B34" s="2">
        <v>7000030</v>
      </c>
      <c r="C34" s="1">
        <v>26</v>
      </c>
      <c r="D34" s="1">
        <v>1003</v>
      </c>
      <c r="E34" s="1" t="s">
        <v>338</v>
      </c>
      <c r="F34" s="2" t="s">
        <v>717</v>
      </c>
      <c r="G34" s="2" t="s">
        <v>710</v>
      </c>
      <c r="H34" s="2">
        <f t="shared" si="0"/>
        <v>104</v>
      </c>
      <c r="I34" s="2">
        <f t="shared" si="1"/>
        <v>156</v>
      </c>
      <c r="J34" s="2" t="str">
        <f>VLOOKUP(A34,Sheet5!$A$2:$B$50,2,FALSE)</f>
        <v>1088,2,4,10000;1088,3,6,5000</v>
      </c>
      <c r="K34" s="1">
        <v>0</v>
      </c>
    </row>
    <row r="35" spans="1:11" x14ac:dyDescent="0.15">
      <c r="A35" s="17" t="s">
        <v>24</v>
      </c>
      <c r="B35" s="2">
        <v>7000031</v>
      </c>
      <c r="C35" s="1">
        <v>27</v>
      </c>
      <c r="D35" s="1">
        <v>1005</v>
      </c>
      <c r="E35" s="1" t="s">
        <v>325</v>
      </c>
      <c r="F35" s="2" t="s">
        <v>716</v>
      </c>
      <c r="G35" s="2" t="s">
        <v>718</v>
      </c>
      <c r="H35" s="2">
        <f t="shared" si="0"/>
        <v>108</v>
      </c>
      <c r="I35" s="2">
        <f t="shared" si="1"/>
        <v>162</v>
      </c>
      <c r="J35" s="2" t="str">
        <f>VLOOKUP(A35,Sheet5!$A$2:$B$50,2,FALSE)</f>
        <v>1122,2,4,10000;1122,3,6,5000;1008,3,6,5000</v>
      </c>
      <c r="K35" s="1">
        <v>0</v>
      </c>
    </row>
    <row r="36" spans="1:11" x14ac:dyDescent="0.15">
      <c r="A36" s="17" t="s">
        <v>39</v>
      </c>
      <c r="B36" s="2">
        <v>7000032</v>
      </c>
      <c r="C36" s="1">
        <v>28</v>
      </c>
      <c r="D36" s="1">
        <v>1002</v>
      </c>
      <c r="E36" s="1" t="s">
        <v>341</v>
      </c>
      <c r="F36" s="2" t="s">
        <v>716</v>
      </c>
      <c r="G36" s="2" t="s">
        <v>718</v>
      </c>
      <c r="H36" s="2">
        <f t="shared" si="0"/>
        <v>112</v>
      </c>
      <c r="I36" s="2">
        <f t="shared" si="1"/>
        <v>168</v>
      </c>
      <c r="J36" s="2" t="str">
        <f>VLOOKUP(A36,Sheet5!$A$2:$B$50,2,FALSE)</f>
        <v>1087,2,4,10000;1087,3,6,5000</v>
      </c>
      <c r="K36" s="1">
        <v>0</v>
      </c>
    </row>
    <row r="37" spans="1:11" x14ac:dyDescent="0.15">
      <c r="A37" s="17" t="s">
        <v>40</v>
      </c>
      <c r="B37" s="2">
        <v>7000033</v>
      </c>
      <c r="C37" s="1">
        <v>29</v>
      </c>
      <c r="D37" s="1">
        <v>1005</v>
      </c>
      <c r="E37" s="1" t="s">
        <v>342</v>
      </c>
      <c r="F37" s="2" t="s">
        <v>717</v>
      </c>
      <c r="G37" s="2" t="s">
        <v>710</v>
      </c>
      <c r="H37" s="2">
        <f t="shared" si="0"/>
        <v>116</v>
      </c>
      <c r="I37" s="2">
        <f t="shared" si="1"/>
        <v>174</v>
      </c>
      <c r="J37" s="2" t="str">
        <f>VLOOKUP(A37,Sheet5!$A$2:$B$50,2,FALSE)</f>
        <v>1107,2,4,10000;1107,3,6,5000;1141,1,2,5000</v>
      </c>
      <c r="K37" s="1">
        <v>0</v>
      </c>
    </row>
    <row r="38" spans="1:11" x14ac:dyDescent="0.15">
      <c r="A38" s="17" t="s">
        <v>38</v>
      </c>
      <c r="B38" s="2">
        <v>7000034</v>
      </c>
      <c r="C38" s="1">
        <v>30</v>
      </c>
      <c r="D38" s="1">
        <v>1002</v>
      </c>
      <c r="E38" s="1" t="s">
        <v>340</v>
      </c>
      <c r="F38" s="2" t="s">
        <v>719</v>
      </c>
      <c r="G38" s="2" t="s">
        <v>713</v>
      </c>
      <c r="H38" s="2">
        <f t="shared" si="0"/>
        <v>120</v>
      </c>
      <c r="I38" s="2">
        <f t="shared" si="1"/>
        <v>180</v>
      </c>
      <c r="J38" s="2" t="str">
        <f>VLOOKUP(A38,Sheet5!$A$2:$B$50,2,FALSE)</f>
        <v>1120,2,4,10000;1120,3,6,5000</v>
      </c>
      <c r="K38" s="1">
        <v>0</v>
      </c>
    </row>
    <row r="39" spans="1:11" x14ac:dyDescent="0.15">
      <c r="A39" s="17" t="s">
        <v>41</v>
      </c>
      <c r="B39" s="2">
        <v>7000035</v>
      </c>
      <c r="C39" s="1">
        <v>34</v>
      </c>
      <c r="D39" s="1">
        <v>1005</v>
      </c>
      <c r="E39" s="1" t="s">
        <v>706</v>
      </c>
      <c r="F39" s="2" t="s">
        <v>717</v>
      </c>
      <c r="G39" s="2" t="s">
        <v>710</v>
      </c>
      <c r="H39" s="2">
        <f t="shared" si="0"/>
        <v>136</v>
      </c>
      <c r="I39" s="2">
        <f t="shared" si="1"/>
        <v>204</v>
      </c>
      <c r="J39" s="2" t="str">
        <f>VLOOKUP(A39,Sheet5!$A$2:$B$50,2,FALSE)</f>
        <v>1088,3,6,10000;1122,3,6,10000;1087,3,6,10000;1107,3,6,10000;1120,3,6,10000</v>
      </c>
      <c r="K39" s="1">
        <v>10500</v>
      </c>
    </row>
    <row r="40" spans="1:11" x14ac:dyDescent="0.15">
      <c r="A40" s="2" t="s">
        <v>47</v>
      </c>
      <c r="B40" s="2">
        <v>7000036</v>
      </c>
      <c r="C40" s="1">
        <v>31</v>
      </c>
      <c r="D40" s="1">
        <v>1002</v>
      </c>
      <c r="E40" s="1" t="s">
        <v>347</v>
      </c>
      <c r="F40" s="2" t="s">
        <v>717</v>
      </c>
      <c r="G40" s="2" t="s">
        <v>710</v>
      </c>
      <c r="H40" s="2">
        <f t="shared" si="0"/>
        <v>124</v>
      </c>
      <c r="I40" s="2">
        <f t="shared" si="1"/>
        <v>186</v>
      </c>
      <c r="J40" s="2" t="str">
        <f>VLOOKUP(A40,Sheet5!$A$2:$B$50,2,FALSE)</f>
        <v>1095,2,4,10000;1095,3,6,5000</v>
      </c>
      <c r="K40" s="1">
        <v>0</v>
      </c>
    </row>
    <row r="41" spans="1:11" x14ac:dyDescent="0.15">
      <c r="A41" s="2" t="s">
        <v>46</v>
      </c>
      <c r="B41" s="2">
        <v>7000037</v>
      </c>
      <c r="C41" s="1">
        <v>32</v>
      </c>
      <c r="D41" s="1">
        <v>1000</v>
      </c>
      <c r="E41" s="1" t="s">
        <v>346</v>
      </c>
      <c r="F41" s="2" t="s">
        <v>719</v>
      </c>
      <c r="G41" s="2" t="s">
        <v>713</v>
      </c>
      <c r="H41" s="2">
        <f t="shared" si="0"/>
        <v>128</v>
      </c>
      <c r="I41" s="2">
        <f t="shared" si="1"/>
        <v>192</v>
      </c>
      <c r="J41" s="2" t="str">
        <f>VLOOKUP(A41,Sheet5!$A$2:$B$50,2,FALSE)</f>
        <v>1113,2,4,10000;1113,3,6,5000</v>
      </c>
      <c r="K41" s="1">
        <v>0</v>
      </c>
    </row>
    <row r="42" spans="1:11" x14ac:dyDescent="0.15">
      <c r="A42" s="2" t="s">
        <v>44</v>
      </c>
      <c r="B42" s="2">
        <v>7000038</v>
      </c>
      <c r="C42" s="1">
        <v>33</v>
      </c>
      <c r="D42" s="1">
        <v>1002</v>
      </c>
      <c r="E42" s="1" t="s">
        <v>344</v>
      </c>
      <c r="F42" s="2" t="s">
        <v>717</v>
      </c>
      <c r="G42" s="2" t="s">
        <v>710</v>
      </c>
      <c r="H42" s="2">
        <f t="shared" si="0"/>
        <v>132</v>
      </c>
      <c r="I42" s="2">
        <f t="shared" si="1"/>
        <v>198</v>
      </c>
      <c r="J42" s="2" t="str">
        <f>VLOOKUP(A42,Sheet5!$A$2:$B$50,2,FALSE)</f>
        <v>1115,2,4,10000;1115,3,6,5000</v>
      </c>
      <c r="K42" s="1">
        <v>0</v>
      </c>
    </row>
    <row r="43" spans="1:11" x14ac:dyDescent="0.15">
      <c r="A43" s="2" t="s">
        <v>43</v>
      </c>
      <c r="B43" s="2">
        <v>7000039</v>
      </c>
      <c r="C43" s="1">
        <v>34</v>
      </c>
      <c r="D43" s="1">
        <v>1005</v>
      </c>
      <c r="E43" s="1" t="s">
        <v>343</v>
      </c>
      <c r="F43" s="2" t="s">
        <v>722</v>
      </c>
      <c r="G43" s="2" t="s">
        <v>715</v>
      </c>
      <c r="H43" s="2">
        <f t="shared" si="0"/>
        <v>136</v>
      </c>
      <c r="I43" s="2">
        <f t="shared" si="1"/>
        <v>204</v>
      </c>
      <c r="J43" s="2" t="str">
        <f>VLOOKUP(A43,Sheet5!$A$2:$B$50,2,FALSE)</f>
        <v>1092,2,4,10000;1092,3,6,5000</v>
      </c>
      <c r="K43" s="1">
        <v>0</v>
      </c>
    </row>
    <row r="44" spans="1:11" x14ac:dyDescent="0.15">
      <c r="A44" s="2" t="s">
        <v>45</v>
      </c>
      <c r="B44" s="2">
        <v>7000040</v>
      </c>
      <c r="C44" s="1">
        <v>35</v>
      </c>
      <c r="D44" s="1">
        <v>1000</v>
      </c>
      <c r="E44" s="1" t="s">
        <v>345</v>
      </c>
      <c r="F44" s="2" t="s">
        <v>716</v>
      </c>
      <c r="G44" s="2" t="s">
        <v>718</v>
      </c>
      <c r="H44" s="2">
        <f t="shared" si="0"/>
        <v>140</v>
      </c>
      <c r="I44" s="2">
        <f t="shared" si="1"/>
        <v>210</v>
      </c>
      <c r="J44" s="2" t="str">
        <f>VLOOKUP(A44,Sheet5!$A$2:$B$50,2,FALSE)</f>
        <v>1113,2,4,10000;1113,3,6,5000;1095,3,6,5000</v>
      </c>
      <c r="K44" s="1">
        <v>0</v>
      </c>
    </row>
    <row r="45" spans="1:11" x14ac:dyDescent="0.15">
      <c r="A45" s="2" t="s">
        <v>42</v>
      </c>
      <c r="B45" s="2">
        <v>7000041</v>
      </c>
      <c r="C45" s="1">
        <v>39</v>
      </c>
      <c r="D45" s="1">
        <v>1001</v>
      </c>
      <c r="E45" s="1" t="s">
        <v>707</v>
      </c>
      <c r="F45" s="2" t="s">
        <v>719</v>
      </c>
      <c r="G45" s="2" t="s">
        <v>713</v>
      </c>
      <c r="H45" s="2">
        <f t="shared" si="0"/>
        <v>156</v>
      </c>
      <c r="I45" s="2">
        <f t="shared" si="1"/>
        <v>234</v>
      </c>
      <c r="J45" s="2" t="str">
        <f>VLOOKUP(A45,Sheet5!$A$2:$B$50,2,FALSE)</f>
        <v>1095,3,6,10000;1113,3,6,10000;1115,3,6,10000;1092,3,6,10000;1113,3,6,10000</v>
      </c>
      <c r="K45" s="1">
        <v>10500</v>
      </c>
    </row>
    <row r="46" spans="1:11" x14ac:dyDescent="0.15">
      <c r="A46" s="2" t="s">
        <v>51</v>
      </c>
      <c r="B46" s="2">
        <v>7000042</v>
      </c>
      <c r="C46" s="1">
        <v>36</v>
      </c>
      <c r="D46" s="1">
        <v>1000</v>
      </c>
      <c r="E46" s="1" t="s">
        <v>151</v>
      </c>
      <c r="F46" s="2" t="s">
        <v>722</v>
      </c>
      <c r="G46" s="2" t="s">
        <v>715</v>
      </c>
      <c r="H46" s="2">
        <f t="shared" si="0"/>
        <v>144</v>
      </c>
      <c r="I46" s="2">
        <f t="shared" si="1"/>
        <v>216</v>
      </c>
      <c r="J46" s="2" t="str">
        <f>VLOOKUP(A46,Sheet5!$A$2:$B$50,2,FALSE)</f>
        <v>1093,2,4,10000;1093,3,6,5000</v>
      </c>
      <c r="K46" s="1">
        <v>0</v>
      </c>
    </row>
    <row r="47" spans="1:11" x14ac:dyDescent="0.15">
      <c r="A47" s="2" t="s">
        <v>48</v>
      </c>
      <c r="B47" s="2">
        <v>7000043</v>
      </c>
      <c r="C47" s="1">
        <v>37</v>
      </c>
      <c r="D47" s="1">
        <v>1002</v>
      </c>
      <c r="E47" s="1" t="s">
        <v>348</v>
      </c>
      <c r="F47" s="2" t="s">
        <v>721</v>
      </c>
      <c r="G47" s="2" t="s">
        <v>712</v>
      </c>
      <c r="H47" s="2">
        <f t="shared" si="0"/>
        <v>148</v>
      </c>
      <c r="I47" s="2">
        <f t="shared" si="1"/>
        <v>222</v>
      </c>
      <c r="J47" s="2" t="str">
        <f>VLOOKUP(A47,Sheet5!$A$2:$B$50,2,FALSE)</f>
        <v>1116,2,4,10000;1116,3,6,5000</v>
      </c>
      <c r="K47" s="1">
        <v>0</v>
      </c>
    </row>
    <row r="48" spans="1:11" x14ac:dyDescent="0.15">
      <c r="A48" s="2" t="s">
        <v>52</v>
      </c>
      <c r="B48" s="2">
        <v>7000044</v>
      </c>
      <c r="C48" s="1">
        <v>38</v>
      </c>
      <c r="D48" s="1">
        <v>1002</v>
      </c>
      <c r="E48" s="1" t="s">
        <v>350</v>
      </c>
      <c r="F48" s="2" t="s">
        <v>717</v>
      </c>
      <c r="G48" s="2" t="s">
        <v>710</v>
      </c>
      <c r="H48" s="2">
        <f t="shared" si="0"/>
        <v>152</v>
      </c>
      <c r="I48" s="2">
        <f t="shared" si="1"/>
        <v>228</v>
      </c>
      <c r="J48" s="2" t="str">
        <f>VLOOKUP(A48,Sheet5!$A$2:$B$50,2,FALSE)</f>
        <v>1114,2,4,10000;1114,3,6,5000</v>
      </c>
      <c r="K48" s="1">
        <v>0</v>
      </c>
    </row>
    <row r="49" spans="1:11" x14ac:dyDescent="0.15">
      <c r="A49" s="2" t="s">
        <v>49</v>
      </c>
      <c r="B49" s="2">
        <v>7000045</v>
      </c>
      <c r="C49" s="1">
        <v>39</v>
      </c>
      <c r="D49" s="1">
        <v>1000</v>
      </c>
      <c r="E49" s="1" t="s">
        <v>708</v>
      </c>
      <c r="F49" s="2" t="s">
        <v>721</v>
      </c>
      <c r="G49" s="2" t="s">
        <v>712</v>
      </c>
      <c r="H49" s="2">
        <f t="shared" si="0"/>
        <v>156</v>
      </c>
      <c r="I49" s="2">
        <f t="shared" si="1"/>
        <v>234</v>
      </c>
      <c r="J49" s="2" t="str">
        <f>VLOOKUP(A49,Sheet5!$A$2:$B$50,2,FALSE)</f>
        <v>1094,2,4,10000;1094,3,6,5000</v>
      </c>
      <c r="K49" s="1">
        <v>0</v>
      </c>
    </row>
    <row r="50" spans="1:11" x14ac:dyDescent="0.15">
      <c r="A50" s="2" t="s">
        <v>53</v>
      </c>
      <c r="B50" s="2">
        <v>7000046</v>
      </c>
      <c r="C50" s="1">
        <v>40</v>
      </c>
      <c r="D50" s="1">
        <v>1002</v>
      </c>
      <c r="E50" s="1" t="s">
        <v>351</v>
      </c>
      <c r="F50" s="2" t="s">
        <v>721</v>
      </c>
      <c r="G50" s="2" t="s">
        <v>712</v>
      </c>
      <c r="H50" s="2">
        <f t="shared" si="0"/>
        <v>160</v>
      </c>
      <c r="I50" s="2">
        <f t="shared" si="1"/>
        <v>240</v>
      </c>
      <c r="J50" s="2" t="str">
        <f>VLOOKUP(A50,Sheet5!$A$2:$B$50,2,FALSE)</f>
        <v>1116,2,4,10000;1116,3,6,5000;1114,3,6,5000</v>
      </c>
      <c r="K50" s="1">
        <v>0</v>
      </c>
    </row>
    <row r="51" spans="1:11" x14ac:dyDescent="0.15">
      <c r="A51" s="2" t="s">
        <v>50</v>
      </c>
      <c r="B51" s="2">
        <v>7000047</v>
      </c>
      <c r="C51" s="1">
        <v>45</v>
      </c>
      <c r="D51" s="1">
        <v>1005</v>
      </c>
      <c r="E51" s="1" t="s">
        <v>349</v>
      </c>
      <c r="F51" s="2" t="s">
        <v>717</v>
      </c>
      <c r="G51" s="2" t="s">
        <v>710</v>
      </c>
      <c r="H51" s="2">
        <f t="shared" si="0"/>
        <v>180</v>
      </c>
      <c r="I51" s="2">
        <f t="shared" si="1"/>
        <v>270</v>
      </c>
      <c r="J51" s="2" t="str">
        <f>VLOOKUP(A51,Sheet5!$A$2:$B$50,2,FALSE)</f>
        <v>1093,2,4,10000;1093,3,6,10000;1116,3,6,10000;1114,3,6,10000;1094,3,6,10000;1116,3,6,10000</v>
      </c>
      <c r="K51" s="1">
        <v>10200</v>
      </c>
    </row>
    <row r="52" spans="1:11" x14ac:dyDescent="0.15">
      <c r="A52" s="2" t="s">
        <v>25</v>
      </c>
      <c r="B52" s="2">
        <v>7100000</v>
      </c>
      <c r="C52" s="2">
        <v>14</v>
      </c>
      <c r="D52" s="2">
        <v>1002</v>
      </c>
      <c r="E52" s="2" t="s">
        <v>326</v>
      </c>
      <c r="F52" s="2" t="s">
        <v>717</v>
      </c>
      <c r="G52" s="2" t="s">
        <v>710</v>
      </c>
      <c r="H52" s="2">
        <v>56</v>
      </c>
      <c r="I52" s="2">
        <v>84</v>
      </c>
      <c r="J52" s="2" t="str">
        <f>VLOOKUP(A52,Sheet5!$A$2:$B$50,2,FALSE)</f>
        <v>1103,2,4,10000;1103,3,6,5000</v>
      </c>
      <c r="K52" s="1">
        <v>0</v>
      </c>
    </row>
  </sheetData>
  <autoFilter ref="A3:J5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6"/>
  <sheetViews>
    <sheetView topLeftCell="A43" workbookViewId="0">
      <selection activeCell="M58" sqref="M58"/>
    </sheetView>
  </sheetViews>
  <sheetFormatPr defaultRowHeight="13.5" x14ac:dyDescent="0.15"/>
  <cols>
    <col min="1" max="1" width="18.5" customWidth="1"/>
    <col min="2" max="2" width="11.5" customWidth="1"/>
    <col min="3" max="3" width="11.375" customWidth="1"/>
  </cols>
  <sheetData>
    <row r="1" spans="1:15" x14ac:dyDescent="0.15">
      <c r="B1" t="s">
        <v>304</v>
      </c>
      <c r="C1" t="s">
        <v>305</v>
      </c>
      <c r="D1" t="s">
        <v>308</v>
      </c>
      <c r="E1" t="s">
        <v>306</v>
      </c>
      <c r="F1" t="s">
        <v>307</v>
      </c>
      <c r="G1" t="s">
        <v>309</v>
      </c>
    </row>
    <row r="2" spans="1:15" x14ac:dyDescent="0.15">
      <c r="A2" t="s">
        <v>54</v>
      </c>
      <c r="B2">
        <v>28</v>
      </c>
      <c r="C2">
        <v>10</v>
      </c>
      <c r="D2">
        <v>6</v>
      </c>
      <c r="E2">
        <v>10</v>
      </c>
      <c r="F2">
        <v>8</v>
      </c>
      <c r="G2">
        <v>6</v>
      </c>
      <c r="H2">
        <f>B2/(C2-D2)</f>
        <v>7</v>
      </c>
      <c r="L2" t="s">
        <v>310</v>
      </c>
      <c r="O2" t="s">
        <v>311</v>
      </c>
    </row>
    <row r="3" spans="1:15" x14ac:dyDescent="0.15">
      <c r="K3" t="s">
        <v>314</v>
      </c>
      <c r="L3" t="s">
        <v>313</v>
      </c>
      <c r="N3" t="s">
        <v>315</v>
      </c>
      <c r="O3" t="s">
        <v>312</v>
      </c>
    </row>
    <row r="4" spans="1:15" x14ac:dyDescent="0.15">
      <c r="B4">
        <f>B2+E2*50</f>
        <v>528</v>
      </c>
      <c r="C4">
        <f>C2+F2*50</f>
        <v>410</v>
      </c>
      <c r="D4">
        <f>D2+G2*50</f>
        <v>306</v>
      </c>
      <c r="H4">
        <f>B4/(C4-D4)</f>
        <v>5.0769230769230766</v>
      </c>
    </row>
    <row r="6" spans="1:15" x14ac:dyDescent="0.15">
      <c r="A6" t="s">
        <v>56</v>
      </c>
      <c r="B6">
        <v>28</v>
      </c>
      <c r="C6">
        <v>8</v>
      </c>
      <c r="D6">
        <v>6</v>
      </c>
      <c r="E6">
        <v>14</v>
      </c>
      <c r="F6">
        <v>4</v>
      </c>
      <c r="G6">
        <v>2</v>
      </c>
      <c r="H6">
        <f>B6/(C6-D6)</f>
        <v>14</v>
      </c>
    </row>
    <row r="8" spans="1:15" x14ac:dyDescent="0.15">
      <c r="B8">
        <f>B6+E6*50</f>
        <v>728</v>
      </c>
      <c r="C8">
        <f>C6+F6*50</f>
        <v>208</v>
      </c>
      <c r="D8">
        <f>D6+G6*50</f>
        <v>106</v>
      </c>
      <c r="H8">
        <f>B8/(C8-D8)</f>
        <v>7.1372549019607847</v>
      </c>
    </row>
    <row r="10" spans="1:15" x14ac:dyDescent="0.15">
      <c r="A10" t="s">
        <v>55</v>
      </c>
      <c r="B10">
        <v>28</v>
      </c>
      <c r="C10">
        <v>8</v>
      </c>
      <c r="D10">
        <v>6</v>
      </c>
      <c r="E10">
        <v>12</v>
      </c>
      <c r="F10">
        <v>6</v>
      </c>
      <c r="G10">
        <v>4</v>
      </c>
      <c r="H10">
        <f>B10/(C10-D10)</f>
        <v>14</v>
      </c>
    </row>
    <row r="12" spans="1:15" x14ac:dyDescent="0.15">
      <c r="B12">
        <f>B10+E10*50</f>
        <v>628</v>
      </c>
      <c r="C12">
        <f>C10+F10*50</f>
        <v>308</v>
      </c>
      <c r="D12">
        <f>D10+G10*50</f>
        <v>206</v>
      </c>
      <c r="H12">
        <f>B12/(C12-D12)</f>
        <v>6.1568627450980395</v>
      </c>
      <c r="J12" t="s">
        <v>355</v>
      </c>
      <c r="K12" t="s">
        <v>356</v>
      </c>
    </row>
    <row r="13" spans="1:15" x14ac:dyDescent="0.15">
      <c r="J13" t="s">
        <v>357</v>
      </c>
      <c r="K13" t="s">
        <v>358</v>
      </c>
    </row>
    <row r="17" spans="1:16" x14ac:dyDescent="0.15">
      <c r="B17" t="s">
        <v>364</v>
      </c>
      <c r="C17" t="s">
        <v>365</v>
      </c>
      <c r="D17" t="s">
        <v>366</v>
      </c>
      <c r="E17" t="s">
        <v>367</v>
      </c>
      <c r="F17" t="s">
        <v>368</v>
      </c>
      <c r="L17" t="s">
        <v>400</v>
      </c>
      <c r="M17" t="s">
        <v>401</v>
      </c>
      <c r="N17" t="s">
        <v>402</v>
      </c>
      <c r="O17" t="s">
        <v>403</v>
      </c>
      <c r="P17" t="s">
        <v>404</v>
      </c>
    </row>
    <row r="18" spans="1:16" x14ac:dyDescent="0.15">
      <c r="A18" s="3" t="s">
        <v>359</v>
      </c>
      <c r="B18" s="3">
        <v>5</v>
      </c>
      <c r="C18" s="3">
        <v>3</v>
      </c>
      <c r="D18" s="3">
        <v>3</v>
      </c>
      <c r="E18" s="3">
        <v>3</v>
      </c>
      <c r="F18" s="3">
        <v>3</v>
      </c>
      <c r="G18" s="8">
        <f>SUM(B18:F18)</f>
        <v>17</v>
      </c>
      <c r="L18">
        <f>ROUND(B18*8/5,0)</f>
        <v>8</v>
      </c>
      <c r="M18">
        <f t="shared" ref="M18:M21" si="0">ROUND(C18*6/5,0)</f>
        <v>4</v>
      </c>
      <c r="N18">
        <f t="shared" ref="N18:N19" si="1">ROUND(D18*14/5,0)</f>
        <v>8</v>
      </c>
    </row>
    <row r="19" spans="1:16" x14ac:dyDescent="0.15">
      <c r="A19" s="3" t="s">
        <v>360</v>
      </c>
      <c r="B19" s="3">
        <v>4</v>
      </c>
      <c r="C19" s="3">
        <v>3</v>
      </c>
      <c r="D19" s="3">
        <v>3</v>
      </c>
      <c r="E19" s="3">
        <v>5</v>
      </c>
      <c r="F19" s="3">
        <v>2</v>
      </c>
      <c r="G19" s="8">
        <f t="shared" ref="G19:G37" si="2">SUM(B19:F19)</f>
        <v>17</v>
      </c>
      <c r="L19">
        <f t="shared" ref="L19:L22" si="3">ROUND(B19*8/5,0)</f>
        <v>6</v>
      </c>
      <c r="M19">
        <f t="shared" si="0"/>
        <v>4</v>
      </c>
      <c r="N19">
        <f t="shared" si="1"/>
        <v>8</v>
      </c>
    </row>
    <row r="20" spans="1:16" x14ac:dyDescent="0.15">
      <c r="A20" s="3" t="s">
        <v>361</v>
      </c>
      <c r="B20" s="3">
        <v>3</v>
      </c>
      <c r="C20" s="3">
        <v>4</v>
      </c>
      <c r="D20" s="3">
        <v>5</v>
      </c>
      <c r="E20" s="3">
        <v>2</v>
      </c>
      <c r="F20" s="3">
        <v>3</v>
      </c>
      <c r="G20" s="8">
        <f t="shared" si="2"/>
        <v>17</v>
      </c>
      <c r="L20">
        <f t="shared" si="3"/>
        <v>5</v>
      </c>
      <c r="M20">
        <f t="shared" si="0"/>
        <v>5</v>
      </c>
      <c r="N20">
        <f>ROUND(D20*14/5,0)</f>
        <v>14</v>
      </c>
    </row>
    <row r="21" spans="1:16" x14ac:dyDescent="0.15">
      <c r="A21" s="3" t="s">
        <v>362</v>
      </c>
      <c r="B21" s="3">
        <v>4</v>
      </c>
      <c r="C21" s="3">
        <v>3</v>
      </c>
      <c r="D21" s="3">
        <v>4</v>
      </c>
      <c r="E21" s="3">
        <v>2</v>
      </c>
      <c r="F21" s="3">
        <v>4</v>
      </c>
      <c r="G21" s="8">
        <f t="shared" si="2"/>
        <v>17</v>
      </c>
      <c r="L21">
        <f t="shared" si="3"/>
        <v>6</v>
      </c>
      <c r="M21">
        <f t="shared" si="0"/>
        <v>4</v>
      </c>
      <c r="N21">
        <f t="shared" ref="N21:N23" si="4">ROUND(D21*14/5,0)</f>
        <v>11</v>
      </c>
    </row>
    <row r="22" spans="1:16" x14ac:dyDescent="0.15">
      <c r="A22" s="3" t="s">
        <v>363</v>
      </c>
      <c r="B22" s="3">
        <v>2</v>
      </c>
      <c r="C22" s="3">
        <v>5</v>
      </c>
      <c r="D22" s="3">
        <v>5</v>
      </c>
      <c r="E22" s="3">
        <v>2</v>
      </c>
      <c r="F22" s="3">
        <v>3</v>
      </c>
      <c r="G22" s="8">
        <f t="shared" si="2"/>
        <v>17</v>
      </c>
      <c r="L22">
        <f t="shared" si="3"/>
        <v>3</v>
      </c>
      <c r="M22">
        <f>ROUND(C22*6/5,0)</f>
        <v>6</v>
      </c>
      <c r="N22">
        <f t="shared" si="4"/>
        <v>14</v>
      </c>
    </row>
    <row r="23" spans="1:16" x14ac:dyDescent="0.15">
      <c r="A23" s="3" t="s">
        <v>369</v>
      </c>
      <c r="B23" s="3">
        <v>4</v>
      </c>
      <c r="C23" s="3">
        <v>4</v>
      </c>
      <c r="D23" s="3">
        <v>4</v>
      </c>
      <c r="E23" s="3">
        <v>3</v>
      </c>
      <c r="F23" s="3">
        <v>3</v>
      </c>
      <c r="G23" s="8">
        <f t="shared" si="2"/>
        <v>18</v>
      </c>
      <c r="L23">
        <f>ROUND(B23*8/5,0)</f>
        <v>6</v>
      </c>
      <c r="M23">
        <f>ROUND(C23*6/5,0)</f>
        <v>5</v>
      </c>
      <c r="N23">
        <f t="shared" si="4"/>
        <v>11</v>
      </c>
    </row>
    <row r="24" spans="1:16" x14ac:dyDescent="0.15">
      <c r="A24" s="7" t="s">
        <v>388</v>
      </c>
      <c r="B24" s="7">
        <v>4.5</v>
      </c>
      <c r="C24" s="7">
        <v>3</v>
      </c>
      <c r="D24" s="7">
        <v>3</v>
      </c>
      <c r="E24" s="7">
        <v>3</v>
      </c>
      <c r="F24" s="7">
        <v>3</v>
      </c>
      <c r="G24" s="8">
        <f t="shared" si="2"/>
        <v>16.5</v>
      </c>
      <c r="L24">
        <f t="shared" ref="L24:N29" si="5">B39+50*L18</f>
        <v>410</v>
      </c>
      <c r="M24">
        <f t="shared" si="5"/>
        <v>206</v>
      </c>
      <c r="N24">
        <f t="shared" si="5"/>
        <v>428</v>
      </c>
    </row>
    <row r="25" spans="1:16" x14ac:dyDescent="0.15">
      <c r="A25" s="7" t="s">
        <v>389</v>
      </c>
      <c r="B25" s="7">
        <v>4</v>
      </c>
      <c r="C25" s="7">
        <v>3</v>
      </c>
      <c r="D25" s="7">
        <v>3</v>
      </c>
      <c r="E25" s="7">
        <v>4</v>
      </c>
      <c r="F25" s="7">
        <v>2</v>
      </c>
      <c r="G25" s="8">
        <f t="shared" si="2"/>
        <v>16</v>
      </c>
      <c r="L25">
        <f t="shared" si="5"/>
        <v>308</v>
      </c>
      <c r="M25">
        <f t="shared" si="5"/>
        <v>206</v>
      </c>
      <c r="N25">
        <f t="shared" si="5"/>
        <v>428</v>
      </c>
    </row>
    <row r="26" spans="1:16" x14ac:dyDescent="0.15">
      <c r="A26" s="7" t="s">
        <v>390</v>
      </c>
      <c r="B26" s="7">
        <v>3</v>
      </c>
      <c r="C26" s="7">
        <v>3.5</v>
      </c>
      <c r="D26" s="7">
        <v>4.5</v>
      </c>
      <c r="E26" s="7">
        <v>3</v>
      </c>
      <c r="F26" s="7">
        <v>3</v>
      </c>
      <c r="G26" s="8">
        <f t="shared" si="2"/>
        <v>17</v>
      </c>
      <c r="L26">
        <f t="shared" si="5"/>
        <v>256</v>
      </c>
      <c r="M26">
        <f t="shared" si="5"/>
        <v>258</v>
      </c>
      <c r="N26">
        <f t="shared" si="5"/>
        <v>728</v>
      </c>
    </row>
    <row r="27" spans="1:16" x14ac:dyDescent="0.15">
      <c r="A27" s="7" t="s">
        <v>391</v>
      </c>
      <c r="B27" s="7">
        <v>3</v>
      </c>
      <c r="C27" s="7">
        <v>3</v>
      </c>
      <c r="D27" s="7">
        <v>4</v>
      </c>
      <c r="E27" s="7">
        <v>2</v>
      </c>
      <c r="F27" s="7">
        <v>3</v>
      </c>
      <c r="G27" s="8">
        <f t="shared" si="2"/>
        <v>15</v>
      </c>
      <c r="L27">
        <f t="shared" si="5"/>
        <v>308</v>
      </c>
      <c r="M27">
        <f t="shared" si="5"/>
        <v>206</v>
      </c>
      <c r="N27">
        <f t="shared" si="5"/>
        <v>578</v>
      </c>
    </row>
    <row r="28" spans="1:16" x14ac:dyDescent="0.15">
      <c r="A28" s="7" t="s">
        <v>392</v>
      </c>
      <c r="B28" s="7">
        <v>2</v>
      </c>
      <c r="C28" s="7">
        <v>4</v>
      </c>
      <c r="D28" s="7">
        <v>4</v>
      </c>
      <c r="E28" s="7">
        <v>3</v>
      </c>
      <c r="F28" s="7">
        <v>3</v>
      </c>
      <c r="G28" s="8">
        <f t="shared" si="2"/>
        <v>16</v>
      </c>
      <c r="L28">
        <f t="shared" si="5"/>
        <v>154</v>
      </c>
      <c r="M28">
        <f t="shared" si="5"/>
        <v>310</v>
      </c>
      <c r="N28">
        <f t="shared" si="5"/>
        <v>728</v>
      </c>
    </row>
    <row r="29" spans="1:16" x14ac:dyDescent="0.15">
      <c r="A29" s="7" t="s">
        <v>393</v>
      </c>
      <c r="B29" s="7">
        <v>3</v>
      </c>
      <c r="C29" s="7">
        <v>3</v>
      </c>
      <c r="D29" s="7">
        <v>4</v>
      </c>
      <c r="E29" s="7">
        <v>3</v>
      </c>
      <c r="F29" s="7">
        <v>3</v>
      </c>
      <c r="G29" s="8">
        <f t="shared" si="2"/>
        <v>16</v>
      </c>
      <c r="L29">
        <f t="shared" si="5"/>
        <v>308</v>
      </c>
      <c r="M29">
        <f t="shared" si="5"/>
        <v>258</v>
      </c>
      <c r="N29">
        <f t="shared" si="5"/>
        <v>578</v>
      </c>
    </row>
    <row r="30" spans="1:16" x14ac:dyDescent="0.15">
      <c r="A30" s="4" t="s">
        <v>394</v>
      </c>
      <c r="B30" s="4">
        <v>6</v>
      </c>
      <c r="C30" s="4">
        <v>3</v>
      </c>
      <c r="D30" s="4">
        <v>3</v>
      </c>
      <c r="E30" s="4">
        <v>3</v>
      </c>
      <c r="F30" s="4">
        <v>3</v>
      </c>
      <c r="G30" s="8">
        <f t="shared" si="2"/>
        <v>18</v>
      </c>
    </row>
    <row r="31" spans="1:16" x14ac:dyDescent="0.15">
      <c r="A31" s="4" t="s">
        <v>395</v>
      </c>
      <c r="B31" s="4">
        <v>4</v>
      </c>
      <c r="C31" s="4">
        <v>3</v>
      </c>
      <c r="D31" s="4">
        <v>3</v>
      </c>
      <c r="E31" s="4">
        <v>6</v>
      </c>
      <c r="F31" s="4">
        <v>2</v>
      </c>
      <c r="G31" s="8">
        <f t="shared" si="2"/>
        <v>18</v>
      </c>
      <c r="L31">
        <f>ROUND(B24*8/5,0)</f>
        <v>7</v>
      </c>
      <c r="M31">
        <f>ROUND(C24*6/5,0)</f>
        <v>4</v>
      </c>
      <c r="N31">
        <f>ROUND(D24*14/5,0)</f>
        <v>8</v>
      </c>
    </row>
    <row r="32" spans="1:16" x14ac:dyDescent="0.15">
      <c r="A32" s="4" t="s">
        <v>396</v>
      </c>
      <c r="B32" s="4">
        <v>3</v>
      </c>
      <c r="C32" s="4">
        <v>5</v>
      </c>
      <c r="D32" s="4">
        <v>5</v>
      </c>
      <c r="E32" s="4">
        <v>2</v>
      </c>
      <c r="F32" s="4">
        <v>3</v>
      </c>
      <c r="G32" s="8">
        <f t="shared" si="2"/>
        <v>18</v>
      </c>
      <c r="L32">
        <f t="shared" ref="L32:L35" si="6">ROUND(B25*8/5,0)</f>
        <v>6</v>
      </c>
      <c r="M32">
        <f t="shared" ref="M32:M36" si="7">ROUND(C25*6/5,0)</f>
        <v>4</v>
      </c>
      <c r="N32">
        <f t="shared" ref="N32:N36" si="8">ROUND(D25*14/5,0)</f>
        <v>8</v>
      </c>
    </row>
    <row r="33" spans="1:14" x14ac:dyDescent="0.15">
      <c r="A33" s="4" t="s">
        <v>397</v>
      </c>
      <c r="B33" s="4">
        <v>4</v>
      </c>
      <c r="C33" s="4">
        <v>3</v>
      </c>
      <c r="D33" s="4">
        <v>4</v>
      </c>
      <c r="E33" s="4">
        <v>2</v>
      </c>
      <c r="F33" s="4">
        <v>5</v>
      </c>
      <c r="G33" s="8">
        <f t="shared" si="2"/>
        <v>18</v>
      </c>
      <c r="L33">
        <f t="shared" si="6"/>
        <v>5</v>
      </c>
      <c r="M33">
        <f t="shared" si="7"/>
        <v>4</v>
      </c>
      <c r="N33">
        <f t="shared" si="8"/>
        <v>13</v>
      </c>
    </row>
    <row r="34" spans="1:14" x14ac:dyDescent="0.15">
      <c r="A34" s="4" t="s">
        <v>398</v>
      </c>
      <c r="B34" s="4">
        <v>2</v>
      </c>
      <c r="C34" s="4">
        <v>5</v>
      </c>
      <c r="D34" s="4">
        <v>6</v>
      </c>
      <c r="E34" s="4">
        <v>2</v>
      </c>
      <c r="F34" s="4">
        <v>3</v>
      </c>
      <c r="G34" s="8">
        <f t="shared" si="2"/>
        <v>18</v>
      </c>
      <c r="L34">
        <f t="shared" si="6"/>
        <v>5</v>
      </c>
      <c r="M34">
        <f t="shared" si="7"/>
        <v>4</v>
      </c>
      <c r="N34">
        <f t="shared" si="8"/>
        <v>11</v>
      </c>
    </row>
    <row r="35" spans="1:14" x14ac:dyDescent="0.15">
      <c r="A35" s="4" t="s">
        <v>399</v>
      </c>
      <c r="B35" s="4">
        <v>4</v>
      </c>
      <c r="C35" s="4">
        <v>4</v>
      </c>
      <c r="D35" s="4">
        <v>5</v>
      </c>
      <c r="E35" s="4">
        <v>3</v>
      </c>
      <c r="F35" s="4">
        <v>3</v>
      </c>
      <c r="G35" s="8">
        <f t="shared" si="2"/>
        <v>19</v>
      </c>
      <c r="L35">
        <f t="shared" si="6"/>
        <v>3</v>
      </c>
      <c r="M35">
        <f t="shared" si="7"/>
        <v>5</v>
      </c>
      <c r="N35">
        <f t="shared" si="8"/>
        <v>11</v>
      </c>
    </row>
    <row r="36" spans="1:14" x14ac:dyDescent="0.15">
      <c r="A36" s="8"/>
      <c r="B36" s="8"/>
      <c r="C36" s="8"/>
      <c r="D36" s="8"/>
      <c r="E36" s="8"/>
      <c r="F36" s="8"/>
      <c r="G36" s="8"/>
      <c r="L36">
        <f>ROUND(B29*8/5,0)</f>
        <v>5</v>
      </c>
      <c r="M36">
        <f t="shared" si="7"/>
        <v>4</v>
      </c>
      <c r="N36">
        <f t="shared" si="8"/>
        <v>11</v>
      </c>
    </row>
    <row r="37" spans="1:14" x14ac:dyDescent="0.15">
      <c r="A37" s="9" t="s">
        <v>405</v>
      </c>
      <c r="B37" s="9">
        <v>4.5</v>
      </c>
      <c r="C37" s="9">
        <v>4</v>
      </c>
      <c r="D37" s="9">
        <v>4.5</v>
      </c>
      <c r="E37" s="9">
        <v>3</v>
      </c>
      <c r="F37" s="9">
        <v>3</v>
      </c>
      <c r="G37" s="8">
        <f t="shared" si="2"/>
        <v>19</v>
      </c>
      <c r="L37">
        <f t="shared" ref="L37:N42" si="9">B45+50*L31</f>
        <v>359</v>
      </c>
      <c r="M37">
        <f t="shared" si="9"/>
        <v>206</v>
      </c>
      <c r="N37">
        <f t="shared" si="9"/>
        <v>428</v>
      </c>
    </row>
    <row r="38" spans="1:14" x14ac:dyDescent="0.15">
      <c r="L38">
        <f t="shared" si="9"/>
        <v>308</v>
      </c>
      <c r="M38">
        <f t="shared" si="9"/>
        <v>206</v>
      </c>
      <c r="N38">
        <f t="shared" si="9"/>
        <v>428</v>
      </c>
    </row>
    <row r="39" spans="1:14" x14ac:dyDescent="0.15">
      <c r="A39" s="3" t="s">
        <v>359</v>
      </c>
      <c r="B39" s="3">
        <v>10</v>
      </c>
      <c r="C39" s="3">
        <v>6</v>
      </c>
      <c r="D39" s="3">
        <v>28</v>
      </c>
      <c r="E39" s="3">
        <f>E18*12</f>
        <v>36</v>
      </c>
      <c r="F39" s="3">
        <f>F18*12</f>
        <v>36</v>
      </c>
      <c r="G39">
        <f>B39+5</f>
        <v>15</v>
      </c>
      <c r="L39">
        <f t="shared" si="9"/>
        <v>256</v>
      </c>
      <c r="M39">
        <f t="shared" si="9"/>
        <v>207</v>
      </c>
      <c r="N39">
        <f t="shared" si="9"/>
        <v>678</v>
      </c>
    </row>
    <row r="40" spans="1:14" x14ac:dyDescent="0.15">
      <c r="A40" s="3" t="s">
        <v>360</v>
      </c>
      <c r="B40" s="3">
        <v>8</v>
      </c>
      <c r="C40" s="3">
        <v>6</v>
      </c>
      <c r="D40" s="3">
        <v>28</v>
      </c>
      <c r="E40" s="3">
        <f t="shared" ref="E40:F46" si="10">E19*12</f>
        <v>60</v>
      </c>
      <c r="F40" s="3">
        <f t="shared" si="10"/>
        <v>24</v>
      </c>
      <c r="G40">
        <f t="shared" ref="G40:G56" si="11">B40+5</f>
        <v>13</v>
      </c>
      <c r="L40">
        <f t="shared" si="9"/>
        <v>256</v>
      </c>
      <c r="M40">
        <f t="shared" si="9"/>
        <v>206</v>
      </c>
      <c r="N40">
        <f t="shared" si="9"/>
        <v>578</v>
      </c>
    </row>
    <row r="41" spans="1:14" x14ac:dyDescent="0.15">
      <c r="A41" s="3" t="s">
        <v>361</v>
      </c>
      <c r="B41" s="3">
        <v>6</v>
      </c>
      <c r="C41" s="3">
        <v>8</v>
      </c>
      <c r="D41" s="3">
        <v>28</v>
      </c>
      <c r="E41" s="3">
        <f t="shared" si="10"/>
        <v>24</v>
      </c>
      <c r="F41" s="3">
        <f t="shared" si="10"/>
        <v>36</v>
      </c>
      <c r="G41">
        <f t="shared" si="11"/>
        <v>11</v>
      </c>
      <c r="L41">
        <f t="shared" si="9"/>
        <v>154</v>
      </c>
      <c r="M41">
        <f t="shared" si="9"/>
        <v>258</v>
      </c>
      <c r="N41">
        <f t="shared" si="9"/>
        <v>578</v>
      </c>
    </row>
    <row r="42" spans="1:14" x14ac:dyDescent="0.15">
      <c r="A42" s="3" t="s">
        <v>362</v>
      </c>
      <c r="B42" s="3">
        <v>8</v>
      </c>
      <c r="C42" s="3">
        <v>6</v>
      </c>
      <c r="D42" s="3">
        <v>28</v>
      </c>
      <c r="E42" s="3">
        <f t="shared" si="10"/>
        <v>24</v>
      </c>
      <c r="F42" s="3">
        <f t="shared" si="10"/>
        <v>48</v>
      </c>
      <c r="G42">
        <f t="shared" si="11"/>
        <v>13</v>
      </c>
      <c r="L42">
        <f t="shared" si="9"/>
        <v>256</v>
      </c>
      <c r="M42">
        <f t="shared" si="9"/>
        <v>206</v>
      </c>
      <c r="N42">
        <f t="shared" si="9"/>
        <v>578</v>
      </c>
    </row>
    <row r="43" spans="1:14" x14ac:dyDescent="0.15">
      <c r="A43" s="3" t="s">
        <v>363</v>
      </c>
      <c r="B43" s="3">
        <v>4</v>
      </c>
      <c r="C43" s="3">
        <v>10</v>
      </c>
      <c r="D43" s="3">
        <v>28</v>
      </c>
      <c r="E43" s="3">
        <f t="shared" si="10"/>
        <v>24</v>
      </c>
      <c r="F43" s="3">
        <f t="shared" si="10"/>
        <v>36</v>
      </c>
      <c r="G43">
        <f t="shared" si="11"/>
        <v>9</v>
      </c>
    </row>
    <row r="44" spans="1:14" x14ac:dyDescent="0.15">
      <c r="A44" s="3" t="s">
        <v>369</v>
      </c>
      <c r="B44" s="3">
        <v>8</v>
      </c>
      <c r="C44" s="3">
        <v>8</v>
      </c>
      <c r="D44" s="3">
        <v>28</v>
      </c>
      <c r="E44" s="3">
        <f t="shared" si="10"/>
        <v>36</v>
      </c>
      <c r="F44" s="3">
        <f t="shared" si="10"/>
        <v>36</v>
      </c>
      <c r="G44">
        <f t="shared" si="11"/>
        <v>13</v>
      </c>
      <c r="L44">
        <f>ROUND(B30*8/5,0)</f>
        <v>10</v>
      </c>
      <c r="M44">
        <f>ROUND(C30*6/5,0)</f>
        <v>4</v>
      </c>
      <c r="N44">
        <f>ROUND(D30*14/5,0)</f>
        <v>8</v>
      </c>
    </row>
    <row r="45" spans="1:14" x14ac:dyDescent="0.15">
      <c r="A45" s="6" t="s">
        <v>388</v>
      </c>
      <c r="B45" s="6">
        <f t="shared" ref="B45:C50" si="12">B24*2</f>
        <v>9</v>
      </c>
      <c r="C45" s="6">
        <f t="shared" si="12"/>
        <v>6</v>
      </c>
      <c r="D45" s="6">
        <v>28</v>
      </c>
      <c r="E45" s="6">
        <v>36</v>
      </c>
      <c r="F45" s="6">
        <f t="shared" si="10"/>
        <v>36</v>
      </c>
      <c r="G45">
        <f t="shared" si="11"/>
        <v>14</v>
      </c>
      <c r="L45">
        <f>ROUND(B31*8/5,0)</f>
        <v>6</v>
      </c>
      <c r="M45">
        <f t="shared" ref="M45:M49" si="13">ROUND(C31*6/5,0)</f>
        <v>4</v>
      </c>
      <c r="N45">
        <f t="shared" ref="N45:N49" si="14">ROUND(D31*14/5,0)</f>
        <v>8</v>
      </c>
    </row>
    <row r="46" spans="1:14" x14ac:dyDescent="0.15">
      <c r="A46" s="6" t="s">
        <v>389</v>
      </c>
      <c r="B46" s="6">
        <f t="shared" si="12"/>
        <v>8</v>
      </c>
      <c r="C46" s="6">
        <f t="shared" si="12"/>
        <v>6</v>
      </c>
      <c r="D46" s="6">
        <v>28</v>
      </c>
      <c r="E46" s="6">
        <v>48</v>
      </c>
      <c r="F46" s="6">
        <f t="shared" si="10"/>
        <v>24</v>
      </c>
      <c r="G46">
        <f t="shared" si="11"/>
        <v>13</v>
      </c>
      <c r="L46">
        <f t="shared" ref="L46:L49" si="15">ROUND(B32*8/5,0)</f>
        <v>5</v>
      </c>
      <c r="M46">
        <f t="shared" si="13"/>
        <v>6</v>
      </c>
      <c r="N46">
        <f t="shared" si="14"/>
        <v>14</v>
      </c>
    </row>
    <row r="47" spans="1:14" x14ac:dyDescent="0.15">
      <c r="A47" s="6" t="s">
        <v>390</v>
      </c>
      <c r="B47" s="6">
        <f t="shared" si="12"/>
        <v>6</v>
      </c>
      <c r="C47" s="6">
        <f t="shared" si="12"/>
        <v>7</v>
      </c>
      <c r="D47" s="6">
        <v>28</v>
      </c>
      <c r="E47" s="6">
        <v>36</v>
      </c>
      <c r="F47" s="6">
        <f t="shared" ref="F47" si="16">F26*12</f>
        <v>36</v>
      </c>
      <c r="G47">
        <f t="shared" si="11"/>
        <v>11</v>
      </c>
      <c r="L47">
        <f t="shared" si="15"/>
        <v>6</v>
      </c>
      <c r="M47">
        <f t="shared" si="13"/>
        <v>4</v>
      </c>
      <c r="N47">
        <f t="shared" si="14"/>
        <v>11</v>
      </c>
    </row>
    <row r="48" spans="1:14" x14ac:dyDescent="0.15">
      <c r="A48" s="6" t="s">
        <v>391</v>
      </c>
      <c r="B48" s="6">
        <f t="shared" si="12"/>
        <v>6</v>
      </c>
      <c r="C48" s="6">
        <f t="shared" si="12"/>
        <v>6</v>
      </c>
      <c r="D48" s="6">
        <v>28</v>
      </c>
      <c r="E48" s="6">
        <v>24</v>
      </c>
      <c r="F48" s="6">
        <f t="shared" ref="F48" si="17">F27*12</f>
        <v>36</v>
      </c>
      <c r="G48">
        <f t="shared" si="11"/>
        <v>11</v>
      </c>
      <c r="L48">
        <f t="shared" si="15"/>
        <v>3</v>
      </c>
      <c r="M48">
        <f t="shared" si="13"/>
        <v>6</v>
      </c>
      <c r="N48">
        <f t="shared" si="14"/>
        <v>17</v>
      </c>
    </row>
    <row r="49" spans="1:14" x14ac:dyDescent="0.15">
      <c r="A49" s="6" t="s">
        <v>392</v>
      </c>
      <c r="B49" s="6">
        <f t="shared" si="12"/>
        <v>4</v>
      </c>
      <c r="C49" s="6">
        <f t="shared" si="12"/>
        <v>8</v>
      </c>
      <c r="D49" s="6">
        <v>28</v>
      </c>
      <c r="E49" s="6">
        <f t="shared" ref="E49:F50" si="18">E28*12</f>
        <v>36</v>
      </c>
      <c r="F49" s="6">
        <f t="shared" ref="F49" si="19">F28*12</f>
        <v>36</v>
      </c>
      <c r="G49">
        <f t="shared" si="11"/>
        <v>9</v>
      </c>
      <c r="L49">
        <f t="shared" si="15"/>
        <v>6</v>
      </c>
      <c r="M49">
        <f t="shared" si="13"/>
        <v>5</v>
      </c>
      <c r="N49">
        <f t="shared" si="14"/>
        <v>14</v>
      </c>
    </row>
    <row r="50" spans="1:14" x14ac:dyDescent="0.15">
      <c r="A50" s="6" t="s">
        <v>393</v>
      </c>
      <c r="B50" s="6">
        <f t="shared" si="12"/>
        <v>6</v>
      </c>
      <c r="C50" s="6">
        <f t="shared" si="12"/>
        <v>6</v>
      </c>
      <c r="D50" s="6">
        <v>28</v>
      </c>
      <c r="E50" s="6">
        <f t="shared" si="18"/>
        <v>36</v>
      </c>
      <c r="F50" s="6">
        <f t="shared" si="18"/>
        <v>36</v>
      </c>
      <c r="G50">
        <f t="shared" si="11"/>
        <v>11</v>
      </c>
      <c r="L50">
        <f t="shared" ref="L50:N55" si="20">B51+50*L44</f>
        <v>512</v>
      </c>
      <c r="M50">
        <f t="shared" si="20"/>
        <v>206</v>
      </c>
      <c r="N50">
        <f t="shared" si="20"/>
        <v>428</v>
      </c>
    </row>
    <row r="51" spans="1:14" x14ac:dyDescent="0.15">
      <c r="A51" s="4" t="s">
        <v>394</v>
      </c>
      <c r="B51" s="4">
        <f t="shared" ref="B51:C58" si="21">B30*2</f>
        <v>12</v>
      </c>
      <c r="C51" s="4">
        <f t="shared" si="21"/>
        <v>6</v>
      </c>
      <c r="D51" s="4">
        <v>28</v>
      </c>
      <c r="E51" s="4">
        <f>E30*12</f>
        <v>36</v>
      </c>
      <c r="F51" s="4">
        <f>F30*12</f>
        <v>36</v>
      </c>
      <c r="G51">
        <f t="shared" si="11"/>
        <v>17</v>
      </c>
      <c r="L51">
        <f t="shared" si="20"/>
        <v>308</v>
      </c>
      <c r="M51">
        <f t="shared" si="20"/>
        <v>206</v>
      </c>
      <c r="N51">
        <f t="shared" si="20"/>
        <v>428</v>
      </c>
    </row>
    <row r="52" spans="1:14" x14ac:dyDescent="0.15">
      <c r="A52" s="4" t="s">
        <v>395</v>
      </c>
      <c r="B52" s="4">
        <f t="shared" si="21"/>
        <v>8</v>
      </c>
      <c r="C52" s="4">
        <f t="shared" si="21"/>
        <v>6</v>
      </c>
      <c r="D52" s="4">
        <v>28</v>
      </c>
      <c r="E52" s="4">
        <f t="shared" ref="E52:F52" si="22">E31*12</f>
        <v>72</v>
      </c>
      <c r="F52" s="4">
        <f t="shared" si="22"/>
        <v>24</v>
      </c>
      <c r="G52">
        <f t="shared" si="11"/>
        <v>13</v>
      </c>
      <c r="L52">
        <f t="shared" si="20"/>
        <v>256</v>
      </c>
      <c r="M52">
        <f t="shared" si="20"/>
        <v>310</v>
      </c>
      <c r="N52">
        <f t="shared" si="20"/>
        <v>728</v>
      </c>
    </row>
    <row r="53" spans="1:14" x14ac:dyDescent="0.15">
      <c r="A53" s="4" t="s">
        <v>396</v>
      </c>
      <c r="B53" s="4">
        <f t="shared" si="21"/>
        <v>6</v>
      </c>
      <c r="C53" s="4">
        <f t="shared" si="21"/>
        <v>10</v>
      </c>
      <c r="D53" s="4">
        <v>28</v>
      </c>
      <c r="E53" s="4">
        <f t="shared" ref="E53:F53" si="23">E32*12</f>
        <v>24</v>
      </c>
      <c r="F53" s="4">
        <f t="shared" si="23"/>
        <v>36</v>
      </c>
      <c r="G53">
        <f t="shared" si="11"/>
        <v>11</v>
      </c>
      <c r="L53">
        <f t="shared" si="20"/>
        <v>308</v>
      </c>
      <c r="M53">
        <f t="shared" si="20"/>
        <v>206</v>
      </c>
      <c r="N53">
        <f t="shared" si="20"/>
        <v>578</v>
      </c>
    </row>
    <row r="54" spans="1:14" x14ac:dyDescent="0.15">
      <c r="A54" s="4" t="s">
        <v>397</v>
      </c>
      <c r="B54" s="4">
        <f t="shared" si="21"/>
        <v>8</v>
      </c>
      <c r="C54" s="4">
        <f t="shared" si="21"/>
        <v>6</v>
      </c>
      <c r="D54" s="4">
        <v>28</v>
      </c>
      <c r="E54" s="4">
        <f t="shared" ref="E54:F54" si="24">E33*12</f>
        <v>24</v>
      </c>
      <c r="F54" s="4">
        <f t="shared" si="24"/>
        <v>60</v>
      </c>
      <c r="G54">
        <f t="shared" si="11"/>
        <v>13</v>
      </c>
      <c r="L54">
        <f t="shared" si="20"/>
        <v>154</v>
      </c>
      <c r="M54">
        <f t="shared" si="20"/>
        <v>310</v>
      </c>
      <c r="N54">
        <f t="shared" si="20"/>
        <v>878</v>
      </c>
    </row>
    <row r="55" spans="1:14" x14ac:dyDescent="0.15">
      <c r="A55" s="4" t="s">
        <v>398</v>
      </c>
      <c r="B55" s="4">
        <f t="shared" si="21"/>
        <v>4</v>
      </c>
      <c r="C55" s="4">
        <f t="shared" si="21"/>
        <v>10</v>
      </c>
      <c r="D55" s="4">
        <v>28</v>
      </c>
      <c r="E55" s="4">
        <f t="shared" ref="E55:F55" si="25">E34*12</f>
        <v>24</v>
      </c>
      <c r="F55" s="4">
        <f t="shared" si="25"/>
        <v>36</v>
      </c>
      <c r="G55">
        <f t="shared" si="11"/>
        <v>9</v>
      </c>
      <c r="L55">
        <f t="shared" si="20"/>
        <v>308</v>
      </c>
      <c r="M55">
        <f t="shared" si="20"/>
        <v>258</v>
      </c>
      <c r="N55">
        <f t="shared" si="20"/>
        <v>728</v>
      </c>
    </row>
    <row r="56" spans="1:14" x14ac:dyDescent="0.15">
      <c r="A56" s="4" t="s">
        <v>399</v>
      </c>
      <c r="B56" s="4">
        <f t="shared" si="21"/>
        <v>8</v>
      </c>
      <c r="C56" s="4">
        <f t="shared" si="21"/>
        <v>8</v>
      </c>
      <c r="D56" s="4">
        <v>28</v>
      </c>
      <c r="E56" s="4">
        <f t="shared" ref="E56:F58" si="26">E35*12</f>
        <v>36</v>
      </c>
      <c r="F56" s="4">
        <f t="shared" si="26"/>
        <v>36</v>
      </c>
      <c r="G56">
        <f t="shared" si="11"/>
        <v>13</v>
      </c>
    </row>
    <row r="57" spans="1:14" x14ac:dyDescent="0.15">
      <c r="L57">
        <f>ROUND(B37*8/5,0)</f>
        <v>7</v>
      </c>
      <c r="M57">
        <f>ROUND(C37*6/5,0)</f>
        <v>5</v>
      </c>
      <c r="N57">
        <f>ROUND(D37*14/5,0)</f>
        <v>13</v>
      </c>
    </row>
    <row r="58" spans="1:14" x14ac:dyDescent="0.15">
      <c r="A58" s="9" t="s">
        <v>405</v>
      </c>
      <c r="B58" s="5">
        <v>14</v>
      </c>
      <c r="C58" s="5">
        <f t="shared" si="21"/>
        <v>8</v>
      </c>
      <c r="D58" s="5">
        <v>28</v>
      </c>
      <c r="E58" s="5">
        <f t="shared" si="26"/>
        <v>36</v>
      </c>
      <c r="F58" s="5">
        <f t="shared" si="26"/>
        <v>36</v>
      </c>
      <c r="L58">
        <f>B58+50*L57</f>
        <v>364</v>
      </c>
      <c r="M58">
        <f>C58+50*M57</f>
        <v>258</v>
      </c>
      <c r="N58">
        <f>D58+50*N57</f>
        <v>678</v>
      </c>
    </row>
    <row r="62" spans="1:14" x14ac:dyDescent="0.15">
      <c r="E62">
        <v>150</v>
      </c>
      <c r="I62">
        <v>15</v>
      </c>
      <c r="K62">
        <v>0.4</v>
      </c>
      <c r="L62">
        <v>0.4</v>
      </c>
    </row>
    <row r="63" spans="1:14" x14ac:dyDescent="0.15">
      <c r="D63">
        <v>1</v>
      </c>
      <c r="E63">
        <f>E62+G63</f>
        <v>150</v>
      </c>
      <c r="F63">
        <v>0</v>
      </c>
      <c r="G63">
        <f>G62+F63</f>
        <v>0</v>
      </c>
      <c r="I63">
        <f>$I$62+17*(D63-1)</f>
        <v>15</v>
      </c>
      <c r="J63">
        <f>INT(E63/I63)</f>
        <v>10</v>
      </c>
      <c r="K63">
        <v>0.4</v>
      </c>
      <c r="L63">
        <f>$L$62-D63*(0.2/50)</f>
        <v>0.39600000000000002</v>
      </c>
      <c r="M63">
        <f>J63*L63</f>
        <v>3.96</v>
      </c>
    </row>
    <row r="64" spans="1:14" x14ac:dyDescent="0.15">
      <c r="D64">
        <v>2</v>
      </c>
      <c r="E64">
        <f t="shared" ref="E64:E112" si="27">E63+G64</f>
        <v>238</v>
      </c>
      <c r="F64">
        <v>88</v>
      </c>
      <c r="G64">
        <f t="shared" ref="G64:G112" si="28">G63+F64</f>
        <v>88</v>
      </c>
      <c r="I64">
        <f t="shared" ref="I64:I112" si="29">$I$62+17*(D64-1)</f>
        <v>32</v>
      </c>
      <c r="J64">
        <f t="shared" ref="J64:J112" si="30">INT(E64/I64)</f>
        <v>7</v>
      </c>
      <c r="K64">
        <v>0.4</v>
      </c>
      <c r="L64">
        <f t="shared" ref="L64:L112" si="31">$L$62-D64*(0.2/50)</f>
        <v>0.39200000000000002</v>
      </c>
      <c r="M64">
        <f t="shared" ref="M64:M112" si="32">J64*L64</f>
        <v>2.7440000000000002</v>
      </c>
    </row>
    <row r="65" spans="1:15" x14ac:dyDescent="0.15">
      <c r="A65" s="1" t="s">
        <v>370</v>
      </c>
      <c r="B65" t="s">
        <v>379</v>
      </c>
      <c r="D65">
        <v>3</v>
      </c>
      <c r="E65">
        <f t="shared" si="27"/>
        <v>414</v>
      </c>
      <c r="F65">
        <v>88</v>
      </c>
      <c r="G65">
        <f t="shared" si="28"/>
        <v>176</v>
      </c>
      <c r="I65">
        <f t="shared" si="29"/>
        <v>49</v>
      </c>
      <c r="J65">
        <f t="shared" si="30"/>
        <v>8</v>
      </c>
      <c r="K65">
        <v>0.4</v>
      </c>
      <c r="L65">
        <f t="shared" si="31"/>
        <v>0.38800000000000001</v>
      </c>
      <c r="M65">
        <f t="shared" si="32"/>
        <v>3.1040000000000001</v>
      </c>
      <c r="N65">
        <v>20</v>
      </c>
      <c r="O65">
        <v>40</v>
      </c>
    </row>
    <row r="66" spans="1:15" x14ac:dyDescent="0.15">
      <c r="A66" s="1" t="s">
        <v>371</v>
      </c>
      <c r="B66" t="s">
        <v>380</v>
      </c>
      <c r="D66">
        <v>4</v>
      </c>
      <c r="E66">
        <f t="shared" si="27"/>
        <v>678</v>
      </c>
      <c r="F66">
        <v>88</v>
      </c>
      <c r="G66">
        <f t="shared" si="28"/>
        <v>264</v>
      </c>
      <c r="I66">
        <f t="shared" si="29"/>
        <v>66</v>
      </c>
      <c r="J66">
        <f t="shared" si="30"/>
        <v>10</v>
      </c>
      <c r="K66">
        <v>0.4</v>
      </c>
      <c r="L66">
        <f t="shared" si="31"/>
        <v>0.38400000000000001</v>
      </c>
      <c r="M66">
        <f t="shared" si="32"/>
        <v>3.84</v>
      </c>
    </row>
    <row r="67" spans="1:15" x14ac:dyDescent="0.15">
      <c r="A67" s="1" t="s">
        <v>372</v>
      </c>
      <c r="B67" t="s">
        <v>381</v>
      </c>
      <c r="D67">
        <v>5</v>
      </c>
      <c r="E67">
        <f t="shared" si="27"/>
        <v>1030</v>
      </c>
      <c r="F67">
        <v>88</v>
      </c>
      <c r="G67">
        <f t="shared" si="28"/>
        <v>352</v>
      </c>
      <c r="I67">
        <f t="shared" si="29"/>
        <v>83</v>
      </c>
      <c r="J67">
        <f t="shared" si="30"/>
        <v>12</v>
      </c>
      <c r="K67">
        <v>0.4</v>
      </c>
      <c r="L67">
        <f t="shared" si="31"/>
        <v>0.38</v>
      </c>
      <c r="M67">
        <f t="shared" si="32"/>
        <v>4.5600000000000005</v>
      </c>
    </row>
    <row r="68" spans="1:15" x14ac:dyDescent="0.15">
      <c r="A68" s="1" t="s">
        <v>373</v>
      </c>
      <c r="B68" t="s">
        <v>382</v>
      </c>
      <c r="D68">
        <v>6</v>
      </c>
      <c r="E68">
        <f t="shared" si="27"/>
        <v>1470</v>
      </c>
      <c r="F68">
        <v>88</v>
      </c>
      <c r="G68">
        <f t="shared" si="28"/>
        <v>440</v>
      </c>
      <c r="I68">
        <f t="shared" si="29"/>
        <v>100</v>
      </c>
      <c r="J68">
        <f t="shared" si="30"/>
        <v>14</v>
      </c>
      <c r="K68">
        <v>0.4</v>
      </c>
      <c r="L68">
        <f t="shared" si="31"/>
        <v>0.376</v>
      </c>
      <c r="M68">
        <f t="shared" si="32"/>
        <v>5.2640000000000002</v>
      </c>
    </row>
    <row r="69" spans="1:15" x14ac:dyDescent="0.15">
      <c r="A69" s="1" t="s">
        <v>374</v>
      </c>
      <c r="B69" t="s">
        <v>383</v>
      </c>
      <c r="D69">
        <v>7</v>
      </c>
      <c r="E69">
        <f t="shared" si="27"/>
        <v>1998</v>
      </c>
      <c r="F69">
        <v>88</v>
      </c>
      <c r="G69">
        <f t="shared" si="28"/>
        <v>528</v>
      </c>
      <c r="I69">
        <f t="shared" si="29"/>
        <v>117</v>
      </c>
      <c r="J69">
        <f t="shared" si="30"/>
        <v>17</v>
      </c>
      <c r="K69">
        <v>0.4</v>
      </c>
      <c r="L69">
        <f t="shared" si="31"/>
        <v>0.372</v>
      </c>
      <c r="M69">
        <f t="shared" si="32"/>
        <v>6.3239999999999998</v>
      </c>
    </row>
    <row r="70" spans="1:15" x14ac:dyDescent="0.15">
      <c r="A70" s="1" t="s">
        <v>375</v>
      </c>
      <c r="B70" t="s">
        <v>387</v>
      </c>
      <c r="D70">
        <v>8</v>
      </c>
      <c r="E70">
        <f t="shared" si="27"/>
        <v>2614</v>
      </c>
      <c r="F70">
        <v>88</v>
      </c>
      <c r="G70">
        <f t="shared" si="28"/>
        <v>616</v>
      </c>
      <c r="I70">
        <f t="shared" si="29"/>
        <v>134</v>
      </c>
      <c r="J70">
        <f t="shared" si="30"/>
        <v>19</v>
      </c>
      <c r="K70">
        <v>0.4</v>
      </c>
      <c r="L70">
        <f t="shared" si="31"/>
        <v>0.36799999999999999</v>
      </c>
      <c r="M70">
        <f t="shared" si="32"/>
        <v>6.992</v>
      </c>
    </row>
    <row r="71" spans="1:15" x14ac:dyDescent="0.15">
      <c r="A71" s="1" t="s">
        <v>376</v>
      </c>
      <c r="B71" t="s">
        <v>386</v>
      </c>
      <c r="D71">
        <v>9</v>
      </c>
      <c r="E71">
        <f t="shared" si="27"/>
        <v>3318</v>
      </c>
      <c r="F71">
        <v>88</v>
      </c>
      <c r="G71">
        <f t="shared" si="28"/>
        <v>704</v>
      </c>
      <c r="I71">
        <f t="shared" si="29"/>
        <v>151</v>
      </c>
      <c r="J71">
        <f t="shared" si="30"/>
        <v>21</v>
      </c>
      <c r="K71">
        <v>0.4</v>
      </c>
      <c r="L71">
        <f t="shared" si="31"/>
        <v>0.36399999999999999</v>
      </c>
      <c r="M71">
        <f t="shared" si="32"/>
        <v>7.6440000000000001</v>
      </c>
    </row>
    <row r="72" spans="1:15" x14ac:dyDescent="0.15">
      <c r="A72" s="1" t="s">
        <v>377</v>
      </c>
      <c r="B72" t="s">
        <v>385</v>
      </c>
      <c r="D72">
        <v>10</v>
      </c>
      <c r="E72">
        <f t="shared" si="27"/>
        <v>4110</v>
      </c>
      <c r="F72">
        <v>88</v>
      </c>
      <c r="G72">
        <f t="shared" si="28"/>
        <v>792</v>
      </c>
      <c r="I72">
        <f t="shared" si="29"/>
        <v>168</v>
      </c>
      <c r="J72">
        <f t="shared" si="30"/>
        <v>24</v>
      </c>
      <c r="K72">
        <v>0.4</v>
      </c>
      <c r="L72">
        <f t="shared" si="31"/>
        <v>0.36000000000000004</v>
      </c>
      <c r="M72">
        <f t="shared" si="32"/>
        <v>8.64</v>
      </c>
    </row>
    <row r="73" spans="1:15" x14ac:dyDescent="0.15">
      <c r="A73" s="1" t="s">
        <v>378</v>
      </c>
      <c r="B73" t="s">
        <v>384</v>
      </c>
      <c r="D73">
        <v>11</v>
      </c>
      <c r="E73">
        <f t="shared" si="27"/>
        <v>4990</v>
      </c>
      <c r="F73">
        <v>88</v>
      </c>
      <c r="G73">
        <f t="shared" si="28"/>
        <v>880</v>
      </c>
      <c r="I73">
        <f t="shared" si="29"/>
        <v>185</v>
      </c>
      <c r="J73">
        <f t="shared" si="30"/>
        <v>26</v>
      </c>
      <c r="K73">
        <v>0.4</v>
      </c>
      <c r="L73">
        <f t="shared" si="31"/>
        <v>0.35600000000000004</v>
      </c>
      <c r="M73">
        <f t="shared" si="32"/>
        <v>9.2560000000000002</v>
      </c>
    </row>
    <row r="74" spans="1:15" x14ac:dyDescent="0.15">
      <c r="D74">
        <v>12</v>
      </c>
      <c r="E74">
        <f t="shared" si="27"/>
        <v>5958</v>
      </c>
      <c r="F74">
        <v>88</v>
      </c>
      <c r="G74">
        <f t="shared" si="28"/>
        <v>968</v>
      </c>
      <c r="I74">
        <f t="shared" si="29"/>
        <v>202</v>
      </c>
      <c r="J74">
        <f t="shared" si="30"/>
        <v>29</v>
      </c>
      <c r="K74">
        <v>0.4</v>
      </c>
      <c r="L74">
        <f t="shared" si="31"/>
        <v>0.35200000000000004</v>
      </c>
      <c r="M74">
        <f t="shared" si="32"/>
        <v>10.208</v>
      </c>
    </row>
    <row r="75" spans="1:15" x14ac:dyDescent="0.15">
      <c r="D75">
        <v>13</v>
      </c>
      <c r="E75">
        <f t="shared" si="27"/>
        <v>7014</v>
      </c>
      <c r="F75">
        <v>88</v>
      </c>
      <c r="G75">
        <f t="shared" si="28"/>
        <v>1056</v>
      </c>
      <c r="I75">
        <f t="shared" si="29"/>
        <v>219</v>
      </c>
      <c r="J75">
        <f t="shared" si="30"/>
        <v>32</v>
      </c>
      <c r="K75">
        <v>0.4</v>
      </c>
      <c r="L75">
        <f t="shared" si="31"/>
        <v>0.34800000000000003</v>
      </c>
      <c r="M75">
        <f t="shared" si="32"/>
        <v>11.136000000000001</v>
      </c>
    </row>
    <row r="76" spans="1:15" x14ac:dyDescent="0.15">
      <c r="A76">
        <v>100</v>
      </c>
      <c r="B76">
        <f>A76+10*50</f>
        <v>600</v>
      </c>
      <c r="D76">
        <v>14</v>
      </c>
      <c r="E76">
        <f t="shared" si="27"/>
        <v>8158</v>
      </c>
      <c r="F76">
        <v>88</v>
      </c>
      <c r="G76">
        <f t="shared" si="28"/>
        <v>1144</v>
      </c>
      <c r="I76">
        <f t="shared" si="29"/>
        <v>236</v>
      </c>
      <c r="J76">
        <f t="shared" si="30"/>
        <v>34</v>
      </c>
      <c r="K76">
        <v>0.4</v>
      </c>
      <c r="L76">
        <f t="shared" si="31"/>
        <v>0.34400000000000003</v>
      </c>
      <c r="M76">
        <f t="shared" si="32"/>
        <v>11.696000000000002</v>
      </c>
    </row>
    <row r="77" spans="1:15" x14ac:dyDescent="0.15">
      <c r="D77">
        <v>15</v>
      </c>
      <c r="E77">
        <f t="shared" si="27"/>
        <v>9390</v>
      </c>
      <c r="F77">
        <v>88</v>
      </c>
      <c r="G77">
        <f t="shared" si="28"/>
        <v>1232</v>
      </c>
      <c r="I77">
        <f t="shared" si="29"/>
        <v>253</v>
      </c>
      <c r="J77">
        <f t="shared" si="30"/>
        <v>37</v>
      </c>
      <c r="K77">
        <v>0.4</v>
      </c>
      <c r="L77">
        <f t="shared" si="31"/>
        <v>0.34</v>
      </c>
      <c r="M77">
        <f t="shared" si="32"/>
        <v>12.58</v>
      </c>
    </row>
    <row r="78" spans="1:15" x14ac:dyDescent="0.15">
      <c r="D78">
        <v>16</v>
      </c>
      <c r="E78">
        <f t="shared" si="27"/>
        <v>10710</v>
      </c>
      <c r="F78">
        <v>88</v>
      </c>
      <c r="G78">
        <f t="shared" si="28"/>
        <v>1320</v>
      </c>
      <c r="I78">
        <f t="shared" si="29"/>
        <v>270</v>
      </c>
      <c r="J78">
        <f t="shared" si="30"/>
        <v>39</v>
      </c>
      <c r="K78">
        <v>0.4</v>
      </c>
      <c r="L78">
        <f t="shared" si="31"/>
        <v>0.33600000000000002</v>
      </c>
      <c r="M78">
        <f t="shared" si="32"/>
        <v>13.104000000000001</v>
      </c>
    </row>
    <row r="79" spans="1:15" x14ac:dyDescent="0.15">
      <c r="D79">
        <v>17</v>
      </c>
      <c r="E79">
        <f t="shared" si="27"/>
        <v>12118</v>
      </c>
      <c r="F79">
        <v>88</v>
      </c>
      <c r="G79">
        <f t="shared" si="28"/>
        <v>1408</v>
      </c>
      <c r="I79">
        <f t="shared" si="29"/>
        <v>287</v>
      </c>
      <c r="J79">
        <f t="shared" si="30"/>
        <v>42</v>
      </c>
      <c r="K79">
        <v>0.4</v>
      </c>
      <c r="L79">
        <f t="shared" si="31"/>
        <v>0.33200000000000002</v>
      </c>
      <c r="M79">
        <f t="shared" si="32"/>
        <v>13.944000000000001</v>
      </c>
    </row>
    <row r="80" spans="1:15" x14ac:dyDescent="0.15">
      <c r="D80">
        <v>18</v>
      </c>
      <c r="E80">
        <f t="shared" si="27"/>
        <v>13614</v>
      </c>
      <c r="F80">
        <v>88</v>
      </c>
      <c r="G80">
        <f t="shared" si="28"/>
        <v>1496</v>
      </c>
      <c r="I80">
        <f t="shared" si="29"/>
        <v>304</v>
      </c>
      <c r="J80">
        <f t="shared" si="30"/>
        <v>44</v>
      </c>
      <c r="K80">
        <v>0.4</v>
      </c>
      <c r="L80">
        <f t="shared" si="31"/>
        <v>0.32800000000000001</v>
      </c>
      <c r="M80">
        <f t="shared" si="32"/>
        <v>14.432</v>
      </c>
    </row>
    <row r="81" spans="4:13" x14ac:dyDescent="0.15">
      <c r="D81">
        <v>19</v>
      </c>
      <c r="E81">
        <f t="shared" si="27"/>
        <v>15198</v>
      </c>
      <c r="F81">
        <v>88</v>
      </c>
      <c r="G81">
        <f t="shared" si="28"/>
        <v>1584</v>
      </c>
      <c r="I81">
        <f t="shared" si="29"/>
        <v>321</v>
      </c>
      <c r="J81">
        <f t="shared" si="30"/>
        <v>47</v>
      </c>
      <c r="K81">
        <v>0.4</v>
      </c>
      <c r="L81">
        <f t="shared" si="31"/>
        <v>0.32400000000000001</v>
      </c>
      <c r="M81">
        <f t="shared" si="32"/>
        <v>15.228</v>
      </c>
    </row>
    <row r="82" spans="4:13" x14ac:dyDescent="0.15">
      <c r="D82">
        <v>20</v>
      </c>
      <c r="E82">
        <f t="shared" si="27"/>
        <v>16870</v>
      </c>
      <c r="F82">
        <v>88</v>
      </c>
      <c r="G82">
        <f t="shared" si="28"/>
        <v>1672</v>
      </c>
      <c r="I82">
        <f t="shared" si="29"/>
        <v>338</v>
      </c>
      <c r="J82">
        <f t="shared" si="30"/>
        <v>49</v>
      </c>
      <c r="K82">
        <v>0.4</v>
      </c>
      <c r="L82">
        <f t="shared" si="31"/>
        <v>0.32</v>
      </c>
      <c r="M82">
        <f t="shared" si="32"/>
        <v>15.68</v>
      </c>
    </row>
    <row r="83" spans="4:13" x14ac:dyDescent="0.15">
      <c r="D83">
        <v>21</v>
      </c>
      <c r="E83">
        <f t="shared" si="27"/>
        <v>18630</v>
      </c>
      <c r="F83">
        <v>88</v>
      </c>
      <c r="G83">
        <f t="shared" si="28"/>
        <v>1760</v>
      </c>
      <c r="I83">
        <f t="shared" si="29"/>
        <v>355</v>
      </c>
      <c r="J83">
        <f t="shared" si="30"/>
        <v>52</v>
      </c>
      <c r="K83">
        <v>0.4</v>
      </c>
      <c r="L83">
        <f t="shared" si="31"/>
        <v>0.316</v>
      </c>
      <c r="M83">
        <f t="shared" si="32"/>
        <v>16.431999999999999</v>
      </c>
    </row>
    <row r="84" spans="4:13" x14ac:dyDescent="0.15">
      <c r="D84">
        <v>22</v>
      </c>
      <c r="E84">
        <f t="shared" si="27"/>
        <v>20478</v>
      </c>
      <c r="F84">
        <v>88</v>
      </c>
      <c r="G84">
        <f t="shared" si="28"/>
        <v>1848</v>
      </c>
      <c r="I84">
        <f t="shared" si="29"/>
        <v>372</v>
      </c>
      <c r="J84">
        <f t="shared" si="30"/>
        <v>55</v>
      </c>
      <c r="K84">
        <v>0.4</v>
      </c>
      <c r="L84">
        <f t="shared" si="31"/>
        <v>0.31200000000000006</v>
      </c>
      <c r="M84">
        <f t="shared" si="32"/>
        <v>17.160000000000004</v>
      </c>
    </row>
    <row r="85" spans="4:13" x14ac:dyDescent="0.15">
      <c r="D85">
        <v>23</v>
      </c>
      <c r="E85">
        <f t="shared" si="27"/>
        <v>22414</v>
      </c>
      <c r="F85">
        <v>88</v>
      </c>
      <c r="G85">
        <f t="shared" si="28"/>
        <v>1936</v>
      </c>
      <c r="I85">
        <f t="shared" si="29"/>
        <v>389</v>
      </c>
      <c r="J85">
        <f t="shared" si="30"/>
        <v>57</v>
      </c>
      <c r="K85">
        <v>0.4</v>
      </c>
      <c r="L85">
        <f t="shared" si="31"/>
        <v>0.30800000000000005</v>
      </c>
      <c r="M85">
        <f t="shared" si="32"/>
        <v>17.556000000000004</v>
      </c>
    </row>
    <row r="86" spans="4:13" x14ac:dyDescent="0.15">
      <c r="D86">
        <v>24</v>
      </c>
      <c r="E86">
        <f t="shared" si="27"/>
        <v>24438</v>
      </c>
      <c r="F86">
        <v>88</v>
      </c>
      <c r="G86">
        <f t="shared" si="28"/>
        <v>2024</v>
      </c>
      <c r="I86">
        <f t="shared" si="29"/>
        <v>406</v>
      </c>
      <c r="J86">
        <f t="shared" si="30"/>
        <v>60</v>
      </c>
      <c r="K86">
        <v>0.4</v>
      </c>
      <c r="L86">
        <f t="shared" si="31"/>
        <v>0.30400000000000005</v>
      </c>
      <c r="M86">
        <f t="shared" si="32"/>
        <v>18.240000000000002</v>
      </c>
    </row>
    <row r="87" spans="4:13" x14ac:dyDescent="0.15">
      <c r="D87">
        <v>25</v>
      </c>
      <c r="E87">
        <f t="shared" si="27"/>
        <v>26550</v>
      </c>
      <c r="F87">
        <v>88</v>
      </c>
      <c r="G87">
        <f t="shared" si="28"/>
        <v>2112</v>
      </c>
      <c r="I87">
        <f t="shared" si="29"/>
        <v>423</v>
      </c>
      <c r="J87">
        <f t="shared" si="30"/>
        <v>62</v>
      </c>
      <c r="K87">
        <v>0.4</v>
      </c>
      <c r="L87">
        <f t="shared" si="31"/>
        <v>0.30000000000000004</v>
      </c>
      <c r="M87">
        <f t="shared" si="32"/>
        <v>18.600000000000001</v>
      </c>
    </row>
    <row r="88" spans="4:13" x14ac:dyDescent="0.15">
      <c r="D88">
        <v>26</v>
      </c>
      <c r="E88">
        <f t="shared" si="27"/>
        <v>28750</v>
      </c>
      <c r="F88">
        <v>88</v>
      </c>
      <c r="G88">
        <f t="shared" si="28"/>
        <v>2200</v>
      </c>
      <c r="I88">
        <f t="shared" si="29"/>
        <v>440</v>
      </c>
      <c r="J88">
        <f t="shared" si="30"/>
        <v>65</v>
      </c>
      <c r="K88">
        <v>0.4</v>
      </c>
      <c r="L88">
        <f t="shared" si="31"/>
        <v>0.29600000000000004</v>
      </c>
      <c r="M88">
        <f t="shared" si="32"/>
        <v>19.240000000000002</v>
      </c>
    </row>
    <row r="89" spans="4:13" x14ac:dyDescent="0.15">
      <c r="D89">
        <v>27</v>
      </c>
      <c r="E89">
        <f t="shared" si="27"/>
        <v>31038</v>
      </c>
      <c r="F89">
        <v>88</v>
      </c>
      <c r="G89">
        <f t="shared" si="28"/>
        <v>2288</v>
      </c>
      <c r="I89">
        <f t="shared" si="29"/>
        <v>457</v>
      </c>
      <c r="J89">
        <f t="shared" si="30"/>
        <v>67</v>
      </c>
      <c r="K89">
        <v>0.4</v>
      </c>
      <c r="L89">
        <f t="shared" si="31"/>
        <v>0.29200000000000004</v>
      </c>
      <c r="M89">
        <f t="shared" si="32"/>
        <v>19.564000000000004</v>
      </c>
    </row>
    <row r="90" spans="4:13" x14ac:dyDescent="0.15">
      <c r="D90">
        <v>28</v>
      </c>
      <c r="E90">
        <f t="shared" si="27"/>
        <v>33414</v>
      </c>
      <c r="F90">
        <v>88</v>
      </c>
      <c r="G90">
        <f t="shared" si="28"/>
        <v>2376</v>
      </c>
      <c r="I90">
        <f t="shared" si="29"/>
        <v>474</v>
      </c>
      <c r="J90">
        <f t="shared" si="30"/>
        <v>70</v>
      </c>
      <c r="K90">
        <v>0.4</v>
      </c>
      <c r="L90">
        <f t="shared" si="31"/>
        <v>0.28800000000000003</v>
      </c>
      <c r="M90">
        <f t="shared" si="32"/>
        <v>20.160000000000004</v>
      </c>
    </row>
    <row r="91" spans="4:13" x14ac:dyDescent="0.15">
      <c r="D91">
        <v>29</v>
      </c>
      <c r="E91">
        <f t="shared" si="27"/>
        <v>35878</v>
      </c>
      <c r="F91">
        <v>88</v>
      </c>
      <c r="G91">
        <f t="shared" si="28"/>
        <v>2464</v>
      </c>
      <c r="I91">
        <f t="shared" si="29"/>
        <v>491</v>
      </c>
      <c r="J91">
        <f t="shared" si="30"/>
        <v>73</v>
      </c>
      <c r="K91">
        <v>0.4</v>
      </c>
      <c r="L91">
        <f t="shared" si="31"/>
        <v>0.28400000000000003</v>
      </c>
      <c r="M91">
        <f t="shared" si="32"/>
        <v>20.732000000000003</v>
      </c>
    </row>
    <row r="92" spans="4:13" x14ac:dyDescent="0.15">
      <c r="D92">
        <v>30</v>
      </c>
      <c r="E92">
        <f t="shared" si="27"/>
        <v>38430</v>
      </c>
      <c r="F92">
        <v>88</v>
      </c>
      <c r="G92">
        <f t="shared" si="28"/>
        <v>2552</v>
      </c>
      <c r="I92">
        <f t="shared" si="29"/>
        <v>508</v>
      </c>
      <c r="J92">
        <f t="shared" si="30"/>
        <v>75</v>
      </c>
      <c r="K92">
        <v>0.4</v>
      </c>
      <c r="L92">
        <f t="shared" si="31"/>
        <v>0.28000000000000003</v>
      </c>
      <c r="M92">
        <f t="shared" si="32"/>
        <v>21.000000000000004</v>
      </c>
    </row>
    <row r="93" spans="4:13" x14ac:dyDescent="0.15">
      <c r="D93">
        <v>31</v>
      </c>
      <c r="E93">
        <f t="shared" si="27"/>
        <v>41070</v>
      </c>
      <c r="F93">
        <v>88</v>
      </c>
      <c r="G93">
        <f t="shared" si="28"/>
        <v>2640</v>
      </c>
      <c r="I93">
        <f t="shared" si="29"/>
        <v>525</v>
      </c>
      <c r="J93">
        <f t="shared" si="30"/>
        <v>78</v>
      </c>
      <c r="K93">
        <v>0.4</v>
      </c>
      <c r="L93">
        <f t="shared" si="31"/>
        <v>0.27600000000000002</v>
      </c>
      <c r="M93">
        <f t="shared" si="32"/>
        <v>21.528000000000002</v>
      </c>
    </row>
    <row r="94" spans="4:13" x14ac:dyDescent="0.15">
      <c r="D94">
        <v>32</v>
      </c>
      <c r="E94">
        <f t="shared" si="27"/>
        <v>43798</v>
      </c>
      <c r="F94">
        <v>88</v>
      </c>
      <c r="G94">
        <f t="shared" si="28"/>
        <v>2728</v>
      </c>
      <c r="I94">
        <f t="shared" si="29"/>
        <v>542</v>
      </c>
      <c r="J94">
        <f t="shared" si="30"/>
        <v>80</v>
      </c>
      <c r="K94">
        <v>0.4</v>
      </c>
      <c r="L94">
        <f t="shared" si="31"/>
        <v>0.27200000000000002</v>
      </c>
      <c r="M94">
        <f t="shared" si="32"/>
        <v>21.76</v>
      </c>
    </row>
    <row r="95" spans="4:13" x14ac:dyDescent="0.15">
      <c r="D95">
        <v>33</v>
      </c>
      <c r="E95">
        <f t="shared" si="27"/>
        <v>46614</v>
      </c>
      <c r="F95">
        <v>88</v>
      </c>
      <c r="G95">
        <f t="shared" si="28"/>
        <v>2816</v>
      </c>
      <c r="I95">
        <f t="shared" si="29"/>
        <v>559</v>
      </c>
      <c r="J95">
        <f t="shared" si="30"/>
        <v>83</v>
      </c>
      <c r="K95">
        <v>0.4</v>
      </c>
      <c r="L95">
        <f t="shared" si="31"/>
        <v>0.26800000000000002</v>
      </c>
      <c r="M95">
        <f t="shared" si="32"/>
        <v>22.244</v>
      </c>
    </row>
    <row r="96" spans="4:13" x14ac:dyDescent="0.15">
      <c r="D96">
        <v>34</v>
      </c>
      <c r="E96">
        <f t="shared" si="27"/>
        <v>49518</v>
      </c>
      <c r="F96">
        <v>88</v>
      </c>
      <c r="G96">
        <f t="shared" si="28"/>
        <v>2904</v>
      </c>
      <c r="I96">
        <f t="shared" si="29"/>
        <v>576</v>
      </c>
      <c r="J96">
        <f t="shared" si="30"/>
        <v>85</v>
      </c>
      <c r="K96">
        <v>0.4</v>
      </c>
      <c r="L96">
        <f t="shared" si="31"/>
        <v>0.26400000000000001</v>
      </c>
      <c r="M96">
        <f t="shared" si="32"/>
        <v>22.44</v>
      </c>
    </row>
    <row r="97" spans="4:16" x14ac:dyDescent="0.15">
      <c r="D97">
        <v>35</v>
      </c>
      <c r="E97">
        <f t="shared" si="27"/>
        <v>52510</v>
      </c>
      <c r="F97">
        <v>88</v>
      </c>
      <c r="G97">
        <f t="shared" si="28"/>
        <v>2992</v>
      </c>
      <c r="I97">
        <f t="shared" si="29"/>
        <v>593</v>
      </c>
      <c r="J97">
        <f t="shared" si="30"/>
        <v>88</v>
      </c>
      <c r="K97">
        <v>0.4</v>
      </c>
      <c r="L97">
        <f t="shared" si="31"/>
        <v>0.26</v>
      </c>
      <c r="M97">
        <f t="shared" si="32"/>
        <v>22.880000000000003</v>
      </c>
    </row>
    <row r="98" spans="4:16" x14ac:dyDescent="0.15">
      <c r="D98">
        <v>36</v>
      </c>
      <c r="E98">
        <f t="shared" si="27"/>
        <v>55590</v>
      </c>
      <c r="F98">
        <v>88</v>
      </c>
      <c r="G98">
        <f t="shared" si="28"/>
        <v>3080</v>
      </c>
      <c r="I98">
        <f t="shared" si="29"/>
        <v>610</v>
      </c>
      <c r="J98">
        <f t="shared" si="30"/>
        <v>91</v>
      </c>
      <c r="K98">
        <v>0.4</v>
      </c>
      <c r="L98">
        <f t="shared" si="31"/>
        <v>0.25600000000000001</v>
      </c>
      <c r="M98">
        <f t="shared" si="32"/>
        <v>23.295999999999999</v>
      </c>
    </row>
    <row r="99" spans="4:16" x14ac:dyDescent="0.15">
      <c r="D99">
        <v>37</v>
      </c>
      <c r="E99">
        <f t="shared" si="27"/>
        <v>58758</v>
      </c>
      <c r="F99">
        <v>88</v>
      </c>
      <c r="G99">
        <f t="shared" si="28"/>
        <v>3168</v>
      </c>
      <c r="I99">
        <f t="shared" si="29"/>
        <v>627</v>
      </c>
      <c r="J99">
        <f t="shared" si="30"/>
        <v>93</v>
      </c>
      <c r="K99">
        <v>0.4</v>
      </c>
      <c r="L99">
        <f t="shared" si="31"/>
        <v>0.252</v>
      </c>
      <c r="M99">
        <f t="shared" si="32"/>
        <v>23.436</v>
      </c>
    </row>
    <row r="100" spans="4:16" x14ac:dyDescent="0.15">
      <c r="D100">
        <v>38</v>
      </c>
      <c r="E100">
        <f t="shared" si="27"/>
        <v>62014</v>
      </c>
      <c r="F100">
        <v>88</v>
      </c>
      <c r="G100">
        <f t="shared" si="28"/>
        <v>3256</v>
      </c>
      <c r="I100">
        <f t="shared" si="29"/>
        <v>644</v>
      </c>
      <c r="J100">
        <f t="shared" si="30"/>
        <v>96</v>
      </c>
      <c r="K100">
        <v>0.4</v>
      </c>
      <c r="L100">
        <f t="shared" si="31"/>
        <v>0.24800000000000003</v>
      </c>
      <c r="M100">
        <f t="shared" si="32"/>
        <v>23.808000000000003</v>
      </c>
    </row>
    <row r="101" spans="4:16" x14ac:dyDescent="0.15">
      <c r="D101">
        <v>39</v>
      </c>
      <c r="E101">
        <f t="shared" si="27"/>
        <v>65358</v>
      </c>
      <c r="F101">
        <v>88</v>
      </c>
      <c r="G101">
        <f t="shared" si="28"/>
        <v>3344</v>
      </c>
      <c r="I101">
        <f t="shared" si="29"/>
        <v>661</v>
      </c>
      <c r="J101">
        <f t="shared" si="30"/>
        <v>98</v>
      </c>
      <c r="K101">
        <v>0.4</v>
      </c>
      <c r="L101">
        <f t="shared" si="31"/>
        <v>0.24400000000000002</v>
      </c>
      <c r="M101">
        <f t="shared" si="32"/>
        <v>23.912000000000003</v>
      </c>
    </row>
    <row r="102" spans="4:16" x14ac:dyDescent="0.15">
      <c r="D102">
        <v>40</v>
      </c>
      <c r="E102">
        <f t="shared" si="27"/>
        <v>68790</v>
      </c>
      <c r="F102">
        <v>88</v>
      </c>
      <c r="G102">
        <f t="shared" si="28"/>
        <v>3432</v>
      </c>
      <c r="I102">
        <f t="shared" si="29"/>
        <v>678</v>
      </c>
      <c r="J102">
        <f t="shared" si="30"/>
        <v>101</v>
      </c>
      <c r="K102">
        <v>0.4</v>
      </c>
      <c r="L102">
        <f t="shared" si="31"/>
        <v>0.24000000000000002</v>
      </c>
      <c r="M102">
        <f t="shared" si="32"/>
        <v>24.240000000000002</v>
      </c>
    </row>
    <row r="103" spans="4:16" x14ac:dyDescent="0.15">
      <c r="D103">
        <v>41</v>
      </c>
      <c r="E103">
        <f t="shared" si="27"/>
        <v>72310</v>
      </c>
      <c r="F103">
        <v>88</v>
      </c>
      <c r="G103">
        <f t="shared" si="28"/>
        <v>3520</v>
      </c>
      <c r="I103">
        <f t="shared" si="29"/>
        <v>695</v>
      </c>
      <c r="J103">
        <f t="shared" si="30"/>
        <v>104</v>
      </c>
      <c r="K103">
        <v>0.4</v>
      </c>
      <c r="L103">
        <f t="shared" si="31"/>
        <v>0.23600000000000002</v>
      </c>
      <c r="M103">
        <f t="shared" si="32"/>
        <v>24.544</v>
      </c>
    </row>
    <row r="104" spans="4:16" x14ac:dyDescent="0.15">
      <c r="D104">
        <v>42</v>
      </c>
      <c r="E104">
        <f t="shared" si="27"/>
        <v>75918</v>
      </c>
      <c r="F104">
        <v>88</v>
      </c>
      <c r="G104">
        <f t="shared" si="28"/>
        <v>3608</v>
      </c>
      <c r="I104">
        <f t="shared" si="29"/>
        <v>712</v>
      </c>
      <c r="J104">
        <f t="shared" si="30"/>
        <v>106</v>
      </c>
      <c r="K104">
        <v>0.4</v>
      </c>
      <c r="L104">
        <f t="shared" si="31"/>
        <v>0.23200000000000001</v>
      </c>
      <c r="M104">
        <f t="shared" si="32"/>
        <v>24.592000000000002</v>
      </c>
    </row>
    <row r="105" spans="4:16" x14ac:dyDescent="0.15">
      <c r="D105">
        <v>43</v>
      </c>
      <c r="E105">
        <f t="shared" si="27"/>
        <v>79614</v>
      </c>
      <c r="F105">
        <v>88</v>
      </c>
      <c r="G105">
        <f t="shared" si="28"/>
        <v>3696</v>
      </c>
      <c r="I105">
        <f t="shared" si="29"/>
        <v>729</v>
      </c>
      <c r="J105">
        <f t="shared" si="30"/>
        <v>109</v>
      </c>
      <c r="K105">
        <v>0.4</v>
      </c>
      <c r="L105">
        <f t="shared" si="31"/>
        <v>0.22800000000000001</v>
      </c>
      <c r="M105">
        <f t="shared" si="32"/>
        <v>24.852</v>
      </c>
    </row>
    <row r="106" spans="4:16" x14ac:dyDescent="0.15">
      <c r="D106">
        <v>44</v>
      </c>
      <c r="E106">
        <f t="shared" si="27"/>
        <v>83398</v>
      </c>
      <c r="F106">
        <v>88</v>
      </c>
      <c r="G106">
        <f t="shared" si="28"/>
        <v>3784</v>
      </c>
      <c r="I106">
        <f t="shared" si="29"/>
        <v>746</v>
      </c>
      <c r="J106">
        <f t="shared" si="30"/>
        <v>111</v>
      </c>
      <c r="K106">
        <v>0.4</v>
      </c>
      <c r="L106">
        <f t="shared" si="31"/>
        <v>0.22400000000000003</v>
      </c>
      <c r="M106">
        <f t="shared" si="32"/>
        <v>24.864000000000004</v>
      </c>
    </row>
    <row r="107" spans="4:16" x14ac:dyDescent="0.15">
      <c r="D107">
        <v>45</v>
      </c>
      <c r="E107">
        <f t="shared" si="27"/>
        <v>87270</v>
      </c>
      <c r="F107">
        <v>88</v>
      </c>
      <c r="G107">
        <f t="shared" si="28"/>
        <v>3872</v>
      </c>
      <c r="I107">
        <f t="shared" si="29"/>
        <v>763</v>
      </c>
      <c r="J107">
        <f t="shared" si="30"/>
        <v>114</v>
      </c>
      <c r="K107">
        <v>0.4</v>
      </c>
      <c r="L107">
        <f t="shared" si="31"/>
        <v>0.22000000000000003</v>
      </c>
      <c r="M107">
        <f t="shared" si="32"/>
        <v>25.080000000000002</v>
      </c>
    </row>
    <row r="108" spans="4:16" x14ac:dyDescent="0.15">
      <c r="D108">
        <v>46</v>
      </c>
      <c r="E108">
        <f t="shared" si="27"/>
        <v>91230</v>
      </c>
      <c r="F108">
        <v>88</v>
      </c>
      <c r="G108">
        <f t="shared" si="28"/>
        <v>3960</v>
      </c>
      <c r="I108">
        <f t="shared" si="29"/>
        <v>780</v>
      </c>
      <c r="J108">
        <f t="shared" si="30"/>
        <v>116</v>
      </c>
      <c r="K108">
        <v>0.4</v>
      </c>
      <c r="L108">
        <f t="shared" si="31"/>
        <v>0.21600000000000003</v>
      </c>
      <c r="M108">
        <f t="shared" si="32"/>
        <v>25.056000000000004</v>
      </c>
    </row>
    <row r="109" spans="4:16" x14ac:dyDescent="0.15">
      <c r="D109">
        <v>47</v>
      </c>
      <c r="E109">
        <f t="shared" si="27"/>
        <v>95278</v>
      </c>
      <c r="F109">
        <v>88</v>
      </c>
      <c r="G109">
        <f t="shared" si="28"/>
        <v>4048</v>
      </c>
      <c r="I109">
        <f t="shared" si="29"/>
        <v>797</v>
      </c>
      <c r="J109">
        <f t="shared" si="30"/>
        <v>119</v>
      </c>
      <c r="K109">
        <v>0.4</v>
      </c>
      <c r="L109">
        <f t="shared" si="31"/>
        <v>0.21200000000000002</v>
      </c>
      <c r="M109">
        <f t="shared" si="32"/>
        <v>25.228000000000002</v>
      </c>
    </row>
    <row r="110" spans="4:16" x14ac:dyDescent="0.15">
      <c r="D110">
        <v>48</v>
      </c>
      <c r="E110">
        <f t="shared" si="27"/>
        <v>99414</v>
      </c>
      <c r="F110">
        <v>88</v>
      </c>
      <c r="G110">
        <f t="shared" si="28"/>
        <v>4136</v>
      </c>
      <c r="I110">
        <f t="shared" si="29"/>
        <v>814</v>
      </c>
      <c r="J110">
        <f t="shared" si="30"/>
        <v>122</v>
      </c>
      <c r="K110">
        <v>0.4</v>
      </c>
      <c r="L110">
        <f t="shared" si="31"/>
        <v>0.20800000000000002</v>
      </c>
      <c r="M110">
        <f t="shared" si="32"/>
        <v>25.376000000000001</v>
      </c>
    </row>
    <row r="111" spans="4:16" x14ac:dyDescent="0.15">
      <c r="D111">
        <v>49</v>
      </c>
      <c r="E111">
        <f t="shared" si="27"/>
        <v>103638</v>
      </c>
      <c r="F111">
        <v>88</v>
      </c>
      <c r="G111">
        <f t="shared" si="28"/>
        <v>4224</v>
      </c>
      <c r="I111">
        <f t="shared" si="29"/>
        <v>831</v>
      </c>
      <c r="J111">
        <f t="shared" si="30"/>
        <v>124</v>
      </c>
      <c r="K111">
        <v>0.4</v>
      </c>
      <c r="L111">
        <f t="shared" si="31"/>
        <v>0.20400000000000001</v>
      </c>
      <c r="M111">
        <f t="shared" si="32"/>
        <v>25.296000000000003</v>
      </c>
      <c r="P111" t="s">
        <v>406</v>
      </c>
    </row>
    <row r="112" spans="4:16" x14ac:dyDescent="0.15">
      <c r="D112">
        <v>50</v>
      </c>
      <c r="E112">
        <f t="shared" si="27"/>
        <v>107950</v>
      </c>
      <c r="F112">
        <v>88</v>
      </c>
      <c r="G112">
        <f t="shared" si="28"/>
        <v>4312</v>
      </c>
      <c r="I112">
        <f t="shared" si="29"/>
        <v>848</v>
      </c>
      <c r="J112">
        <f t="shared" si="30"/>
        <v>127</v>
      </c>
      <c r="K112">
        <v>0.2</v>
      </c>
      <c r="L112">
        <f t="shared" si="31"/>
        <v>0.2</v>
      </c>
      <c r="M112">
        <f t="shared" si="32"/>
        <v>25.400000000000002</v>
      </c>
      <c r="N112">
        <f>SUM(M63:M112)</f>
        <v>848.8520000000002</v>
      </c>
      <c r="P112">
        <f>N112*1000</f>
        <v>848852.00000000023</v>
      </c>
    </row>
    <row r="113" spans="10:13" x14ac:dyDescent="0.15">
      <c r="J113">
        <f>SUM(J63:J112)</f>
        <v>3202</v>
      </c>
      <c r="K113">
        <f>J113*6.5</f>
        <v>20813</v>
      </c>
      <c r="L113">
        <f>K113/60</f>
        <v>346.88333333333333</v>
      </c>
    </row>
    <row r="114" spans="10:13" x14ac:dyDescent="0.15">
      <c r="L114">
        <f>L113*3</f>
        <v>1040.6500000000001</v>
      </c>
      <c r="M114">
        <f>L114/60</f>
        <v>17.34416666666667</v>
      </c>
    </row>
    <row r="115" spans="10:13" x14ac:dyDescent="0.15">
      <c r="M115">
        <f>M114*2</f>
        <v>34.68833333333334</v>
      </c>
    </row>
    <row r="143" spans="1:1" x14ac:dyDescent="0.15">
      <c r="A143" t="s">
        <v>407</v>
      </c>
    </row>
    <row r="144" spans="1:1" x14ac:dyDescent="0.15">
      <c r="A144" t="s">
        <v>408</v>
      </c>
    </row>
    <row r="145" spans="1:1" x14ac:dyDescent="0.15">
      <c r="A145" t="s">
        <v>409</v>
      </c>
    </row>
    <row r="146" spans="1:1" x14ac:dyDescent="0.15">
      <c r="A146" t="s">
        <v>410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8"/>
  <sheetViews>
    <sheetView topLeftCell="A31" workbookViewId="0">
      <selection activeCell="K16" sqref="K16"/>
    </sheetView>
  </sheetViews>
  <sheetFormatPr defaultRowHeight="13.5" x14ac:dyDescent="0.15"/>
  <sheetData>
    <row r="1" spans="1:7" x14ac:dyDescent="0.15">
      <c r="A1">
        <v>1</v>
      </c>
      <c r="B1" t="s">
        <v>57</v>
      </c>
      <c r="C1">
        <v>7</v>
      </c>
      <c r="D1">
        <v>1</v>
      </c>
      <c r="E1">
        <v>1</v>
      </c>
      <c r="F1" t="s">
        <v>59</v>
      </c>
      <c r="G1" t="s">
        <v>63</v>
      </c>
    </row>
    <row r="2" spans="1:7" x14ac:dyDescent="0.15">
      <c r="B2" t="s">
        <v>58</v>
      </c>
      <c r="F2" t="s">
        <v>60</v>
      </c>
      <c r="G2" t="s">
        <v>64</v>
      </c>
    </row>
    <row r="3" spans="1:7" x14ac:dyDescent="0.15">
      <c r="F3" t="s">
        <v>61</v>
      </c>
      <c r="G3" t="s">
        <v>65</v>
      </c>
    </row>
    <row r="4" spans="1:7" x14ac:dyDescent="0.15">
      <c r="F4" t="s">
        <v>62</v>
      </c>
      <c r="G4" t="s">
        <v>66</v>
      </c>
    </row>
    <row r="5" spans="1:7" x14ac:dyDescent="0.15">
      <c r="A5">
        <v>2</v>
      </c>
      <c r="B5" t="s">
        <v>67</v>
      </c>
      <c r="C5">
        <v>10</v>
      </c>
      <c r="D5">
        <v>2</v>
      </c>
      <c r="E5">
        <v>2</v>
      </c>
      <c r="F5" t="s">
        <v>59</v>
      </c>
      <c r="G5" t="s">
        <v>63</v>
      </c>
    </row>
    <row r="6" spans="1:7" x14ac:dyDescent="0.15">
      <c r="B6" t="s">
        <v>68</v>
      </c>
      <c r="F6" t="s">
        <v>60</v>
      </c>
      <c r="G6" t="s">
        <v>64</v>
      </c>
    </row>
    <row r="7" spans="1:7" x14ac:dyDescent="0.15">
      <c r="F7" t="s">
        <v>61</v>
      </c>
      <c r="G7" t="s">
        <v>69</v>
      </c>
    </row>
    <row r="8" spans="1:7" x14ac:dyDescent="0.15">
      <c r="F8" t="s">
        <v>62</v>
      </c>
      <c r="G8" t="s">
        <v>70</v>
      </c>
    </row>
    <row r="9" spans="1:7" x14ac:dyDescent="0.15">
      <c r="A9">
        <v>3</v>
      </c>
      <c r="B9" t="s">
        <v>71</v>
      </c>
      <c r="C9">
        <v>11</v>
      </c>
      <c r="D9">
        <v>2</v>
      </c>
      <c r="E9">
        <v>3</v>
      </c>
      <c r="F9" t="s">
        <v>59</v>
      </c>
      <c r="G9" t="s">
        <v>73</v>
      </c>
    </row>
    <row r="10" spans="1:7" x14ac:dyDescent="0.15">
      <c r="B10" t="s">
        <v>72</v>
      </c>
      <c r="F10" t="s">
        <v>60</v>
      </c>
      <c r="G10" t="s">
        <v>64</v>
      </c>
    </row>
    <row r="11" spans="1:7" x14ac:dyDescent="0.15">
      <c r="G11" t="s">
        <v>74</v>
      </c>
    </row>
    <row r="12" spans="1:7" x14ac:dyDescent="0.15">
      <c r="G12" t="s">
        <v>75</v>
      </c>
    </row>
    <row r="13" spans="1:7" x14ac:dyDescent="0.15">
      <c r="A13">
        <v>4</v>
      </c>
      <c r="B13" t="s">
        <v>76</v>
      </c>
      <c r="C13">
        <v>10</v>
      </c>
      <c r="D13">
        <v>2</v>
      </c>
      <c r="E13">
        <v>3</v>
      </c>
      <c r="F13" t="s">
        <v>59</v>
      </c>
      <c r="G13" t="s">
        <v>78</v>
      </c>
    </row>
    <row r="14" spans="1:7" x14ac:dyDescent="0.15">
      <c r="B14" t="s">
        <v>77</v>
      </c>
      <c r="F14" t="s">
        <v>60</v>
      </c>
      <c r="G14" t="s">
        <v>64</v>
      </c>
    </row>
    <row r="15" spans="1:7" x14ac:dyDescent="0.15">
      <c r="F15" t="s">
        <v>61</v>
      </c>
      <c r="G15" t="s">
        <v>79</v>
      </c>
    </row>
    <row r="16" spans="1:7" x14ac:dyDescent="0.15">
      <c r="F16" t="s">
        <v>62</v>
      </c>
      <c r="G16" t="s">
        <v>80</v>
      </c>
    </row>
    <row r="17" spans="1:7" x14ac:dyDescent="0.15">
      <c r="A17">
        <v>5</v>
      </c>
      <c r="B17" t="s">
        <v>81</v>
      </c>
      <c r="C17">
        <v>13</v>
      </c>
      <c r="D17">
        <v>3</v>
      </c>
      <c r="E17">
        <v>4</v>
      </c>
      <c r="F17" t="s">
        <v>59</v>
      </c>
      <c r="G17" t="s">
        <v>83</v>
      </c>
    </row>
    <row r="18" spans="1:7" x14ac:dyDescent="0.15">
      <c r="B18" t="s">
        <v>82</v>
      </c>
      <c r="F18" t="s">
        <v>60</v>
      </c>
      <c r="G18" t="s">
        <v>84</v>
      </c>
    </row>
    <row r="19" spans="1:7" x14ac:dyDescent="0.15">
      <c r="G19" t="s">
        <v>85</v>
      </c>
    </row>
    <row r="20" spans="1:7" x14ac:dyDescent="0.15">
      <c r="G20" t="s">
        <v>86</v>
      </c>
    </row>
    <row r="21" spans="1:7" x14ac:dyDescent="0.15">
      <c r="A21">
        <v>6</v>
      </c>
      <c r="B21" t="s">
        <v>87</v>
      </c>
      <c r="C21">
        <v>15</v>
      </c>
      <c r="D21">
        <v>3</v>
      </c>
      <c r="E21">
        <v>3</v>
      </c>
      <c r="F21" t="s">
        <v>59</v>
      </c>
      <c r="G21" t="s">
        <v>89</v>
      </c>
    </row>
    <row r="22" spans="1:7" x14ac:dyDescent="0.15">
      <c r="B22" t="s">
        <v>88</v>
      </c>
      <c r="F22" t="s">
        <v>60</v>
      </c>
      <c r="G22" t="s">
        <v>90</v>
      </c>
    </row>
    <row r="23" spans="1:7" x14ac:dyDescent="0.15">
      <c r="G23" t="s">
        <v>91</v>
      </c>
    </row>
    <row r="24" spans="1:7" x14ac:dyDescent="0.15">
      <c r="G24" t="s">
        <v>92</v>
      </c>
    </row>
    <row r="25" spans="1:7" x14ac:dyDescent="0.15">
      <c r="A25">
        <v>7</v>
      </c>
      <c r="B25" t="s">
        <v>93</v>
      </c>
      <c r="C25">
        <v>16</v>
      </c>
      <c r="D25">
        <v>5</v>
      </c>
      <c r="E25">
        <v>5</v>
      </c>
      <c r="F25" t="s">
        <v>59</v>
      </c>
      <c r="G25" t="s">
        <v>95</v>
      </c>
    </row>
    <row r="26" spans="1:7" x14ac:dyDescent="0.15">
      <c r="B26" t="s">
        <v>94</v>
      </c>
      <c r="F26" t="s">
        <v>60</v>
      </c>
      <c r="G26" t="s">
        <v>96</v>
      </c>
    </row>
    <row r="27" spans="1:7" x14ac:dyDescent="0.15">
      <c r="G27" t="s">
        <v>97</v>
      </c>
    </row>
    <row r="28" spans="1:7" x14ac:dyDescent="0.15">
      <c r="G28" t="s">
        <v>98</v>
      </c>
    </row>
    <row r="29" spans="1:7" x14ac:dyDescent="0.15">
      <c r="A29">
        <v>8</v>
      </c>
      <c r="B29" t="s">
        <v>99</v>
      </c>
      <c r="C29">
        <v>18</v>
      </c>
      <c r="D29">
        <v>8</v>
      </c>
      <c r="E29">
        <v>6</v>
      </c>
      <c r="F29" t="s">
        <v>101</v>
      </c>
      <c r="G29" t="s">
        <v>78</v>
      </c>
    </row>
    <row r="30" spans="1:7" x14ac:dyDescent="0.15">
      <c r="B30" t="s">
        <v>100</v>
      </c>
      <c r="F30" t="s">
        <v>102</v>
      </c>
      <c r="G30" t="s">
        <v>64</v>
      </c>
    </row>
    <row r="31" spans="1:7" x14ac:dyDescent="0.15">
      <c r="F31" t="s">
        <v>103</v>
      </c>
      <c r="G31" t="s">
        <v>105</v>
      </c>
    </row>
    <row r="32" spans="1:7" x14ac:dyDescent="0.15">
      <c r="F32" t="s">
        <v>104</v>
      </c>
      <c r="G32" t="s">
        <v>106</v>
      </c>
    </row>
    <row r="33" spans="1:7" x14ac:dyDescent="0.15">
      <c r="A33">
        <v>9</v>
      </c>
      <c r="B33" t="s">
        <v>107</v>
      </c>
      <c r="C33">
        <v>14</v>
      </c>
      <c r="D33">
        <v>5</v>
      </c>
      <c r="E33">
        <v>4</v>
      </c>
      <c r="F33" t="s">
        <v>101</v>
      </c>
      <c r="G33" t="s">
        <v>111</v>
      </c>
    </row>
    <row r="34" spans="1:7" x14ac:dyDescent="0.15">
      <c r="B34" t="s">
        <v>108</v>
      </c>
      <c r="F34" t="s">
        <v>102</v>
      </c>
      <c r="G34" t="s">
        <v>112</v>
      </c>
    </row>
    <row r="35" spans="1:7" x14ac:dyDescent="0.15">
      <c r="F35" t="s">
        <v>109</v>
      </c>
      <c r="G35" t="s">
        <v>113</v>
      </c>
    </row>
    <row r="36" spans="1:7" x14ac:dyDescent="0.15">
      <c r="F36" t="s">
        <v>110</v>
      </c>
      <c r="G36" t="s">
        <v>66</v>
      </c>
    </row>
    <row r="37" spans="1:7" x14ac:dyDescent="0.15">
      <c r="A37">
        <v>10</v>
      </c>
      <c r="B37" t="s">
        <v>114</v>
      </c>
      <c r="C37">
        <v>15</v>
      </c>
      <c r="D37">
        <v>4</v>
      </c>
      <c r="E37">
        <v>5</v>
      </c>
      <c r="F37" t="s">
        <v>109</v>
      </c>
      <c r="G37" t="s">
        <v>63</v>
      </c>
    </row>
    <row r="38" spans="1:7" x14ac:dyDescent="0.15">
      <c r="B38" t="s">
        <v>115</v>
      </c>
      <c r="F38" t="s">
        <v>110</v>
      </c>
      <c r="G38" t="s">
        <v>64</v>
      </c>
    </row>
    <row r="39" spans="1:7" x14ac:dyDescent="0.15">
      <c r="F39" t="s">
        <v>116</v>
      </c>
      <c r="G39" t="s">
        <v>118</v>
      </c>
    </row>
    <row r="40" spans="1:7" x14ac:dyDescent="0.15">
      <c r="F40" t="s">
        <v>117</v>
      </c>
      <c r="G40" t="s">
        <v>119</v>
      </c>
    </row>
    <row r="41" spans="1:7" x14ac:dyDescent="0.15">
      <c r="A41">
        <v>11</v>
      </c>
      <c r="B41" t="s">
        <v>120</v>
      </c>
      <c r="C41">
        <v>9</v>
      </c>
      <c r="D41">
        <v>5</v>
      </c>
      <c r="E41">
        <v>8</v>
      </c>
      <c r="F41" t="s">
        <v>59</v>
      </c>
      <c r="G41" t="s">
        <v>124</v>
      </c>
    </row>
    <row r="42" spans="1:7" x14ac:dyDescent="0.15">
      <c r="B42" t="s">
        <v>121</v>
      </c>
      <c r="F42" t="s">
        <v>60</v>
      </c>
      <c r="G42" t="s">
        <v>125</v>
      </c>
    </row>
    <row r="43" spans="1:7" x14ac:dyDescent="0.15">
      <c r="F43" t="s">
        <v>122</v>
      </c>
      <c r="G43" t="s">
        <v>126</v>
      </c>
    </row>
    <row r="44" spans="1:7" x14ac:dyDescent="0.15">
      <c r="F44" t="s">
        <v>123</v>
      </c>
      <c r="G44" t="s">
        <v>80</v>
      </c>
    </row>
    <row r="45" spans="1:7" x14ac:dyDescent="0.15">
      <c r="A45">
        <v>12</v>
      </c>
      <c r="B45" t="s">
        <v>127</v>
      </c>
      <c r="C45">
        <v>20</v>
      </c>
      <c r="D45">
        <v>5</v>
      </c>
      <c r="E45">
        <v>7</v>
      </c>
      <c r="F45" t="s">
        <v>59</v>
      </c>
      <c r="G45" t="s">
        <v>129</v>
      </c>
    </row>
    <row r="46" spans="1:7" x14ac:dyDescent="0.15">
      <c r="B46" t="s">
        <v>128</v>
      </c>
      <c r="F46" t="s">
        <v>60</v>
      </c>
      <c r="G46" t="s">
        <v>130</v>
      </c>
    </row>
    <row r="47" spans="1:7" x14ac:dyDescent="0.15">
      <c r="F47" t="s">
        <v>109</v>
      </c>
      <c r="G47" t="s">
        <v>131</v>
      </c>
    </row>
    <row r="48" spans="1:7" x14ac:dyDescent="0.15">
      <c r="F48" t="s">
        <v>110</v>
      </c>
      <c r="G48" t="s">
        <v>75</v>
      </c>
    </row>
    <row r="49" spans="1:7" x14ac:dyDescent="0.15">
      <c r="A49">
        <v>13</v>
      </c>
      <c r="B49" t="s">
        <v>132</v>
      </c>
      <c r="C49">
        <v>20</v>
      </c>
      <c r="D49">
        <v>7</v>
      </c>
      <c r="E49">
        <v>10</v>
      </c>
      <c r="F49" t="s">
        <v>59</v>
      </c>
      <c r="G49" t="s">
        <v>134</v>
      </c>
    </row>
    <row r="50" spans="1:7" x14ac:dyDescent="0.15">
      <c r="B50" t="s">
        <v>133</v>
      </c>
      <c r="F50" t="s">
        <v>60</v>
      </c>
      <c r="G50" t="s">
        <v>80</v>
      </c>
    </row>
    <row r="51" spans="1:7" x14ac:dyDescent="0.15">
      <c r="F51" t="s">
        <v>61</v>
      </c>
      <c r="G51" t="s">
        <v>135</v>
      </c>
    </row>
    <row r="52" spans="1:7" x14ac:dyDescent="0.15">
      <c r="F52" t="s">
        <v>62</v>
      </c>
      <c r="G52" t="s">
        <v>136</v>
      </c>
    </row>
    <row r="53" spans="1:7" x14ac:dyDescent="0.15">
      <c r="A53">
        <v>14</v>
      </c>
      <c r="B53" t="s">
        <v>137</v>
      </c>
      <c r="C53">
        <v>21</v>
      </c>
      <c r="D53">
        <v>10</v>
      </c>
      <c r="E53">
        <v>8</v>
      </c>
      <c r="F53" t="s">
        <v>122</v>
      </c>
      <c r="G53" t="s">
        <v>139</v>
      </c>
    </row>
    <row r="54" spans="1:7" x14ac:dyDescent="0.15">
      <c r="B54" t="s">
        <v>138</v>
      </c>
      <c r="F54" t="s">
        <v>123</v>
      </c>
      <c r="G54" t="s">
        <v>140</v>
      </c>
    </row>
    <row r="55" spans="1:7" x14ac:dyDescent="0.15">
      <c r="F55" t="s">
        <v>61</v>
      </c>
      <c r="G55" t="s">
        <v>141</v>
      </c>
    </row>
    <row r="56" spans="1:7" x14ac:dyDescent="0.15">
      <c r="F56" t="s">
        <v>62</v>
      </c>
      <c r="G56" t="s">
        <v>142</v>
      </c>
    </row>
    <row r="57" spans="1:7" x14ac:dyDescent="0.15">
      <c r="A57">
        <v>15</v>
      </c>
      <c r="B57" t="s">
        <v>143</v>
      </c>
      <c r="C57">
        <v>21</v>
      </c>
      <c r="D57">
        <v>12</v>
      </c>
      <c r="E57">
        <v>10</v>
      </c>
      <c r="F57" t="s">
        <v>109</v>
      </c>
      <c r="G57" t="s">
        <v>63</v>
      </c>
    </row>
    <row r="58" spans="1:7" x14ac:dyDescent="0.15">
      <c r="B58" t="s">
        <v>144</v>
      </c>
      <c r="F58" t="s">
        <v>110</v>
      </c>
      <c r="G58" t="s">
        <v>64</v>
      </c>
    </row>
    <row r="59" spans="1:7" x14ac:dyDescent="0.15">
      <c r="F59" t="s">
        <v>122</v>
      </c>
      <c r="G59" t="s">
        <v>145</v>
      </c>
    </row>
    <row r="60" spans="1:7" x14ac:dyDescent="0.15">
      <c r="F60" t="s">
        <v>123</v>
      </c>
      <c r="G60" t="s">
        <v>98</v>
      </c>
    </row>
    <row r="61" spans="1:7" x14ac:dyDescent="0.15">
      <c r="A61">
        <v>16</v>
      </c>
      <c r="B61" t="s">
        <v>146</v>
      </c>
      <c r="C61">
        <v>19</v>
      </c>
      <c r="D61">
        <v>9</v>
      </c>
      <c r="E61">
        <v>7</v>
      </c>
      <c r="F61" t="s">
        <v>122</v>
      </c>
      <c r="G61" t="s">
        <v>63</v>
      </c>
    </row>
    <row r="62" spans="1:7" x14ac:dyDescent="0.15">
      <c r="B62" t="s">
        <v>147</v>
      </c>
      <c r="F62" t="s">
        <v>123</v>
      </c>
      <c r="G62" t="s">
        <v>64</v>
      </c>
    </row>
    <row r="63" spans="1:7" x14ac:dyDescent="0.15">
      <c r="F63" t="s">
        <v>103</v>
      </c>
      <c r="G63" t="s">
        <v>126</v>
      </c>
    </row>
    <row r="64" spans="1:7" x14ac:dyDescent="0.15">
      <c r="F64" t="s">
        <v>104</v>
      </c>
      <c r="G64" t="s">
        <v>80</v>
      </c>
    </row>
    <row r="65" spans="1:7" x14ac:dyDescent="0.15">
      <c r="A65">
        <v>17</v>
      </c>
      <c r="B65" t="s">
        <v>148</v>
      </c>
      <c r="C65">
        <v>16</v>
      </c>
      <c r="D65">
        <v>12</v>
      </c>
      <c r="E65">
        <v>10</v>
      </c>
      <c r="F65" t="s">
        <v>59</v>
      </c>
      <c r="G65" t="s">
        <v>63</v>
      </c>
    </row>
    <row r="66" spans="1:7" x14ac:dyDescent="0.15">
      <c r="B66" t="s">
        <v>149</v>
      </c>
      <c r="F66" t="s">
        <v>60</v>
      </c>
      <c r="G66" t="s">
        <v>64</v>
      </c>
    </row>
    <row r="67" spans="1:7" x14ac:dyDescent="0.15">
      <c r="F67" t="s">
        <v>122</v>
      </c>
      <c r="G67" t="s">
        <v>95</v>
      </c>
    </row>
    <row r="68" spans="1:7" x14ac:dyDescent="0.15">
      <c r="F68" t="s">
        <v>123</v>
      </c>
      <c r="G68" t="s">
        <v>96</v>
      </c>
    </row>
    <row r="69" spans="1:7" x14ac:dyDescent="0.15">
      <c r="A69">
        <v>18</v>
      </c>
      <c r="B69" t="s">
        <v>150</v>
      </c>
      <c r="C69">
        <v>28</v>
      </c>
      <c r="D69">
        <v>15</v>
      </c>
      <c r="E69">
        <v>11</v>
      </c>
      <c r="F69" t="s">
        <v>152</v>
      </c>
      <c r="G69" t="s">
        <v>134</v>
      </c>
    </row>
    <row r="70" spans="1:7" x14ac:dyDescent="0.15">
      <c r="B70" t="s">
        <v>151</v>
      </c>
      <c r="F70" t="s">
        <v>153</v>
      </c>
      <c r="G70" t="s">
        <v>80</v>
      </c>
    </row>
    <row r="71" spans="1:7" x14ac:dyDescent="0.15">
      <c r="G71" t="s">
        <v>154</v>
      </c>
    </row>
    <row r="72" spans="1:7" x14ac:dyDescent="0.15">
      <c r="G72" t="s">
        <v>155</v>
      </c>
    </row>
    <row r="73" spans="1:7" x14ac:dyDescent="0.15">
      <c r="A73">
        <v>19</v>
      </c>
      <c r="B73" t="s">
        <v>156</v>
      </c>
      <c r="C73">
        <v>22</v>
      </c>
      <c r="D73">
        <v>13</v>
      </c>
      <c r="E73">
        <v>12</v>
      </c>
      <c r="F73" t="s">
        <v>122</v>
      </c>
      <c r="G73" t="s">
        <v>158</v>
      </c>
    </row>
    <row r="74" spans="1:7" x14ac:dyDescent="0.15">
      <c r="B74" t="s">
        <v>157</v>
      </c>
      <c r="F74" t="s">
        <v>123</v>
      </c>
      <c r="G74" t="s">
        <v>130</v>
      </c>
    </row>
    <row r="75" spans="1:7" x14ac:dyDescent="0.15">
      <c r="F75" t="s">
        <v>152</v>
      </c>
      <c r="G75" t="s">
        <v>141</v>
      </c>
    </row>
    <row r="76" spans="1:7" x14ac:dyDescent="0.15">
      <c r="F76" t="s">
        <v>153</v>
      </c>
      <c r="G76" t="s">
        <v>142</v>
      </c>
    </row>
    <row r="77" spans="1:7" x14ac:dyDescent="0.15">
      <c r="A77">
        <v>20</v>
      </c>
      <c r="B77" t="s">
        <v>159</v>
      </c>
      <c r="C77">
        <v>25</v>
      </c>
      <c r="D77">
        <v>20</v>
      </c>
      <c r="E77">
        <v>16</v>
      </c>
      <c r="F77" t="s">
        <v>122</v>
      </c>
      <c r="G77" t="s">
        <v>161</v>
      </c>
    </row>
    <row r="78" spans="1:7" x14ac:dyDescent="0.15">
      <c r="B78" t="s">
        <v>160</v>
      </c>
      <c r="F78" t="s">
        <v>123</v>
      </c>
      <c r="G78" t="s">
        <v>86</v>
      </c>
    </row>
    <row r="79" spans="1:7" x14ac:dyDescent="0.15">
      <c r="G79" t="s">
        <v>162</v>
      </c>
    </row>
    <row r="80" spans="1:7" x14ac:dyDescent="0.15">
      <c r="G80" t="s">
        <v>163</v>
      </c>
    </row>
    <row r="81" spans="1:7" x14ac:dyDescent="0.15">
      <c r="A81">
        <v>21</v>
      </c>
      <c r="B81" t="s">
        <v>164</v>
      </c>
      <c r="C81">
        <v>24</v>
      </c>
      <c r="D81">
        <v>18</v>
      </c>
      <c r="E81">
        <v>3</v>
      </c>
      <c r="F81" t="s">
        <v>103</v>
      </c>
      <c r="G81" t="s">
        <v>73</v>
      </c>
    </row>
    <row r="82" spans="1:7" x14ac:dyDescent="0.15">
      <c r="B82" t="s">
        <v>165</v>
      </c>
      <c r="F82" t="s">
        <v>104</v>
      </c>
      <c r="G82" t="s">
        <v>64</v>
      </c>
    </row>
    <row r="83" spans="1:7" x14ac:dyDescent="0.15">
      <c r="F83" t="s">
        <v>166</v>
      </c>
      <c r="G83" t="s">
        <v>167</v>
      </c>
    </row>
    <row r="84" spans="1:7" x14ac:dyDescent="0.15">
      <c r="F84" t="s">
        <v>62</v>
      </c>
      <c r="G84" t="s">
        <v>66</v>
      </c>
    </row>
    <row r="85" spans="1:7" x14ac:dyDescent="0.15">
      <c r="A85">
        <v>22</v>
      </c>
      <c r="B85" t="s">
        <v>168</v>
      </c>
      <c r="C85">
        <v>33</v>
      </c>
      <c r="D85">
        <v>21</v>
      </c>
      <c r="E85">
        <v>9</v>
      </c>
      <c r="F85" t="s">
        <v>122</v>
      </c>
      <c r="G85" t="s">
        <v>170</v>
      </c>
    </row>
    <row r="86" spans="1:7" x14ac:dyDescent="0.15">
      <c r="B86" t="s">
        <v>169</v>
      </c>
      <c r="F86" t="s">
        <v>123</v>
      </c>
      <c r="G86" t="s">
        <v>119</v>
      </c>
    </row>
    <row r="87" spans="1:7" x14ac:dyDescent="0.15">
      <c r="F87" t="s">
        <v>109</v>
      </c>
      <c r="G87" t="s">
        <v>171</v>
      </c>
    </row>
    <row r="88" spans="1:7" x14ac:dyDescent="0.15">
      <c r="F88" t="s">
        <v>110</v>
      </c>
      <c r="G88" t="s">
        <v>172</v>
      </c>
    </row>
    <row r="89" spans="1:7" x14ac:dyDescent="0.15">
      <c r="A89">
        <v>23</v>
      </c>
      <c r="B89" t="s">
        <v>173</v>
      </c>
      <c r="C89">
        <v>29</v>
      </c>
      <c r="D89">
        <v>19</v>
      </c>
      <c r="E89">
        <v>8</v>
      </c>
      <c r="F89" t="s">
        <v>122</v>
      </c>
      <c r="G89" t="s">
        <v>175</v>
      </c>
    </row>
    <row r="90" spans="1:7" x14ac:dyDescent="0.15">
      <c r="B90" t="s">
        <v>174</v>
      </c>
      <c r="F90" t="s">
        <v>123</v>
      </c>
      <c r="G90" t="s">
        <v>140</v>
      </c>
    </row>
    <row r="91" spans="1:7" x14ac:dyDescent="0.15">
      <c r="G91" t="s">
        <v>176</v>
      </c>
    </row>
    <row r="92" spans="1:7" x14ac:dyDescent="0.15">
      <c r="G92" t="s">
        <v>142</v>
      </c>
    </row>
    <row r="93" spans="1:7" x14ac:dyDescent="0.15">
      <c r="A93">
        <v>24</v>
      </c>
      <c r="B93" t="s">
        <v>177</v>
      </c>
      <c r="C93">
        <v>36</v>
      </c>
      <c r="D93">
        <v>20</v>
      </c>
      <c r="E93">
        <v>13</v>
      </c>
      <c r="F93" t="s">
        <v>122</v>
      </c>
      <c r="G93" t="s">
        <v>63</v>
      </c>
    </row>
    <row r="94" spans="1:7" x14ac:dyDescent="0.15">
      <c r="B94" t="s">
        <v>178</v>
      </c>
      <c r="F94" t="s">
        <v>123</v>
      </c>
      <c r="G94" t="s">
        <v>64</v>
      </c>
    </row>
    <row r="95" spans="1:7" x14ac:dyDescent="0.15">
      <c r="F95" t="s">
        <v>152</v>
      </c>
      <c r="G95" t="s">
        <v>65</v>
      </c>
    </row>
    <row r="96" spans="1:7" x14ac:dyDescent="0.15">
      <c r="F96" t="s">
        <v>153</v>
      </c>
      <c r="G96" t="s">
        <v>66</v>
      </c>
    </row>
    <row r="97" spans="1:7" x14ac:dyDescent="0.15">
      <c r="A97">
        <v>25</v>
      </c>
      <c r="B97" t="s">
        <v>179</v>
      </c>
      <c r="C97">
        <v>38</v>
      </c>
      <c r="D97">
        <v>31</v>
      </c>
      <c r="E97">
        <v>18</v>
      </c>
      <c r="F97" t="s">
        <v>101</v>
      </c>
      <c r="G97" t="s">
        <v>181</v>
      </c>
    </row>
    <row r="98" spans="1:7" x14ac:dyDescent="0.15">
      <c r="B98" t="s">
        <v>180</v>
      </c>
      <c r="F98" t="s">
        <v>102</v>
      </c>
      <c r="G98" t="s">
        <v>90</v>
      </c>
    </row>
    <row r="99" spans="1:7" x14ac:dyDescent="0.15">
      <c r="G99" t="s">
        <v>182</v>
      </c>
    </row>
    <row r="100" spans="1:7" x14ac:dyDescent="0.15">
      <c r="G100" t="s">
        <v>183</v>
      </c>
    </row>
    <row r="101" spans="1:7" x14ac:dyDescent="0.15">
      <c r="A101">
        <v>26</v>
      </c>
      <c r="B101" t="s">
        <v>184</v>
      </c>
      <c r="C101">
        <v>40</v>
      </c>
      <c r="D101">
        <v>32</v>
      </c>
      <c r="E101">
        <v>12</v>
      </c>
      <c r="F101" t="s">
        <v>101</v>
      </c>
      <c r="G101" t="s">
        <v>186</v>
      </c>
    </row>
    <row r="102" spans="1:7" x14ac:dyDescent="0.15">
      <c r="B102" t="s">
        <v>185</v>
      </c>
      <c r="F102" t="s">
        <v>102</v>
      </c>
      <c r="G102" t="s">
        <v>112</v>
      </c>
    </row>
    <row r="103" spans="1:7" x14ac:dyDescent="0.15">
      <c r="F103" t="s">
        <v>103</v>
      </c>
      <c r="G103" t="s">
        <v>187</v>
      </c>
    </row>
    <row r="104" spans="1:7" x14ac:dyDescent="0.15">
      <c r="F104" t="s">
        <v>104</v>
      </c>
      <c r="G104" t="s">
        <v>188</v>
      </c>
    </row>
    <row r="105" spans="1:7" x14ac:dyDescent="0.15">
      <c r="A105">
        <v>27</v>
      </c>
      <c r="B105" t="s">
        <v>189</v>
      </c>
      <c r="C105">
        <v>42</v>
      </c>
      <c r="D105">
        <v>30</v>
      </c>
      <c r="E105">
        <v>13</v>
      </c>
      <c r="F105" t="s">
        <v>122</v>
      </c>
      <c r="G105" t="s">
        <v>63</v>
      </c>
    </row>
    <row r="106" spans="1:7" x14ac:dyDescent="0.15">
      <c r="B106" t="s">
        <v>190</v>
      </c>
      <c r="F106" t="s">
        <v>123</v>
      </c>
      <c r="G106" t="s">
        <v>64</v>
      </c>
    </row>
    <row r="107" spans="1:7" x14ac:dyDescent="0.15">
      <c r="F107" t="s">
        <v>103</v>
      </c>
      <c r="G107" t="s">
        <v>145</v>
      </c>
    </row>
    <row r="108" spans="1:7" x14ac:dyDescent="0.15">
      <c r="F108" t="s">
        <v>104</v>
      </c>
      <c r="G108" t="s">
        <v>98</v>
      </c>
    </row>
    <row r="109" spans="1:7" x14ac:dyDescent="0.15">
      <c r="A109">
        <v>28</v>
      </c>
      <c r="B109" t="s">
        <v>191</v>
      </c>
      <c r="C109">
        <v>38</v>
      </c>
      <c r="D109">
        <v>36</v>
      </c>
      <c r="E109">
        <v>11</v>
      </c>
      <c r="F109" t="s">
        <v>101</v>
      </c>
      <c r="G109" t="s">
        <v>73</v>
      </c>
    </row>
    <row r="110" spans="1:7" x14ac:dyDescent="0.15">
      <c r="B110" t="s">
        <v>192</v>
      </c>
      <c r="F110" t="s">
        <v>102</v>
      </c>
      <c r="G110" t="s">
        <v>64</v>
      </c>
    </row>
    <row r="111" spans="1:7" x14ac:dyDescent="0.15">
      <c r="G111" t="s">
        <v>162</v>
      </c>
    </row>
    <row r="112" spans="1:7" x14ac:dyDescent="0.15">
      <c r="G112" t="s">
        <v>163</v>
      </c>
    </row>
    <row r="113" spans="1:7" x14ac:dyDescent="0.15">
      <c r="A113">
        <v>29</v>
      </c>
      <c r="B113" t="s">
        <v>193</v>
      </c>
      <c r="C113">
        <v>36</v>
      </c>
      <c r="D113">
        <v>37</v>
      </c>
      <c r="E113">
        <v>12</v>
      </c>
      <c r="F113" t="s">
        <v>101</v>
      </c>
      <c r="G113" t="s">
        <v>195</v>
      </c>
    </row>
    <row r="114" spans="1:7" x14ac:dyDescent="0.15">
      <c r="B114" t="s">
        <v>194</v>
      </c>
      <c r="F114" t="s">
        <v>102</v>
      </c>
      <c r="G114" t="s">
        <v>196</v>
      </c>
    </row>
    <row r="115" spans="1:7" x14ac:dyDescent="0.15">
      <c r="F115" t="s">
        <v>103</v>
      </c>
      <c r="G115" t="s">
        <v>197</v>
      </c>
    </row>
    <row r="116" spans="1:7" x14ac:dyDescent="0.15">
      <c r="F116" t="s">
        <v>104</v>
      </c>
      <c r="G116" t="s">
        <v>198</v>
      </c>
    </row>
    <row r="117" spans="1:7" x14ac:dyDescent="0.15">
      <c r="A117">
        <v>30</v>
      </c>
      <c r="B117" t="s">
        <v>199</v>
      </c>
      <c r="C117">
        <v>28</v>
      </c>
      <c r="D117">
        <v>31</v>
      </c>
      <c r="E117">
        <v>16</v>
      </c>
      <c r="F117" t="s">
        <v>101</v>
      </c>
      <c r="G117" t="s">
        <v>201</v>
      </c>
    </row>
    <row r="118" spans="1:7" x14ac:dyDescent="0.15">
      <c r="B118" t="s">
        <v>200</v>
      </c>
      <c r="F118" t="s">
        <v>102</v>
      </c>
      <c r="G118" t="s">
        <v>202</v>
      </c>
    </row>
    <row r="119" spans="1:7" x14ac:dyDescent="0.15">
      <c r="G119" t="s">
        <v>203</v>
      </c>
    </row>
    <row r="120" spans="1:7" x14ac:dyDescent="0.15">
      <c r="G120" t="s">
        <v>163</v>
      </c>
    </row>
    <row r="121" spans="1:7" x14ac:dyDescent="0.15">
      <c r="A121">
        <v>31</v>
      </c>
      <c r="B121" t="s">
        <v>204</v>
      </c>
      <c r="C121">
        <v>73</v>
      </c>
      <c r="D121">
        <v>64</v>
      </c>
      <c r="E121">
        <v>32</v>
      </c>
      <c r="F121" t="s">
        <v>101</v>
      </c>
      <c r="G121" t="s">
        <v>195</v>
      </c>
    </row>
    <row r="122" spans="1:7" x14ac:dyDescent="0.15">
      <c r="B122" t="s">
        <v>205</v>
      </c>
      <c r="F122" t="s">
        <v>102</v>
      </c>
      <c r="G122" t="s">
        <v>196</v>
      </c>
    </row>
    <row r="123" spans="1:7" x14ac:dyDescent="0.15">
      <c r="F123" t="s">
        <v>103</v>
      </c>
      <c r="G123" t="s">
        <v>206</v>
      </c>
    </row>
    <row r="124" spans="1:7" x14ac:dyDescent="0.15">
      <c r="F124" t="s">
        <v>104</v>
      </c>
      <c r="G124" t="s">
        <v>207</v>
      </c>
    </row>
    <row r="125" spans="1:7" x14ac:dyDescent="0.15">
      <c r="A125">
        <v>32</v>
      </c>
      <c r="B125" t="s">
        <v>208</v>
      </c>
      <c r="C125">
        <v>33</v>
      </c>
      <c r="D125">
        <v>28</v>
      </c>
      <c r="E125">
        <v>9</v>
      </c>
      <c r="F125" t="s">
        <v>103</v>
      </c>
      <c r="G125" t="s">
        <v>212</v>
      </c>
    </row>
    <row r="126" spans="1:7" x14ac:dyDescent="0.15">
      <c r="B126" t="s">
        <v>209</v>
      </c>
      <c r="F126" t="s">
        <v>104</v>
      </c>
      <c r="G126" t="s">
        <v>75</v>
      </c>
    </row>
    <row r="127" spans="1:7" x14ac:dyDescent="0.15">
      <c r="F127" t="s">
        <v>210</v>
      </c>
      <c r="G127" t="s">
        <v>213</v>
      </c>
    </row>
    <row r="128" spans="1:7" x14ac:dyDescent="0.15">
      <c r="F128" t="s">
        <v>211</v>
      </c>
      <c r="G128" t="s">
        <v>214</v>
      </c>
    </row>
    <row r="129" spans="1:7" x14ac:dyDescent="0.15">
      <c r="A129">
        <v>33</v>
      </c>
      <c r="B129" t="s">
        <v>215</v>
      </c>
      <c r="C129">
        <v>40</v>
      </c>
      <c r="D129">
        <v>30</v>
      </c>
      <c r="E129">
        <v>13</v>
      </c>
      <c r="F129" t="s">
        <v>101</v>
      </c>
      <c r="G129" t="s">
        <v>219</v>
      </c>
    </row>
    <row r="130" spans="1:7" x14ac:dyDescent="0.15">
      <c r="B130" t="s">
        <v>216</v>
      </c>
      <c r="F130" t="s">
        <v>102</v>
      </c>
      <c r="G130" t="s">
        <v>220</v>
      </c>
    </row>
    <row r="131" spans="1:7" ht="14.25" x14ac:dyDescent="0.15">
      <c r="F131" t="s">
        <v>217</v>
      </c>
      <c r="G131" t="s">
        <v>221</v>
      </c>
    </row>
    <row r="132" spans="1:7" x14ac:dyDescent="0.15">
      <c r="F132" t="s">
        <v>218</v>
      </c>
      <c r="G132" t="s">
        <v>222</v>
      </c>
    </row>
    <row r="133" spans="1:7" x14ac:dyDescent="0.15">
      <c r="A133">
        <v>34</v>
      </c>
      <c r="B133" t="s">
        <v>223</v>
      </c>
      <c r="C133">
        <v>34</v>
      </c>
      <c r="D133">
        <v>35</v>
      </c>
      <c r="E133">
        <v>25</v>
      </c>
      <c r="F133" t="s">
        <v>103</v>
      </c>
      <c r="G133" t="s">
        <v>83</v>
      </c>
    </row>
    <row r="134" spans="1:7" x14ac:dyDescent="0.15">
      <c r="B134" t="s">
        <v>224</v>
      </c>
      <c r="F134" t="s">
        <v>104</v>
      </c>
      <c r="G134" t="s">
        <v>84</v>
      </c>
    </row>
    <row r="135" spans="1:7" x14ac:dyDescent="0.15">
      <c r="F135" t="s">
        <v>217</v>
      </c>
      <c r="G135" t="s">
        <v>225</v>
      </c>
    </row>
    <row r="136" spans="1:7" x14ac:dyDescent="0.15">
      <c r="F136" t="s">
        <v>218</v>
      </c>
      <c r="G136" t="s">
        <v>202</v>
      </c>
    </row>
    <row r="137" spans="1:7" x14ac:dyDescent="0.15">
      <c r="A137">
        <v>35</v>
      </c>
      <c r="B137" t="s">
        <v>226</v>
      </c>
      <c r="C137">
        <v>46</v>
      </c>
      <c r="D137">
        <v>41</v>
      </c>
      <c r="E137">
        <v>15</v>
      </c>
      <c r="F137" t="s">
        <v>103</v>
      </c>
      <c r="G137" t="s">
        <v>228</v>
      </c>
    </row>
    <row r="138" spans="1:7" x14ac:dyDescent="0.15">
      <c r="B138" t="s">
        <v>227</v>
      </c>
      <c r="F138" t="s">
        <v>104</v>
      </c>
      <c r="G138" t="s">
        <v>229</v>
      </c>
    </row>
    <row r="139" spans="1:7" x14ac:dyDescent="0.15">
      <c r="F139" t="s">
        <v>217</v>
      </c>
      <c r="G139" t="s">
        <v>230</v>
      </c>
    </row>
    <row r="140" spans="1:7" x14ac:dyDescent="0.15">
      <c r="F140" t="s">
        <v>218</v>
      </c>
      <c r="G140" t="s">
        <v>231</v>
      </c>
    </row>
    <row r="141" spans="1:7" ht="14.25" x14ac:dyDescent="0.15">
      <c r="A141">
        <v>36</v>
      </c>
      <c r="B141" t="s">
        <v>232</v>
      </c>
      <c r="C141">
        <v>4</v>
      </c>
      <c r="D141">
        <v>1350</v>
      </c>
      <c r="E141">
        <v>5</v>
      </c>
      <c r="F141" t="s">
        <v>103</v>
      </c>
      <c r="G141" t="s">
        <v>236</v>
      </c>
    </row>
    <row r="142" spans="1:7" x14ac:dyDescent="0.15">
      <c r="B142" t="s">
        <v>233</v>
      </c>
      <c r="F142" t="s">
        <v>104</v>
      </c>
      <c r="G142" t="s">
        <v>237</v>
      </c>
    </row>
    <row r="143" spans="1:7" ht="14.25" x14ac:dyDescent="0.15">
      <c r="F143" t="s">
        <v>234</v>
      </c>
      <c r="G143" t="s">
        <v>238</v>
      </c>
    </row>
    <row r="144" spans="1:7" x14ac:dyDescent="0.15">
      <c r="F144" t="s">
        <v>235</v>
      </c>
      <c r="G144" t="s">
        <v>239</v>
      </c>
    </row>
    <row r="145" spans="1:7" x14ac:dyDescent="0.15">
      <c r="A145">
        <v>37</v>
      </c>
      <c r="B145" t="s">
        <v>240</v>
      </c>
      <c r="C145">
        <v>40</v>
      </c>
      <c r="D145">
        <v>42</v>
      </c>
      <c r="E145">
        <v>8</v>
      </c>
      <c r="F145" t="s">
        <v>101</v>
      </c>
      <c r="G145" t="s">
        <v>129</v>
      </c>
    </row>
    <row r="146" spans="1:7" x14ac:dyDescent="0.15">
      <c r="B146" t="s">
        <v>241</v>
      </c>
      <c r="F146" t="s">
        <v>102</v>
      </c>
      <c r="G146" t="s">
        <v>130</v>
      </c>
    </row>
    <row r="147" spans="1:7" x14ac:dyDescent="0.15">
      <c r="F147" t="s">
        <v>103</v>
      </c>
      <c r="G147" t="s">
        <v>242</v>
      </c>
    </row>
    <row r="148" spans="1:7" x14ac:dyDescent="0.15">
      <c r="F148" t="s">
        <v>104</v>
      </c>
      <c r="G148" t="s">
        <v>243</v>
      </c>
    </row>
    <row r="149" spans="1:7" x14ac:dyDescent="0.15">
      <c r="A149">
        <v>38</v>
      </c>
      <c r="B149" t="s">
        <v>244</v>
      </c>
      <c r="C149">
        <v>45</v>
      </c>
      <c r="D149">
        <v>40</v>
      </c>
      <c r="E149">
        <v>11</v>
      </c>
      <c r="F149" t="s">
        <v>101</v>
      </c>
      <c r="G149" t="s">
        <v>246</v>
      </c>
    </row>
    <row r="150" spans="1:7" x14ac:dyDescent="0.15">
      <c r="B150" t="s">
        <v>245</v>
      </c>
      <c r="F150" t="s">
        <v>102</v>
      </c>
      <c r="G150" t="s">
        <v>198</v>
      </c>
    </row>
    <row r="151" spans="1:7" x14ac:dyDescent="0.15">
      <c r="F151" t="s">
        <v>103</v>
      </c>
      <c r="G151" t="s">
        <v>247</v>
      </c>
    </row>
    <row r="152" spans="1:7" x14ac:dyDescent="0.15">
      <c r="F152" t="s">
        <v>104</v>
      </c>
      <c r="G152" t="s">
        <v>142</v>
      </c>
    </row>
    <row r="153" spans="1:7" x14ac:dyDescent="0.15">
      <c r="A153">
        <v>39</v>
      </c>
      <c r="B153" t="s">
        <v>248</v>
      </c>
      <c r="C153">
        <v>53</v>
      </c>
      <c r="D153">
        <v>43</v>
      </c>
      <c r="E153">
        <v>12</v>
      </c>
      <c r="F153" t="s">
        <v>101</v>
      </c>
      <c r="G153" t="s">
        <v>63</v>
      </c>
    </row>
    <row r="154" spans="1:7" x14ac:dyDescent="0.15">
      <c r="B154" t="s">
        <v>249</v>
      </c>
      <c r="F154" t="s">
        <v>102</v>
      </c>
      <c r="G154" t="s">
        <v>64</v>
      </c>
    </row>
    <row r="155" spans="1:7" x14ac:dyDescent="0.15">
      <c r="F155" t="s">
        <v>103</v>
      </c>
      <c r="G155" t="s">
        <v>250</v>
      </c>
    </row>
    <row r="156" spans="1:7" x14ac:dyDescent="0.15">
      <c r="F156" t="s">
        <v>104</v>
      </c>
      <c r="G156" t="s">
        <v>172</v>
      </c>
    </row>
    <row r="157" spans="1:7" x14ac:dyDescent="0.15">
      <c r="A157">
        <v>40</v>
      </c>
      <c r="B157" t="s">
        <v>251</v>
      </c>
      <c r="C157">
        <v>39</v>
      </c>
      <c r="D157">
        <v>44</v>
      </c>
      <c r="E157">
        <v>16</v>
      </c>
      <c r="F157" t="s">
        <v>103</v>
      </c>
      <c r="G157" t="s">
        <v>253</v>
      </c>
    </row>
    <row r="158" spans="1:7" x14ac:dyDescent="0.15">
      <c r="B158" t="s">
        <v>252</v>
      </c>
      <c r="F158" t="s">
        <v>104</v>
      </c>
      <c r="G158" t="s">
        <v>220</v>
      </c>
    </row>
    <row r="159" spans="1:7" x14ac:dyDescent="0.15">
      <c r="F159" t="s">
        <v>217</v>
      </c>
      <c r="G159" t="s">
        <v>247</v>
      </c>
    </row>
    <row r="160" spans="1:7" x14ac:dyDescent="0.15">
      <c r="F160" t="s">
        <v>218</v>
      </c>
      <c r="G160" t="s">
        <v>142</v>
      </c>
    </row>
    <row r="161" spans="1:7" x14ac:dyDescent="0.15">
      <c r="A161">
        <v>41</v>
      </c>
      <c r="B161" t="s">
        <v>254</v>
      </c>
      <c r="C161">
        <v>75</v>
      </c>
      <c r="D161">
        <v>45</v>
      </c>
      <c r="E161">
        <v>21</v>
      </c>
      <c r="F161" t="s">
        <v>103</v>
      </c>
      <c r="G161" t="s">
        <v>256</v>
      </c>
    </row>
    <row r="162" spans="1:7" x14ac:dyDescent="0.15">
      <c r="B162" t="s">
        <v>255</v>
      </c>
      <c r="F162" t="s">
        <v>104</v>
      </c>
      <c r="G162" t="s">
        <v>257</v>
      </c>
    </row>
    <row r="163" spans="1:7" x14ac:dyDescent="0.15">
      <c r="G163" t="s">
        <v>258</v>
      </c>
    </row>
    <row r="164" spans="1:7" x14ac:dyDescent="0.15">
      <c r="G164" t="s">
        <v>106</v>
      </c>
    </row>
    <row r="165" spans="1:7" x14ac:dyDescent="0.15">
      <c r="A165">
        <v>42</v>
      </c>
      <c r="B165" t="s">
        <v>259</v>
      </c>
      <c r="C165">
        <v>48</v>
      </c>
      <c r="D165">
        <v>43</v>
      </c>
      <c r="E165">
        <v>17</v>
      </c>
      <c r="F165" t="s">
        <v>103</v>
      </c>
      <c r="G165" t="s">
        <v>263</v>
      </c>
    </row>
    <row r="166" spans="1:7" x14ac:dyDescent="0.15">
      <c r="B166" t="s">
        <v>260</v>
      </c>
      <c r="F166" t="s">
        <v>104</v>
      </c>
      <c r="G166" t="s">
        <v>257</v>
      </c>
    </row>
    <row r="167" spans="1:7" x14ac:dyDescent="0.15">
      <c r="F167" t="s">
        <v>261</v>
      </c>
      <c r="G167" t="s">
        <v>264</v>
      </c>
    </row>
    <row r="168" spans="1:7" x14ac:dyDescent="0.15">
      <c r="F168" t="s">
        <v>262</v>
      </c>
      <c r="G168" t="s">
        <v>265</v>
      </c>
    </row>
    <row r="169" spans="1:7" x14ac:dyDescent="0.15">
      <c r="A169">
        <v>43</v>
      </c>
      <c r="B169" t="s">
        <v>266</v>
      </c>
      <c r="C169">
        <v>52</v>
      </c>
      <c r="D169">
        <v>52</v>
      </c>
      <c r="E169">
        <v>20</v>
      </c>
      <c r="F169" t="s">
        <v>103</v>
      </c>
      <c r="G169" t="s">
        <v>212</v>
      </c>
    </row>
    <row r="170" spans="1:7" x14ac:dyDescent="0.15">
      <c r="B170" t="s">
        <v>267</v>
      </c>
      <c r="F170" t="s">
        <v>104</v>
      </c>
      <c r="G170" t="s">
        <v>75</v>
      </c>
    </row>
    <row r="171" spans="1:7" x14ac:dyDescent="0.15">
      <c r="G171" t="s">
        <v>268</v>
      </c>
    </row>
    <row r="172" spans="1:7" x14ac:dyDescent="0.15">
      <c r="G172" t="s">
        <v>98</v>
      </c>
    </row>
    <row r="173" spans="1:7" x14ac:dyDescent="0.15">
      <c r="A173">
        <v>44</v>
      </c>
      <c r="B173" t="s">
        <v>269</v>
      </c>
      <c r="C173">
        <v>73</v>
      </c>
      <c r="D173">
        <v>55</v>
      </c>
      <c r="E173">
        <v>9</v>
      </c>
      <c r="F173" t="s">
        <v>103</v>
      </c>
      <c r="G173" t="s">
        <v>271</v>
      </c>
    </row>
    <row r="174" spans="1:7" x14ac:dyDescent="0.15">
      <c r="B174" t="s">
        <v>270</v>
      </c>
      <c r="F174" t="s">
        <v>104</v>
      </c>
      <c r="G174" t="s">
        <v>140</v>
      </c>
    </row>
    <row r="175" spans="1:7" x14ac:dyDescent="0.15">
      <c r="F175" t="s">
        <v>217</v>
      </c>
      <c r="G175" t="s">
        <v>272</v>
      </c>
    </row>
    <row r="176" spans="1:7" x14ac:dyDescent="0.15">
      <c r="F176" t="s">
        <v>218</v>
      </c>
      <c r="G176" t="s">
        <v>273</v>
      </c>
    </row>
    <row r="177" spans="1:7" x14ac:dyDescent="0.15">
      <c r="A177">
        <v>45</v>
      </c>
      <c r="B177" t="s">
        <v>274</v>
      </c>
      <c r="C177">
        <v>37</v>
      </c>
      <c r="D177">
        <v>51</v>
      </c>
      <c r="E177">
        <v>12</v>
      </c>
      <c r="F177" t="s">
        <v>101</v>
      </c>
      <c r="G177" t="s">
        <v>212</v>
      </c>
    </row>
    <row r="178" spans="1:7" x14ac:dyDescent="0.15">
      <c r="B178" t="s">
        <v>275</v>
      </c>
      <c r="F178" t="s">
        <v>102</v>
      </c>
      <c r="G178" t="s">
        <v>75</v>
      </c>
    </row>
    <row r="179" spans="1:7" x14ac:dyDescent="0.15">
      <c r="F179" t="s">
        <v>103</v>
      </c>
      <c r="G179" t="s">
        <v>276</v>
      </c>
    </row>
    <row r="180" spans="1:7" x14ac:dyDescent="0.15">
      <c r="F180" t="s">
        <v>104</v>
      </c>
      <c r="G180" t="s">
        <v>277</v>
      </c>
    </row>
    <row r="181" spans="1:7" x14ac:dyDescent="0.15">
      <c r="A181">
        <v>46</v>
      </c>
      <c r="B181" t="s">
        <v>278</v>
      </c>
      <c r="C181">
        <v>48</v>
      </c>
      <c r="D181">
        <v>54</v>
      </c>
      <c r="E181">
        <v>18</v>
      </c>
      <c r="F181" t="s">
        <v>103</v>
      </c>
      <c r="G181" t="s">
        <v>73</v>
      </c>
    </row>
    <row r="182" spans="1:7" x14ac:dyDescent="0.15">
      <c r="B182" t="s">
        <v>279</v>
      </c>
      <c r="F182" t="s">
        <v>104</v>
      </c>
      <c r="G182" t="s">
        <v>64</v>
      </c>
    </row>
    <row r="183" spans="1:7" x14ac:dyDescent="0.15">
      <c r="G183" t="s">
        <v>280</v>
      </c>
    </row>
    <row r="184" spans="1:7" x14ac:dyDescent="0.15">
      <c r="G184" t="s">
        <v>281</v>
      </c>
    </row>
    <row r="185" spans="1:7" x14ac:dyDescent="0.15">
      <c r="A185">
        <v>47</v>
      </c>
      <c r="B185" t="s">
        <v>282</v>
      </c>
      <c r="C185">
        <v>52</v>
      </c>
      <c r="D185">
        <v>55</v>
      </c>
      <c r="E185">
        <v>22</v>
      </c>
      <c r="F185" t="s">
        <v>103</v>
      </c>
      <c r="G185" t="s">
        <v>284</v>
      </c>
    </row>
    <row r="186" spans="1:7" x14ac:dyDescent="0.15">
      <c r="B186" t="s">
        <v>283</v>
      </c>
      <c r="F186" t="s">
        <v>104</v>
      </c>
      <c r="G186" t="s">
        <v>106</v>
      </c>
    </row>
    <row r="187" spans="1:7" x14ac:dyDescent="0.15">
      <c r="F187" t="s">
        <v>261</v>
      </c>
      <c r="G187" t="s">
        <v>285</v>
      </c>
    </row>
    <row r="188" spans="1:7" x14ac:dyDescent="0.15">
      <c r="F188" t="s">
        <v>262</v>
      </c>
      <c r="G188" t="s">
        <v>286</v>
      </c>
    </row>
    <row r="189" spans="1:7" x14ac:dyDescent="0.15">
      <c r="A189">
        <v>48</v>
      </c>
      <c r="B189" t="s">
        <v>287</v>
      </c>
      <c r="C189">
        <v>32</v>
      </c>
      <c r="D189">
        <v>56</v>
      </c>
      <c r="E189">
        <v>31</v>
      </c>
      <c r="F189" t="s">
        <v>103</v>
      </c>
      <c r="G189" t="s">
        <v>291</v>
      </c>
    </row>
    <row r="190" spans="1:7" x14ac:dyDescent="0.15">
      <c r="B190" t="s">
        <v>288</v>
      </c>
      <c r="F190" t="s">
        <v>104</v>
      </c>
      <c r="G190" t="s">
        <v>292</v>
      </c>
    </row>
    <row r="191" spans="1:7" x14ac:dyDescent="0.15">
      <c r="F191" t="s">
        <v>289</v>
      </c>
      <c r="G191" t="s">
        <v>293</v>
      </c>
    </row>
    <row r="192" spans="1:7" x14ac:dyDescent="0.15">
      <c r="F192" t="s">
        <v>290</v>
      </c>
      <c r="G192" t="s">
        <v>294</v>
      </c>
    </row>
    <row r="193" spans="1:7" x14ac:dyDescent="0.15">
      <c r="A193">
        <v>49</v>
      </c>
      <c r="B193" t="s">
        <v>295</v>
      </c>
      <c r="C193">
        <v>64</v>
      </c>
      <c r="D193">
        <v>67</v>
      </c>
      <c r="E193">
        <v>23</v>
      </c>
      <c r="F193" t="s">
        <v>101</v>
      </c>
      <c r="G193" t="s">
        <v>297</v>
      </c>
    </row>
    <row r="194" spans="1:7" x14ac:dyDescent="0.15">
      <c r="B194" t="s">
        <v>296</v>
      </c>
      <c r="F194" t="s">
        <v>102</v>
      </c>
      <c r="G194" t="s">
        <v>64</v>
      </c>
    </row>
    <row r="195" spans="1:7" x14ac:dyDescent="0.15">
      <c r="F195" t="s">
        <v>103</v>
      </c>
      <c r="G195" t="s">
        <v>298</v>
      </c>
    </row>
    <row r="196" spans="1:7" x14ac:dyDescent="0.15">
      <c r="F196" t="s">
        <v>104</v>
      </c>
      <c r="G196" t="s">
        <v>299</v>
      </c>
    </row>
    <row r="197" spans="1:7" x14ac:dyDescent="0.15">
      <c r="A197">
        <v>50</v>
      </c>
      <c r="B197" t="s">
        <v>300</v>
      </c>
      <c r="C197">
        <v>49</v>
      </c>
      <c r="D197">
        <v>53</v>
      </c>
      <c r="E197">
        <v>15</v>
      </c>
    </row>
    <row r="198" spans="1:7" x14ac:dyDescent="0.15">
      <c r="B198" t="s">
        <v>301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0"/>
  <sheetViews>
    <sheetView workbookViewId="0">
      <selection activeCell="B35" sqref="B35"/>
    </sheetView>
  </sheetViews>
  <sheetFormatPr defaultRowHeight="13.5" x14ac:dyDescent="0.15"/>
  <sheetData>
    <row r="1" spans="1:11" x14ac:dyDescent="0.15">
      <c r="E1" t="s">
        <v>4</v>
      </c>
      <c r="F1" t="s">
        <v>302</v>
      </c>
      <c r="G1" t="s">
        <v>303</v>
      </c>
    </row>
    <row r="2" spans="1:11" x14ac:dyDescent="0.15">
      <c r="A2">
        <v>7</v>
      </c>
      <c r="B2">
        <v>1</v>
      </c>
      <c r="E2">
        <v>1</v>
      </c>
      <c r="F2">
        <v>7</v>
      </c>
      <c r="G2">
        <v>1</v>
      </c>
    </row>
    <row r="3" spans="1:11" x14ac:dyDescent="0.15">
      <c r="A3">
        <v>9</v>
      </c>
      <c r="B3">
        <v>5</v>
      </c>
      <c r="E3">
        <v>2</v>
      </c>
      <c r="F3">
        <v>10</v>
      </c>
      <c r="G3">
        <v>2</v>
      </c>
      <c r="H3">
        <v>11</v>
      </c>
      <c r="I3">
        <v>2</v>
      </c>
    </row>
    <row r="4" spans="1:11" x14ac:dyDescent="0.15">
      <c r="A4">
        <v>10</v>
      </c>
      <c r="B4">
        <v>2</v>
      </c>
      <c r="E4">
        <v>3</v>
      </c>
      <c r="F4">
        <v>13</v>
      </c>
      <c r="G4">
        <v>3</v>
      </c>
      <c r="H4">
        <v>15</v>
      </c>
      <c r="I4">
        <v>3</v>
      </c>
    </row>
    <row r="5" spans="1:11" x14ac:dyDescent="0.15">
      <c r="A5">
        <v>10</v>
      </c>
      <c r="B5">
        <v>2</v>
      </c>
      <c r="E5">
        <v>4</v>
      </c>
      <c r="G5">
        <v>4</v>
      </c>
      <c r="H5">
        <v>17</v>
      </c>
      <c r="I5">
        <v>4</v>
      </c>
      <c r="J5">
        <v>15</v>
      </c>
      <c r="K5">
        <v>4</v>
      </c>
    </row>
    <row r="6" spans="1:11" x14ac:dyDescent="0.15">
      <c r="A6">
        <v>11</v>
      </c>
      <c r="B6">
        <v>2</v>
      </c>
      <c r="E6">
        <v>5</v>
      </c>
    </row>
    <row r="7" spans="1:11" x14ac:dyDescent="0.15">
      <c r="A7">
        <v>13</v>
      </c>
      <c r="B7">
        <v>3</v>
      </c>
      <c r="E7">
        <v>6</v>
      </c>
    </row>
    <row r="8" spans="1:11" x14ac:dyDescent="0.15">
      <c r="A8">
        <v>14</v>
      </c>
      <c r="B8">
        <v>5</v>
      </c>
      <c r="E8">
        <v>7</v>
      </c>
    </row>
    <row r="9" spans="1:11" x14ac:dyDescent="0.15">
      <c r="A9">
        <v>15</v>
      </c>
      <c r="B9">
        <v>3</v>
      </c>
      <c r="E9">
        <v>8</v>
      </c>
    </row>
    <row r="10" spans="1:11" x14ac:dyDescent="0.15">
      <c r="A10">
        <v>15</v>
      </c>
      <c r="B10">
        <v>4</v>
      </c>
    </row>
    <row r="11" spans="1:11" x14ac:dyDescent="0.15">
      <c r="A11">
        <v>16</v>
      </c>
      <c r="B11">
        <v>5</v>
      </c>
    </row>
    <row r="12" spans="1:11" x14ac:dyDescent="0.15">
      <c r="A12">
        <v>16</v>
      </c>
      <c r="B12">
        <v>12</v>
      </c>
    </row>
    <row r="13" spans="1:11" x14ac:dyDescent="0.15">
      <c r="A13">
        <v>18</v>
      </c>
      <c r="B13">
        <v>8</v>
      </c>
    </row>
    <row r="14" spans="1:11" x14ac:dyDescent="0.15">
      <c r="A14">
        <v>19</v>
      </c>
      <c r="B14">
        <v>9</v>
      </c>
    </row>
    <row r="15" spans="1:11" x14ac:dyDescent="0.15">
      <c r="A15">
        <v>20</v>
      </c>
      <c r="B15">
        <v>5</v>
      </c>
    </row>
    <row r="16" spans="1:11" x14ac:dyDescent="0.15">
      <c r="A16">
        <v>20</v>
      </c>
      <c r="B16">
        <v>7</v>
      </c>
    </row>
    <row r="17" spans="1:2" x14ac:dyDescent="0.15">
      <c r="A17">
        <v>21</v>
      </c>
      <c r="B17">
        <v>10</v>
      </c>
    </row>
    <row r="18" spans="1:2" x14ac:dyDescent="0.15">
      <c r="A18">
        <v>21</v>
      </c>
      <c r="B18">
        <v>12</v>
      </c>
    </row>
    <row r="19" spans="1:2" x14ac:dyDescent="0.15">
      <c r="A19">
        <v>22</v>
      </c>
      <c r="B19">
        <v>13</v>
      </c>
    </row>
    <row r="20" spans="1:2" x14ac:dyDescent="0.15">
      <c r="A20">
        <v>24</v>
      </c>
      <c r="B20">
        <v>18</v>
      </c>
    </row>
    <row r="21" spans="1:2" x14ac:dyDescent="0.15">
      <c r="A21">
        <v>25</v>
      </c>
      <c r="B21">
        <v>20</v>
      </c>
    </row>
    <row r="22" spans="1:2" x14ac:dyDescent="0.15">
      <c r="A22">
        <v>28</v>
      </c>
      <c r="B22">
        <v>15</v>
      </c>
    </row>
    <row r="23" spans="1:2" x14ac:dyDescent="0.15">
      <c r="A23">
        <v>28</v>
      </c>
      <c r="B23">
        <v>31</v>
      </c>
    </row>
    <row r="24" spans="1:2" x14ac:dyDescent="0.15">
      <c r="A24">
        <v>29</v>
      </c>
      <c r="B24">
        <v>19</v>
      </c>
    </row>
    <row r="25" spans="1:2" x14ac:dyDescent="0.15">
      <c r="A25">
        <v>32</v>
      </c>
      <c r="B25">
        <v>56</v>
      </c>
    </row>
    <row r="26" spans="1:2" x14ac:dyDescent="0.15">
      <c r="A26">
        <v>33</v>
      </c>
      <c r="B26">
        <v>21</v>
      </c>
    </row>
    <row r="27" spans="1:2" x14ac:dyDescent="0.15">
      <c r="A27">
        <v>33</v>
      </c>
      <c r="B27">
        <v>28</v>
      </c>
    </row>
    <row r="28" spans="1:2" x14ac:dyDescent="0.15">
      <c r="A28">
        <v>34</v>
      </c>
      <c r="B28">
        <v>35</v>
      </c>
    </row>
    <row r="29" spans="1:2" x14ac:dyDescent="0.15">
      <c r="A29">
        <v>36</v>
      </c>
      <c r="B29">
        <v>20</v>
      </c>
    </row>
    <row r="30" spans="1:2" x14ac:dyDescent="0.15">
      <c r="A30">
        <v>36</v>
      </c>
      <c r="B30">
        <v>37</v>
      </c>
    </row>
    <row r="31" spans="1:2" x14ac:dyDescent="0.15">
      <c r="A31">
        <v>37</v>
      </c>
      <c r="B31">
        <v>51</v>
      </c>
    </row>
    <row r="32" spans="1:2" x14ac:dyDescent="0.15">
      <c r="A32">
        <v>38</v>
      </c>
      <c r="B32">
        <v>31</v>
      </c>
    </row>
    <row r="33" spans="1:2" x14ac:dyDescent="0.15">
      <c r="A33">
        <v>38</v>
      </c>
      <c r="B33">
        <v>36</v>
      </c>
    </row>
    <row r="34" spans="1:2" x14ac:dyDescent="0.15">
      <c r="A34">
        <v>39</v>
      </c>
      <c r="B34">
        <v>44</v>
      </c>
    </row>
    <row r="35" spans="1:2" x14ac:dyDescent="0.15">
      <c r="A35">
        <v>40</v>
      </c>
      <c r="B35">
        <v>32</v>
      </c>
    </row>
    <row r="36" spans="1:2" x14ac:dyDescent="0.15">
      <c r="A36">
        <v>40</v>
      </c>
      <c r="B36">
        <v>30</v>
      </c>
    </row>
    <row r="37" spans="1:2" x14ac:dyDescent="0.15">
      <c r="A37">
        <v>40</v>
      </c>
      <c r="B37">
        <v>42</v>
      </c>
    </row>
    <row r="38" spans="1:2" x14ac:dyDescent="0.15">
      <c r="A38">
        <v>42</v>
      </c>
      <c r="B38">
        <v>30</v>
      </c>
    </row>
    <row r="39" spans="1:2" x14ac:dyDescent="0.15">
      <c r="A39">
        <v>45</v>
      </c>
      <c r="B39">
        <v>40</v>
      </c>
    </row>
    <row r="40" spans="1:2" x14ac:dyDescent="0.15">
      <c r="A40">
        <v>46</v>
      </c>
      <c r="B40">
        <v>41</v>
      </c>
    </row>
    <row r="41" spans="1:2" x14ac:dyDescent="0.15">
      <c r="A41">
        <v>48</v>
      </c>
      <c r="B41">
        <v>43</v>
      </c>
    </row>
    <row r="42" spans="1:2" x14ac:dyDescent="0.15">
      <c r="A42">
        <v>48</v>
      </c>
      <c r="B42">
        <v>54</v>
      </c>
    </row>
    <row r="43" spans="1:2" x14ac:dyDescent="0.15">
      <c r="A43">
        <v>49</v>
      </c>
      <c r="B43">
        <v>53</v>
      </c>
    </row>
    <row r="44" spans="1:2" x14ac:dyDescent="0.15">
      <c r="A44">
        <v>52</v>
      </c>
      <c r="B44">
        <v>52</v>
      </c>
    </row>
    <row r="45" spans="1:2" x14ac:dyDescent="0.15">
      <c r="A45">
        <v>52</v>
      </c>
      <c r="B45">
        <v>55</v>
      </c>
    </row>
    <row r="46" spans="1:2" x14ac:dyDescent="0.15">
      <c r="A46">
        <v>53</v>
      </c>
      <c r="B46">
        <v>43</v>
      </c>
    </row>
    <row r="47" spans="1:2" x14ac:dyDescent="0.15">
      <c r="A47">
        <v>64</v>
      </c>
      <c r="B47">
        <v>67</v>
      </c>
    </row>
    <row r="48" spans="1:2" x14ac:dyDescent="0.15">
      <c r="A48">
        <v>73</v>
      </c>
      <c r="B48">
        <v>64</v>
      </c>
    </row>
    <row r="49" spans="1:2" x14ac:dyDescent="0.15">
      <c r="A49">
        <v>73</v>
      </c>
      <c r="B49">
        <v>55</v>
      </c>
    </row>
    <row r="50" spans="1:2" x14ac:dyDescent="0.15">
      <c r="A50">
        <v>75</v>
      </c>
      <c r="B50">
        <v>45</v>
      </c>
    </row>
  </sheetData>
  <autoFilter ref="A1:B198">
    <sortState ref="A2:B199">
      <sortCondition ref="A1:A199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9"/>
  <sheetViews>
    <sheetView workbookViewId="0">
      <selection activeCell="B2" sqref="B2:B49"/>
    </sheetView>
  </sheetViews>
  <sheetFormatPr defaultRowHeight="13.5" x14ac:dyDescent="0.15"/>
  <cols>
    <col min="4" max="4" width="0" hidden="1" customWidth="1"/>
    <col min="5" max="5" width="6.125" customWidth="1"/>
    <col min="11" max="11" width="19.375" customWidth="1"/>
    <col min="13" max="13" width="14.125" customWidth="1"/>
    <col min="14" max="15" width="5.875" customWidth="1"/>
  </cols>
  <sheetData>
    <row r="1" spans="1:26" x14ac:dyDescent="0.15">
      <c r="I1">
        <v>2</v>
      </c>
      <c r="J1">
        <v>4</v>
      </c>
      <c r="M1">
        <v>3</v>
      </c>
      <c r="N1">
        <v>6</v>
      </c>
      <c r="P1">
        <v>10000</v>
      </c>
      <c r="S1">
        <v>10000</v>
      </c>
      <c r="V1">
        <v>10000</v>
      </c>
      <c r="Y1">
        <v>10000</v>
      </c>
    </row>
    <row r="2" spans="1:26" x14ac:dyDescent="0.15">
      <c r="A2" t="s">
        <v>20</v>
      </c>
      <c r="B2" t="str">
        <f>IF(K2&lt;&gt;"",K2&amp;";"&amp;Z2,Z2)</f>
        <v>1100,2,4,10000;1100,3,6,5000;1018,3,6,5000</v>
      </c>
      <c r="C2" t="s">
        <v>412</v>
      </c>
      <c r="D2">
        <v>1</v>
      </c>
      <c r="E2">
        <v>1</v>
      </c>
      <c r="F2" t="s">
        <v>422</v>
      </c>
      <c r="G2">
        <v>5000</v>
      </c>
      <c r="K2" t="str">
        <f>L2&amp;","&amp;$I$1&amp;","&amp;$J$1&amp;","&amp;$P$1</f>
        <v>1100,2,4,10000</v>
      </c>
      <c r="L2">
        <f>VLOOKUP(F2,Sheet6!$A$1:$C$301,3,FALSE)</f>
        <v>1100</v>
      </c>
      <c r="M2" t="str">
        <f>L2&amp;","&amp;$M$1&amp;","&amp;$N$1&amp;","&amp;G2</f>
        <v>1100,3,6,5000</v>
      </c>
      <c r="N2" t="s">
        <v>474</v>
      </c>
      <c r="O2">
        <f>VLOOKUP(N2,Sheet6!$A$1:$C$301,3,FALSE)</f>
        <v>1018</v>
      </c>
      <c r="P2" t="str">
        <f>O2&amp;","&amp;$M$1&amp;","&amp;$N$1&amp;","&amp;G2</f>
        <v>1018,3,6,5000</v>
      </c>
      <c r="Z2" t="str">
        <f>M2&amp;IF(P2=0,,";"&amp;P2)&amp;IF(S2=0,,";"&amp;S2)&amp;IF(V2=0,,";"&amp;V2)&amp;IF(Y2=0,,";"&amp;Y2)</f>
        <v>1100,3,6,5000;1018,3,6,5000</v>
      </c>
    </row>
    <row r="3" spans="1:26" x14ac:dyDescent="0.15">
      <c r="A3" t="s">
        <v>11</v>
      </c>
      <c r="B3" t="str">
        <f t="shared" ref="B3:B49" si="0">IF(K3&lt;&gt;"",K3&amp;";"&amp;Z3,Z3)</f>
        <v>1091,2,4,10000;1091,3,6,5000;1140,1,2,5000</v>
      </c>
      <c r="C3" t="s">
        <v>412</v>
      </c>
      <c r="D3">
        <v>2</v>
      </c>
      <c r="E3">
        <v>2</v>
      </c>
      <c r="F3" t="s">
        <v>423</v>
      </c>
      <c r="G3">
        <v>5000</v>
      </c>
      <c r="K3" t="str">
        <f>L3&amp;","&amp;$I$1&amp;","&amp;$J$1&amp;","&amp;$P$1</f>
        <v>1091,2,4,10000</v>
      </c>
      <c r="L3">
        <f>VLOOKUP(F3,Sheet6!$A$1:$C$301,3,FALSE)</f>
        <v>1091</v>
      </c>
      <c r="M3" t="str">
        <f t="shared" ref="M3:M49" si="1">L3&amp;","&amp;$M$1&amp;","&amp;$N$1&amp;","&amp;G3</f>
        <v>1091,3,6,5000</v>
      </c>
      <c r="Q3" t="s">
        <v>520</v>
      </c>
      <c r="R3">
        <f>VLOOKUP(Q3,Sheet6!$A$1:$C$301,3,FALSE)</f>
        <v>1140</v>
      </c>
      <c r="S3" t="str">
        <f>R3&amp;","&amp;1&amp;","&amp;2&amp;","&amp;"5000"</f>
        <v>1140,1,2,5000</v>
      </c>
      <c r="Z3" t="str">
        <f t="shared" ref="Z3:Z49" si="2">M3&amp;IF(P3=0,,";"&amp;P3)&amp;IF(S3=0,,";"&amp;S3)&amp;IF(V3=0,,";"&amp;V3)&amp;IF(Y3=0,,";"&amp;Y3)</f>
        <v>1091,3,6,5000;1140,1,2,5000</v>
      </c>
    </row>
    <row r="4" spans="1:26" x14ac:dyDescent="0.15">
      <c r="A4" t="s">
        <v>17</v>
      </c>
      <c r="B4" t="str">
        <f t="shared" si="0"/>
        <v>1112,2,4,10000;1112,3,6,5000</v>
      </c>
      <c r="C4" t="s">
        <v>412</v>
      </c>
      <c r="D4">
        <v>3</v>
      </c>
      <c r="E4">
        <v>3</v>
      </c>
      <c r="F4" t="s">
        <v>441</v>
      </c>
      <c r="G4">
        <v>5000</v>
      </c>
      <c r="K4" t="str">
        <f>L4&amp;","&amp;$I$1&amp;","&amp;$J$1&amp;","&amp;$P$1</f>
        <v>1112,2,4,10000</v>
      </c>
      <c r="L4">
        <f>VLOOKUP(F4,Sheet6!$A$1:$C$301,3,FALSE)</f>
        <v>1112</v>
      </c>
      <c r="M4" t="str">
        <f t="shared" si="1"/>
        <v>1112,3,6,5000</v>
      </c>
      <c r="Z4" t="str">
        <f t="shared" si="2"/>
        <v>1112,3,6,5000</v>
      </c>
    </row>
    <row r="5" spans="1:26" x14ac:dyDescent="0.15">
      <c r="A5" t="s">
        <v>14</v>
      </c>
      <c r="B5" t="str">
        <f t="shared" si="0"/>
        <v>1086,2,4,10000;1086,3,6,5000;1018,3,6,5000</v>
      </c>
      <c r="C5" t="s">
        <v>412</v>
      </c>
      <c r="D5">
        <v>4</v>
      </c>
      <c r="E5">
        <v>4</v>
      </c>
      <c r="F5" t="s">
        <v>452</v>
      </c>
      <c r="G5">
        <v>5000</v>
      </c>
      <c r="K5" t="str">
        <f>L5&amp;","&amp;$I$1&amp;","&amp;$J$1&amp;","&amp;$P$1</f>
        <v>1086,2,4,10000</v>
      </c>
      <c r="L5">
        <f>VLOOKUP(F5,Sheet6!$A$1:$C$301,3,FALSE)</f>
        <v>1086</v>
      </c>
      <c r="M5" t="str">
        <f t="shared" si="1"/>
        <v>1086,3,6,5000</v>
      </c>
      <c r="N5" t="s">
        <v>474</v>
      </c>
      <c r="O5">
        <f>VLOOKUP(N5,Sheet6!$A$1:$C$301,3,FALSE)</f>
        <v>1018</v>
      </c>
      <c r="P5" t="str">
        <f>O5&amp;","&amp;$M$1&amp;","&amp;$N$1&amp;","&amp;G5</f>
        <v>1018,3,6,5000</v>
      </c>
      <c r="Z5" t="str">
        <f t="shared" si="2"/>
        <v>1086,3,6,5000;1018,3,6,5000</v>
      </c>
    </row>
    <row r="6" spans="1:26" x14ac:dyDescent="0.15">
      <c r="A6" t="s">
        <v>15</v>
      </c>
      <c r="B6" t="str">
        <f t="shared" si="0"/>
        <v>1097,2,4,10000;1097,3,6,5000</v>
      </c>
      <c r="C6" t="s">
        <v>412</v>
      </c>
      <c r="D6">
        <v>5</v>
      </c>
      <c r="E6">
        <v>6</v>
      </c>
      <c r="F6" t="s">
        <v>416</v>
      </c>
      <c r="G6">
        <v>5000</v>
      </c>
      <c r="K6" t="str">
        <f>L6&amp;","&amp;$I$1&amp;","&amp;$J$1&amp;","&amp;$P$1</f>
        <v>1097,2,4,10000</v>
      </c>
      <c r="L6">
        <f>VLOOKUP(F6,Sheet6!$A$1:$C$301,3,FALSE)</f>
        <v>1097</v>
      </c>
      <c r="M6" t="str">
        <f t="shared" si="1"/>
        <v>1097,3,6,5000</v>
      </c>
      <c r="Z6" t="str">
        <f t="shared" si="2"/>
        <v>1097,3,6,5000</v>
      </c>
    </row>
    <row r="7" spans="1:26" x14ac:dyDescent="0.15">
      <c r="A7" t="s">
        <v>16</v>
      </c>
      <c r="B7" t="str">
        <f t="shared" si="0"/>
        <v>1100,3,6,10000;1091,3,6,10000;1112,3,6,10000;1086,3,6,10000;1097,3,6,10000</v>
      </c>
      <c r="C7" t="s">
        <v>412</v>
      </c>
      <c r="D7">
        <v>6</v>
      </c>
      <c r="E7">
        <v>10</v>
      </c>
      <c r="F7" t="s">
        <v>422</v>
      </c>
      <c r="G7">
        <v>10000</v>
      </c>
      <c r="L7">
        <f>VLOOKUP(F7,Sheet6!$A$1:$C$301,3,FALSE)</f>
        <v>1100</v>
      </c>
      <c r="M7" t="str">
        <f t="shared" si="1"/>
        <v>1100,3,6,10000</v>
      </c>
      <c r="N7" t="s">
        <v>423</v>
      </c>
      <c r="O7">
        <f>VLOOKUP(N7,Sheet6!$A$1:$C$301,3,FALSE)</f>
        <v>1091</v>
      </c>
      <c r="P7" t="str">
        <f>O7&amp;","&amp;$M$1&amp;","&amp;$N$1&amp;","&amp;P$1</f>
        <v>1091,3,6,10000</v>
      </c>
      <c r="Q7" t="s">
        <v>441</v>
      </c>
      <c r="R7">
        <f>VLOOKUP(Q7,Sheet6!$A$1:$C$301,3,FALSE)</f>
        <v>1112</v>
      </c>
      <c r="S7" t="str">
        <f>R7&amp;","&amp;$M$1&amp;","&amp;$N$1&amp;","&amp;S$1</f>
        <v>1112,3,6,10000</v>
      </c>
      <c r="T7" t="s">
        <v>452</v>
      </c>
      <c r="U7">
        <f>VLOOKUP(T7,Sheet6!$A$1:$C$301,3,FALSE)</f>
        <v>1086</v>
      </c>
      <c r="V7" t="str">
        <f>U7&amp;","&amp;$M$1&amp;","&amp;$N$1&amp;","&amp;V$1</f>
        <v>1086,3,6,10000</v>
      </c>
      <c r="W7" t="s">
        <v>416</v>
      </c>
      <c r="X7">
        <f>VLOOKUP(W7,Sheet6!$A$1:$C$301,3,FALSE)</f>
        <v>1097</v>
      </c>
      <c r="Y7" t="str">
        <f>X7&amp;","&amp;$M$1&amp;","&amp;$N$1&amp;","&amp;Y$1</f>
        <v>1097,3,6,10000</v>
      </c>
      <c r="Z7" t="str">
        <f t="shared" si="2"/>
        <v>1100,3,6,10000;1091,3,6,10000;1112,3,6,10000;1086,3,6,10000;1097,3,6,10000</v>
      </c>
    </row>
    <row r="8" spans="1:26" x14ac:dyDescent="0.15">
      <c r="A8" t="s">
        <v>19</v>
      </c>
      <c r="B8" t="str">
        <f t="shared" si="0"/>
        <v>1119,2,4,10000;1119,3,6,5000</v>
      </c>
      <c r="C8" t="s">
        <v>417</v>
      </c>
      <c r="D8">
        <v>7</v>
      </c>
      <c r="E8">
        <v>7</v>
      </c>
      <c r="F8" t="s">
        <v>421</v>
      </c>
      <c r="G8">
        <v>5000</v>
      </c>
      <c r="K8" t="str">
        <f>L8&amp;","&amp;$I$1&amp;","&amp;$J$1&amp;","&amp;$P$1</f>
        <v>1119,2,4,10000</v>
      </c>
      <c r="L8">
        <f>VLOOKUP(F8,Sheet6!$A$1:$C$301,3,FALSE)</f>
        <v>1119</v>
      </c>
      <c r="M8" t="str">
        <f t="shared" si="1"/>
        <v>1119,3,6,5000</v>
      </c>
      <c r="Z8" t="str">
        <f t="shared" si="2"/>
        <v>1119,3,6,5000</v>
      </c>
    </row>
    <row r="9" spans="1:26" x14ac:dyDescent="0.15">
      <c r="A9" t="s">
        <v>12</v>
      </c>
      <c r="B9" t="str">
        <f t="shared" si="0"/>
        <v>1109,2,4,10000;1109,3,6,5000;1149,1,2,5000</v>
      </c>
      <c r="C9" t="s">
        <v>417</v>
      </c>
      <c r="D9">
        <v>8</v>
      </c>
      <c r="E9">
        <v>8</v>
      </c>
      <c r="F9" t="s">
        <v>434</v>
      </c>
      <c r="G9">
        <v>5000</v>
      </c>
      <c r="K9" t="str">
        <f>L9&amp;","&amp;$I$1&amp;","&amp;$J$1&amp;","&amp;$P$1</f>
        <v>1109,2,4,10000</v>
      </c>
      <c r="L9">
        <f>VLOOKUP(F9,Sheet6!$A$1:$C$301,3,FALSE)</f>
        <v>1109</v>
      </c>
      <c r="M9" t="str">
        <f t="shared" si="1"/>
        <v>1109,3,6,5000</v>
      </c>
      <c r="Q9" t="s">
        <v>529</v>
      </c>
      <c r="R9">
        <f>VLOOKUP(Q9,Sheet6!$A$1:$C$301,3,FALSE)</f>
        <v>1149</v>
      </c>
      <c r="S9" t="str">
        <f>R9&amp;","&amp;1&amp;","&amp;2&amp;","&amp;"5000"</f>
        <v>1149,1,2,5000</v>
      </c>
      <c r="Z9" t="str">
        <f t="shared" si="2"/>
        <v>1109,3,6,5000;1149,1,2,5000</v>
      </c>
    </row>
    <row r="10" spans="1:26" x14ac:dyDescent="0.15">
      <c r="A10" t="s">
        <v>454</v>
      </c>
      <c r="B10" t="str">
        <f t="shared" si="0"/>
        <v>1098,2,4,10000;1098,3,6,5000</v>
      </c>
      <c r="C10" t="s">
        <v>417</v>
      </c>
      <c r="D10">
        <v>9</v>
      </c>
      <c r="E10">
        <v>9</v>
      </c>
      <c r="F10" t="s">
        <v>419</v>
      </c>
      <c r="G10">
        <v>5000</v>
      </c>
      <c r="K10" t="str">
        <f>L10&amp;","&amp;$I$1&amp;","&amp;$J$1&amp;","&amp;$P$1</f>
        <v>1098,2,4,10000</v>
      </c>
      <c r="L10">
        <f>VLOOKUP(F10,Sheet6!$A$1:$C$301,3,FALSE)</f>
        <v>1098</v>
      </c>
      <c r="M10" t="str">
        <f t="shared" si="1"/>
        <v>1098,3,6,5000</v>
      </c>
      <c r="Z10" t="str">
        <f t="shared" si="2"/>
        <v>1098,3,6,5000</v>
      </c>
    </row>
    <row r="11" spans="1:26" x14ac:dyDescent="0.15">
      <c r="A11" t="s">
        <v>13</v>
      </c>
      <c r="B11" t="str">
        <f t="shared" si="0"/>
        <v>1118,2,4,10000;1118,3,6,5000;1132,1,2,5000</v>
      </c>
      <c r="C11" t="s">
        <v>417</v>
      </c>
      <c r="D11">
        <v>10</v>
      </c>
      <c r="E11">
        <v>10</v>
      </c>
      <c r="F11" t="s">
        <v>415</v>
      </c>
      <c r="G11">
        <v>5000</v>
      </c>
      <c r="K11" t="str">
        <f>L11&amp;","&amp;$I$1&amp;","&amp;$J$1&amp;","&amp;$P$1</f>
        <v>1118,2,4,10000</v>
      </c>
      <c r="L11">
        <f>VLOOKUP(F11,Sheet6!$A$1:$C$301,3,FALSE)</f>
        <v>1118</v>
      </c>
      <c r="M11" t="str">
        <f t="shared" si="1"/>
        <v>1118,3,6,5000</v>
      </c>
      <c r="Q11" t="s">
        <v>512</v>
      </c>
      <c r="R11">
        <f>VLOOKUP(Q11,Sheet6!$A$1:$C$301,3,FALSE)</f>
        <v>1132</v>
      </c>
      <c r="S11" t="str">
        <f>R11&amp;","&amp;1&amp;","&amp;2&amp;","&amp;"5000"</f>
        <v>1132,1,2,5000</v>
      </c>
      <c r="Z11" t="str">
        <f t="shared" si="2"/>
        <v>1118,3,6,5000;1132,1,2,5000</v>
      </c>
    </row>
    <row r="12" spans="1:26" x14ac:dyDescent="0.15">
      <c r="A12" t="s">
        <v>26</v>
      </c>
      <c r="B12" t="str">
        <f t="shared" si="0"/>
        <v>1123,2,4,10000;1123,3,6,5000</v>
      </c>
      <c r="C12" t="s">
        <v>417</v>
      </c>
      <c r="D12">
        <v>11</v>
      </c>
      <c r="E12">
        <v>12</v>
      </c>
      <c r="F12" t="s">
        <v>431</v>
      </c>
      <c r="G12">
        <v>5000</v>
      </c>
      <c r="K12" t="str">
        <f>L12&amp;","&amp;$I$1&amp;","&amp;$J$1&amp;","&amp;$P$1</f>
        <v>1123,2,4,10000</v>
      </c>
      <c r="L12">
        <f>VLOOKUP(F12,Sheet6!$A$1:$C$301,3,FALSE)</f>
        <v>1123</v>
      </c>
      <c r="M12" t="str">
        <f t="shared" si="1"/>
        <v>1123,3,6,5000</v>
      </c>
      <c r="Z12" t="str">
        <f t="shared" si="2"/>
        <v>1123,3,6,5000</v>
      </c>
    </row>
    <row r="13" spans="1:26" x14ac:dyDescent="0.15">
      <c r="A13" t="s">
        <v>21</v>
      </c>
      <c r="B13" t="str">
        <f t="shared" si="0"/>
        <v>1119,3,6,10000;1109,3,6,10000;1098,3,6,10000;1118,3,6,10000;1123,3,6,10000</v>
      </c>
      <c r="C13" t="s">
        <v>417</v>
      </c>
      <c r="D13">
        <v>12</v>
      </c>
      <c r="E13">
        <v>17</v>
      </c>
      <c r="F13" t="s">
        <v>421</v>
      </c>
      <c r="G13">
        <v>10000</v>
      </c>
      <c r="L13">
        <f>VLOOKUP(F13,Sheet6!$A$1:$C$301,3,FALSE)</f>
        <v>1119</v>
      </c>
      <c r="M13" t="str">
        <f t="shared" si="1"/>
        <v>1119,3,6,10000</v>
      </c>
      <c r="N13" t="s">
        <v>434</v>
      </c>
      <c r="O13">
        <f>VLOOKUP(N13,Sheet6!$A$1:$C$301,3,FALSE)</f>
        <v>1109</v>
      </c>
      <c r="P13" t="str">
        <f>O13&amp;","&amp;$M$1&amp;","&amp;$N$1&amp;","&amp;P$1</f>
        <v>1109,3,6,10000</v>
      </c>
      <c r="Q13" t="s">
        <v>419</v>
      </c>
      <c r="R13">
        <f>VLOOKUP(Q13,Sheet6!$A$1:$C$301,3,FALSE)</f>
        <v>1098</v>
      </c>
      <c r="S13" t="str">
        <f>R13&amp;","&amp;$M$1&amp;","&amp;$N$1&amp;","&amp;S$1</f>
        <v>1098,3,6,10000</v>
      </c>
      <c r="T13" t="s">
        <v>415</v>
      </c>
      <c r="U13">
        <f>VLOOKUP(T13,Sheet6!$A$1:$C$301,3,FALSE)</f>
        <v>1118</v>
      </c>
      <c r="V13" t="str">
        <f>U13&amp;","&amp;$M$1&amp;","&amp;$N$1&amp;","&amp;V$1</f>
        <v>1118,3,6,10000</v>
      </c>
      <c r="W13" t="s">
        <v>431</v>
      </c>
      <c r="X13">
        <f>VLOOKUP(W13,Sheet6!$A$1:$C$301,3,FALSE)</f>
        <v>1123</v>
      </c>
      <c r="Y13" t="str">
        <f>X13&amp;","&amp;$M$1&amp;","&amp;$N$1&amp;","&amp;Y$1</f>
        <v>1123,3,6,10000</v>
      </c>
      <c r="Z13" t="str">
        <f t="shared" si="2"/>
        <v>1119,3,6,10000;1109,3,6,10000;1098,3,6,10000;1118,3,6,10000;1123,3,6,10000</v>
      </c>
    </row>
    <row r="14" spans="1:26" x14ac:dyDescent="0.15">
      <c r="A14" t="s">
        <v>455</v>
      </c>
      <c r="B14" t="str">
        <f t="shared" si="0"/>
        <v>1121,2,4,10000;1121,3,6,5000;1149,1,2,5000</v>
      </c>
      <c r="C14" t="s">
        <v>425</v>
      </c>
      <c r="D14">
        <v>13</v>
      </c>
      <c r="E14">
        <v>13</v>
      </c>
      <c r="F14" t="s">
        <v>428</v>
      </c>
      <c r="G14">
        <v>5000</v>
      </c>
      <c r="K14" t="str">
        <f>L14&amp;","&amp;$I$1&amp;","&amp;$J$1&amp;","&amp;$P$1</f>
        <v>1121,2,4,10000</v>
      </c>
      <c r="L14">
        <f>VLOOKUP(F14,Sheet6!$A$1:$C$301,3,FALSE)</f>
        <v>1121</v>
      </c>
      <c r="M14" t="str">
        <f t="shared" si="1"/>
        <v>1121,3,6,5000</v>
      </c>
      <c r="Q14" t="s">
        <v>529</v>
      </c>
      <c r="R14">
        <f>VLOOKUP(Q14,Sheet6!$A$1:$C$301,3,FALSE)</f>
        <v>1149</v>
      </c>
      <c r="S14" t="str">
        <f>R14&amp;","&amp;1&amp;","&amp;2&amp;","&amp;"5000"</f>
        <v>1149,1,2,5000</v>
      </c>
      <c r="Z14" t="str">
        <f t="shared" si="2"/>
        <v>1121,3,6,5000;1149,1,2,5000</v>
      </c>
    </row>
    <row r="15" spans="1:26" x14ac:dyDescent="0.15">
      <c r="A15" t="s">
        <v>25</v>
      </c>
      <c r="B15" t="str">
        <f t="shared" si="0"/>
        <v>1103,2,4,10000;1103,3,6,5000</v>
      </c>
      <c r="C15" t="s">
        <v>425</v>
      </c>
      <c r="D15">
        <v>14</v>
      </c>
      <c r="E15">
        <v>14</v>
      </c>
      <c r="F15" t="s">
        <v>430</v>
      </c>
      <c r="G15">
        <v>5000</v>
      </c>
      <c r="K15" t="str">
        <f>L15&amp;","&amp;$I$1&amp;","&amp;$J$1&amp;","&amp;$P$1</f>
        <v>1103,2,4,10000</v>
      </c>
      <c r="L15">
        <f>VLOOKUP(F15,Sheet6!$A$1:$C$301,3,FALSE)</f>
        <v>1103</v>
      </c>
      <c r="M15" t="str">
        <f t="shared" si="1"/>
        <v>1103,3,6,5000</v>
      </c>
      <c r="Z15" t="str">
        <f t="shared" si="2"/>
        <v>1103,3,6,5000</v>
      </c>
    </row>
    <row r="16" spans="1:26" x14ac:dyDescent="0.15">
      <c r="A16" t="s">
        <v>23</v>
      </c>
      <c r="B16" t="str">
        <f t="shared" si="0"/>
        <v>1102,2,4,10000;1102,3,6,5000;1133,1,2,5000</v>
      </c>
      <c r="C16" t="s">
        <v>425</v>
      </c>
      <c r="D16">
        <v>15</v>
      </c>
      <c r="E16">
        <v>15</v>
      </c>
      <c r="F16" t="s">
        <v>427</v>
      </c>
      <c r="G16">
        <v>5000</v>
      </c>
      <c r="K16" t="str">
        <f>L16&amp;","&amp;$I$1&amp;","&amp;$J$1&amp;","&amp;$P$1</f>
        <v>1102,2,4,10000</v>
      </c>
      <c r="L16">
        <f>VLOOKUP(F16,Sheet6!$A$1:$C$301,3,FALSE)</f>
        <v>1102</v>
      </c>
      <c r="M16" t="str">
        <f t="shared" si="1"/>
        <v>1102,3,6,5000</v>
      </c>
      <c r="Q16" t="s">
        <v>513</v>
      </c>
      <c r="R16">
        <f>VLOOKUP(Q16,Sheet6!$A$1:$C$301,3,FALSE)</f>
        <v>1133</v>
      </c>
      <c r="S16" t="str">
        <f>R16&amp;","&amp;1&amp;","&amp;2&amp;","&amp;"5000"</f>
        <v>1133,1,2,5000</v>
      </c>
      <c r="Z16" t="str">
        <f t="shared" si="2"/>
        <v>1102,3,6,5000;1133,1,2,5000</v>
      </c>
    </row>
    <row r="17" spans="1:26" x14ac:dyDescent="0.15">
      <c r="A17" t="s">
        <v>18</v>
      </c>
      <c r="B17" t="str">
        <f t="shared" si="0"/>
        <v>1099,2,4,10000;1099,3,6,5000;1013,3,6,5000</v>
      </c>
      <c r="C17" t="s">
        <v>425</v>
      </c>
      <c r="D17">
        <v>16</v>
      </c>
      <c r="E17">
        <v>16</v>
      </c>
      <c r="F17" t="s">
        <v>420</v>
      </c>
      <c r="G17">
        <v>5000</v>
      </c>
      <c r="K17" t="str">
        <f>L17&amp;","&amp;$I$1&amp;","&amp;$J$1&amp;","&amp;$P$1</f>
        <v>1099,2,4,10000</v>
      </c>
      <c r="L17">
        <f>VLOOKUP(F17,Sheet6!$A$1:$C$301,3,FALSE)</f>
        <v>1099</v>
      </c>
      <c r="M17" t="str">
        <f t="shared" si="1"/>
        <v>1099,3,6,5000</v>
      </c>
      <c r="N17" t="s">
        <v>472</v>
      </c>
      <c r="O17">
        <f>VLOOKUP(N17,Sheet6!$A$1:$C$301,3,FALSE)</f>
        <v>1013</v>
      </c>
      <c r="P17" t="str">
        <f>O17&amp;","&amp;$M$1&amp;","&amp;$N$1&amp;","&amp;G17</f>
        <v>1013,3,6,5000</v>
      </c>
      <c r="Z17" t="str">
        <f t="shared" si="2"/>
        <v>1099,3,6,5000;1013,3,6,5000</v>
      </c>
    </row>
    <row r="18" spans="1:26" x14ac:dyDescent="0.15">
      <c r="A18" t="s">
        <v>22</v>
      </c>
      <c r="B18" t="str">
        <f t="shared" si="0"/>
        <v>1101,2,4,10000;1101,3,6,5000</v>
      </c>
      <c r="C18" t="s">
        <v>425</v>
      </c>
      <c r="D18">
        <v>17</v>
      </c>
      <c r="E18">
        <v>18</v>
      </c>
      <c r="F18" t="s">
        <v>426</v>
      </c>
      <c r="G18">
        <v>5000</v>
      </c>
      <c r="K18" t="str">
        <f>L18&amp;","&amp;$I$1&amp;","&amp;$J$1&amp;","&amp;$P$1</f>
        <v>1101,2,4,10000</v>
      </c>
      <c r="L18">
        <f>VLOOKUP(F18,Sheet6!$A$1:$C$301,3,FALSE)</f>
        <v>1101</v>
      </c>
      <c r="M18" t="str">
        <f t="shared" si="1"/>
        <v>1101,3,6,5000</v>
      </c>
      <c r="Z18" t="str">
        <f t="shared" si="2"/>
        <v>1101,3,6,5000</v>
      </c>
    </row>
    <row r="19" spans="1:26" x14ac:dyDescent="0.15">
      <c r="A19" t="s">
        <v>704</v>
      </c>
      <c r="B19" t="str">
        <f t="shared" si="0"/>
        <v>1121,3,6,10000;1103,3,6,10000;1102,3,6,10000;1099,3,6,10000;1101,3,6,10000</v>
      </c>
      <c r="C19" t="s">
        <v>425</v>
      </c>
      <c r="D19">
        <v>18</v>
      </c>
      <c r="E19">
        <v>23</v>
      </c>
      <c r="F19" t="s">
        <v>428</v>
      </c>
      <c r="G19">
        <v>10000</v>
      </c>
      <c r="L19">
        <f>VLOOKUP(F19,Sheet6!$A$1:$C$301,3,FALSE)</f>
        <v>1121</v>
      </c>
      <c r="M19" t="str">
        <f t="shared" si="1"/>
        <v>1121,3,6,10000</v>
      </c>
      <c r="N19" t="s">
        <v>430</v>
      </c>
      <c r="O19">
        <f>VLOOKUP(N19,Sheet6!$A$1:$C$301,3,FALSE)</f>
        <v>1103</v>
      </c>
      <c r="P19" t="str">
        <f>O19&amp;","&amp;$M$1&amp;","&amp;$N$1&amp;","&amp;P$1</f>
        <v>1103,3,6,10000</v>
      </c>
      <c r="Q19" t="s">
        <v>427</v>
      </c>
      <c r="R19">
        <f>VLOOKUP(Q19,Sheet6!$A$1:$C$301,3,FALSE)</f>
        <v>1102</v>
      </c>
      <c r="S19" t="str">
        <f>R19&amp;","&amp;$M$1&amp;","&amp;$N$1&amp;","&amp;S$1</f>
        <v>1102,3,6,10000</v>
      </c>
      <c r="T19" t="s">
        <v>420</v>
      </c>
      <c r="U19">
        <f>VLOOKUP(T19,Sheet6!$A$1:$C$301,3,FALSE)</f>
        <v>1099</v>
      </c>
      <c r="V19" t="str">
        <f>U19&amp;","&amp;$M$1&amp;","&amp;$N$1&amp;","&amp;V$1</f>
        <v>1099,3,6,10000</v>
      </c>
      <c r="W19" t="s">
        <v>426</v>
      </c>
      <c r="X19">
        <f>VLOOKUP(W19,Sheet6!$A$1:$C$301,3,FALSE)</f>
        <v>1101</v>
      </c>
      <c r="Y19" t="str">
        <f>X19&amp;","&amp;$M$1&amp;","&amp;$N$1&amp;","&amp;Y$1</f>
        <v>1101,3,6,10000</v>
      </c>
      <c r="Z19" t="str">
        <f t="shared" si="2"/>
        <v>1121,3,6,10000;1103,3,6,10000;1102,3,6,10000;1099,3,6,10000;1101,3,6,10000</v>
      </c>
    </row>
    <row r="20" spans="1:26" x14ac:dyDescent="0.15">
      <c r="A20" t="s">
        <v>28</v>
      </c>
      <c r="B20" t="str">
        <f t="shared" si="0"/>
        <v>1089,2,4,10000;1089,3,6,5000</v>
      </c>
      <c r="C20" t="s">
        <v>432</v>
      </c>
      <c r="D20">
        <v>19</v>
      </c>
      <c r="E20">
        <v>19</v>
      </c>
      <c r="F20" t="s">
        <v>456</v>
      </c>
      <c r="G20">
        <v>5000</v>
      </c>
      <c r="K20" t="str">
        <f>L20&amp;","&amp;$I$1&amp;","&amp;$J$1&amp;","&amp;$P$1</f>
        <v>1089,2,4,10000</v>
      </c>
      <c r="L20">
        <f>VLOOKUP(F20,Sheet6!$A$1:$C$301,3,FALSE)</f>
        <v>1089</v>
      </c>
      <c r="M20" t="str">
        <f t="shared" si="1"/>
        <v>1089,3,6,5000</v>
      </c>
      <c r="Z20" t="str">
        <f t="shared" si="2"/>
        <v>1089,3,6,5000</v>
      </c>
    </row>
    <row r="21" spans="1:26" x14ac:dyDescent="0.15">
      <c r="A21" t="s">
        <v>29</v>
      </c>
      <c r="B21" t="str">
        <f t="shared" si="0"/>
        <v>1106,2,4,10000;1106,3,6,5000</v>
      </c>
      <c r="C21" t="s">
        <v>432</v>
      </c>
      <c r="D21">
        <v>20</v>
      </c>
      <c r="E21">
        <v>20</v>
      </c>
      <c r="F21" t="s">
        <v>435</v>
      </c>
      <c r="G21">
        <v>5000</v>
      </c>
      <c r="K21" t="str">
        <f>L21&amp;","&amp;$I$1&amp;","&amp;$J$1&amp;","&amp;$P$1</f>
        <v>1106,2,4,10000</v>
      </c>
      <c r="L21">
        <f>VLOOKUP(F21,Sheet6!$A$1:$C$301,3,FALSE)</f>
        <v>1106</v>
      </c>
      <c r="M21" t="str">
        <f t="shared" si="1"/>
        <v>1106,3,6,5000</v>
      </c>
      <c r="Z21" t="str">
        <f t="shared" si="2"/>
        <v>1106,3,6,5000</v>
      </c>
    </row>
    <row r="22" spans="1:26" x14ac:dyDescent="0.15">
      <c r="A22" t="s">
        <v>30</v>
      </c>
      <c r="B22" t="str">
        <f t="shared" si="0"/>
        <v>1110,2,4,10000;1110,3,6,5000;1142,1,2,5000</v>
      </c>
      <c r="C22" t="s">
        <v>432</v>
      </c>
      <c r="D22">
        <v>21</v>
      </c>
      <c r="E22">
        <v>21</v>
      </c>
      <c r="F22" t="s">
        <v>437</v>
      </c>
      <c r="G22">
        <v>5000</v>
      </c>
      <c r="K22" t="str">
        <f>L22&amp;","&amp;$I$1&amp;","&amp;$J$1&amp;","&amp;$P$1</f>
        <v>1110,2,4,10000</v>
      </c>
      <c r="L22">
        <f>VLOOKUP(F22,Sheet6!$A$1:$C$301,3,FALSE)</f>
        <v>1110</v>
      </c>
      <c r="M22" t="str">
        <f t="shared" si="1"/>
        <v>1110,3,6,5000</v>
      </c>
      <c r="Q22" t="s">
        <v>522</v>
      </c>
      <c r="R22">
        <f>VLOOKUP(Q22,Sheet6!$A$1:$C$301,3,FALSE)</f>
        <v>1142</v>
      </c>
      <c r="S22" t="str">
        <f>R22&amp;","&amp;1&amp;","&amp;2&amp;","&amp;"5000"</f>
        <v>1142,1,2,5000</v>
      </c>
      <c r="Z22" t="str">
        <f t="shared" si="2"/>
        <v>1110,3,6,5000;1142,1,2,5000</v>
      </c>
    </row>
    <row r="23" spans="1:26" x14ac:dyDescent="0.15">
      <c r="A23" t="s">
        <v>354</v>
      </c>
      <c r="B23" t="str">
        <f t="shared" si="0"/>
        <v>1124,2,4,10000;1124,3,6,5000;1013,3,6,5000;1134,1,2,5000</v>
      </c>
      <c r="C23" t="s">
        <v>432</v>
      </c>
      <c r="D23">
        <v>22</v>
      </c>
      <c r="E23">
        <v>22</v>
      </c>
      <c r="F23" t="s">
        <v>436</v>
      </c>
      <c r="G23">
        <v>5000</v>
      </c>
      <c r="K23" t="str">
        <f>L23&amp;","&amp;$I$1&amp;","&amp;$J$1&amp;","&amp;$P$1</f>
        <v>1124,2,4,10000</v>
      </c>
      <c r="L23">
        <f>VLOOKUP(F23,Sheet6!$A$1:$C$301,3,FALSE)</f>
        <v>1124</v>
      </c>
      <c r="M23" t="str">
        <f t="shared" si="1"/>
        <v>1124,3,6,5000</v>
      </c>
      <c r="N23" t="s">
        <v>472</v>
      </c>
      <c r="O23">
        <f>VLOOKUP(N23,Sheet6!$A$1:$C$301,3,FALSE)</f>
        <v>1013</v>
      </c>
      <c r="P23" t="str">
        <f>O23&amp;","&amp;$M$1&amp;","&amp;$N$1&amp;","&amp;G23</f>
        <v>1013,3,6,5000</v>
      </c>
      <c r="Q23" t="s">
        <v>514</v>
      </c>
      <c r="R23">
        <f>VLOOKUP(Q23,Sheet6!$A$1:$C$301,3,FALSE)</f>
        <v>1134</v>
      </c>
      <c r="S23" t="str">
        <f>R23&amp;","&amp;1&amp;","&amp;2&amp;","&amp;"5000"</f>
        <v>1134,1,2,5000</v>
      </c>
      <c r="Z23" t="str">
        <f t="shared" si="2"/>
        <v>1124,3,6,5000;1013,3,6,5000;1134,1,2,5000</v>
      </c>
    </row>
    <row r="24" spans="1:26" x14ac:dyDescent="0.15">
      <c r="A24" t="s">
        <v>27</v>
      </c>
      <c r="B24" t="str">
        <f t="shared" si="0"/>
        <v>1108,2,4,10000;1108,3,6,5000</v>
      </c>
      <c r="C24" t="s">
        <v>432</v>
      </c>
      <c r="D24">
        <v>23</v>
      </c>
      <c r="E24">
        <v>24</v>
      </c>
      <c r="F24" t="s">
        <v>433</v>
      </c>
      <c r="G24">
        <v>5000</v>
      </c>
      <c r="K24" t="str">
        <f>L24&amp;","&amp;$I$1&amp;","&amp;$J$1&amp;","&amp;$P$1</f>
        <v>1108,2,4,10000</v>
      </c>
      <c r="L24">
        <f>VLOOKUP(F24,Sheet6!$A$1:$C$301,3,FALSE)</f>
        <v>1108</v>
      </c>
      <c r="M24" t="str">
        <f t="shared" si="1"/>
        <v>1108,3,6,5000</v>
      </c>
      <c r="Z24" t="str">
        <f t="shared" si="2"/>
        <v>1108,3,6,5000</v>
      </c>
    </row>
    <row r="25" spans="1:26" x14ac:dyDescent="0.15">
      <c r="A25" t="s">
        <v>31</v>
      </c>
      <c r="B25" t="str">
        <f t="shared" si="0"/>
        <v>1089,3,6,10000;1106,3,6,10000;1110,3,6,10000;1124,3,6,10000;1108,3,6,10000</v>
      </c>
      <c r="C25" t="s">
        <v>432</v>
      </c>
      <c r="D25">
        <v>24</v>
      </c>
      <c r="E25">
        <v>29</v>
      </c>
      <c r="F25" t="s">
        <v>456</v>
      </c>
      <c r="G25">
        <v>10000</v>
      </c>
      <c r="L25">
        <f>VLOOKUP(F25,Sheet6!$A$1:$C$301,3,FALSE)</f>
        <v>1089</v>
      </c>
      <c r="M25" t="str">
        <f t="shared" si="1"/>
        <v>1089,3,6,10000</v>
      </c>
      <c r="N25" t="s">
        <v>435</v>
      </c>
      <c r="O25">
        <f>VLOOKUP(N25,Sheet6!$A$1:$C$301,3,FALSE)</f>
        <v>1106</v>
      </c>
      <c r="P25" t="str">
        <f>O25&amp;","&amp;$M$1&amp;","&amp;$N$1&amp;","&amp;P$1</f>
        <v>1106,3,6,10000</v>
      </c>
      <c r="Q25" t="s">
        <v>437</v>
      </c>
      <c r="R25">
        <f>VLOOKUP(Q25,Sheet6!$A$1:$C$301,3,FALSE)</f>
        <v>1110</v>
      </c>
      <c r="S25" t="str">
        <f>R25&amp;","&amp;$M$1&amp;","&amp;$N$1&amp;","&amp;S$1</f>
        <v>1110,3,6,10000</v>
      </c>
      <c r="T25" t="s">
        <v>436</v>
      </c>
      <c r="U25">
        <f>VLOOKUP(T25,Sheet6!$A$1:$C$301,3,FALSE)</f>
        <v>1124</v>
      </c>
      <c r="V25" t="str">
        <f>U25&amp;","&amp;$M$1&amp;","&amp;$N$1&amp;","&amp;V$1</f>
        <v>1124,3,6,10000</v>
      </c>
      <c r="W25" t="s">
        <v>433</v>
      </c>
      <c r="X25">
        <f>VLOOKUP(W25,Sheet6!$A$1:$C$301,3,FALSE)</f>
        <v>1108</v>
      </c>
      <c r="Y25" t="str">
        <f>X25&amp;","&amp;$M$1&amp;","&amp;$N$1&amp;","&amp;Y$1</f>
        <v>1108,3,6,10000</v>
      </c>
      <c r="Z25" t="str">
        <f t="shared" si="2"/>
        <v>1089,3,6,10000;1106,3,6,10000;1110,3,6,10000;1124,3,6,10000;1108,3,6,10000</v>
      </c>
    </row>
    <row r="26" spans="1:26" x14ac:dyDescent="0.15">
      <c r="A26" t="s">
        <v>37</v>
      </c>
      <c r="B26" t="str">
        <f t="shared" si="0"/>
        <v>1126,2,4,10000;1126,3,6,5000;1008,3,6,5000</v>
      </c>
      <c r="C26" t="s">
        <v>438</v>
      </c>
      <c r="D26">
        <v>25</v>
      </c>
      <c r="E26">
        <v>25</v>
      </c>
      <c r="F26" t="s">
        <v>439</v>
      </c>
      <c r="G26">
        <v>5000</v>
      </c>
      <c r="K26" t="str">
        <f>L26&amp;","&amp;$I$1&amp;","&amp;$J$1&amp;","&amp;$P$1</f>
        <v>1126,2,4,10000</v>
      </c>
      <c r="L26">
        <f>VLOOKUP(F26,Sheet6!$A$1:$C$301,3,FALSE)</f>
        <v>1126</v>
      </c>
      <c r="M26" t="str">
        <f t="shared" si="1"/>
        <v>1126,3,6,5000</v>
      </c>
      <c r="N26" t="s">
        <v>469</v>
      </c>
      <c r="O26">
        <f>VLOOKUP(N26,Sheet6!$A$1:$C$301,3,FALSE)</f>
        <v>1008</v>
      </c>
      <c r="P26" t="str">
        <f>O26&amp;","&amp;$M$1&amp;","&amp;$N$1&amp;","&amp;G26</f>
        <v>1008,3,6,5000</v>
      </c>
      <c r="Z26" t="str">
        <f t="shared" si="2"/>
        <v>1126,3,6,5000;1008,3,6,5000</v>
      </c>
    </row>
    <row r="27" spans="1:26" x14ac:dyDescent="0.15">
      <c r="A27" t="s">
        <v>32</v>
      </c>
      <c r="B27" t="str">
        <f t="shared" si="0"/>
        <v>1117,2,4,10000;1117,3,6,5000</v>
      </c>
      <c r="C27" t="s">
        <v>438</v>
      </c>
      <c r="D27">
        <v>26</v>
      </c>
      <c r="E27">
        <v>26</v>
      </c>
      <c r="F27" t="s">
        <v>413</v>
      </c>
      <c r="G27">
        <v>5000</v>
      </c>
      <c r="K27" t="str">
        <f>L27&amp;","&amp;$I$1&amp;","&amp;$J$1&amp;","&amp;$P$1</f>
        <v>1117,2,4,10000</v>
      </c>
      <c r="L27">
        <f>VLOOKUP(F27,Sheet6!$A$1:$C$301,3,FALSE)</f>
        <v>1117</v>
      </c>
      <c r="M27" t="str">
        <f t="shared" si="1"/>
        <v>1117,3,6,5000</v>
      </c>
      <c r="Z27" t="str">
        <f t="shared" si="2"/>
        <v>1117,3,6,5000</v>
      </c>
    </row>
    <row r="28" spans="1:26" x14ac:dyDescent="0.15">
      <c r="A28" t="s">
        <v>33</v>
      </c>
      <c r="B28" t="str">
        <f t="shared" si="0"/>
        <v>1096,2,4,10000;1096,3,6,5000;1138,1,2,5000</v>
      </c>
      <c r="C28" t="s">
        <v>438</v>
      </c>
      <c r="D28">
        <v>27</v>
      </c>
      <c r="E28">
        <v>27</v>
      </c>
      <c r="F28" t="s">
        <v>414</v>
      </c>
      <c r="G28">
        <v>5000</v>
      </c>
      <c r="K28" t="str">
        <f>L28&amp;","&amp;$I$1&amp;","&amp;$J$1&amp;","&amp;$P$1</f>
        <v>1096,2,4,10000</v>
      </c>
      <c r="L28">
        <f>VLOOKUP(F28,Sheet6!$A$1:$C$301,3,FALSE)</f>
        <v>1096</v>
      </c>
      <c r="M28" t="str">
        <f t="shared" si="1"/>
        <v>1096,3,6,5000</v>
      </c>
      <c r="Q28" t="s">
        <v>518</v>
      </c>
      <c r="R28">
        <f>VLOOKUP(Q28,Sheet6!$A$1:$C$301,3,FALSE)</f>
        <v>1138</v>
      </c>
      <c r="S28" t="str">
        <f>R28&amp;","&amp;1&amp;","&amp;2&amp;","&amp;"5000"</f>
        <v>1138,1,2,5000</v>
      </c>
      <c r="Z28" t="str">
        <f t="shared" si="2"/>
        <v>1096,3,6,5000;1138,1,2,5000</v>
      </c>
    </row>
    <row r="29" spans="1:26" x14ac:dyDescent="0.15">
      <c r="A29" t="s">
        <v>34</v>
      </c>
      <c r="B29" t="str">
        <f t="shared" si="0"/>
        <v>1105,2,4,10000;1105,3,6,5000</v>
      </c>
      <c r="C29" t="s">
        <v>438</v>
      </c>
      <c r="D29">
        <v>28</v>
      </c>
      <c r="E29">
        <v>28</v>
      </c>
      <c r="F29" t="s">
        <v>457</v>
      </c>
      <c r="G29">
        <v>5000</v>
      </c>
      <c r="K29" t="str">
        <f>L29&amp;","&amp;$I$1&amp;","&amp;$J$1&amp;","&amp;$P$1</f>
        <v>1105,2,4,10000</v>
      </c>
      <c r="L29">
        <f>VLOOKUP(F29,Sheet6!$A$1:$C$301,3,FALSE)</f>
        <v>1105</v>
      </c>
      <c r="M29" t="str">
        <f t="shared" si="1"/>
        <v>1105,3,6,5000</v>
      </c>
      <c r="Z29" t="str">
        <f t="shared" si="2"/>
        <v>1105,3,6,5000</v>
      </c>
    </row>
    <row r="30" spans="1:26" x14ac:dyDescent="0.15">
      <c r="A30" t="s">
        <v>35</v>
      </c>
      <c r="B30" t="str">
        <f t="shared" si="0"/>
        <v>1111,2,4,10000;1111,3,6,5000</v>
      </c>
      <c r="C30" t="s">
        <v>438</v>
      </c>
      <c r="D30">
        <v>29</v>
      </c>
      <c r="E30">
        <v>30</v>
      </c>
      <c r="F30" t="s">
        <v>440</v>
      </c>
      <c r="G30">
        <v>5000</v>
      </c>
      <c r="K30" t="str">
        <f>L30&amp;","&amp;$I$1&amp;","&amp;$J$1&amp;","&amp;$P$1</f>
        <v>1111,2,4,10000</v>
      </c>
      <c r="L30">
        <f>VLOOKUP(F30,Sheet6!$A$1:$C$301,3,FALSE)</f>
        <v>1111</v>
      </c>
      <c r="M30" t="str">
        <f t="shared" si="1"/>
        <v>1111,3,6,5000</v>
      </c>
      <c r="Z30" t="str">
        <f t="shared" si="2"/>
        <v>1111,3,6,5000</v>
      </c>
    </row>
    <row r="31" spans="1:26" x14ac:dyDescent="0.15">
      <c r="A31" t="s">
        <v>450</v>
      </c>
      <c r="B31" t="str">
        <f t="shared" si="0"/>
        <v>1126,3,6,10000;1117,3,6,10000;1096,3,6,10000;1105,3,6,10000;1111,3,6,10000</v>
      </c>
      <c r="C31" t="s">
        <v>438</v>
      </c>
      <c r="D31">
        <v>30</v>
      </c>
      <c r="E31">
        <v>35</v>
      </c>
      <c r="F31" t="s">
        <v>439</v>
      </c>
      <c r="G31">
        <v>10000</v>
      </c>
      <c r="L31">
        <f>VLOOKUP(F31,Sheet6!$A$1:$C$301,3,FALSE)</f>
        <v>1126</v>
      </c>
      <c r="M31" t="str">
        <f t="shared" si="1"/>
        <v>1126,3,6,10000</v>
      </c>
      <c r="N31" t="s">
        <v>413</v>
      </c>
      <c r="O31">
        <f>VLOOKUP(N31,Sheet6!$A$1:$C$301,3,FALSE)</f>
        <v>1117</v>
      </c>
      <c r="P31" t="str">
        <f>O31&amp;","&amp;$M$1&amp;","&amp;$N$1&amp;","&amp;P$1</f>
        <v>1117,3,6,10000</v>
      </c>
      <c r="Q31" t="s">
        <v>414</v>
      </c>
      <c r="R31">
        <f>VLOOKUP(Q31,Sheet6!$A$1:$C$301,3,FALSE)</f>
        <v>1096</v>
      </c>
      <c r="S31" t="str">
        <f>R31&amp;","&amp;$M$1&amp;","&amp;$N$1&amp;","&amp;S$1</f>
        <v>1096,3,6,10000</v>
      </c>
      <c r="T31" t="s">
        <v>457</v>
      </c>
      <c r="U31">
        <f>VLOOKUP(T31,Sheet6!$A$1:$C$301,3,FALSE)</f>
        <v>1105</v>
      </c>
      <c r="V31" t="str">
        <f>U31&amp;","&amp;$M$1&amp;","&amp;$N$1&amp;","&amp;V$1</f>
        <v>1105,3,6,10000</v>
      </c>
      <c r="W31" t="s">
        <v>440</v>
      </c>
      <c r="X31">
        <f>VLOOKUP(W31,Sheet6!$A$1:$C$301,3,FALSE)</f>
        <v>1111</v>
      </c>
      <c r="Y31" t="str">
        <f>X31&amp;","&amp;$M$1&amp;","&amp;$N$1&amp;","&amp;Y$1</f>
        <v>1111,3,6,10000</v>
      </c>
      <c r="Z31" t="str">
        <f t="shared" si="2"/>
        <v>1126,3,6,10000;1117,3,6,10000;1096,3,6,10000;1105,3,6,10000;1111,3,6,10000</v>
      </c>
    </row>
    <row r="32" spans="1:26" x14ac:dyDescent="0.15">
      <c r="A32" t="s">
        <v>36</v>
      </c>
      <c r="B32" t="str">
        <f t="shared" si="0"/>
        <v>1088,2,4,10000;1088,3,6,5000</v>
      </c>
      <c r="C32" t="s">
        <v>443</v>
      </c>
      <c r="D32">
        <v>31</v>
      </c>
      <c r="E32">
        <v>31</v>
      </c>
      <c r="F32" t="s">
        <v>460</v>
      </c>
      <c r="G32">
        <v>5000</v>
      </c>
      <c r="K32" t="str">
        <f>L32&amp;","&amp;$I$1&amp;","&amp;$J$1&amp;","&amp;$P$1</f>
        <v>1088,2,4,10000</v>
      </c>
      <c r="L32">
        <f>VLOOKUP(F32,Sheet6!$A$1:$C$301,3,FALSE)</f>
        <v>1088</v>
      </c>
      <c r="M32" t="str">
        <f t="shared" si="1"/>
        <v>1088,3,6,5000</v>
      </c>
      <c r="Z32" t="str">
        <f t="shared" si="2"/>
        <v>1088,3,6,5000</v>
      </c>
    </row>
    <row r="33" spans="1:26" x14ac:dyDescent="0.15">
      <c r="A33" t="s">
        <v>24</v>
      </c>
      <c r="B33" t="str">
        <f t="shared" si="0"/>
        <v>1122,2,4,10000;1122,3,6,5000;1008,3,6,5000</v>
      </c>
      <c r="C33" t="s">
        <v>443</v>
      </c>
      <c r="D33">
        <v>32</v>
      </c>
      <c r="E33">
        <v>32</v>
      </c>
      <c r="F33" t="s">
        <v>429</v>
      </c>
      <c r="G33">
        <v>5000</v>
      </c>
      <c r="K33" t="str">
        <f>L33&amp;","&amp;$I$1&amp;","&amp;$J$1&amp;","&amp;$P$1</f>
        <v>1122,2,4,10000</v>
      </c>
      <c r="L33">
        <f>VLOOKUP(F33,Sheet6!$A$1:$C$301,3,FALSE)</f>
        <v>1122</v>
      </c>
      <c r="M33" t="str">
        <f t="shared" si="1"/>
        <v>1122,3,6,5000</v>
      </c>
      <c r="N33" t="s">
        <v>469</v>
      </c>
      <c r="O33">
        <f>VLOOKUP(N33,Sheet6!$A$1:$C$301,3,FALSE)</f>
        <v>1008</v>
      </c>
      <c r="P33" t="str">
        <f>O33&amp;","&amp;$M$1&amp;","&amp;$N$1&amp;","&amp;G33</f>
        <v>1008,3,6,5000</v>
      </c>
      <c r="Z33" t="str">
        <f t="shared" si="2"/>
        <v>1122,3,6,5000;1008,3,6,5000</v>
      </c>
    </row>
    <row r="34" spans="1:26" x14ac:dyDescent="0.15">
      <c r="A34" t="s">
        <v>39</v>
      </c>
      <c r="B34" t="str">
        <f t="shared" si="0"/>
        <v>1087,2,4,10000;1087,3,6,5000</v>
      </c>
      <c r="C34" t="s">
        <v>443</v>
      </c>
      <c r="D34">
        <v>33</v>
      </c>
      <c r="E34">
        <v>33</v>
      </c>
      <c r="F34" t="s">
        <v>459</v>
      </c>
      <c r="G34">
        <v>5000</v>
      </c>
      <c r="K34" t="str">
        <f>L34&amp;","&amp;$I$1&amp;","&amp;$J$1&amp;","&amp;$P$1</f>
        <v>1087,2,4,10000</v>
      </c>
      <c r="L34">
        <f>VLOOKUP(F34,Sheet6!$A$1:$C$301,3,FALSE)</f>
        <v>1087</v>
      </c>
      <c r="M34" t="str">
        <f t="shared" si="1"/>
        <v>1087,3,6,5000</v>
      </c>
      <c r="Z34" t="str">
        <f t="shared" si="2"/>
        <v>1087,3,6,5000</v>
      </c>
    </row>
    <row r="35" spans="1:26" x14ac:dyDescent="0.15">
      <c r="A35" t="s">
        <v>40</v>
      </c>
      <c r="B35" t="str">
        <f t="shared" si="0"/>
        <v>1107,2,4,10000;1107,3,6,5000;1141,1,2,5000</v>
      </c>
      <c r="C35" t="s">
        <v>443</v>
      </c>
      <c r="D35">
        <v>34</v>
      </c>
      <c r="E35">
        <v>34</v>
      </c>
      <c r="F35" t="s">
        <v>458</v>
      </c>
      <c r="G35">
        <v>5000</v>
      </c>
      <c r="K35" t="str">
        <f>L35&amp;","&amp;$I$1&amp;","&amp;$J$1&amp;","&amp;$P$1</f>
        <v>1107,2,4,10000</v>
      </c>
      <c r="L35">
        <f>VLOOKUP(F35,Sheet6!$A$1:$C$301,3,FALSE)</f>
        <v>1107</v>
      </c>
      <c r="M35" t="str">
        <f t="shared" si="1"/>
        <v>1107,3,6,5000</v>
      </c>
      <c r="Q35" t="s">
        <v>521</v>
      </c>
      <c r="R35">
        <f>VLOOKUP(Q35,Sheet6!$A$1:$C$301,3,FALSE)</f>
        <v>1141</v>
      </c>
      <c r="S35" t="str">
        <f>R35&amp;","&amp;1&amp;","&amp;2&amp;","&amp;"5000"</f>
        <v>1141,1,2,5000</v>
      </c>
      <c r="Z35" t="str">
        <f t="shared" si="2"/>
        <v>1107,3,6,5000;1141,1,2,5000</v>
      </c>
    </row>
    <row r="36" spans="1:26" x14ac:dyDescent="0.15">
      <c r="A36" t="s">
        <v>38</v>
      </c>
      <c r="B36" t="str">
        <f t="shared" si="0"/>
        <v>1120,2,4,10000;1120,3,6,5000</v>
      </c>
      <c r="C36" t="s">
        <v>443</v>
      </c>
      <c r="D36">
        <v>35</v>
      </c>
      <c r="E36">
        <v>36</v>
      </c>
      <c r="F36" t="s">
        <v>424</v>
      </c>
      <c r="G36">
        <v>5000</v>
      </c>
      <c r="K36" t="str">
        <f>L36&amp;","&amp;$I$1&amp;","&amp;$J$1&amp;","&amp;$P$1</f>
        <v>1120,2,4,10000</v>
      </c>
      <c r="L36">
        <f>VLOOKUP(F36,Sheet6!$A$1:$C$301,3,FALSE)</f>
        <v>1120</v>
      </c>
      <c r="M36" t="str">
        <f t="shared" si="1"/>
        <v>1120,3,6,5000</v>
      </c>
      <c r="Z36" t="str">
        <f t="shared" si="2"/>
        <v>1120,3,6,5000</v>
      </c>
    </row>
    <row r="37" spans="1:26" x14ac:dyDescent="0.15">
      <c r="A37" t="s">
        <v>41</v>
      </c>
      <c r="B37" t="str">
        <f t="shared" si="0"/>
        <v>1088,3,6,10000;1122,3,6,10000;1087,3,6,10000;1107,3,6,10000;1120,3,6,10000</v>
      </c>
      <c r="C37" t="s">
        <v>443</v>
      </c>
      <c r="D37">
        <v>36</v>
      </c>
      <c r="E37">
        <v>41</v>
      </c>
      <c r="F37" t="s">
        <v>460</v>
      </c>
      <c r="G37">
        <v>10000</v>
      </c>
      <c r="L37">
        <f>VLOOKUP(F37,Sheet6!$A$1:$C$301,3,FALSE)</f>
        <v>1088</v>
      </c>
      <c r="M37" t="str">
        <f t="shared" si="1"/>
        <v>1088,3,6,10000</v>
      </c>
      <c r="N37" t="s">
        <v>429</v>
      </c>
      <c r="O37">
        <f>VLOOKUP(N37,Sheet6!$A$1:$C$301,3,FALSE)</f>
        <v>1122</v>
      </c>
      <c r="P37" t="str">
        <f>O37&amp;","&amp;$M$1&amp;","&amp;$N$1&amp;","&amp;P$1</f>
        <v>1122,3,6,10000</v>
      </c>
      <c r="Q37" t="s">
        <v>459</v>
      </c>
      <c r="R37">
        <f>VLOOKUP(Q37,Sheet6!$A$1:$C$301,3,FALSE)</f>
        <v>1087</v>
      </c>
      <c r="S37" t="str">
        <f>R37&amp;","&amp;$M$1&amp;","&amp;$N$1&amp;","&amp;S$1</f>
        <v>1087,3,6,10000</v>
      </c>
      <c r="T37" t="s">
        <v>458</v>
      </c>
      <c r="U37">
        <f>VLOOKUP(T37,Sheet6!$A$1:$C$301,3,FALSE)</f>
        <v>1107</v>
      </c>
      <c r="V37" t="str">
        <f>U37&amp;","&amp;$M$1&amp;","&amp;$N$1&amp;","&amp;V$1</f>
        <v>1107,3,6,10000</v>
      </c>
      <c r="W37" t="s">
        <v>424</v>
      </c>
      <c r="X37">
        <f>VLOOKUP(W37,Sheet6!$A$1:$C$301,3,FALSE)</f>
        <v>1120</v>
      </c>
      <c r="Y37" t="str">
        <f>X37&amp;","&amp;$M$1&amp;","&amp;$N$1&amp;","&amp;Y$1</f>
        <v>1120,3,6,10000</v>
      </c>
      <c r="Z37" t="str">
        <f t="shared" si="2"/>
        <v>1088,3,6,10000;1122,3,6,10000;1087,3,6,10000;1107,3,6,10000;1120,3,6,10000</v>
      </c>
    </row>
    <row r="38" spans="1:26" x14ac:dyDescent="0.15">
      <c r="A38" t="s">
        <v>47</v>
      </c>
      <c r="B38" t="str">
        <f t="shared" si="0"/>
        <v>1095,2,4,10000;1095,3,6,5000</v>
      </c>
      <c r="C38" t="s">
        <v>445</v>
      </c>
      <c r="D38">
        <v>37</v>
      </c>
      <c r="E38">
        <v>37</v>
      </c>
      <c r="F38" t="s">
        <v>442</v>
      </c>
      <c r="G38">
        <v>5000</v>
      </c>
      <c r="K38" t="str">
        <f>L38&amp;","&amp;$I$1&amp;","&amp;$J$1&amp;","&amp;$P$1</f>
        <v>1095,2,4,10000</v>
      </c>
      <c r="L38">
        <f>VLOOKUP(F38,Sheet6!$A$1:$C$301,3,FALSE)</f>
        <v>1095</v>
      </c>
      <c r="M38" t="str">
        <f t="shared" si="1"/>
        <v>1095,3,6,5000</v>
      </c>
      <c r="Z38" t="str">
        <f t="shared" si="2"/>
        <v>1095,3,6,5000</v>
      </c>
    </row>
    <row r="39" spans="1:26" x14ac:dyDescent="0.15">
      <c r="A39" t="s">
        <v>46</v>
      </c>
      <c r="B39" t="str">
        <f t="shared" si="0"/>
        <v>1113,2,4,10000;1113,3,6,5000</v>
      </c>
      <c r="C39" t="s">
        <v>445</v>
      </c>
      <c r="D39">
        <v>38</v>
      </c>
      <c r="E39">
        <v>38</v>
      </c>
      <c r="F39" t="s">
        <v>444</v>
      </c>
      <c r="G39">
        <v>5000</v>
      </c>
      <c r="K39" t="str">
        <f>L39&amp;","&amp;$I$1&amp;","&amp;$J$1&amp;","&amp;$P$1</f>
        <v>1113,2,4,10000</v>
      </c>
      <c r="L39">
        <f>VLOOKUP(F39,Sheet6!$A$1:$C$301,3,FALSE)</f>
        <v>1113</v>
      </c>
      <c r="M39" t="str">
        <f t="shared" si="1"/>
        <v>1113,3,6,5000</v>
      </c>
      <c r="Z39" t="str">
        <f t="shared" si="2"/>
        <v>1113,3,6,5000</v>
      </c>
    </row>
    <row r="40" spans="1:26" x14ac:dyDescent="0.15">
      <c r="A40" t="s">
        <v>44</v>
      </c>
      <c r="B40" t="str">
        <f t="shared" si="0"/>
        <v>1115,2,4,10000;1115,3,6,5000</v>
      </c>
      <c r="C40" t="s">
        <v>445</v>
      </c>
      <c r="D40">
        <v>39</v>
      </c>
      <c r="E40">
        <v>39</v>
      </c>
      <c r="F40" t="s">
        <v>446</v>
      </c>
      <c r="G40">
        <v>5000</v>
      </c>
      <c r="K40" t="str">
        <f>L40&amp;","&amp;$I$1&amp;","&amp;$J$1&amp;","&amp;$P$1</f>
        <v>1115,2,4,10000</v>
      </c>
      <c r="L40">
        <f>VLOOKUP(F40,Sheet6!$A$1:$C$301,3,FALSE)</f>
        <v>1115</v>
      </c>
      <c r="M40" t="str">
        <f t="shared" si="1"/>
        <v>1115,3,6,5000</v>
      </c>
      <c r="Z40" t="str">
        <f t="shared" si="2"/>
        <v>1115,3,6,5000</v>
      </c>
    </row>
    <row r="41" spans="1:26" x14ac:dyDescent="0.15">
      <c r="A41" t="s">
        <v>43</v>
      </c>
      <c r="B41" t="str">
        <f t="shared" si="0"/>
        <v>1092,2,4,10000;1092,3,6,5000</v>
      </c>
      <c r="C41" t="s">
        <v>445</v>
      </c>
      <c r="D41">
        <v>40</v>
      </c>
      <c r="E41">
        <v>40</v>
      </c>
      <c r="F41" t="s">
        <v>461</v>
      </c>
      <c r="G41">
        <v>5000</v>
      </c>
      <c r="K41" t="str">
        <f>L41&amp;","&amp;$I$1&amp;","&amp;$J$1&amp;","&amp;$P$1</f>
        <v>1092,2,4,10000</v>
      </c>
      <c r="L41">
        <f>VLOOKUP(F41,Sheet6!$A$1:$C$301,3,FALSE)</f>
        <v>1092</v>
      </c>
      <c r="M41" t="str">
        <f t="shared" si="1"/>
        <v>1092,3,6,5000</v>
      </c>
      <c r="Z41" t="str">
        <f t="shared" si="2"/>
        <v>1092,3,6,5000</v>
      </c>
    </row>
    <row r="42" spans="1:26" x14ac:dyDescent="0.15">
      <c r="A42" t="s">
        <v>45</v>
      </c>
      <c r="B42" t="str">
        <f t="shared" si="0"/>
        <v>1113,2,4,10000;1113,3,6,5000;1095,3,6,5000</v>
      </c>
      <c r="C42" t="s">
        <v>445</v>
      </c>
      <c r="D42">
        <v>41</v>
      </c>
      <c r="E42">
        <v>42</v>
      </c>
      <c r="F42" t="s">
        <v>444</v>
      </c>
      <c r="G42">
        <v>5000</v>
      </c>
      <c r="K42" t="str">
        <f>L42&amp;","&amp;$I$1&amp;","&amp;$J$1&amp;","&amp;$P$1</f>
        <v>1113,2,4,10000</v>
      </c>
      <c r="L42">
        <f>VLOOKUP(F42,Sheet6!$A$1:$C$301,3,FALSE)</f>
        <v>1113</v>
      </c>
      <c r="M42" t="str">
        <f t="shared" si="1"/>
        <v>1113,3,6,5000</v>
      </c>
      <c r="N42" t="s">
        <v>442</v>
      </c>
      <c r="O42">
        <f>VLOOKUP(N42,Sheet6!$A$1:$C$301,3,FALSE)</f>
        <v>1095</v>
      </c>
      <c r="P42" t="str">
        <f>O42&amp;","&amp;$M$1&amp;","&amp;$N$1&amp;","&amp;G42</f>
        <v>1095,3,6,5000</v>
      </c>
      <c r="Z42" t="str">
        <f t="shared" si="2"/>
        <v>1113,3,6,5000;1095,3,6,5000</v>
      </c>
    </row>
    <row r="43" spans="1:26" x14ac:dyDescent="0.15">
      <c r="A43" t="s">
        <v>42</v>
      </c>
      <c r="B43" t="str">
        <f t="shared" si="0"/>
        <v>1095,3,6,10000;1113,3,6,10000;1115,3,6,10000;1092,3,6,10000;1113,3,6,10000</v>
      </c>
      <c r="C43" t="s">
        <v>445</v>
      </c>
      <c r="D43">
        <v>42</v>
      </c>
      <c r="E43">
        <v>47</v>
      </c>
      <c r="F43" t="s">
        <v>442</v>
      </c>
      <c r="G43">
        <v>10000</v>
      </c>
      <c r="L43">
        <f>VLOOKUP(F43,Sheet6!$A$1:$C$301,3,FALSE)</f>
        <v>1095</v>
      </c>
      <c r="M43" t="str">
        <f t="shared" si="1"/>
        <v>1095,3,6,10000</v>
      </c>
      <c r="N43" t="s">
        <v>444</v>
      </c>
      <c r="O43">
        <f>VLOOKUP(N43,Sheet6!$A$1:$C$301,3,FALSE)</f>
        <v>1113</v>
      </c>
      <c r="P43" t="str">
        <f>O43&amp;","&amp;$M$1&amp;","&amp;$N$1&amp;","&amp;P$1</f>
        <v>1113,3,6,10000</v>
      </c>
      <c r="Q43" t="s">
        <v>446</v>
      </c>
      <c r="R43">
        <f>VLOOKUP(Q43,Sheet6!$A$1:$C$301,3,FALSE)</f>
        <v>1115</v>
      </c>
      <c r="S43" t="str">
        <f>R43&amp;","&amp;$M$1&amp;","&amp;$N$1&amp;","&amp;S$1</f>
        <v>1115,3,6,10000</v>
      </c>
      <c r="T43" t="s">
        <v>461</v>
      </c>
      <c r="U43">
        <f>VLOOKUP(T43,Sheet6!$A$1:$C$301,3,FALSE)</f>
        <v>1092</v>
      </c>
      <c r="V43" t="str">
        <f>U43&amp;","&amp;$M$1&amp;","&amp;$N$1&amp;","&amp;V$1</f>
        <v>1092,3,6,10000</v>
      </c>
      <c r="W43" t="s">
        <v>444</v>
      </c>
      <c r="X43">
        <f>VLOOKUP(W43,Sheet6!$A$1:$C$301,3,FALSE)</f>
        <v>1113</v>
      </c>
      <c r="Y43" t="str">
        <f>X43&amp;","&amp;$M$1&amp;","&amp;$N$1&amp;","&amp;Y$1</f>
        <v>1113,3,6,10000</v>
      </c>
      <c r="Z43" t="str">
        <f t="shared" si="2"/>
        <v>1095,3,6,10000;1113,3,6,10000;1115,3,6,10000;1092,3,6,10000;1113,3,6,10000</v>
      </c>
    </row>
    <row r="44" spans="1:26" x14ac:dyDescent="0.15">
      <c r="A44" t="s">
        <v>51</v>
      </c>
      <c r="B44" t="str">
        <f t="shared" si="0"/>
        <v>1093,2,4,10000;1093,3,6,5000</v>
      </c>
      <c r="C44" t="s">
        <v>447</v>
      </c>
      <c r="D44">
        <v>43</v>
      </c>
      <c r="E44">
        <v>43</v>
      </c>
      <c r="F44" t="s">
        <v>462</v>
      </c>
      <c r="G44">
        <v>5000</v>
      </c>
      <c r="K44" t="str">
        <f t="shared" ref="K44:K49" si="3">L44&amp;","&amp;$I$1&amp;","&amp;$J$1&amp;","&amp;$P$1</f>
        <v>1093,2,4,10000</v>
      </c>
      <c r="L44">
        <f>VLOOKUP(F44,Sheet6!$A$1:$C$301,3,FALSE)</f>
        <v>1093</v>
      </c>
      <c r="M44" t="str">
        <f t="shared" si="1"/>
        <v>1093,3,6,5000</v>
      </c>
      <c r="Z44" t="str">
        <f t="shared" si="2"/>
        <v>1093,3,6,5000</v>
      </c>
    </row>
    <row r="45" spans="1:26" x14ac:dyDescent="0.15">
      <c r="A45" t="s">
        <v>48</v>
      </c>
      <c r="B45" t="str">
        <f t="shared" si="0"/>
        <v>1116,2,4,10000;1116,3,6,5000</v>
      </c>
      <c r="C45" t="s">
        <v>447</v>
      </c>
      <c r="D45">
        <v>44</v>
      </c>
      <c r="E45">
        <v>44</v>
      </c>
      <c r="F45" t="s">
        <v>449</v>
      </c>
      <c r="G45">
        <v>5000</v>
      </c>
      <c r="K45" t="str">
        <f t="shared" si="3"/>
        <v>1116,2,4,10000</v>
      </c>
      <c r="L45">
        <f>VLOOKUP(F45,Sheet6!$A$1:$C$301,3,FALSE)</f>
        <v>1116</v>
      </c>
      <c r="M45" t="str">
        <f t="shared" si="1"/>
        <v>1116,3,6,5000</v>
      </c>
      <c r="Z45" t="str">
        <f t="shared" si="2"/>
        <v>1116,3,6,5000</v>
      </c>
    </row>
    <row r="46" spans="1:26" x14ac:dyDescent="0.15">
      <c r="A46" t="s">
        <v>52</v>
      </c>
      <c r="B46" t="str">
        <f t="shared" si="0"/>
        <v>1114,2,4,10000;1114,3,6,5000</v>
      </c>
      <c r="C46" t="s">
        <v>447</v>
      </c>
      <c r="D46">
        <v>45</v>
      </c>
      <c r="E46">
        <v>45</v>
      </c>
      <c r="F46" t="s">
        <v>463</v>
      </c>
      <c r="G46">
        <v>5000</v>
      </c>
      <c r="K46" t="str">
        <f t="shared" si="3"/>
        <v>1114,2,4,10000</v>
      </c>
      <c r="L46">
        <f>VLOOKUP(F46,Sheet6!$A$1:$C$301,3,FALSE)</f>
        <v>1114</v>
      </c>
      <c r="M46" t="str">
        <f t="shared" si="1"/>
        <v>1114,3,6,5000</v>
      </c>
      <c r="Z46" t="str">
        <f t="shared" si="2"/>
        <v>1114,3,6,5000</v>
      </c>
    </row>
    <row r="47" spans="1:26" x14ac:dyDescent="0.15">
      <c r="A47" t="s">
        <v>49</v>
      </c>
      <c r="B47" t="str">
        <f t="shared" si="0"/>
        <v>1094,2,4,10000;1094,3,6,5000</v>
      </c>
      <c r="C47" t="s">
        <v>447</v>
      </c>
      <c r="D47">
        <v>46</v>
      </c>
      <c r="E47">
        <v>46</v>
      </c>
      <c r="F47" t="s">
        <v>448</v>
      </c>
      <c r="G47">
        <v>5000</v>
      </c>
      <c r="K47" t="str">
        <f t="shared" si="3"/>
        <v>1094,2,4,10000</v>
      </c>
      <c r="L47">
        <f>VLOOKUP(F47,Sheet6!$A$1:$C$301,3,FALSE)</f>
        <v>1094</v>
      </c>
      <c r="M47" t="str">
        <f t="shared" si="1"/>
        <v>1094,3,6,5000</v>
      </c>
      <c r="Z47" t="str">
        <f t="shared" si="2"/>
        <v>1094,3,6,5000</v>
      </c>
    </row>
    <row r="48" spans="1:26" x14ac:dyDescent="0.15">
      <c r="A48" t="s">
        <v>53</v>
      </c>
      <c r="B48" t="str">
        <f t="shared" si="0"/>
        <v>1116,2,4,10000;1116,3,6,5000;1114,3,6,5000</v>
      </c>
      <c r="C48" t="s">
        <v>447</v>
      </c>
      <c r="D48">
        <v>47</v>
      </c>
      <c r="E48">
        <v>48</v>
      </c>
      <c r="F48" t="s">
        <v>449</v>
      </c>
      <c r="G48">
        <v>5000</v>
      </c>
      <c r="K48" t="str">
        <f t="shared" si="3"/>
        <v>1116,2,4,10000</v>
      </c>
      <c r="L48">
        <f>VLOOKUP(F48,Sheet6!$A$1:$C$301,3,FALSE)</f>
        <v>1116</v>
      </c>
      <c r="M48" t="str">
        <f t="shared" si="1"/>
        <v>1116,3,6,5000</v>
      </c>
      <c r="N48" t="s">
        <v>463</v>
      </c>
      <c r="O48">
        <f>VLOOKUP(N48,Sheet6!$A$1:$C$301,3,FALSE)</f>
        <v>1114</v>
      </c>
      <c r="P48" t="str">
        <f>O48&amp;","&amp;$M$1&amp;","&amp;$N$1&amp;","&amp;G48</f>
        <v>1114,3,6,5000</v>
      </c>
      <c r="Z48" t="str">
        <f t="shared" si="2"/>
        <v>1116,3,6,5000;1114,3,6,5000</v>
      </c>
    </row>
    <row r="49" spans="1:26" x14ac:dyDescent="0.15">
      <c r="A49" t="s">
        <v>50</v>
      </c>
      <c r="B49" t="str">
        <f t="shared" si="0"/>
        <v>1093,2,4,10000;1093,3,6,10000;1116,3,6,10000;1114,3,6,10000;1094,3,6,10000;1116,3,6,10000</v>
      </c>
      <c r="C49" t="s">
        <v>447</v>
      </c>
      <c r="D49">
        <v>48</v>
      </c>
      <c r="E49">
        <v>53</v>
      </c>
      <c r="F49" t="s">
        <v>462</v>
      </c>
      <c r="G49">
        <v>10000</v>
      </c>
      <c r="K49" t="str">
        <f t="shared" si="3"/>
        <v>1093,2,4,10000</v>
      </c>
      <c r="L49">
        <f>VLOOKUP(F49,Sheet6!$A$1:$C$301,3,FALSE)</f>
        <v>1093</v>
      </c>
      <c r="M49" t="str">
        <f t="shared" si="1"/>
        <v>1093,3,6,10000</v>
      </c>
      <c r="N49" t="s">
        <v>449</v>
      </c>
      <c r="O49">
        <f>VLOOKUP(N49,Sheet6!$A$1:$C$301,3,FALSE)</f>
        <v>1116</v>
      </c>
      <c r="P49" t="str">
        <f>O49&amp;","&amp;$M$1&amp;","&amp;$N$1&amp;","&amp;P$1</f>
        <v>1116,3,6,10000</v>
      </c>
      <c r="Q49" t="s">
        <v>463</v>
      </c>
      <c r="R49">
        <f>VLOOKUP(Q49,Sheet6!$A$1:$C$301,3,FALSE)</f>
        <v>1114</v>
      </c>
      <c r="S49" t="str">
        <f>R49&amp;","&amp;$M$1&amp;","&amp;$N$1&amp;","&amp;S$1</f>
        <v>1114,3,6,10000</v>
      </c>
      <c r="T49" t="s">
        <v>448</v>
      </c>
      <c r="U49">
        <f>VLOOKUP(T49,Sheet6!$A$1:$C$301,3,FALSE)</f>
        <v>1094</v>
      </c>
      <c r="V49" t="str">
        <f>U49&amp;","&amp;$M$1&amp;","&amp;$N$1&amp;","&amp;V$1</f>
        <v>1094,3,6,10000</v>
      </c>
      <c r="W49" t="s">
        <v>449</v>
      </c>
      <c r="X49">
        <f>VLOOKUP(W49,Sheet6!$A$1:$C$301,3,FALSE)</f>
        <v>1116</v>
      </c>
      <c r="Y49" t="str">
        <f>X49&amp;","&amp;$M$1&amp;","&amp;$N$1&amp;","&amp;Y$1</f>
        <v>1116,3,6,10000</v>
      </c>
      <c r="Z49" t="str">
        <f t="shared" si="2"/>
        <v>1093,3,6,10000;1116,3,6,10000;1114,3,6,10000;1094,3,6,10000;1116,3,6,10000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67"/>
  <sheetViews>
    <sheetView workbookViewId="0">
      <selection activeCell="O19" sqref="O19:O24"/>
    </sheetView>
  </sheetViews>
  <sheetFormatPr defaultRowHeight="13.5" x14ac:dyDescent="0.15"/>
  <sheetData>
    <row r="1" spans="1:17" x14ac:dyDescent="0.15">
      <c r="A1" s="1" t="s">
        <v>530</v>
      </c>
      <c r="B1" s="1"/>
      <c r="C1" s="1">
        <v>1001</v>
      </c>
    </row>
    <row r="2" spans="1:17" x14ac:dyDescent="0.15">
      <c r="A2" s="1" t="s">
        <v>465</v>
      </c>
      <c r="B2" s="1"/>
      <c r="C2" s="1">
        <v>1002</v>
      </c>
      <c r="F2" t="s">
        <v>723</v>
      </c>
      <c r="G2">
        <v>1</v>
      </c>
      <c r="H2">
        <v>2</v>
      </c>
      <c r="K2" t="s">
        <v>723</v>
      </c>
      <c r="M2" t="s">
        <v>465</v>
      </c>
      <c r="O2" t="s">
        <v>465</v>
      </c>
      <c r="Q2" t="s">
        <v>728</v>
      </c>
    </row>
    <row r="3" spans="1:17" x14ac:dyDescent="0.15">
      <c r="A3" s="1" t="s">
        <v>531</v>
      </c>
      <c r="B3" s="1"/>
      <c r="C3" s="1">
        <v>1003</v>
      </c>
      <c r="F3" t="s">
        <v>724</v>
      </c>
      <c r="G3">
        <v>1</v>
      </c>
      <c r="H3">
        <v>2</v>
      </c>
      <c r="K3" t="s">
        <v>724</v>
      </c>
      <c r="M3" t="s">
        <v>467</v>
      </c>
      <c r="O3" t="s">
        <v>468</v>
      </c>
    </row>
    <row r="4" spans="1:17" x14ac:dyDescent="0.15">
      <c r="A4" s="1" t="s">
        <v>466</v>
      </c>
      <c r="B4" s="1"/>
      <c r="C4" s="1">
        <v>1004</v>
      </c>
      <c r="F4" t="s">
        <v>466</v>
      </c>
      <c r="G4">
        <v>1</v>
      </c>
      <c r="H4">
        <v>2</v>
      </c>
      <c r="K4" t="s">
        <v>466</v>
      </c>
      <c r="M4" t="s">
        <v>468</v>
      </c>
      <c r="O4" t="s">
        <v>471</v>
      </c>
    </row>
    <row r="5" spans="1:17" x14ac:dyDescent="0.15">
      <c r="A5" s="1" t="s">
        <v>467</v>
      </c>
      <c r="B5" s="1"/>
      <c r="C5" s="1">
        <v>1005</v>
      </c>
      <c r="F5" t="s">
        <v>470</v>
      </c>
      <c r="G5">
        <v>1</v>
      </c>
      <c r="H5">
        <v>2</v>
      </c>
      <c r="K5" t="s">
        <v>470</v>
      </c>
      <c r="M5" t="s">
        <v>471</v>
      </c>
      <c r="O5" t="s">
        <v>473</v>
      </c>
    </row>
    <row r="6" spans="1:17" x14ac:dyDescent="0.15">
      <c r="A6" s="1" t="s">
        <v>532</v>
      </c>
      <c r="B6" s="1"/>
      <c r="C6" s="1">
        <v>1006</v>
      </c>
      <c r="F6" t="s">
        <v>472</v>
      </c>
      <c r="G6">
        <v>1</v>
      </c>
      <c r="H6">
        <v>2</v>
      </c>
      <c r="K6" t="s">
        <v>472</v>
      </c>
      <c r="M6" t="s">
        <v>729</v>
      </c>
      <c r="O6" t="s">
        <v>725</v>
      </c>
    </row>
    <row r="7" spans="1:17" x14ac:dyDescent="0.15">
      <c r="A7" s="1" t="s">
        <v>468</v>
      </c>
      <c r="B7" s="1"/>
      <c r="C7" s="1">
        <v>1007</v>
      </c>
      <c r="F7" t="s">
        <v>730</v>
      </c>
      <c r="G7">
        <v>1</v>
      </c>
      <c r="H7">
        <v>2</v>
      </c>
      <c r="K7" t="s">
        <v>728</v>
      </c>
      <c r="M7" t="s">
        <v>473</v>
      </c>
      <c r="O7" t="s">
        <v>469</v>
      </c>
    </row>
    <row r="8" spans="1:17" x14ac:dyDescent="0.15">
      <c r="A8" s="1" t="s">
        <v>469</v>
      </c>
      <c r="B8" s="1"/>
      <c r="C8" s="1">
        <v>1008</v>
      </c>
      <c r="F8" t="s">
        <v>474</v>
      </c>
      <c r="G8">
        <v>1</v>
      </c>
      <c r="H8">
        <v>2</v>
      </c>
      <c r="I8">
        <v>3</v>
      </c>
      <c r="K8" t="s">
        <v>730</v>
      </c>
      <c r="M8" t="s">
        <v>723</v>
      </c>
      <c r="O8" t="s">
        <v>726</v>
      </c>
    </row>
    <row r="9" spans="1:17" x14ac:dyDescent="0.15">
      <c r="A9" s="1" t="s">
        <v>470</v>
      </c>
      <c r="B9" s="1"/>
      <c r="C9" s="1">
        <v>1009</v>
      </c>
      <c r="F9" t="s">
        <v>728</v>
      </c>
      <c r="G9">
        <v>1</v>
      </c>
      <c r="H9">
        <v>4</v>
      </c>
      <c r="K9" t="s">
        <v>474</v>
      </c>
      <c r="M9" t="s">
        <v>724</v>
      </c>
      <c r="O9" t="s">
        <v>727</v>
      </c>
    </row>
    <row r="10" spans="1:17" x14ac:dyDescent="0.15">
      <c r="A10" s="1" t="s">
        <v>533</v>
      </c>
      <c r="B10" s="1"/>
      <c r="C10" s="1">
        <v>1010</v>
      </c>
      <c r="F10" t="s">
        <v>465</v>
      </c>
      <c r="G10">
        <v>2</v>
      </c>
      <c r="H10">
        <v>3</v>
      </c>
      <c r="M10" t="s">
        <v>466</v>
      </c>
    </row>
    <row r="11" spans="1:17" x14ac:dyDescent="0.15">
      <c r="A11" s="1" t="s">
        <v>471</v>
      </c>
      <c r="B11" s="1"/>
      <c r="C11" s="1">
        <v>1011</v>
      </c>
      <c r="F11" t="s">
        <v>468</v>
      </c>
      <c r="G11">
        <v>2</v>
      </c>
      <c r="H11">
        <v>3</v>
      </c>
      <c r="M11" t="s">
        <v>470</v>
      </c>
    </row>
    <row r="12" spans="1:17" x14ac:dyDescent="0.15">
      <c r="A12" s="1" t="s">
        <v>534</v>
      </c>
      <c r="B12" s="1"/>
      <c r="C12" s="1">
        <v>1012</v>
      </c>
      <c r="F12" t="s">
        <v>471</v>
      </c>
      <c r="G12">
        <v>2</v>
      </c>
      <c r="H12">
        <v>3</v>
      </c>
      <c r="M12" t="s">
        <v>472</v>
      </c>
    </row>
    <row r="13" spans="1:17" x14ac:dyDescent="0.15">
      <c r="A13" s="1" t="s">
        <v>472</v>
      </c>
      <c r="B13" s="1"/>
      <c r="C13" s="1">
        <v>1013</v>
      </c>
      <c r="F13" t="s">
        <v>473</v>
      </c>
      <c r="G13">
        <v>2</v>
      </c>
      <c r="H13">
        <v>3</v>
      </c>
      <c r="M13" t="s">
        <v>730</v>
      </c>
    </row>
    <row r="14" spans="1:17" x14ac:dyDescent="0.15">
      <c r="A14" s="1" t="s">
        <v>535</v>
      </c>
      <c r="B14" s="1"/>
      <c r="C14" s="1">
        <v>1014</v>
      </c>
      <c r="F14" t="s">
        <v>467</v>
      </c>
      <c r="G14">
        <v>2</v>
      </c>
      <c r="M14" t="s">
        <v>474</v>
      </c>
    </row>
    <row r="15" spans="1:17" x14ac:dyDescent="0.15">
      <c r="A15" s="1" t="s">
        <v>536</v>
      </c>
      <c r="B15" s="1"/>
      <c r="C15" s="1">
        <v>1015</v>
      </c>
      <c r="F15" t="s">
        <v>729</v>
      </c>
      <c r="G15">
        <v>2</v>
      </c>
    </row>
    <row r="16" spans="1:17" x14ac:dyDescent="0.15">
      <c r="A16" s="1" t="s">
        <v>473</v>
      </c>
      <c r="B16" s="1"/>
      <c r="C16" s="1">
        <v>1016</v>
      </c>
      <c r="F16" t="s">
        <v>725</v>
      </c>
      <c r="G16">
        <v>3</v>
      </c>
    </row>
    <row r="17" spans="1:17" x14ac:dyDescent="0.15">
      <c r="A17" s="1" t="s">
        <v>537</v>
      </c>
      <c r="B17" s="1"/>
      <c r="C17" s="1">
        <v>1017</v>
      </c>
      <c r="F17" t="s">
        <v>469</v>
      </c>
      <c r="G17">
        <v>3</v>
      </c>
    </row>
    <row r="18" spans="1:17" x14ac:dyDescent="0.15">
      <c r="A18" s="1" t="s">
        <v>474</v>
      </c>
      <c r="B18" s="1"/>
      <c r="C18" s="1">
        <v>1018</v>
      </c>
      <c r="F18" t="s">
        <v>726</v>
      </c>
      <c r="G18">
        <v>3</v>
      </c>
      <c r="K18" t="str">
        <f>IF(K2&lt;&gt;"",K2&amp;"种子","")</f>
        <v>卷心菜种子</v>
      </c>
      <c r="L18" t="str">
        <f t="shared" ref="L18:Q18" si="0">IF(L2&lt;&gt;"",L2&amp;"种子","")</f>
        <v/>
      </c>
      <c r="M18" t="str">
        <f t="shared" si="0"/>
        <v>南瓜种子</v>
      </c>
      <c r="N18" t="str">
        <f t="shared" si="0"/>
        <v/>
      </c>
      <c r="P18" t="str">
        <f>IF(P2&lt;&gt;"",P2&amp;"种子","")</f>
        <v/>
      </c>
      <c r="Q18" t="str">
        <f t="shared" si="0"/>
        <v>蓝莓种子</v>
      </c>
    </row>
    <row r="19" spans="1:17" x14ac:dyDescent="0.15">
      <c r="A19" s="1" t="s">
        <v>475</v>
      </c>
      <c r="B19" s="1"/>
      <c r="C19" s="1">
        <v>1019</v>
      </c>
      <c r="F19" t="s">
        <v>727</v>
      </c>
      <c r="G19">
        <v>3</v>
      </c>
      <c r="L19" t="str">
        <f t="shared" ref="L19:Q19" si="1">IF(L3&lt;&gt;"",L3&amp;"种子","")</f>
        <v/>
      </c>
      <c r="N19" t="str">
        <f t="shared" si="1"/>
        <v/>
      </c>
      <c r="O19" t="str">
        <f t="shared" si="1"/>
        <v>马铃薯种子</v>
      </c>
      <c r="P19" t="str">
        <f t="shared" si="1"/>
        <v/>
      </c>
      <c r="Q19" t="str">
        <f t="shared" si="1"/>
        <v/>
      </c>
    </row>
    <row r="20" spans="1:17" x14ac:dyDescent="0.15">
      <c r="A20" s="1" t="s">
        <v>476</v>
      </c>
      <c r="B20" s="1"/>
      <c r="C20" s="1">
        <v>1020</v>
      </c>
      <c r="L20" t="str">
        <f t="shared" ref="L20:Q20" si="2">IF(L4&lt;&gt;"",L4&amp;"种子","")</f>
        <v/>
      </c>
      <c r="N20" t="str">
        <f t="shared" si="2"/>
        <v/>
      </c>
      <c r="P20" t="str">
        <f t="shared" si="2"/>
        <v/>
      </c>
      <c r="Q20" t="str">
        <f t="shared" si="2"/>
        <v/>
      </c>
    </row>
    <row r="21" spans="1:17" x14ac:dyDescent="0.15">
      <c r="A21" s="1" t="s">
        <v>477</v>
      </c>
      <c r="B21" s="1"/>
      <c r="C21" s="1">
        <v>1021</v>
      </c>
      <c r="K21" t="str">
        <f t="shared" ref="K21:Q21" si="3">IF(K5&lt;&gt;"",K5&amp;"种子","")</f>
        <v>芜菁种子</v>
      </c>
      <c r="L21" t="str">
        <f t="shared" si="3"/>
        <v/>
      </c>
      <c r="M21" t="str">
        <f t="shared" si="3"/>
        <v>大葱种子</v>
      </c>
      <c r="N21" t="str">
        <f t="shared" si="3"/>
        <v/>
      </c>
      <c r="P21" t="str">
        <f t="shared" si="3"/>
        <v/>
      </c>
      <c r="Q21" t="str">
        <f t="shared" si="3"/>
        <v/>
      </c>
    </row>
    <row r="22" spans="1:17" x14ac:dyDescent="0.15">
      <c r="A22" s="1" t="s">
        <v>478</v>
      </c>
      <c r="B22" s="1"/>
      <c r="C22" s="1">
        <v>1022</v>
      </c>
      <c r="L22" t="str">
        <f t="shared" ref="L22:Q22" si="4">IF(L6&lt;&gt;"",L6&amp;"种子","")</f>
        <v/>
      </c>
      <c r="N22" t="str">
        <f t="shared" si="4"/>
        <v/>
      </c>
      <c r="P22" t="str">
        <f t="shared" si="4"/>
        <v/>
      </c>
      <c r="Q22" t="str">
        <f t="shared" si="4"/>
        <v/>
      </c>
    </row>
    <row r="23" spans="1:17" x14ac:dyDescent="0.15">
      <c r="A23" s="1" t="s">
        <v>479</v>
      </c>
      <c r="B23" s="1"/>
      <c r="C23" s="1">
        <v>1023</v>
      </c>
      <c r="L23" t="str">
        <f t="shared" ref="L23:Q23" si="5">IF(L7&lt;&gt;"",L7&amp;"种子","")</f>
        <v/>
      </c>
      <c r="N23" t="str">
        <f t="shared" si="5"/>
        <v/>
      </c>
      <c r="P23" t="str">
        <f t="shared" si="5"/>
        <v/>
      </c>
      <c r="Q23" t="str">
        <f t="shared" si="5"/>
        <v/>
      </c>
    </row>
    <row r="24" spans="1:17" x14ac:dyDescent="0.15">
      <c r="A24" s="1" t="s">
        <v>480</v>
      </c>
      <c r="B24" s="1"/>
      <c r="C24" s="1">
        <v>1024</v>
      </c>
      <c r="L24" t="str">
        <f t="shared" ref="L24:Q24" si="6">IF(L8&lt;&gt;"",L8&amp;"种子","")</f>
        <v/>
      </c>
      <c r="N24" t="str">
        <f t="shared" si="6"/>
        <v/>
      </c>
      <c r="O24" t="str">
        <f t="shared" si="6"/>
        <v>萝卜种子</v>
      </c>
      <c r="P24" t="str">
        <f t="shared" si="6"/>
        <v/>
      </c>
      <c r="Q24" t="str">
        <f t="shared" si="6"/>
        <v/>
      </c>
    </row>
    <row r="25" spans="1:17" x14ac:dyDescent="0.15">
      <c r="A25" s="1" t="s">
        <v>481</v>
      </c>
      <c r="B25" s="1"/>
      <c r="C25" s="1">
        <v>1025</v>
      </c>
      <c r="K25" t="str">
        <f t="shared" ref="K25:Q25" si="7">IF(K9&lt;&gt;"",K9&amp;"种子","")</f>
        <v>牧草种子</v>
      </c>
      <c r="L25" t="str">
        <f t="shared" si="7"/>
        <v/>
      </c>
      <c r="M25" t="str">
        <f t="shared" si="7"/>
        <v>黄瓜种子</v>
      </c>
      <c r="N25" t="str">
        <f t="shared" si="7"/>
        <v/>
      </c>
      <c r="P25" t="str">
        <f t="shared" si="7"/>
        <v/>
      </c>
      <c r="Q25" t="str">
        <f t="shared" si="7"/>
        <v/>
      </c>
    </row>
    <row r="26" spans="1:17" x14ac:dyDescent="0.15">
      <c r="A26" s="1" t="s">
        <v>487</v>
      </c>
      <c r="B26" s="1"/>
      <c r="C26" s="1">
        <v>1026</v>
      </c>
      <c r="K26" t="str">
        <f t="shared" ref="K26:Q26" si="8">IF(K10&lt;&gt;"",K10&amp;"种子","")</f>
        <v/>
      </c>
      <c r="L26" t="str">
        <f t="shared" si="8"/>
        <v/>
      </c>
      <c r="N26" t="str">
        <f t="shared" si="8"/>
        <v/>
      </c>
      <c r="O26" t="str">
        <f t="shared" si="8"/>
        <v/>
      </c>
      <c r="P26" t="str">
        <f t="shared" si="8"/>
        <v/>
      </c>
      <c r="Q26" t="str">
        <f t="shared" si="8"/>
        <v/>
      </c>
    </row>
    <row r="27" spans="1:17" x14ac:dyDescent="0.15">
      <c r="A27" s="1" t="s">
        <v>488</v>
      </c>
      <c r="B27" s="1"/>
      <c r="C27" s="1">
        <v>1027</v>
      </c>
      <c r="K27" t="str">
        <f t="shared" ref="K27:Q27" si="9">IF(K11&lt;&gt;"",K11&amp;"种子","")</f>
        <v/>
      </c>
      <c r="L27" t="str">
        <f t="shared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</row>
    <row r="28" spans="1:17" x14ac:dyDescent="0.15">
      <c r="A28" s="1" t="s">
        <v>489</v>
      </c>
      <c r="B28" s="1"/>
      <c r="C28" s="1">
        <v>1028</v>
      </c>
      <c r="K28" t="str">
        <f t="shared" ref="K28:Q28" si="10">IF(K12&lt;&gt;"",K12&amp;"种子","")</f>
        <v/>
      </c>
      <c r="L28" t="str">
        <f t="shared" si="10"/>
        <v/>
      </c>
      <c r="N28" t="str">
        <f t="shared" si="10"/>
        <v/>
      </c>
      <c r="O28" t="str">
        <f t="shared" si="10"/>
        <v/>
      </c>
      <c r="P28" t="str">
        <f t="shared" si="10"/>
        <v/>
      </c>
      <c r="Q28" t="str">
        <f t="shared" si="10"/>
        <v/>
      </c>
    </row>
    <row r="29" spans="1:17" x14ac:dyDescent="0.15">
      <c r="A29" s="1" t="s">
        <v>490</v>
      </c>
      <c r="B29" s="1"/>
      <c r="C29" s="1">
        <v>1029</v>
      </c>
      <c r="K29" t="str">
        <f t="shared" ref="K29:Q29" si="11">IF(K13&lt;&gt;"",K13&amp;"种子","")</f>
        <v/>
      </c>
      <c r="L29" t="str">
        <f t="shared" si="11"/>
        <v/>
      </c>
      <c r="N29" t="str">
        <f t="shared" si="11"/>
        <v/>
      </c>
      <c r="O29" t="str">
        <f t="shared" si="11"/>
        <v/>
      </c>
      <c r="P29" t="str">
        <f t="shared" si="11"/>
        <v/>
      </c>
      <c r="Q29" t="str">
        <f t="shared" si="11"/>
        <v/>
      </c>
    </row>
    <row r="30" spans="1:17" x14ac:dyDescent="0.15">
      <c r="A30" s="1" t="s">
        <v>491</v>
      </c>
      <c r="B30" s="1"/>
      <c r="C30" s="1">
        <v>1030</v>
      </c>
      <c r="K30" t="str">
        <f t="shared" ref="K30:Q30" si="12">IF(K14&lt;&gt;"",K14&amp;"种子","")</f>
        <v/>
      </c>
      <c r="L30" t="str">
        <f t="shared" si="12"/>
        <v/>
      </c>
      <c r="M30" t="str">
        <f t="shared" si="12"/>
        <v>牧草种子</v>
      </c>
      <c r="N30" t="str">
        <f t="shared" si="12"/>
        <v/>
      </c>
      <c r="O30" t="str">
        <f t="shared" si="12"/>
        <v/>
      </c>
      <c r="P30" t="str">
        <f t="shared" si="12"/>
        <v/>
      </c>
      <c r="Q30" t="str">
        <f t="shared" si="12"/>
        <v/>
      </c>
    </row>
    <row r="31" spans="1:17" x14ac:dyDescent="0.15">
      <c r="A31" s="1" t="s">
        <v>492</v>
      </c>
      <c r="B31" s="1"/>
      <c r="C31" s="1">
        <v>1031</v>
      </c>
    </row>
    <row r="32" spans="1:17" x14ac:dyDescent="0.15">
      <c r="A32" s="1" t="s">
        <v>493</v>
      </c>
      <c r="B32" s="1"/>
      <c r="C32" s="1">
        <v>1032</v>
      </c>
    </row>
    <row r="33" spans="1:3" x14ac:dyDescent="0.15">
      <c r="A33" s="1" t="s">
        <v>494</v>
      </c>
      <c r="B33" s="1"/>
      <c r="C33" s="1">
        <v>1033</v>
      </c>
    </row>
    <row r="34" spans="1:3" x14ac:dyDescent="0.15">
      <c r="A34" t="s">
        <v>538</v>
      </c>
      <c r="B34" s="1"/>
      <c r="C34" s="1">
        <v>1034</v>
      </c>
    </row>
    <row r="35" spans="1:3" x14ac:dyDescent="0.15">
      <c r="A35" t="s">
        <v>539</v>
      </c>
      <c r="B35" s="1"/>
      <c r="C35" s="1">
        <v>1035</v>
      </c>
    </row>
    <row r="36" spans="1:3" x14ac:dyDescent="0.15">
      <c r="A36" t="s">
        <v>540</v>
      </c>
      <c r="B36" s="1"/>
      <c r="C36" s="1">
        <v>1036</v>
      </c>
    </row>
    <row r="37" spans="1:3" x14ac:dyDescent="0.15">
      <c r="A37" t="s">
        <v>541</v>
      </c>
      <c r="B37" s="1"/>
      <c r="C37" s="1">
        <v>1037</v>
      </c>
    </row>
    <row r="38" spans="1:3" x14ac:dyDescent="0.15">
      <c r="A38" t="s">
        <v>542</v>
      </c>
      <c r="B38" s="1"/>
      <c r="C38" s="1">
        <v>1038</v>
      </c>
    </row>
    <row r="39" spans="1:3" x14ac:dyDescent="0.15">
      <c r="A39" t="s">
        <v>543</v>
      </c>
      <c r="B39" s="1"/>
      <c r="C39" s="1">
        <v>1039</v>
      </c>
    </row>
    <row r="40" spans="1:3" x14ac:dyDescent="0.15">
      <c r="A40" t="s">
        <v>544</v>
      </c>
      <c r="B40" s="1"/>
      <c r="C40" s="1">
        <v>1040</v>
      </c>
    </row>
    <row r="41" spans="1:3" x14ac:dyDescent="0.15">
      <c r="A41" t="s">
        <v>545</v>
      </c>
      <c r="B41" s="1"/>
      <c r="C41" s="1">
        <v>1041</v>
      </c>
    </row>
    <row r="42" spans="1:3" x14ac:dyDescent="0.15">
      <c r="A42" t="s">
        <v>546</v>
      </c>
      <c r="B42" s="1"/>
      <c r="C42" s="1">
        <v>1042</v>
      </c>
    </row>
    <row r="43" spans="1:3" x14ac:dyDescent="0.15">
      <c r="A43" t="s">
        <v>495</v>
      </c>
      <c r="B43" s="1"/>
      <c r="C43" s="1">
        <v>1043</v>
      </c>
    </row>
    <row r="44" spans="1:3" x14ac:dyDescent="0.15">
      <c r="A44" t="s">
        <v>496</v>
      </c>
      <c r="B44" s="1"/>
      <c r="C44" s="1">
        <v>1044</v>
      </c>
    </row>
    <row r="45" spans="1:3" x14ac:dyDescent="0.15">
      <c r="A45" t="s">
        <v>547</v>
      </c>
      <c r="B45" s="1"/>
      <c r="C45" s="1">
        <v>1045</v>
      </c>
    </row>
    <row r="46" spans="1:3" x14ac:dyDescent="0.15">
      <c r="A46" t="s">
        <v>498</v>
      </c>
      <c r="B46" s="1"/>
      <c r="C46" s="1">
        <v>1046</v>
      </c>
    </row>
    <row r="47" spans="1:3" x14ac:dyDescent="0.15">
      <c r="A47" t="s">
        <v>499</v>
      </c>
      <c r="B47" s="1"/>
      <c r="C47" s="1">
        <v>1047</v>
      </c>
    </row>
    <row r="48" spans="1:3" x14ac:dyDescent="0.15">
      <c r="A48" t="s">
        <v>501</v>
      </c>
      <c r="B48" s="1"/>
      <c r="C48" s="1">
        <v>1048</v>
      </c>
    </row>
    <row r="49" spans="1:3" x14ac:dyDescent="0.15">
      <c r="A49" t="s">
        <v>548</v>
      </c>
      <c r="B49" s="1"/>
      <c r="C49" s="1">
        <v>1049</v>
      </c>
    </row>
    <row r="50" spans="1:3" x14ac:dyDescent="0.15">
      <c r="A50" t="s">
        <v>549</v>
      </c>
      <c r="B50" s="1"/>
      <c r="C50" s="1">
        <v>1050</v>
      </c>
    </row>
    <row r="51" spans="1:3" x14ac:dyDescent="0.15">
      <c r="A51" t="s">
        <v>550</v>
      </c>
      <c r="B51" s="1"/>
      <c r="C51" s="1">
        <v>1051</v>
      </c>
    </row>
    <row r="52" spans="1:3" x14ac:dyDescent="0.15">
      <c r="A52" t="s">
        <v>551</v>
      </c>
      <c r="B52" s="1"/>
      <c r="C52" s="1">
        <v>1052</v>
      </c>
    </row>
    <row r="53" spans="1:3" x14ac:dyDescent="0.15">
      <c r="A53" s="10" t="s">
        <v>552</v>
      </c>
      <c r="B53" s="1"/>
      <c r="C53" s="1">
        <v>1053</v>
      </c>
    </row>
    <row r="54" spans="1:3" x14ac:dyDescent="0.15">
      <c r="A54" s="11" t="s">
        <v>503</v>
      </c>
      <c r="B54" s="1"/>
      <c r="C54" s="1">
        <v>1054</v>
      </c>
    </row>
    <row r="55" spans="1:3" x14ac:dyDescent="0.15">
      <c r="A55" s="11" t="s">
        <v>504</v>
      </c>
      <c r="B55" s="1"/>
      <c r="C55" s="1">
        <v>1055</v>
      </c>
    </row>
    <row r="56" spans="1:3" x14ac:dyDescent="0.15">
      <c r="A56" s="11" t="s">
        <v>505</v>
      </c>
      <c r="B56" s="1"/>
      <c r="C56" s="1">
        <v>1056</v>
      </c>
    </row>
    <row r="57" spans="1:3" x14ac:dyDescent="0.15">
      <c r="A57" s="11" t="s">
        <v>506</v>
      </c>
      <c r="B57" s="1"/>
      <c r="C57" s="1">
        <v>1057</v>
      </c>
    </row>
    <row r="58" spans="1:3" x14ac:dyDescent="0.15">
      <c r="A58" s="11" t="s">
        <v>507</v>
      </c>
      <c r="B58" s="1"/>
      <c r="C58" s="1">
        <v>1058</v>
      </c>
    </row>
    <row r="59" spans="1:3" x14ac:dyDescent="0.15">
      <c r="A59" s="11" t="s">
        <v>508</v>
      </c>
      <c r="B59" s="1"/>
      <c r="C59" s="1">
        <v>1059</v>
      </c>
    </row>
    <row r="60" spans="1:3" x14ac:dyDescent="0.15">
      <c r="A60" s="10" t="s">
        <v>553</v>
      </c>
      <c r="B60" s="1"/>
      <c r="C60" s="1">
        <v>1060</v>
      </c>
    </row>
    <row r="61" spans="1:3" x14ac:dyDescent="0.15">
      <c r="A61" s="11" t="s">
        <v>554</v>
      </c>
      <c r="B61" s="1"/>
      <c r="C61" s="1">
        <v>1061</v>
      </c>
    </row>
    <row r="62" spans="1:3" x14ac:dyDescent="0.15">
      <c r="A62" s="10" t="s">
        <v>555</v>
      </c>
      <c r="B62" s="1"/>
      <c r="C62" s="1">
        <v>1062</v>
      </c>
    </row>
    <row r="63" spans="1:3" x14ac:dyDescent="0.15">
      <c r="A63" s="10" t="s">
        <v>556</v>
      </c>
      <c r="B63" s="1"/>
      <c r="C63" s="1">
        <v>1063</v>
      </c>
    </row>
    <row r="64" spans="1:3" x14ac:dyDescent="0.15">
      <c r="A64" s="10" t="s">
        <v>557</v>
      </c>
      <c r="B64" s="1"/>
      <c r="C64" s="1">
        <v>1064</v>
      </c>
    </row>
    <row r="65" spans="1:3" x14ac:dyDescent="0.15">
      <c r="A65" s="11" t="s">
        <v>558</v>
      </c>
      <c r="B65" s="1"/>
      <c r="C65" s="1">
        <v>1065</v>
      </c>
    </row>
    <row r="66" spans="1:3" x14ac:dyDescent="0.15">
      <c r="A66" s="12" t="s">
        <v>559</v>
      </c>
      <c r="B66" s="1"/>
      <c r="C66" s="1">
        <v>1066</v>
      </c>
    </row>
    <row r="67" spans="1:3" x14ac:dyDescent="0.15">
      <c r="A67" s="12" t="s">
        <v>560</v>
      </c>
      <c r="B67" s="1"/>
      <c r="C67" s="1">
        <v>1067</v>
      </c>
    </row>
    <row r="68" spans="1:3" x14ac:dyDescent="0.15">
      <c r="A68" t="s">
        <v>561</v>
      </c>
      <c r="B68" s="1"/>
      <c r="C68" s="1">
        <v>1068</v>
      </c>
    </row>
    <row r="69" spans="1:3" x14ac:dyDescent="0.15">
      <c r="A69" t="s">
        <v>562</v>
      </c>
      <c r="B69" s="1"/>
      <c r="C69" s="1">
        <v>1069</v>
      </c>
    </row>
    <row r="70" spans="1:3" x14ac:dyDescent="0.15">
      <c r="A70" t="s">
        <v>563</v>
      </c>
      <c r="B70" s="1"/>
      <c r="C70" s="1">
        <v>1070</v>
      </c>
    </row>
    <row r="71" spans="1:3" x14ac:dyDescent="0.15">
      <c r="A71" s="13" t="s">
        <v>509</v>
      </c>
      <c r="B71" s="1"/>
      <c r="C71" s="1">
        <v>1071</v>
      </c>
    </row>
    <row r="72" spans="1:3" x14ac:dyDescent="0.15">
      <c r="A72" t="s">
        <v>564</v>
      </c>
      <c r="B72" s="1"/>
      <c r="C72" s="1">
        <v>1072</v>
      </c>
    </row>
    <row r="73" spans="1:3" x14ac:dyDescent="0.15">
      <c r="A73" t="s">
        <v>510</v>
      </c>
      <c r="B73" s="1"/>
      <c r="C73" s="1">
        <v>1073</v>
      </c>
    </row>
    <row r="74" spans="1:3" x14ac:dyDescent="0.15">
      <c r="A74" t="s">
        <v>511</v>
      </c>
      <c r="B74" s="1"/>
      <c r="C74" s="1">
        <v>1074</v>
      </c>
    </row>
    <row r="75" spans="1:3" x14ac:dyDescent="0.15">
      <c r="A75" t="s">
        <v>565</v>
      </c>
      <c r="B75" s="1"/>
      <c r="C75" s="1">
        <v>1075</v>
      </c>
    </row>
    <row r="76" spans="1:3" x14ac:dyDescent="0.15">
      <c r="A76" t="s">
        <v>676</v>
      </c>
      <c r="B76" s="1"/>
      <c r="C76" s="1">
        <v>1076</v>
      </c>
    </row>
    <row r="77" spans="1:3" x14ac:dyDescent="0.15">
      <c r="A77" t="s">
        <v>566</v>
      </c>
      <c r="B77" s="1"/>
      <c r="C77" s="1">
        <v>1077</v>
      </c>
    </row>
    <row r="78" spans="1:3" x14ac:dyDescent="0.15">
      <c r="A78" t="s">
        <v>567</v>
      </c>
      <c r="B78" s="1"/>
      <c r="C78" s="1">
        <v>1078</v>
      </c>
    </row>
    <row r="79" spans="1:3" x14ac:dyDescent="0.15">
      <c r="A79" t="s">
        <v>568</v>
      </c>
      <c r="B79" s="1"/>
      <c r="C79" s="1">
        <v>1079</v>
      </c>
    </row>
    <row r="80" spans="1:3" x14ac:dyDescent="0.15">
      <c r="A80" t="s">
        <v>569</v>
      </c>
      <c r="B80" s="1"/>
      <c r="C80" s="1">
        <v>1080</v>
      </c>
    </row>
    <row r="81" spans="1:3" x14ac:dyDescent="0.15">
      <c r="A81" t="s">
        <v>570</v>
      </c>
      <c r="B81" s="1"/>
      <c r="C81" s="1">
        <v>1081</v>
      </c>
    </row>
    <row r="82" spans="1:3" x14ac:dyDescent="0.15">
      <c r="A82" t="s">
        <v>677</v>
      </c>
      <c r="B82" s="1"/>
      <c r="C82" s="1">
        <v>1082</v>
      </c>
    </row>
    <row r="83" spans="1:3" x14ac:dyDescent="0.15">
      <c r="A83" t="s">
        <v>571</v>
      </c>
      <c r="B83" s="1"/>
      <c r="C83" s="1">
        <v>1083</v>
      </c>
    </row>
    <row r="84" spans="1:3" x14ac:dyDescent="0.15">
      <c r="A84" t="s">
        <v>572</v>
      </c>
      <c r="B84" s="1"/>
      <c r="C84" s="1">
        <v>1084</v>
      </c>
    </row>
    <row r="85" spans="1:3" x14ac:dyDescent="0.15">
      <c r="A85" t="s">
        <v>678</v>
      </c>
      <c r="B85" s="1"/>
      <c r="C85" s="1">
        <v>1085</v>
      </c>
    </row>
    <row r="86" spans="1:3" x14ac:dyDescent="0.15">
      <c r="A86" t="s">
        <v>573</v>
      </c>
      <c r="B86" s="1"/>
      <c r="C86" s="1">
        <v>1086</v>
      </c>
    </row>
    <row r="87" spans="1:3" x14ac:dyDescent="0.15">
      <c r="A87" t="s">
        <v>679</v>
      </c>
      <c r="B87" s="1"/>
      <c r="C87" s="1">
        <v>1087</v>
      </c>
    </row>
    <row r="88" spans="1:3" x14ac:dyDescent="0.15">
      <c r="A88" t="s">
        <v>574</v>
      </c>
      <c r="B88" s="1"/>
      <c r="C88" s="1">
        <v>1088</v>
      </c>
    </row>
    <row r="89" spans="1:3" x14ac:dyDescent="0.15">
      <c r="A89" t="s">
        <v>575</v>
      </c>
      <c r="B89" s="1"/>
      <c r="C89" s="1">
        <v>1089</v>
      </c>
    </row>
    <row r="90" spans="1:3" x14ac:dyDescent="0.15">
      <c r="A90" t="s">
        <v>576</v>
      </c>
      <c r="B90" s="1"/>
      <c r="C90" s="1">
        <v>1090</v>
      </c>
    </row>
    <row r="91" spans="1:3" x14ac:dyDescent="0.15">
      <c r="A91" t="s">
        <v>577</v>
      </c>
      <c r="B91" s="1"/>
      <c r="C91" s="1">
        <v>1091</v>
      </c>
    </row>
    <row r="92" spans="1:3" x14ac:dyDescent="0.15">
      <c r="A92" t="s">
        <v>680</v>
      </c>
      <c r="B92" s="1"/>
      <c r="C92" s="1">
        <v>1092</v>
      </c>
    </row>
    <row r="93" spans="1:3" x14ac:dyDescent="0.15">
      <c r="A93" t="s">
        <v>578</v>
      </c>
      <c r="B93" s="1"/>
      <c r="C93" s="1">
        <v>1093</v>
      </c>
    </row>
    <row r="94" spans="1:3" x14ac:dyDescent="0.15">
      <c r="A94" t="s">
        <v>579</v>
      </c>
      <c r="B94" s="1"/>
      <c r="C94" s="1">
        <v>1094</v>
      </c>
    </row>
    <row r="95" spans="1:3" x14ac:dyDescent="0.15">
      <c r="A95" t="s">
        <v>580</v>
      </c>
      <c r="B95" s="1"/>
      <c r="C95" s="1">
        <v>1095</v>
      </c>
    </row>
    <row r="96" spans="1:3" x14ac:dyDescent="0.15">
      <c r="A96" t="s">
        <v>581</v>
      </c>
      <c r="B96" s="1"/>
      <c r="C96" s="1">
        <v>1096</v>
      </c>
    </row>
    <row r="97" spans="1:3" x14ac:dyDescent="0.15">
      <c r="A97" t="s">
        <v>582</v>
      </c>
      <c r="B97" s="1"/>
      <c r="C97" s="1">
        <v>1097</v>
      </c>
    </row>
    <row r="98" spans="1:3" x14ac:dyDescent="0.15">
      <c r="A98" t="s">
        <v>681</v>
      </c>
      <c r="B98" s="1"/>
      <c r="C98" s="1">
        <v>1098</v>
      </c>
    </row>
    <row r="99" spans="1:3" x14ac:dyDescent="0.15">
      <c r="A99" t="s">
        <v>583</v>
      </c>
      <c r="B99" s="1"/>
      <c r="C99" s="1">
        <v>1099</v>
      </c>
    </row>
    <row r="100" spans="1:3" x14ac:dyDescent="0.15">
      <c r="A100" t="s">
        <v>584</v>
      </c>
      <c r="B100" s="1"/>
      <c r="C100" s="1">
        <v>1100</v>
      </c>
    </row>
    <row r="101" spans="1:3" x14ac:dyDescent="0.15">
      <c r="A101" t="s">
        <v>585</v>
      </c>
      <c r="B101" s="1"/>
      <c r="C101" s="1">
        <v>1101</v>
      </c>
    </row>
    <row r="102" spans="1:3" x14ac:dyDescent="0.15">
      <c r="A102" t="s">
        <v>586</v>
      </c>
      <c r="B102" s="1"/>
      <c r="C102" s="1">
        <v>1102</v>
      </c>
    </row>
    <row r="103" spans="1:3" x14ac:dyDescent="0.15">
      <c r="A103" t="s">
        <v>587</v>
      </c>
      <c r="B103" s="1"/>
      <c r="C103" s="1">
        <v>1103</v>
      </c>
    </row>
    <row r="104" spans="1:3" x14ac:dyDescent="0.15">
      <c r="A104" t="s">
        <v>588</v>
      </c>
      <c r="B104" s="1"/>
      <c r="C104" s="1">
        <v>1104</v>
      </c>
    </row>
    <row r="105" spans="1:3" x14ac:dyDescent="0.15">
      <c r="A105" t="s">
        <v>682</v>
      </c>
      <c r="B105" s="1"/>
      <c r="C105" s="1">
        <v>1105</v>
      </c>
    </row>
    <row r="106" spans="1:3" x14ac:dyDescent="0.15">
      <c r="A106" t="s">
        <v>683</v>
      </c>
      <c r="B106" s="1"/>
      <c r="C106" s="1">
        <v>1106</v>
      </c>
    </row>
    <row r="107" spans="1:3" x14ac:dyDescent="0.15">
      <c r="A107" t="s">
        <v>684</v>
      </c>
      <c r="B107" s="1"/>
      <c r="C107" s="1">
        <v>1107</v>
      </c>
    </row>
    <row r="108" spans="1:3" x14ac:dyDescent="0.15">
      <c r="A108" t="s">
        <v>589</v>
      </c>
      <c r="B108" s="1"/>
      <c r="C108" s="1">
        <v>1108</v>
      </c>
    </row>
    <row r="109" spans="1:3" x14ac:dyDescent="0.15">
      <c r="A109" t="s">
        <v>590</v>
      </c>
      <c r="B109" s="1"/>
      <c r="C109" s="1">
        <v>1109</v>
      </c>
    </row>
    <row r="110" spans="1:3" x14ac:dyDescent="0.15">
      <c r="A110" t="s">
        <v>591</v>
      </c>
      <c r="B110" s="1"/>
      <c r="C110" s="1">
        <v>1110</v>
      </c>
    </row>
    <row r="111" spans="1:3" x14ac:dyDescent="0.15">
      <c r="A111" t="s">
        <v>592</v>
      </c>
      <c r="B111" s="1"/>
      <c r="C111" s="1">
        <v>1111</v>
      </c>
    </row>
    <row r="112" spans="1:3" x14ac:dyDescent="0.15">
      <c r="A112" t="s">
        <v>418</v>
      </c>
      <c r="B112" s="1"/>
      <c r="C112" s="1">
        <v>1112</v>
      </c>
    </row>
    <row r="113" spans="1:3" x14ac:dyDescent="0.15">
      <c r="A113" t="s">
        <v>593</v>
      </c>
      <c r="B113" s="1"/>
      <c r="C113" s="1">
        <v>1113</v>
      </c>
    </row>
    <row r="114" spans="1:3" x14ac:dyDescent="0.15">
      <c r="A114" t="s">
        <v>685</v>
      </c>
      <c r="B114" s="1"/>
      <c r="C114" s="1">
        <v>1114</v>
      </c>
    </row>
    <row r="115" spans="1:3" x14ac:dyDescent="0.15">
      <c r="A115" t="s">
        <v>594</v>
      </c>
      <c r="B115" s="1"/>
      <c r="C115" s="1">
        <v>1115</v>
      </c>
    </row>
    <row r="116" spans="1:3" x14ac:dyDescent="0.15">
      <c r="A116" t="s">
        <v>595</v>
      </c>
      <c r="B116" s="1"/>
      <c r="C116" s="1">
        <v>1116</v>
      </c>
    </row>
    <row r="117" spans="1:3" x14ac:dyDescent="0.15">
      <c r="A117" t="s">
        <v>596</v>
      </c>
      <c r="B117" s="1"/>
      <c r="C117" s="1">
        <v>1117</v>
      </c>
    </row>
    <row r="118" spans="1:3" x14ac:dyDescent="0.15">
      <c r="A118" t="s">
        <v>686</v>
      </c>
      <c r="B118" s="1"/>
      <c r="C118" s="1">
        <v>1118</v>
      </c>
    </row>
    <row r="119" spans="1:3" x14ac:dyDescent="0.15">
      <c r="A119" t="s">
        <v>597</v>
      </c>
      <c r="B119" s="1"/>
      <c r="C119" s="1">
        <v>1119</v>
      </c>
    </row>
    <row r="120" spans="1:3" x14ac:dyDescent="0.15">
      <c r="A120" t="s">
        <v>687</v>
      </c>
      <c r="B120" s="1"/>
      <c r="C120" s="1">
        <v>1120</v>
      </c>
    </row>
    <row r="121" spans="1:3" x14ac:dyDescent="0.15">
      <c r="A121" t="s">
        <v>598</v>
      </c>
      <c r="B121" s="1"/>
      <c r="C121" s="1">
        <v>1121</v>
      </c>
    </row>
    <row r="122" spans="1:3" x14ac:dyDescent="0.15">
      <c r="A122" t="s">
        <v>688</v>
      </c>
      <c r="B122" s="1"/>
      <c r="C122" s="1">
        <v>1122</v>
      </c>
    </row>
    <row r="123" spans="1:3" x14ac:dyDescent="0.15">
      <c r="A123" t="s">
        <v>599</v>
      </c>
      <c r="B123" s="1"/>
      <c r="C123" s="1">
        <v>1123</v>
      </c>
    </row>
    <row r="124" spans="1:3" x14ac:dyDescent="0.15">
      <c r="A124" t="s">
        <v>600</v>
      </c>
      <c r="B124" s="1"/>
      <c r="C124" s="1">
        <v>1124</v>
      </c>
    </row>
    <row r="125" spans="1:3" x14ac:dyDescent="0.15">
      <c r="A125" t="s">
        <v>601</v>
      </c>
      <c r="B125" s="1"/>
      <c r="C125" s="1">
        <v>1125</v>
      </c>
    </row>
    <row r="126" spans="1:3" x14ac:dyDescent="0.15">
      <c r="A126" t="s">
        <v>689</v>
      </c>
      <c r="B126" s="1"/>
      <c r="C126" s="1">
        <v>1126</v>
      </c>
    </row>
    <row r="127" spans="1:3" x14ac:dyDescent="0.15">
      <c r="A127" t="s">
        <v>690</v>
      </c>
      <c r="C127" s="1">
        <v>1127</v>
      </c>
    </row>
    <row r="128" spans="1:3" x14ac:dyDescent="0.15">
      <c r="A128" t="s">
        <v>602</v>
      </c>
      <c r="C128" s="1">
        <v>1128</v>
      </c>
    </row>
    <row r="129" spans="1:3" x14ac:dyDescent="0.15">
      <c r="A129" t="s">
        <v>691</v>
      </c>
      <c r="C129" s="1">
        <v>1129</v>
      </c>
    </row>
    <row r="130" spans="1:3" x14ac:dyDescent="0.15">
      <c r="A130" t="s">
        <v>603</v>
      </c>
      <c r="C130" s="1">
        <v>1130</v>
      </c>
    </row>
    <row r="131" spans="1:3" x14ac:dyDescent="0.15">
      <c r="A131" t="s">
        <v>692</v>
      </c>
      <c r="C131" s="1">
        <v>1131</v>
      </c>
    </row>
    <row r="132" spans="1:3" ht="27" x14ac:dyDescent="0.15">
      <c r="A132" s="1" t="s">
        <v>512</v>
      </c>
      <c r="C132" s="1">
        <v>1132</v>
      </c>
    </row>
    <row r="133" spans="1:3" x14ac:dyDescent="0.15">
      <c r="A133" s="1" t="s">
        <v>513</v>
      </c>
      <c r="C133" s="1">
        <v>1133</v>
      </c>
    </row>
    <row r="134" spans="1:3" x14ac:dyDescent="0.15">
      <c r="A134" s="1" t="s">
        <v>514</v>
      </c>
      <c r="C134" s="1">
        <v>1134</v>
      </c>
    </row>
    <row r="135" spans="1:3" x14ac:dyDescent="0.15">
      <c r="A135" s="1" t="s">
        <v>515</v>
      </c>
      <c r="C135" s="1">
        <v>1135</v>
      </c>
    </row>
    <row r="136" spans="1:3" x14ac:dyDescent="0.15">
      <c r="A136" s="1" t="s">
        <v>516</v>
      </c>
      <c r="C136" s="1">
        <v>1136</v>
      </c>
    </row>
    <row r="137" spans="1:3" x14ac:dyDescent="0.15">
      <c r="A137" s="1" t="s">
        <v>517</v>
      </c>
      <c r="C137" s="1">
        <v>1137</v>
      </c>
    </row>
    <row r="138" spans="1:3" ht="27" x14ac:dyDescent="0.15">
      <c r="A138" s="1" t="s">
        <v>518</v>
      </c>
      <c r="C138" s="1">
        <v>1138</v>
      </c>
    </row>
    <row r="139" spans="1:3" ht="27" x14ac:dyDescent="0.15">
      <c r="A139" s="1" t="s">
        <v>519</v>
      </c>
      <c r="C139" s="1">
        <v>1139</v>
      </c>
    </row>
    <row r="140" spans="1:3" x14ac:dyDescent="0.15">
      <c r="A140" s="1" t="s">
        <v>520</v>
      </c>
      <c r="C140" s="1">
        <v>1140</v>
      </c>
    </row>
    <row r="141" spans="1:3" x14ac:dyDescent="0.15">
      <c r="A141" s="1" t="s">
        <v>521</v>
      </c>
      <c r="C141" s="1">
        <v>1141</v>
      </c>
    </row>
    <row r="142" spans="1:3" x14ac:dyDescent="0.15">
      <c r="A142" s="1" t="s">
        <v>522</v>
      </c>
      <c r="C142" s="1">
        <v>1142</v>
      </c>
    </row>
    <row r="143" spans="1:3" x14ac:dyDescent="0.15">
      <c r="A143" s="1" t="s">
        <v>523</v>
      </c>
      <c r="C143" s="1">
        <v>1143</v>
      </c>
    </row>
    <row r="144" spans="1:3" x14ac:dyDescent="0.15">
      <c r="A144" s="1" t="s">
        <v>524</v>
      </c>
      <c r="C144" s="1">
        <v>1144</v>
      </c>
    </row>
    <row r="145" spans="1:3" x14ac:dyDescent="0.15">
      <c r="A145" s="1" t="s">
        <v>525</v>
      </c>
      <c r="C145" s="1">
        <v>1145</v>
      </c>
    </row>
    <row r="146" spans="1:3" x14ac:dyDescent="0.15">
      <c r="A146" s="1" t="s">
        <v>526</v>
      </c>
      <c r="C146" s="1">
        <v>1146</v>
      </c>
    </row>
    <row r="147" spans="1:3" x14ac:dyDescent="0.15">
      <c r="A147" s="1" t="s">
        <v>527</v>
      </c>
      <c r="C147" s="1">
        <v>1147</v>
      </c>
    </row>
    <row r="148" spans="1:3" x14ac:dyDescent="0.15">
      <c r="A148" s="1" t="s">
        <v>528</v>
      </c>
      <c r="C148" s="1">
        <v>1148</v>
      </c>
    </row>
    <row r="149" spans="1:3" x14ac:dyDescent="0.15">
      <c r="A149" s="1" t="s">
        <v>529</v>
      </c>
      <c r="C149" s="1">
        <v>1149</v>
      </c>
    </row>
    <row r="150" spans="1:3" x14ac:dyDescent="0.15">
      <c r="A150" s="1" t="s">
        <v>693</v>
      </c>
      <c r="B150" s="1"/>
      <c r="C150" s="1">
        <v>1150</v>
      </c>
    </row>
    <row r="151" spans="1:3" x14ac:dyDescent="0.15">
      <c r="A151" s="1" t="s">
        <v>694</v>
      </c>
      <c r="B151" s="1"/>
      <c r="C151" s="1">
        <v>1151</v>
      </c>
    </row>
    <row r="152" spans="1:3" x14ac:dyDescent="0.15">
      <c r="A152" s="1" t="s">
        <v>695</v>
      </c>
      <c r="B152" s="1"/>
      <c r="C152" s="1">
        <v>1152</v>
      </c>
    </row>
    <row r="153" spans="1:3" x14ac:dyDescent="0.15">
      <c r="A153" s="1" t="s">
        <v>696</v>
      </c>
      <c r="B153" s="1"/>
      <c r="C153" s="1">
        <v>1153</v>
      </c>
    </row>
    <row r="154" spans="1:3" x14ac:dyDescent="0.15">
      <c r="A154" s="1" t="s">
        <v>697</v>
      </c>
      <c r="B154" s="1"/>
      <c r="C154" s="1">
        <v>1154</v>
      </c>
    </row>
    <row r="155" spans="1:3" x14ac:dyDescent="0.15">
      <c r="A155" s="1" t="s">
        <v>698</v>
      </c>
      <c r="B155" s="1"/>
      <c r="C155" s="1">
        <v>1155</v>
      </c>
    </row>
    <row r="156" spans="1:3" x14ac:dyDescent="0.15">
      <c r="A156" s="1" t="s">
        <v>699</v>
      </c>
      <c r="B156" s="1"/>
      <c r="C156" s="1">
        <v>1156</v>
      </c>
    </row>
    <row r="157" spans="1:3" x14ac:dyDescent="0.15">
      <c r="A157" s="1" t="s">
        <v>604</v>
      </c>
      <c r="B157" s="1"/>
      <c r="C157" s="1">
        <v>1157</v>
      </c>
    </row>
    <row r="158" spans="1:3" x14ac:dyDescent="0.15">
      <c r="A158" s="1" t="s">
        <v>605</v>
      </c>
      <c r="B158" s="1"/>
      <c r="C158" s="1">
        <v>1158</v>
      </c>
    </row>
    <row r="159" spans="1:3" x14ac:dyDescent="0.15">
      <c r="A159" s="1" t="s">
        <v>606</v>
      </c>
      <c r="B159" s="1"/>
      <c r="C159" s="1">
        <v>1159</v>
      </c>
    </row>
    <row r="160" spans="1:3" x14ac:dyDescent="0.15">
      <c r="A160" s="1" t="s">
        <v>607</v>
      </c>
      <c r="B160" s="1"/>
      <c r="C160" s="1">
        <v>1160</v>
      </c>
    </row>
    <row r="161" spans="1:3" x14ac:dyDescent="0.15">
      <c r="A161" s="1" t="s">
        <v>608</v>
      </c>
      <c r="B161" s="1"/>
      <c r="C161" s="1">
        <v>1161</v>
      </c>
    </row>
    <row r="162" spans="1:3" x14ac:dyDescent="0.15">
      <c r="A162" s="1" t="s">
        <v>700</v>
      </c>
      <c r="B162" s="1"/>
      <c r="C162" s="1">
        <v>1162</v>
      </c>
    </row>
    <row r="163" spans="1:3" x14ac:dyDescent="0.15">
      <c r="A163" s="1" t="s">
        <v>609</v>
      </c>
      <c r="B163" s="1"/>
      <c r="C163" s="1">
        <v>1163</v>
      </c>
    </row>
    <row r="164" spans="1:3" x14ac:dyDescent="0.15">
      <c r="A164" s="1" t="s">
        <v>610</v>
      </c>
      <c r="B164" s="1"/>
      <c r="C164" s="1">
        <v>1164</v>
      </c>
    </row>
    <row r="165" spans="1:3" x14ac:dyDescent="0.15">
      <c r="A165" s="1" t="s">
        <v>611</v>
      </c>
      <c r="B165" s="1"/>
      <c r="C165" s="1">
        <v>1165</v>
      </c>
    </row>
    <row r="166" spans="1:3" x14ac:dyDescent="0.15">
      <c r="A166" s="1" t="s">
        <v>612</v>
      </c>
      <c r="B166" s="1"/>
      <c r="C166" s="1">
        <v>1166</v>
      </c>
    </row>
    <row r="167" spans="1:3" x14ac:dyDescent="0.15">
      <c r="A167" s="1" t="s">
        <v>613</v>
      </c>
      <c r="B167" s="1"/>
      <c r="C167" s="1">
        <v>1167</v>
      </c>
    </row>
    <row r="168" spans="1:3" ht="27" x14ac:dyDescent="0.15">
      <c r="A168" s="1" t="s">
        <v>614</v>
      </c>
      <c r="B168" s="1"/>
      <c r="C168" s="1">
        <v>1168</v>
      </c>
    </row>
    <row r="169" spans="1:3" ht="27" x14ac:dyDescent="0.15">
      <c r="A169" s="1" t="s">
        <v>615</v>
      </c>
      <c r="B169" s="1"/>
      <c r="C169" s="1">
        <v>1169</v>
      </c>
    </row>
    <row r="170" spans="1:3" ht="27" x14ac:dyDescent="0.15">
      <c r="A170" s="1" t="s">
        <v>616</v>
      </c>
      <c r="B170" s="1"/>
      <c r="C170" s="1">
        <v>1170</v>
      </c>
    </row>
    <row r="171" spans="1:3" x14ac:dyDescent="0.15">
      <c r="A171" s="1" t="s">
        <v>475</v>
      </c>
      <c r="B171" s="1"/>
      <c r="C171" s="1">
        <v>1171</v>
      </c>
    </row>
    <row r="172" spans="1:3" x14ac:dyDescent="0.15">
      <c r="A172" s="1" t="s">
        <v>476</v>
      </c>
      <c r="B172" s="1"/>
      <c r="C172" s="1">
        <v>1172</v>
      </c>
    </row>
    <row r="173" spans="1:3" x14ac:dyDescent="0.15">
      <c r="A173" s="1" t="s">
        <v>477</v>
      </c>
      <c r="B173" s="1"/>
      <c r="C173" s="1">
        <v>1173</v>
      </c>
    </row>
    <row r="174" spans="1:3" x14ac:dyDescent="0.15">
      <c r="A174" s="1" t="s">
        <v>478</v>
      </c>
      <c r="B174" s="1"/>
      <c r="C174" s="1">
        <v>1174</v>
      </c>
    </row>
    <row r="175" spans="1:3" x14ac:dyDescent="0.15">
      <c r="A175" s="1" t="s">
        <v>479</v>
      </c>
      <c r="B175" s="1"/>
      <c r="C175" s="1">
        <v>1175</v>
      </c>
    </row>
    <row r="176" spans="1:3" x14ac:dyDescent="0.15">
      <c r="A176" s="1" t="s">
        <v>480</v>
      </c>
      <c r="B176" s="1"/>
      <c r="C176" s="1">
        <v>1176</v>
      </c>
    </row>
    <row r="177" spans="1:3" x14ac:dyDescent="0.15">
      <c r="A177" s="1" t="s">
        <v>481</v>
      </c>
      <c r="B177" s="1"/>
      <c r="C177" s="1">
        <v>1177</v>
      </c>
    </row>
    <row r="178" spans="1:3" x14ac:dyDescent="0.15">
      <c r="A178" s="1" t="s">
        <v>482</v>
      </c>
      <c r="B178" s="1"/>
      <c r="C178" s="1">
        <v>1178</v>
      </c>
    </row>
    <row r="179" spans="1:3" x14ac:dyDescent="0.15">
      <c r="A179" s="1" t="s">
        <v>483</v>
      </c>
      <c r="B179" s="1"/>
      <c r="C179" s="1">
        <v>1179</v>
      </c>
    </row>
    <row r="180" spans="1:3" x14ac:dyDescent="0.15">
      <c r="A180" s="1" t="s">
        <v>484</v>
      </c>
      <c r="B180" s="1"/>
      <c r="C180" s="1">
        <v>1180</v>
      </c>
    </row>
    <row r="181" spans="1:3" x14ac:dyDescent="0.15">
      <c r="A181" s="1" t="s">
        <v>485</v>
      </c>
      <c r="B181" s="1"/>
      <c r="C181" s="1">
        <v>1181</v>
      </c>
    </row>
    <row r="182" spans="1:3" x14ac:dyDescent="0.15">
      <c r="A182" s="1" t="s">
        <v>486</v>
      </c>
      <c r="B182" s="1"/>
      <c r="C182" s="1">
        <v>1182</v>
      </c>
    </row>
    <row r="183" spans="1:3" x14ac:dyDescent="0.15">
      <c r="A183" s="1" t="s">
        <v>487</v>
      </c>
      <c r="B183" s="1"/>
      <c r="C183" s="1">
        <v>1183</v>
      </c>
    </row>
    <row r="184" spans="1:3" x14ac:dyDescent="0.15">
      <c r="A184" s="1" t="s">
        <v>488</v>
      </c>
      <c r="B184" s="1"/>
      <c r="C184" s="1">
        <v>1184</v>
      </c>
    </row>
    <row r="185" spans="1:3" x14ac:dyDescent="0.15">
      <c r="A185" s="1" t="s">
        <v>489</v>
      </c>
      <c r="B185" s="1"/>
      <c r="C185" s="1">
        <v>1185</v>
      </c>
    </row>
    <row r="186" spans="1:3" x14ac:dyDescent="0.15">
      <c r="A186" s="1" t="s">
        <v>490</v>
      </c>
      <c r="B186" s="1"/>
      <c r="C186" s="1">
        <v>1186</v>
      </c>
    </row>
    <row r="187" spans="1:3" x14ac:dyDescent="0.15">
      <c r="A187" s="1" t="s">
        <v>491</v>
      </c>
      <c r="B187" s="1"/>
      <c r="C187" s="1">
        <v>1187</v>
      </c>
    </row>
    <row r="188" spans="1:3" x14ac:dyDescent="0.15">
      <c r="A188" s="1" t="s">
        <v>492</v>
      </c>
      <c r="B188" s="1"/>
      <c r="C188" s="1">
        <v>1188</v>
      </c>
    </row>
    <row r="189" spans="1:3" x14ac:dyDescent="0.15">
      <c r="A189" s="1" t="s">
        <v>493</v>
      </c>
      <c r="B189" s="1"/>
      <c r="C189" s="1">
        <v>1189</v>
      </c>
    </row>
    <row r="190" spans="1:3" x14ac:dyDescent="0.15">
      <c r="A190" s="1" t="s">
        <v>494</v>
      </c>
      <c r="B190" s="1"/>
      <c r="C190" s="1">
        <v>1190</v>
      </c>
    </row>
    <row r="191" spans="1:3" x14ac:dyDescent="0.15">
      <c r="A191" t="s">
        <v>617</v>
      </c>
      <c r="B191" s="1"/>
      <c r="C191" s="1">
        <v>1191</v>
      </c>
    </row>
    <row r="192" spans="1:3" x14ac:dyDescent="0.15">
      <c r="A192" t="s">
        <v>618</v>
      </c>
      <c r="B192" s="1"/>
      <c r="C192" s="1">
        <v>1192</v>
      </c>
    </row>
    <row r="193" spans="1:3" x14ac:dyDescent="0.15">
      <c r="A193" t="s">
        <v>619</v>
      </c>
      <c r="B193" s="1"/>
      <c r="C193" s="1">
        <v>1193</v>
      </c>
    </row>
    <row r="194" spans="1:3" x14ac:dyDescent="0.15">
      <c r="A194" t="s">
        <v>620</v>
      </c>
      <c r="B194" s="1"/>
      <c r="C194" s="1">
        <v>1194</v>
      </c>
    </row>
    <row r="195" spans="1:3" x14ac:dyDescent="0.15">
      <c r="A195" t="s">
        <v>621</v>
      </c>
      <c r="B195" s="1"/>
      <c r="C195" s="1">
        <v>1195</v>
      </c>
    </row>
    <row r="196" spans="1:3" x14ac:dyDescent="0.15">
      <c r="A196" t="s">
        <v>622</v>
      </c>
      <c r="B196" s="1"/>
      <c r="C196" s="1">
        <v>1196</v>
      </c>
    </row>
    <row r="197" spans="1:3" x14ac:dyDescent="0.15">
      <c r="A197" t="s">
        <v>623</v>
      </c>
      <c r="B197" s="1"/>
      <c r="C197" s="1">
        <v>1197</v>
      </c>
    </row>
    <row r="198" spans="1:3" x14ac:dyDescent="0.15">
      <c r="A198" t="s">
        <v>624</v>
      </c>
      <c r="B198" s="1"/>
      <c r="C198" s="1">
        <v>1198</v>
      </c>
    </row>
    <row r="199" spans="1:3" x14ac:dyDescent="0.15">
      <c r="A199" t="s">
        <v>625</v>
      </c>
      <c r="B199" s="1"/>
      <c r="C199" s="1">
        <v>1199</v>
      </c>
    </row>
    <row r="200" spans="1:3" x14ac:dyDescent="0.15">
      <c r="A200" t="s">
        <v>495</v>
      </c>
      <c r="B200" s="1"/>
      <c r="C200" s="1">
        <v>1200</v>
      </c>
    </row>
    <row r="201" spans="1:3" x14ac:dyDescent="0.15">
      <c r="A201" t="s">
        <v>496</v>
      </c>
      <c r="B201" s="1"/>
      <c r="C201" s="1">
        <v>1201</v>
      </c>
    </row>
    <row r="202" spans="1:3" x14ac:dyDescent="0.15">
      <c r="A202" t="s">
        <v>497</v>
      </c>
      <c r="B202" s="1"/>
      <c r="C202" s="1">
        <v>1202</v>
      </c>
    </row>
    <row r="203" spans="1:3" x14ac:dyDescent="0.15">
      <c r="A203" t="s">
        <v>498</v>
      </c>
      <c r="B203" s="1"/>
      <c r="C203" s="1">
        <v>1203</v>
      </c>
    </row>
    <row r="204" spans="1:3" x14ac:dyDescent="0.15">
      <c r="A204" t="s">
        <v>499</v>
      </c>
      <c r="B204" s="1"/>
      <c r="C204" s="1">
        <v>1204</v>
      </c>
    </row>
    <row r="205" spans="1:3" x14ac:dyDescent="0.15">
      <c r="A205" t="s">
        <v>500</v>
      </c>
      <c r="B205" s="1"/>
      <c r="C205" s="1">
        <v>1205</v>
      </c>
    </row>
    <row r="206" spans="1:3" x14ac:dyDescent="0.15">
      <c r="A206" t="s">
        <v>501</v>
      </c>
      <c r="B206" s="1"/>
      <c r="C206" s="1">
        <v>1206</v>
      </c>
    </row>
    <row r="207" spans="1:3" x14ac:dyDescent="0.15">
      <c r="A207" t="s">
        <v>626</v>
      </c>
      <c r="B207" s="1"/>
      <c r="C207" s="1">
        <v>1207</v>
      </c>
    </row>
    <row r="208" spans="1:3" x14ac:dyDescent="0.15">
      <c r="A208" t="s">
        <v>627</v>
      </c>
      <c r="B208" s="1"/>
      <c r="C208" s="1">
        <v>1208</v>
      </c>
    </row>
    <row r="209" spans="1:3" x14ac:dyDescent="0.15">
      <c r="A209" t="s">
        <v>628</v>
      </c>
      <c r="B209" s="1"/>
      <c r="C209" s="1">
        <v>1209</v>
      </c>
    </row>
    <row r="210" spans="1:3" x14ac:dyDescent="0.15">
      <c r="A210" t="s">
        <v>629</v>
      </c>
      <c r="B210" s="1"/>
      <c r="C210" s="1">
        <v>1210</v>
      </c>
    </row>
    <row r="211" spans="1:3" x14ac:dyDescent="0.15">
      <c r="A211" s="11" t="s">
        <v>502</v>
      </c>
      <c r="B211" s="1"/>
      <c r="C211" s="1">
        <v>1211</v>
      </c>
    </row>
    <row r="212" spans="1:3" x14ac:dyDescent="0.15">
      <c r="A212" s="11" t="s">
        <v>503</v>
      </c>
      <c r="B212" s="1"/>
      <c r="C212" s="1">
        <v>1212</v>
      </c>
    </row>
    <row r="213" spans="1:3" x14ac:dyDescent="0.15">
      <c r="A213" s="11" t="s">
        <v>504</v>
      </c>
      <c r="B213" s="1"/>
      <c r="C213" s="1">
        <v>1213</v>
      </c>
    </row>
    <row r="214" spans="1:3" x14ac:dyDescent="0.15">
      <c r="A214" s="11" t="s">
        <v>505</v>
      </c>
      <c r="B214" s="1"/>
      <c r="C214" s="1">
        <v>1214</v>
      </c>
    </row>
    <row r="215" spans="1:3" x14ac:dyDescent="0.15">
      <c r="A215" s="11" t="s">
        <v>506</v>
      </c>
      <c r="B215" s="1"/>
      <c r="C215" s="1">
        <v>1215</v>
      </c>
    </row>
    <row r="216" spans="1:3" x14ac:dyDescent="0.15">
      <c r="A216" s="11" t="s">
        <v>507</v>
      </c>
      <c r="B216" s="1"/>
      <c r="C216" s="1">
        <v>1216</v>
      </c>
    </row>
    <row r="217" spans="1:3" x14ac:dyDescent="0.15">
      <c r="A217" s="11" t="s">
        <v>508</v>
      </c>
      <c r="B217" s="1"/>
      <c r="C217" s="1">
        <v>1217</v>
      </c>
    </row>
    <row r="218" spans="1:3" x14ac:dyDescent="0.15">
      <c r="A218" s="10" t="s">
        <v>553</v>
      </c>
      <c r="B218" s="1"/>
      <c r="C218" s="1">
        <v>1218</v>
      </c>
    </row>
    <row r="219" spans="1:3" x14ac:dyDescent="0.15">
      <c r="A219" s="11" t="s">
        <v>630</v>
      </c>
      <c r="B219" s="1"/>
      <c r="C219" s="1">
        <v>1219</v>
      </c>
    </row>
    <row r="220" spans="1:3" x14ac:dyDescent="0.15">
      <c r="A220" s="10" t="s">
        <v>631</v>
      </c>
      <c r="B220" s="1"/>
      <c r="C220" s="1">
        <v>1220</v>
      </c>
    </row>
    <row r="221" spans="1:3" x14ac:dyDescent="0.15">
      <c r="A221" s="10" t="s">
        <v>632</v>
      </c>
      <c r="B221" s="1"/>
      <c r="C221" s="1">
        <v>1221</v>
      </c>
    </row>
    <row r="222" spans="1:3" x14ac:dyDescent="0.15">
      <c r="A222" s="10" t="s">
        <v>633</v>
      </c>
      <c r="B222" s="1"/>
      <c r="C222" s="1">
        <v>1222</v>
      </c>
    </row>
    <row r="223" spans="1:3" x14ac:dyDescent="0.15">
      <c r="A223" s="11" t="s">
        <v>634</v>
      </c>
      <c r="B223" s="1"/>
      <c r="C223" s="1">
        <v>1223</v>
      </c>
    </row>
    <row r="224" spans="1:3" x14ac:dyDescent="0.15">
      <c r="A224" s="12" t="s">
        <v>635</v>
      </c>
      <c r="B224" s="1"/>
      <c r="C224" s="1">
        <v>1224</v>
      </c>
    </row>
    <row r="225" spans="1:3" x14ac:dyDescent="0.15">
      <c r="A225" t="s">
        <v>636</v>
      </c>
      <c r="B225" s="1"/>
      <c r="C225" s="1">
        <v>1225</v>
      </c>
    </row>
    <row r="226" spans="1:3" x14ac:dyDescent="0.15">
      <c r="A226" t="s">
        <v>637</v>
      </c>
      <c r="B226" s="1"/>
      <c r="C226" s="1">
        <v>1226</v>
      </c>
    </row>
    <row r="227" spans="1:3" x14ac:dyDescent="0.15">
      <c r="A227" t="s">
        <v>638</v>
      </c>
      <c r="B227" s="1"/>
      <c r="C227" s="1">
        <v>1227</v>
      </c>
    </row>
    <row r="228" spans="1:3" x14ac:dyDescent="0.15">
      <c r="A228" s="13" t="s">
        <v>509</v>
      </c>
      <c r="B228" s="1"/>
      <c r="C228" s="1">
        <v>1228</v>
      </c>
    </row>
    <row r="229" spans="1:3" x14ac:dyDescent="0.15">
      <c r="A229" t="s">
        <v>639</v>
      </c>
      <c r="B229" s="1"/>
      <c r="C229" s="1">
        <v>1229</v>
      </c>
    </row>
    <row r="230" spans="1:3" x14ac:dyDescent="0.15">
      <c r="A230" t="s">
        <v>510</v>
      </c>
      <c r="B230" s="1"/>
      <c r="C230" s="1">
        <v>1230</v>
      </c>
    </row>
    <row r="231" spans="1:3" x14ac:dyDescent="0.15">
      <c r="A231" t="s">
        <v>511</v>
      </c>
      <c r="B231" s="1"/>
      <c r="C231" s="1">
        <v>1231</v>
      </c>
    </row>
    <row r="232" spans="1:3" x14ac:dyDescent="0.15">
      <c r="A232" t="s">
        <v>640</v>
      </c>
      <c r="B232" s="1"/>
      <c r="C232" s="1">
        <v>1232</v>
      </c>
    </row>
    <row r="233" spans="1:3" x14ac:dyDescent="0.15">
      <c r="A233" t="s">
        <v>641</v>
      </c>
      <c r="B233" s="1"/>
      <c r="C233" s="1">
        <v>1233</v>
      </c>
    </row>
    <row r="234" spans="1:3" x14ac:dyDescent="0.15">
      <c r="A234" t="s">
        <v>642</v>
      </c>
      <c r="B234" s="1"/>
      <c r="C234" s="1">
        <v>1234</v>
      </c>
    </row>
    <row r="235" spans="1:3" x14ac:dyDescent="0.15">
      <c r="A235" t="s">
        <v>643</v>
      </c>
      <c r="B235" s="1"/>
      <c r="C235" s="1">
        <v>1235</v>
      </c>
    </row>
    <row r="236" spans="1:3" x14ac:dyDescent="0.15">
      <c r="A236" t="s">
        <v>644</v>
      </c>
      <c r="B236" s="1"/>
      <c r="C236" s="1">
        <v>1236</v>
      </c>
    </row>
    <row r="237" spans="1:3" x14ac:dyDescent="0.15">
      <c r="A237" t="s">
        <v>645</v>
      </c>
      <c r="B237" s="1"/>
      <c r="C237" s="1">
        <v>1237</v>
      </c>
    </row>
    <row r="238" spans="1:3" x14ac:dyDescent="0.15">
      <c r="A238" t="s">
        <v>646</v>
      </c>
      <c r="B238" s="1"/>
      <c r="C238" s="1">
        <v>1238</v>
      </c>
    </row>
    <row r="239" spans="1:3" x14ac:dyDescent="0.15">
      <c r="A239" t="s">
        <v>647</v>
      </c>
      <c r="B239" s="1"/>
      <c r="C239" s="1">
        <v>1239</v>
      </c>
    </row>
    <row r="240" spans="1:3" x14ac:dyDescent="0.15">
      <c r="A240" t="s">
        <v>648</v>
      </c>
      <c r="B240" s="1"/>
      <c r="C240" s="1">
        <v>1240</v>
      </c>
    </row>
    <row r="241" spans="1:3" x14ac:dyDescent="0.15">
      <c r="A241" t="s">
        <v>649</v>
      </c>
      <c r="B241" s="1"/>
      <c r="C241" s="1">
        <v>1241</v>
      </c>
    </row>
    <row r="242" spans="1:3" x14ac:dyDescent="0.15">
      <c r="A242" t="s">
        <v>650</v>
      </c>
      <c r="B242" s="1"/>
      <c r="C242" s="1">
        <v>1242</v>
      </c>
    </row>
    <row r="243" spans="1:3" x14ac:dyDescent="0.15">
      <c r="A243" s="12" t="s">
        <v>651</v>
      </c>
      <c r="B243" s="1"/>
      <c r="C243" s="1">
        <v>1243</v>
      </c>
    </row>
    <row r="244" spans="1:3" x14ac:dyDescent="0.15">
      <c r="A244" t="s">
        <v>652</v>
      </c>
      <c r="B244" s="1"/>
      <c r="C244" s="1">
        <v>1244</v>
      </c>
    </row>
    <row r="245" spans="1:3" x14ac:dyDescent="0.15">
      <c r="A245" t="s">
        <v>653</v>
      </c>
      <c r="B245" s="1"/>
      <c r="C245" s="1">
        <v>1245</v>
      </c>
    </row>
    <row r="246" spans="1:3" x14ac:dyDescent="0.15">
      <c r="A246" t="s">
        <v>654</v>
      </c>
      <c r="B246" s="1"/>
      <c r="C246" s="1">
        <v>1246</v>
      </c>
    </row>
    <row r="247" spans="1:3" x14ac:dyDescent="0.15">
      <c r="A247" t="s">
        <v>655</v>
      </c>
      <c r="B247" s="1"/>
      <c r="C247" s="1">
        <v>1247</v>
      </c>
    </row>
    <row r="248" spans="1:3" x14ac:dyDescent="0.15">
      <c r="A248" t="s">
        <v>656</v>
      </c>
      <c r="B248" s="1"/>
      <c r="C248" s="1">
        <v>1248</v>
      </c>
    </row>
    <row r="249" spans="1:3" x14ac:dyDescent="0.15">
      <c r="A249" t="s">
        <v>657</v>
      </c>
      <c r="B249" s="1"/>
      <c r="C249" s="1">
        <v>1249</v>
      </c>
    </row>
    <row r="250" spans="1:3" x14ac:dyDescent="0.15">
      <c r="A250" t="s">
        <v>658</v>
      </c>
      <c r="B250" s="1"/>
      <c r="C250" s="1">
        <v>1250</v>
      </c>
    </row>
    <row r="251" spans="1:3" x14ac:dyDescent="0.15">
      <c r="A251" t="s">
        <v>659</v>
      </c>
      <c r="B251" s="1"/>
      <c r="C251" s="1">
        <v>1251</v>
      </c>
    </row>
    <row r="252" spans="1:3" x14ac:dyDescent="0.15">
      <c r="A252" t="s">
        <v>660</v>
      </c>
      <c r="B252" s="1"/>
      <c r="C252" s="1">
        <v>1252</v>
      </c>
    </row>
    <row r="253" spans="1:3" x14ac:dyDescent="0.15">
      <c r="A253" t="s">
        <v>661</v>
      </c>
      <c r="B253" s="1"/>
      <c r="C253" s="1">
        <v>1253</v>
      </c>
    </row>
    <row r="254" spans="1:3" x14ac:dyDescent="0.15">
      <c r="A254" t="s">
        <v>662</v>
      </c>
      <c r="B254" s="1"/>
      <c r="C254" s="1">
        <v>1254</v>
      </c>
    </row>
    <row r="255" spans="1:3" x14ac:dyDescent="0.15">
      <c r="A255" t="s">
        <v>663</v>
      </c>
      <c r="B255" s="1"/>
      <c r="C255" s="1">
        <v>1255</v>
      </c>
    </row>
    <row r="256" spans="1:3" x14ac:dyDescent="0.15">
      <c r="A256" t="s">
        <v>664</v>
      </c>
      <c r="B256" s="1"/>
      <c r="C256" s="1">
        <v>1256</v>
      </c>
    </row>
    <row r="257" spans="1:3" x14ac:dyDescent="0.15">
      <c r="A257" t="s">
        <v>665</v>
      </c>
      <c r="B257" s="1"/>
      <c r="C257" s="1">
        <v>1257</v>
      </c>
    </row>
    <row r="258" spans="1:3" x14ac:dyDescent="0.15">
      <c r="A258" t="s">
        <v>666</v>
      </c>
      <c r="B258" s="1"/>
      <c r="C258" s="1">
        <v>1258</v>
      </c>
    </row>
    <row r="259" spans="1:3" x14ac:dyDescent="0.15">
      <c r="A259" t="s">
        <v>667</v>
      </c>
      <c r="B259" s="1"/>
      <c r="C259" s="1">
        <v>1259</v>
      </c>
    </row>
    <row r="260" spans="1:3" x14ac:dyDescent="0.15">
      <c r="A260" s="1" t="s">
        <v>668</v>
      </c>
      <c r="B260" s="1"/>
      <c r="C260" s="1">
        <v>1260</v>
      </c>
    </row>
    <row r="261" spans="1:3" x14ac:dyDescent="0.15">
      <c r="A261" s="1" t="s">
        <v>669</v>
      </c>
      <c r="B261" s="1"/>
      <c r="C261" s="1">
        <v>1261</v>
      </c>
    </row>
    <row r="262" spans="1:3" x14ac:dyDescent="0.15">
      <c r="A262" s="1" t="s">
        <v>670</v>
      </c>
      <c r="B262" s="1"/>
      <c r="C262" s="1">
        <v>1262</v>
      </c>
    </row>
    <row r="263" spans="1:3" x14ac:dyDescent="0.15">
      <c r="A263" s="1" t="s">
        <v>671</v>
      </c>
      <c r="B263" s="1"/>
      <c r="C263" s="1">
        <v>1263</v>
      </c>
    </row>
    <row r="264" spans="1:3" x14ac:dyDescent="0.15">
      <c r="A264" s="1" t="s">
        <v>672</v>
      </c>
      <c r="B264" s="1"/>
      <c r="C264" s="1">
        <v>1264</v>
      </c>
    </row>
    <row r="265" spans="1:3" x14ac:dyDescent="0.15">
      <c r="A265" s="1" t="s">
        <v>673</v>
      </c>
      <c r="B265" s="1"/>
      <c r="C265" s="1">
        <v>1265</v>
      </c>
    </row>
    <row r="266" spans="1:3" x14ac:dyDescent="0.15">
      <c r="A266" s="1" t="s">
        <v>674</v>
      </c>
      <c r="B266" s="1"/>
      <c r="C266" s="1">
        <v>1266</v>
      </c>
    </row>
    <row r="267" spans="1:3" x14ac:dyDescent="0.15">
      <c r="A267" s="1" t="s">
        <v>675</v>
      </c>
      <c r="B267" s="1"/>
      <c r="C267" s="1">
        <v>1267</v>
      </c>
    </row>
  </sheetData>
  <autoFilter ref="F1:I1">
    <sortState ref="F2:I19">
      <sortCondition ref="G1"/>
    </sortState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MonsterDatas</vt:lpstr>
      <vt:lpstr>Sheet1</vt:lpstr>
      <vt:lpstr>Sheet2</vt:lpstr>
      <vt:lpstr>Sheet3</vt:lpstr>
      <vt:lpstr>Sheet5</vt:lpstr>
      <vt:lpstr>Sheet6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2019-01-15T11:00:08Z</dcterms:modified>
</cp:coreProperties>
</file>